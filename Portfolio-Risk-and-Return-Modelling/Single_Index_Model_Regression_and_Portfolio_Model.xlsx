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 Documents\SIBMH Study Material\3rd Sem\Finance\SAPM\"/>
    </mc:Choice>
  </mc:AlternateContent>
  <xr:revisionPtr revIDLastSave="0" documentId="13_ncr:1_{5DC090E5-A839-4678-830E-2F2C9B7BE8C7}" xr6:coauthVersionLast="47" xr6:coauthVersionMax="47" xr10:uidLastSave="{00000000-0000-0000-0000-000000000000}"/>
  <bookViews>
    <workbookView xWindow="-98" yWindow="-98" windowWidth="21795" windowHeight="12975" xr2:uid="{C4E74C43-5F01-42CE-80EC-472D8E41CF62}"/>
  </bookViews>
  <sheets>
    <sheet name="Details" sheetId="13" r:id="rId1"/>
    <sheet name="Alpha - Beta Computation" sheetId="7" r:id="rId2"/>
    <sheet name="Markowitz Model" sheetId="10" r:id="rId3"/>
    <sheet name="Single Index Model" sheetId="11" r:id="rId4"/>
    <sheet name="Regression" sheetId="8" r:id="rId5"/>
    <sheet name="NTPC" sheetId="1" r:id="rId6"/>
    <sheet name="Dabur India" sheetId="2" r:id="rId7"/>
    <sheet name="HDFC Life Insurance" sheetId="3" r:id="rId8"/>
    <sheet name="Adani Enterprises" sheetId="4" r:id="rId9"/>
    <sheet name="Hindalco Industries" sheetId="5" r:id="rId10"/>
    <sheet name="NIFTY 50" sheetId="6" r:id="rId11"/>
  </sheets>
  <definedNames>
    <definedName name="_xlnm._FilterDatabase" localSheetId="8" hidden="1">'Adani Enterprises'!$A$1:$C$251</definedName>
    <definedName name="_xlnm._FilterDatabase" localSheetId="6" hidden="1">'Dabur India'!$A$1:$C$251</definedName>
    <definedName name="_xlnm._FilterDatabase" localSheetId="7" hidden="1">'HDFC Life Insurance'!$A$1:$C$251</definedName>
    <definedName name="_xlnm._FilterDatabase" localSheetId="9" hidden="1">'Hindalco Industries'!$A$1:$C$251</definedName>
    <definedName name="_xlnm._FilterDatabase" localSheetId="10" hidden="1">'NIFTY 50'!$A$1:$B$251</definedName>
    <definedName name="_xlnm._FilterDatabase" localSheetId="5" hidden="1">NTPC!$A$1:$C$251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1" l="1"/>
  <c r="G7" i="11"/>
  <c r="G6" i="11"/>
  <c r="G5" i="11"/>
  <c r="G4" i="11"/>
  <c r="N12" i="7"/>
  <c r="N11" i="7"/>
  <c r="M12" i="7"/>
  <c r="M11" i="7"/>
  <c r="L12" i="7"/>
  <c r="L11" i="7"/>
  <c r="K12" i="7"/>
  <c r="K11" i="7"/>
  <c r="J12" i="7"/>
  <c r="J11" i="7"/>
  <c r="G4" i="7"/>
  <c r="F4" i="7"/>
  <c r="E4" i="7"/>
  <c r="D4" i="7"/>
  <c r="C4" i="7"/>
  <c r="B4" i="7"/>
  <c r="L25" i="10"/>
  <c r="L24" i="10"/>
  <c r="L23" i="10"/>
  <c r="L21" i="10"/>
  <c r="L22" i="10"/>
  <c r="L20" i="10"/>
  <c r="L17" i="10"/>
  <c r="L18" i="10"/>
  <c r="L19" i="10"/>
  <c r="L16" i="10"/>
  <c r="D8" i="11" l="1"/>
  <c r="J8" i="11" s="1"/>
  <c r="K8" i="11" s="1"/>
  <c r="D7" i="11"/>
  <c r="J7" i="11" s="1"/>
  <c r="K7" i="11" s="1"/>
  <c r="D6" i="11"/>
  <c r="J6" i="11" s="1"/>
  <c r="K6" i="11" s="1"/>
  <c r="D5" i="11"/>
  <c r="J5" i="11" s="1"/>
  <c r="K5" i="11" s="1"/>
  <c r="D4" i="11"/>
  <c r="J4" i="11" s="1"/>
  <c r="K4" i="11" s="1"/>
  <c r="D8" i="10"/>
  <c r="D7" i="10"/>
  <c r="D6" i="10"/>
  <c r="D5" i="10"/>
  <c r="D4" i="10"/>
  <c r="D2" i="6"/>
  <c r="E2" i="5"/>
  <c r="E2" i="4"/>
  <c r="E2" i="3"/>
  <c r="E2" i="2"/>
  <c r="E2" i="1"/>
  <c r="D3" i="1"/>
  <c r="D4" i="1"/>
  <c r="E3" i="1" l="1"/>
  <c r="C5" i="7"/>
  <c r="E4" i="1"/>
  <c r="C6" i="7"/>
  <c r="C251" i="6" l="1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3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1" i="6" l="1"/>
  <c r="B253" i="7"/>
  <c r="D250" i="6"/>
  <c r="B252" i="7"/>
  <c r="D249" i="6"/>
  <c r="B251" i="7"/>
  <c r="D248" i="6"/>
  <c r="B250" i="7"/>
  <c r="D247" i="6"/>
  <c r="B249" i="7"/>
  <c r="D246" i="6"/>
  <c r="B248" i="7"/>
  <c r="D245" i="6"/>
  <c r="B247" i="7"/>
  <c r="D244" i="6"/>
  <c r="B246" i="7"/>
  <c r="D243" i="6"/>
  <c r="B245" i="7"/>
  <c r="D242" i="6"/>
  <c r="B244" i="7"/>
  <c r="D241" i="6"/>
  <c r="B243" i="7"/>
  <c r="D240" i="6"/>
  <c r="B242" i="7"/>
  <c r="D239" i="6"/>
  <c r="B241" i="7"/>
  <c r="D238" i="6"/>
  <c r="B240" i="7"/>
  <c r="D237" i="6"/>
  <c r="B239" i="7"/>
  <c r="D236" i="6"/>
  <c r="B238" i="7"/>
  <c r="D235" i="6"/>
  <c r="B237" i="7"/>
  <c r="D234" i="6"/>
  <c r="B236" i="7"/>
  <c r="D233" i="6"/>
  <c r="B235" i="7"/>
  <c r="D232" i="6"/>
  <c r="B234" i="7"/>
  <c r="D231" i="6"/>
  <c r="B233" i="7"/>
  <c r="D230" i="6"/>
  <c r="B232" i="7"/>
  <c r="D229" i="6"/>
  <c r="B231" i="7"/>
  <c r="D228" i="6"/>
  <c r="B230" i="7"/>
  <c r="D227" i="6"/>
  <c r="B229" i="7"/>
  <c r="D226" i="6"/>
  <c r="B228" i="7"/>
  <c r="D225" i="6"/>
  <c r="B227" i="7"/>
  <c r="D224" i="6"/>
  <c r="B226" i="7"/>
  <c r="D223" i="6"/>
  <c r="B225" i="7"/>
  <c r="D222" i="6"/>
  <c r="B224" i="7"/>
  <c r="D221" i="6"/>
  <c r="B223" i="7"/>
  <c r="D220" i="6"/>
  <c r="B222" i="7"/>
  <c r="D219" i="6"/>
  <c r="B221" i="7"/>
  <c r="D218" i="6"/>
  <c r="B220" i="7"/>
  <c r="D217" i="6"/>
  <c r="B219" i="7"/>
  <c r="D216" i="6"/>
  <c r="B218" i="7"/>
  <c r="D215" i="6"/>
  <c r="B217" i="7"/>
  <c r="D214" i="6"/>
  <c r="B216" i="7"/>
  <c r="D213" i="6"/>
  <c r="B215" i="7"/>
  <c r="D212" i="6"/>
  <c r="B214" i="7"/>
  <c r="D211" i="6"/>
  <c r="B213" i="7"/>
  <c r="D210" i="6"/>
  <c r="B212" i="7"/>
  <c r="D209" i="6"/>
  <c r="B211" i="7"/>
  <c r="D208" i="6"/>
  <c r="B210" i="7"/>
  <c r="D207" i="6"/>
  <c r="B209" i="7"/>
  <c r="D206" i="6"/>
  <c r="B208" i="7"/>
  <c r="D205" i="6"/>
  <c r="B207" i="7"/>
  <c r="D204" i="6"/>
  <c r="B206" i="7"/>
  <c r="D203" i="6"/>
  <c r="B205" i="7"/>
  <c r="D202" i="6"/>
  <c r="B204" i="7"/>
  <c r="D201" i="6"/>
  <c r="B203" i="7"/>
  <c r="D200" i="6"/>
  <c r="B202" i="7"/>
  <c r="D199" i="6"/>
  <c r="B201" i="7"/>
  <c r="D198" i="6"/>
  <c r="B200" i="7"/>
  <c r="D197" i="6"/>
  <c r="B199" i="7"/>
  <c r="D196" i="6"/>
  <c r="B198" i="7"/>
  <c r="D195" i="6"/>
  <c r="B197" i="7"/>
  <c r="D194" i="6"/>
  <c r="B196" i="7"/>
  <c r="D193" i="6"/>
  <c r="B195" i="7"/>
  <c r="D192" i="6"/>
  <c r="B194" i="7"/>
  <c r="D191" i="6"/>
  <c r="B193" i="7"/>
  <c r="D190" i="6"/>
  <c r="B192" i="7"/>
  <c r="D189" i="6"/>
  <c r="B191" i="7"/>
  <c r="D188" i="6"/>
  <c r="B190" i="7"/>
  <c r="D187" i="6"/>
  <c r="B189" i="7"/>
  <c r="D186" i="6"/>
  <c r="B188" i="7"/>
  <c r="D185" i="6"/>
  <c r="B187" i="7"/>
  <c r="D184" i="6"/>
  <c r="B186" i="7"/>
  <c r="D183" i="6"/>
  <c r="B185" i="7"/>
  <c r="D182" i="6"/>
  <c r="B184" i="7"/>
  <c r="D181" i="6"/>
  <c r="B183" i="7"/>
  <c r="D180" i="6"/>
  <c r="B182" i="7"/>
  <c r="D179" i="6"/>
  <c r="B181" i="7"/>
  <c r="D178" i="6"/>
  <c r="B180" i="7"/>
  <c r="D177" i="6"/>
  <c r="B179" i="7"/>
  <c r="D176" i="6"/>
  <c r="B178" i="7"/>
  <c r="D175" i="6"/>
  <c r="B177" i="7"/>
  <c r="D174" i="6"/>
  <c r="B176" i="7"/>
  <c r="D173" i="6"/>
  <c r="B175" i="7"/>
  <c r="D172" i="6"/>
  <c r="B174" i="7"/>
  <c r="D171" i="6"/>
  <c r="B173" i="7"/>
  <c r="D170" i="6"/>
  <c r="B172" i="7"/>
  <c r="D169" i="6"/>
  <c r="B171" i="7"/>
  <c r="D168" i="6"/>
  <c r="B170" i="7"/>
  <c r="D167" i="6"/>
  <c r="B169" i="7"/>
  <c r="D166" i="6"/>
  <c r="B168" i="7"/>
  <c r="D165" i="6"/>
  <c r="B167" i="7"/>
  <c r="D164" i="6"/>
  <c r="B166" i="7"/>
  <c r="D163" i="6"/>
  <c r="B165" i="7"/>
  <c r="D162" i="6"/>
  <c r="B164" i="7"/>
  <c r="D161" i="6"/>
  <c r="B163" i="7"/>
  <c r="D160" i="6"/>
  <c r="B162" i="7"/>
  <c r="D159" i="6"/>
  <c r="B161" i="7"/>
  <c r="D158" i="6"/>
  <c r="B160" i="7"/>
  <c r="D157" i="6"/>
  <c r="B159" i="7"/>
  <c r="D156" i="6"/>
  <c r="B158" i="7"/>
  <c r="D155" i="6"/>
  <c r="B157" i="7"/>
  <c r="D154" i="6"/>
  <c r="B156" i="7"/>
  <c r="D153" i="6"/>
  <c r="B155" i="7"/>
  <c r="D152" i="6"/>
  <c r="B154" i="7"/>
  <c r="D151" i="6"/>
  <c r="B153" i="7"/>
  <c r="D150" i="6"/>
  <c r="B152" i="7"/>
  <c r="D149" i="6"/>
  <c r="B151" i="7"/>
  <c r="D148" i="6"/>
  <c r="B150" i="7"/>
  <c r="D147" i="6"/>
  <c r="B149" i="7"/>
  <c r="D146" i="6"/>
  <c r="B148" i="7"/>
  <c r="D145" i="6"/>
  <c r="B147" i="7"/>
  <c r="D144" i="6"/>
  <c r="B146" i="7"/>
  <c r="D143" i="6"/>
  <c r="B145" i="7"/>
  <c r="D142" i="6"/>
  <c r="B144" i="7"/>
  <c r="D141" i="6"/>
  <c r="B143" i="7"/>
  <c r="D140" i="6"/>
  <c r="B142" i="7"/>
  <c r="D139" i="6"/>
  <c r="B141" i="7"/>
  <c r="D138" i="6"/>
  <c r="B140" i="7"/>
  <c r="D137" i="6"/>
  <c r="B139" i="7"/>
  <c r="D136" i="6"/>
  <c r="B138" i="7"/>
  <c r="D135" i="6"/>
  <c r="B137" i="7"/>
  <c r="D134" i="6"/>
  <c r="B136" i="7"/>
  <c r="D133" i="6"/>
  <c r="B135" i="7"/>
  <c r="D132" i="6"/>
  <c r="B134" i="7"/>
  <c r="D131" i="6"/>
  <c r="B133" i="7"/>
  <c r="D130" i="6"/>
  <c r="B132" i="7"/>
  <c r="D129" i="6"/>
  <c r="B131" i="7"/>
  <c r="D128" i="6"/>
  <c r="B130" i="7"/>
  <c r="D127" i="6"/>
  <c r="B129" i="7"/>
  <c r="D126" i="6"/>
  <c r="B128" i="7"/>
  <c r="D125" i="6"/>
  <c r="B127" i="7"/>
  <c r="D124" i="6"/>
  <c r="B126" i="7"/>
  <c r="D123" i="6"/>
  <c r="B125" i="7"/>
  <c r="D122" i="6"/>
  <c r="B124" i="7"/>
  <c r="D121" i="6"/>
  <c r="B123" i="7"/>
  <c r="D120" i="6"/>
  <c r="B122" i="7"/>
  <c r="D119" i="6"/>
  <c r="B121" i="7"/>
  <c r="D118" i="6"/>
  <c r="B120" i="7"/>
  <c r="D117" i="6"/>
  <c r="B119" i="7"/>
  <c r="D116" i="6"/>
  <c r="B118" i="7"/>
  <c r="D115" i="6"/>
  <c r="B117" i="7"/>
  <c r="D114" i="6"/>
  <c r="B116" i="7"/>
  <c r="D113" i="6"/>
  <c r="B115" i="7"/>
  <c r="D112" i="6"/>
  <c r="B114" i="7"/>
  <c r="D111" i="6"/>
  <c r="B113" i="7"/>
  <c r="D110" i="6"/>
  <c r="B112" i="7"/>
  <c r="D109" i="6"/>
  <c r="B111" i="7"/>
  <c r="D108" i="6"/>
  <c r="B110" i="7"/>
  <c r="D107" i="6"/>
  <c r="B109" i="7"/>
  <c r="D106" i="6"/>
  <c r="B108" i="7"/>
  <c r="D105" i="6"/>
  <c r="B107" i="7"/>
  <c r="D104" i="6"/>
  <c r="B106" i="7"/>
  <c r="D103" i="6"/>
  <c r="B105" i="7"/>
  <c r="D102" i="6"/>
  <c r="B104" i="7"/>
  <c r="D101" i="6"/>
  <c r="B103" i="7"/>
  <c r="D100" i="6"/>
  <c r="B102" i="7"/>
  <c r="D99" i="6"/>
  <c r="B101" i="7"/>
  <c r="D98" i="6"/>
  <c r="B100" i="7"/>
  <c r="D97" i="6"/>
  <c r="B99" i="7"/>
  <c r="D96" i="6"/>
  <c r="B98" i="7"/>
  <c r="D95" i="6"/>
  <c r="B97" i="7"/>
  <c r="D94" i="6"/>
  <c r="B96" i="7"/>
  <c r="D93" i="6"/>
  <c r="B95" i="7"/>
  <c r="D92" i="6"/>
  <c r="B94" i="7"/>
  <c r="D91" i="6"/>
  <c r="B93" i="7"/>
  <c r="D90" i="6"/>
  <c r="B92" i="7"/>
  <c r="D89" i="6"/>
  <c r="B91" i="7"/>
  <c r="D88" i="6"/>
  <c r="B90" i="7"/>
  <c r="D87" i="6"/>
  <c r="B89" i="7"/>
  <c r="D86" i="6"/>
  <c r="B88" i="7"/>
  <c r="D85" i="6"/>
  <c r="B87" i="7"/>
  <c r="D84" i="6"/>
  <c r="B86" i="7"/>
  <c r="D83" i="6"/>
  <c r="B85" i="7"/>
  <c r="D82" i="6"/>
  <c r="B84" i="7"/>
  <c r="D81" i="6"/>
  <c r="B83" i="7"/>
  <c r="D80" i="6"/>
  <c r="B82" i="7"/>
  <c r="D79" i="6"/>
  <c r="B81" i="7"/>
  <c r="D78" i="6"/>
  <c r="B80" i="7"/>
  <c r="D77" i="6"/>
  <c r="B79" i="7"/>
  <c r="D76" i="6"/>
  <c r="B78" i="7"/>
  <c r="D75" i="6"/>
  <c r="B77" i="7"/>
  <c r="D74" i="6"/>
  <c r="B76" i="7"/>
  <c r="D73" i="6"/>
  <c r="B75" i="7"/>
  <c r="D72" i="6"/>
  <c r="B74" i="7"/>
  <c r="D71" i="6"/>
  <c r="B73" i="7"/>
  <c r="D70" i="6"/>
  <c r="B72" i="7"/>
  <c r="D69" i="6"/>
  <c r="B71" i="7"/>
  <c r="D68" i="6"/>
  <c r="B70" i="7"/>
  <c r="D67" i="6"/>
  <c r="B69" i="7"/>
  <c r="D66" i="6"/>
  <c r="B68" i="7"/>
  <c r="D65" i="6"/>
  <c r="B67" i="7"/>
  <c r="D64" i="6"/>
  <c r="B66" i="7"/>
  <c r="D63" i="6"/>
  <c r="B65" i="7"/>
  <c r="D62" i="6"/>
  <c r="B64" i="7"/>
  <c r="D61" i="6"/>
  <c r="B63" i="7"/>
  <c r="D60" i="6"/>
  <c r="B62" i="7"/>
  <c r="D59" i="6"/>
  <c r="B61" i="7"/>
  <c r="D58" i="6"/>
  <c r="B60" i="7"/>
  <c r="D57" i="6"/>
  <c r="B59" i="7"/>
  <c r="D56" i="6"/>
  <c r="B58" i="7"/>
  <c r="D55" i="6"/>
  <c r="B57" i="7"/>
  <c r="D54" i="6"/>
  <c r="B56" i="7"/>
  <c r="D53" i="6"/>
  <c r="B55" i="7"/>
  <c r="D52" i="6"/>
  <c r="B54" i="7"/>
  <c r="D51" i="6"/>
  <c r="B53" i="7"/>
  <c r="D50" i="6"/>
  <c r="B52" i="7"/>
  <c r="D49" i="6"/>
  <c r="B51" i="7"/>
  <c r="D48" i="6"/>
  <c r="B50" i="7"/>
  <c r="D47" i="6"/>
  <c r="B49" i="7"/>
  <c r="D46" i="6"/>
  <c r="B48" i="7"/>
  <c r="D45" i="6"/>
  <c r="B47" i="7"/>
  <c r="D44" i="6"/>
  <c r="B46" i="7"/>
  <c r="D43" i="6"/>
  <c r="B45" i="7"/>
  <c r="D42" i="6"/>
  <c r="B44" i="7"/>
  <c r="D41" i="6"/>
  <c r="B43" i="7"/>
  <c r="D40" i="6"/>
  <c r="B42" i="7"/>
  <c r="D39" i="6"/>
  <c r="B41" i="7"/>
  <c r="D38" i="6"/>
  <c r="B40" i="7"/>
  <c r="D37" i="6"/>
  <c r="B39" i="7"/>
  <c r="D36" i="6"/>
  <c r="B38" i="7"/>
  <c r="D35" i="6"/>
  <c r="B37" i="7"/>
  <c r="D34" i="6"/>
  <c r="B36" i="7"/>
  <c r="D33" i="6"/>
  <c r="B35" i="7"/>
  <c r="D32" i="6"/>
  <c r="B34" i="7"/>
  <c r="D31" i="6"/>
  <c r="B33" i="7"/>
  <c r="D30" i="6"/>
  <c r="B32" i="7"/>
  <c r="D29" i="6"/>
  <c r="B31" i="7"/>
  <c r="D28" i="6"/>
  <c r="B30" i="7"/>
  <c r="D27" i="6"/>
  <c r="B29" i="7"/>
  <c r="D26" i="6"/>
  <c r="B28" i="7"/>
  <c r="D25" i="6"/>
  <c r="B27" i="7"/>
  <c r="D24" i="6"/>
  <c r="B26" i="7"/>
  <c r="D23" i="6"/>
  <c r="B25" i="7"/>
  <c r="D22" i="6"/>
  <c r="B24" i="7"/>
  <c r="D21" i="6"/>
  <c r="B23" i="7"/>
  <c r="D20" i="6"/>
  <c r="B22" i="7"/>
  <c r="D19" i="6"/>
  <c r="B21" i="7"/>
  <c r="D18" i="6"/>
  <c r="B20" i="7"/>
  <c r="D17" i="6"/>
  <c r="B19" i="7"/>
  <c r="D16" i="6"/>
  <c r="B18" i="7"/>
  <c r="D15" i="6"/>
  <c r="B17" i="7"/>
  <c r="D14" i="6"/>
  <c r="B16" i="7"/>
  <c r="D13" i="6"/>
  <c r="B15" i="7"/>
  <c r="D12" i="6"/>
  <c r="B14" i="7"/>
  <c r="D11" i="6"/>
  <c r="B13" i="7"/>
  <c r="D10" i="6"/>
  <c r="B12" i="7"/>
  <c r="D9" i="6"/>
  <c r="B11" i="7"/>
  <c r="D8" i="6"/>
  <c r="B10" i="7"/>
  <c r="D7" i="6"/>
  <c r="B9" i="7"/>
  <c r="D6" i="6"/>
  <c r="B8" i="7"/>
  <c r="D5" i="6"/>
  <c r="B7" i="7"/>
  <c r="D4" i="6"/>
  <c r="B6" i="7"/>
  <c r="D3" i="6"/>
  <c r="B5" i="7"/>
  <c r="E251" i="5"/>
  <c r="G253" i="7"/>
  <c r="G252" i="7"/>
  <c r="E250" i="5"/>
  <c r="E249" i="5"/>
  <c r="G251" i="7"/>
  <c r="E248" i="5"/>
  <c r="G250" i="7"/>
  <c r="G249" i="7"/>
  <c r="E247" i="5"/>
  <c r="E246" i="5"/>
  <c r="G248" i="7"/>
  <c r="G247" i="7"/>
  <c r="E245" i="5"/>
  <c r="E244" i="5"/>
  <c r="G246" i="7"/>
  <c r="E243" i="5"/>
  <c r="G245" i="7"/>
  <c r="G244" i="7"/>
  <c r="E242" i="5"/>
  <c r="G243" i="7"/>
  <c r="E241" i="5"/>
  <c r="E240" i="5"/>
  <c r="G242" i="7"/>
  <c r="G241" i="7"/>
  <c r="E239" i="5"/>
  <c r="G240" i="7"/>
  <c r="E238" i="5"/>
  <c r="E237" i="5"/>
  <c r="G239" i="7"/>
  <c r="G238" i="7"/>
  <c r="E236" i="5"/>
  <c r="G237" i="7"/>
  <c r="E235" i="5"/>
  <c r="G236" i="7"/>
  <c r="E234" i="5"/>
  <c r="E233" i="5"/>
  <c r="G235" i="7"/>
  <c r="E232" i="5"/>
  <c r="G234" i="7"/>
  <c r="G233" i="7"/>
  <c r="E231" i="5"/>
  <c r="G232" i="7"/>
  <c r="E230" i="5"/>
  <c r="G231" i="7"/>
  <c r="E229" i="5"/>
  <c r="E228" i="5"/>
  <c r="G230" i="7"/>
  <c r="E227" i="5"/>
  <c r="G229" i="7"/>
  <c r="G228" i="7"/>
  <c r="E226" i="5"/>
  <c r="E225" i="5"/>
  <c r="G227" i="7"/>
  <c r="E224" i="5"/>
  <c r="G226" i="7"/>
  <c r="G225" i="7"/>
  <c r="E223" i="5"/>
  <c r="E222" i="5"/>
  <c r="G224" i="7"/>
  <c r="E221" i="5"/>
  <c r="G223" i="7"/>
  <c r="E220" i="5"/>
  <c r="G222" i="7"/>
  <c r="G221" i="7"/>
  <c r="E219" i="5"/>
  <c r="G220" i="7"/>
  <c r="E218" i="5"/>
  <c r="G219" i="7"/>
  <c r="E217" i="5"/>
  <c r="G218" i="7"/>
  <c r="E216" i="5"/>
  <c r="E215" i="5"/>
  <c r="G217" i="7"/>
  <c r="G216" i="7"/>
  <c r="E214" i="5"/>
  <c r="G215" i="7"/>
  <c r="E213" i="5"/>
  <c r="E212" i="5"/>
  <c r="G214" i="7"/>
  <c r="E211" i="5"/>
  <c r="G213" i="7"/>
  <c r="G212" i="7"/>
  <c r="E210" i="5"/>
  <c r="E209" i="5"/>
  <c r="G211" i="7"/>
  <c r="G210" i="7"/>
  <c r="E208" i="5"/>
  <c r="E207" i="5"/>
  <c r="G209" i="7"/>
  <c r="E206" i="5"/>
  <c r="G208" i="7"/>
  <c r="E205" i="5"/>
  <c r="G207" i="7"/>
  <c r="E204" i="5"/>
  <c r="G206" i="7"/>
  <c r="E203" i="5"/>
  <c r="G205" i="7"/>
  <c r="E202" i="5"/>
  <c r="G204" i="7"/>
  <c r="G203" i="7"/>
  <c r="E201" i="5"/>
  <c r="G202" i="7"/>
  <c r="E200" i="5"/>
  <c r="G201" i="7"/>
  <c r="E199" i="5"/>
  <c r="G200" i="7"/>
  <c r="E198" i="5"/>
  <c r="G199" i="7"/>
  <c r="E197" i="5"/>
  <c r="G198" i="7"/>
  <c r="E196" i="5"/>
  <c r="E195" i="5"/>
  <c r="G197" i="7"/>
  <c r="G196" i="7"/>
  <c r="E194" i="5"/>
  <c r="G195" i="7"/>
  <c r="E193" i="5"/>
  <c r="E192" i="5"/>
  <c r="G194" i="7"/>
  <c r="G193" i="7"/>
  <c r="E191" i="5"/>
  <c r="G192" i="7"/>
  <c r="E190" i="5"/>
  <c r="E189" i="5"/>
  <c r="G191" i="7"/>
  <c r="E188" i="5"/>
  <c r="G190" i="7"/>
  <c r="G189" i="7"/>
  <c r="E187" i="5"/>
  <c r="E186" i="5"/>
  <c r="G188" i="7"/>
  <c r="E185" i="5"/>
  <c r="G187" i="7"/>
  <c r="G186" i="7"/>
  <c r="E184" i="5"/>
  <c r="E183" i="5"/>
  <c r="G185" i="7"/>
  <c r="E182" i="5"/>
  <c r="G184" i="7"/>
  <c r="E181" i="5"/>
  <c r="G183" i="7"/>
  <c r="G182" i="7"/>
  <c r="E180" i="5"/>
  <c r="E179" i="5"/>
  <c r="G181" i="7"/>
  <c r="G180" i="7"/>
  <c r="E178" i="5"/>
  <c r="E177" i="5"/>
  <c r="G179" i="7"/>
  <c r="G178" i="7"/>
  <c r="E176" i="5"/>
  <c r="G177" i="7"/>
  <c r="E175" i="5"/>
  <c r="G176" i="7"/>
  <c r="E174" i="5"/>
  <c r="G175" i="7"/>
  <c r="E173" i="5"/>
  <c r="G174" i="7"/>
  <c r="E172" i="5"/>
  <c r="G173" i="7"/>
  <c r="E171" i="5"/>
  <c r="G172" i="7"/>
  <c r="E170" i="5"/>
  <c r="E169" i="5"/>
  <c r="G171" i="7"/>
  <c r="E168" i="5"/>
  <c r="G170" i="7"/>
  <c r="E167" i="5"/>
  <c r="G169" i="7"/>
  <c r="G168" i="7"/>
  <c r="E166" i="5"/>
  <c r="E165" i="5"/>
  <c r="G167" i="7"/>
  <c r="E164" i="5"/>
  <c r="G166" i="7"/>
  <c r="G165" i="7"/>
  <c r="E163" i="5"/>
  <c r="G164" i="7"/>
  <c r="E162" i="5"/>
  <c r="G163" i="7"/>
  <c r="E161" i="5"/>
  <c r="G162" i="7"/>
  <c r="E160" i="5"/>
  <c r="E159" i="5"/>
  <c r="G161" i="7"/>
  <c r="G160" i="7"/>
  <c r="E158" i="5"/>
  <c r="G159" i="7"/>
  <c r="E157" i="5"/>
  <c r="E156" i="5"/>
  <c r="G158" i="7"/>
  <c r="G157" i="7"/>
  <c r="E155" i="5"/>
  <c r="G156" i="7"/>
  <c r="E154" i="5"/>
  <c r="E153" i="5"/>
  <c r="G155" i="7"/>
  <c r="E152" i="5"/>
  <c r="G154" i="7"/>
  <c r="E151" i="5"/>
  <c r="G153" i="7"/>
  <c r="G152" i="7"/>
  <c r="E150" i="5"/>
  <c r="E149" i="5"/>
  <c r="G151" i="7"/>
  <c r="E148" i="5"/>
  <c r="G150" i="7"/>
  <c r="G149" i="7"/>
  <c r="E147" i="5"/>
  <c r="E146" i="5"/>
  <c r="G148" i="7"/>
  <c r="G147" i="7"/>
  <c r="E145" i="5"/>
  <c r="G146" i="7"/>
  <c r="E144" i="5"/>
  <c r="E143" i="5"/>
  <c r="G145" i="7"/>
  <c r="G144" i="7"/>
  <c r="E142" i="5"/>
  <c r="E141" i="5"/>
  <c r="G143" i="7"/>
  <c r="E140" i="5"/>
  <c r="G142" i="7"/>
  <c r="G141" i="7"/>
  <c r="E139" i="5"/>
  <c r="G140" i="7"/>
  <c r="E138" i="5"/>
  <c r="G139" i="7"/>
  <c r="E137" i="5"/>
  <c r="G138" i="7"/>
  <c r="E136" i="5"/>
  <c r="G137" i="7"/>
  <c r="E135" i="5"/>
  <c r="E134" i="5"/>
  <c r="G136" i="7"/>
  <c r="E133" i="5"/>
  <c r="G135" i="7"/>
  <c r="G134" i="7"/>
  <c r="E132" i="5"/>
  <c r="G133" i="7"/>
  <c r="E131" i="5"/>
  <c r="G132" i="7"/>
  <c r="E130" i="5"/>
  <c r="G131" i="7"/>
  <c r="E129" i="5"/>
  <c r="G130" i="7"/>
  <c r="E128" i="5"/>
  <c r="E127" i="5"/>
  <c r="G129" i="7"/>
  <c r="E126" i="5"/>
  <c r="G128" i="7"/>
  <c r="G127" i="7"/>
  <c r="E125" i="5"/>
  <c r="G126" i="7"/>
  <c r="E124" i="5"/>
  <c r="G125" i="7"/>
  <c r="E123" i="5"/>
  <c r="E122" i="5"/>
  <c r="G124" i="7"/>
  <c r="G123" i="7"/>
  <c r="E121" i="5"/>
  <c r="G122" i="7"/>
  <c r="E120" i="5"/>
  <c r="E119" i="5"/>
  <c r="G121" i="7"/>
  <c r="E118" i="5"/>
  <c r="G120" i="7"/>
  <c r="G119" i="7"/>
  <c r="E117" i="5"/>
  <c r="G118" i="7"/>
  <c r="E116" i="5"/>
  <c r="E115" i="5"/>
  <c r="G117" i="7"/>
  <c r="E114" i="5"/>
  <c r="G116" i="7"/>
  <c r="E113" i="5"/>
  <c r="G115" i="7"/>
  <c r="E112" i="5"/>
  <c r="G114" i="7"/>
  <c r="E111" i="5"/>
  <c r="G113" i="7"/>
  <c r="G112" i="7"/>
  <c r="E110" i="5"/>
  <c r="G111" i="7"/>
  <c r="E109" i="5"/>
  <c r="E108" i="5"/>
  <c r="G110" i="7"/>
  <c r="E107" i="5"/>
  <c r="G109" i="7"/>
  <c r="G108" i="7"/>
  <c r="E106" i="5"/>
  <c r="G107" i="7"/>
  <c r="E105" i="5"/>
  <c r="E104" i="5"/>
  <c r="G106" i="7"/>
  <c r="G105" i="7"/>
  <c r="E103" i="5"/>
  <c r="E102" i="5"/>
  <c r="G104" i="7"/>
  <c r="E101" i="5"/>
  <c r="G103" i="7"/>
  <c r="G102" i="7"/>
  <c r="E100" i="5"/>
  <c r="E99" i="5"/>
  <c r="G101" i="7"/>
  <c r="G100" i="7"/>
  <c r="E98" i="5"/>
  <c r="G99" i="7"/>
  <c r="E97" i="5"/>
  <c r="E96" i="5"/>
  <c r="G98" i="7"/>
  <c r="G97" i="7"/>
  <c r="E95" i="5"/>
  <c r="E94" i="5"/>
  <c r="G96" i="7"/>
  <c r="G95" i="7"/>
  <c r="E93" i="5"/>
  <c r="G94" i="7"/>
  <c r="E92" i="5"/>
  <c r="G93" i="7"/>
  <c r="E91" i="5"/>
  <c r="E90" i="5"/>
  <c r="G92" i="7"/>
  <c r="G91" i="7"/>
  <c r="E89" i="5"/>
  <c r="E88" i="5"/>
  <c r="G90" i="7"/>
  <c r="E87" i="5"/>
  <c r="G89" i="7"/>
  <c r="G88" i="7"/>
  <c r="E86" i="5"/>
  <c r="E85" i="5"/>
  <c r="G87" i="7"/>
  <c r="G86" i="7"/>
  <c r="E84" i="5"/>
  <c r="E83" i="5"/>
  <c r="G85" i="7"/>
  <c r="G84" i="7"/>
  <c r="E82" i="5"/>
  <c r="E81" i="5"/>
  <c r="G83" i="7"/>
  <c r="G82" i="7"/>
  <c r="E80" i="5"/>
  <c r="E79" i="5"/>
  <c r="G81" i="7"/>
  <c r="G80" i="7"/>
  <c r="E78" i="5"/>
  <c r="E77" i="5"/>
  <c r="G79" i="7"/>
  <c r="G78" i="7"/>
  <c r="E76" i="5"/>
  <c r="E75" i="5"/>
  <c r="G77" i="7"/>
  <c r="G76" i="7"/>
  <c r="E74" i="5"/>
  <c r="E73" i="5"/>
  <c r="G75" i="7"/>
  <c r="E72" i="5"/>
  <c r="G74" i="7"/>
  <c r="G73" i="7"/>
  <c r="E71" i="5"/>
  <c r="G72" i="7"/>
  <c r="E70" i="5"/>
  <c r="E69" i="5"/>
  <c r="G71" i="7"/>
  <c r="G70" i="7"/>
  <c r="E68" i="5"/>
  <c r="G69" i="7"/>
  <c r="E67" i="5"/>
  <c r="E66" i="5"/>
  <c r="G68" i="7"/>
  <c r="G67" i="7"/>
  <c r="E65" i="5"/>
  <c r="G66" i="7"/>
  <c r="E64" i="5"/>
  <c r="G65" i="7"/>
  <c r="E63" i="5"/>
  <c r="E62" i="5"/>
  <c r="G64" i="7"/>
  <c r="G63" i="7"/>
  <c r="E61" i="5"/>
  <c r="G62" i="7"/>
  <c r="E60" i="5"/>
  <c r="G61" i="7"/>
  <c r="E59" i="5"/>
  <c r="G60" i="7"/>
  <c r="E58" i="5"/>
  <c r="G59" i="7"/>
  <c r="E57" i="5"/>
  <c r="G58" i="7"/>
  <c r="E56" i="5"/>
  <c r="G57" i="7"/>
  <c r="E55" i="5"/>
  <c r="E54" i="5"/>
  <c r="G56" i="7"/>
  <c r="E53" i="5"/>
  <c r="G55" i="7"/>
  <c r="E52" i="5"/>
  <c r="G54" i="7"/>
  <c r="G53" i="7"/>
  <c r="E51" i="5"/>
  <c r="E50" i="5"/>
  <c r="G52" i="7"/>
  <c r="G51" i="7"/>
  <c r="E49" i="5"/>
  <c r="E48" i="5"/>
  <c r="G50" i="7"/>
  <c r="G49" i="7"/>
  <c r="E47" i="5"/>
  <c r="G48" i="7"/>
  <c r="E46" i="5"/>
  <c r="G47" i="7"/>
  <c r="E45" i="5"/>
  <c r="G46" i="7"/>
  <c r="E44" i="5"/>
  <c r="E43" i="5"/>
  <c r="G45" i="7"/>
  <c r="G44" i="7"/>
  <c r="E42" i="5"/>
  <c r="G43" i="7"/>
  <c r="E41" i="5"/>
  <c r="G42" i="7"/>
  <c r="E40" i="5"/>
  <c r="G41" i="7"/>
  <c r="E39" i="5"/>
  <c r="G40" i="7"/>
  <c r="E38" i="5"/>
  <c r="E37" i="5"/>
  <c r="G39" i="7"/>
  <c r="E36" i="5"/>
  <c r="G38" i="7"/>
  <c r="E35" i="5"/>
  <c r="G37" i="7"/>
  <c r="E34" i="5"/>
  <c r="G36" i="7"/>
  <c r="G35" i="7"/>
  <c r="E33" i="5"/>
  <c r="E32" i="5"/>
  <c r="G34" i="7"/>
  <c r="E31" i="5"/>
  <c r="G33" i="7"/>
  <c r="E30" i="5"/>
  <c r="G32" i="7"/>
  <c r="E29" i="5"/>
  <c r="G31" i="7"/>
  <c r="G30" i="7"/>
  <c r="E28" i="5"/>
  <c r="E27" i="5"/>
  <c r="G29" i="7"/>
  <c r="E26" i="5"/>
  <c r="G28" i="7"/>
  <c r="E25" i="5"/>
  <c r="G27" i="7"/>
  <c r="E24" i="5"/>
  <c r="G26" i="7"/>
  <c r="E23" i="5"/>
  <c r="G25" i="7"/>
  <c r="E22" i="5"/>
  <c r="G24" i="7"/>
  <c r="E21" i="5"/>
  <c r="G23" i="7"/>
  <c r="G22" i="7"/>
  <c r="E20" i="5"/>
  <c r="E19" i="5"/>
  <c r="G21" i="7"/>
  <c r="G20" i="7"/>
  <c r="E18" i="5"/>
  <c r="G19" i="7"/>
  <c r="E17" i="5"/>
  <c r="G18" i="7"/>
  <c r="E16" i="5"/>
  <c r="E15" i="5"/>
  <c r="G17" i="7"/>
  <c r="E14" i="5"/>
  <c r="G16" i="7"/>
  <c r="G15" i="7"/>
  <c r="E13" i="5"/>
  <c r="E12" i="5"/>
  <c r="G14" i="7"/>
  <c r="G13" i="7"/>
  <c r="E11" i="5"/>
  <c r="E10" i="5"/>
  <c r="G12" i="7"/>
  <c r="G11" i="7"/>
  <c r="E9" i="5"/>
  <c r="G10" i="7"/>
  <c r="E8" i="5"/>
  <c r="G9" i="7"/>
  <c r="E7" i="5"/>
  <c r="G8" i="7"/>
  <c r="E6" i="5"/>
  <c r="E5" i="5"/>
  <c r="G7" i="7"/>
  <c r="E4" i="5"/>
  <c r="G6" i="7"/>
  <c r="G5" i="7"/>
  <c r="E3" i="5"/>
  <c r="F253" i="7"/>
  <c r="E251" i="4"/>
  <c r="F252" i="7"/>
  <c r="E250" i="4"/>
  <c r="E249" i="4"/>
  <c r="F251" i="7"/>
  <c r="E248" i="4"/>
  <c r="F250" i="7"/>
  <c r="E247" i="4"/>
  <c r="F249" i="7"/>
  <c r="E246" i="4"/>
  <c r="F248" i="7"/>
  <c r="F247" i="7"/>
  <c r="E245" i="4"/>
  <c r="F246" i="7"/>
  <c r="E244" i="4"/>
  <c r="E243" i="4"/>
  <c r="F245" i="7"/>
  <c r="E242" i="4"/>
  <c r="F244" i="7"/>
  <c r="F243" i="7"/>
  <c r="E241" i="4"/>
  <c r="E240" i="4"/>
  <c r="F242" i="7"/>
  <c r="F241" i="7"/>
  <c r="E239" i="4"/>
  <c r="F240" i="7"/>
  <c r="E238" i="4"/>
  <c r="E237" i="4"/>
  <c r="F239" i="7"/>
  <c r="F238" i="7"/>
  <c r="E236" i="4"/>
  <c r="F237" i="7"/>
  <c r="E235" i="4"/>
  <c r="E234" i="4"/>
  <c r="F236" i="7"/>
  <c r="F235" i="7"/>
  <c r="E233" i="4"/>
  <c r="F234" i="7"/>
  <c r="E232" i="4"/>
  <c r="F233" i="7"/>
  <c r="E231" i="4"/>
  <c r="F232" i="7"/>
  <c r="E230" i="4"/>
  <c r="F231" i="7"/>
  <c r="E229" i="4"/>
  <c r="F230" i="7"/>
  <c r="E228" i="4"/>
  <c r="E227" i="4"/>
  <c r="F229" i="7"/>
  <c r="E226" i="4"/>
  <c r="F228" i="7"/>
  <c r="F227" i="7"/>
  <c r="E225" i="4"/>
  <c r="E224" i="4"/>
  <c r="F226" i="7"/>
  <c r="E223" i="4"/>
  <c r="F225" i="7"/>
  <c r="F224" i="7"/>
  <c r="E222" i="4"/>
  <c r="F223" i="7"/>
  <c r="E221" i="4"/>
  <c r="E220" i="4"/>
  <c r="F222" i="7"/>
  <c r="F221" i="7"/>
  <c r="E219" i="4"/>
  <c r="F220" i="7"/>
  <c r="E218" i="4"/>
  <c r="E217" i="4"/>
  <c r="F219" i="7"/>
  <c r="F218" i="7"/>
  <c r="E216" i="4"/>
  <c r="F217" i="7"/>
  <c r="E215" i="4"/>
  <c r="F216" i="7"/>
  <c r="E214" i="4"/>
  <c r="F215" i="7"/>
  <c r="E213" i="4"/>
  <c r="F214" i="7"/>
  <c r="E212" i="4"/>
  <c r="F213" i="7"/>
  <c r="E211" i="4"/>
  <c r="F212" i="7"/>
  <c r="E210" i="4"/>
  <c r="F211" i="7"/>
  <c r="E209" i="4"/>
  <c r="F210" i="7"/>
  <c r="E208" i="4"/>
  <c r="F209" i="7"/>
  <c r="E207" i="4"/>
  <c r="E206" i="4"/>
  <c r="F208" i="7"/>
  <c r="E205" i="4"/>
  <c r="F207" i="7"/>
  <c r="F206" i="7"/>
  <c r="E204" i="4"/>
  <c r="F205" i="7"/>
  <c r="E203" i="4"/>
  <c r="F204" i="7"/>
  <c r="E202" i="4"/>
  <c r="F203" i="7"/>
  <c r="E201" i="4"/>
  <c r="F202" i="7"/>
  <c r="E200" i="4"/>
  <c r="F201" i="7"/>
  <c r="E199" i="4"/>
  <c r="E198" i="4"/>
  <c r="F200" i="7"/>
  <c r="F199" i="7"/>
  <c r="E197" i="4"/>
  <c r="E196" i="4"/>
  <c r="F198" i="7"/>
  <c r="E195" i="4"/>
  <c r="F197" i="7"/>
  <c r="F196" i="7"/>
  <c r="E194" i="4"/>
  <c r="F195" i="7"/>
  <c r="E193" i="4"/>
  <c r="E192" i="4"/>
  <c r="F194" i="7"/>
  <c r="F193" i="7"/>
  <c r="E191" i="4"/>
  <c r="E190" i="4"/>
  <c r="F192" i="7"/>
  <c r="F191" i="7"/>
  <c r="E189" i="4"/>
  <c r="F190" i="7"/>
  <c r="E188" i="4"/>
  <c r="E187" i="4"/>
  <c r="F189" i="7"/>
  <c r="E186" i="4"/>
  <c r="F188" i="7"/>
  <c r="E185" i="4"/>
  <c r="F187" i="7"/>
  <c r="E184" i="4"/>
  <c r="F186" i="7"/>
  <c r="F185" i="7"/>
  <c r="E183" i="4"/>
  <c r="E182" i="4"/>
  <c r="F184" i="7"/>
  <c r="F183" i="7"/>
  <c r="E181" i="4"/>
  <c r="F182" i="7"/>
  <c r="E180" i="4"/>
  <c r="F181" i="7"/>
  <c r="E179" i="4"/>
  <c r="F180" i="7"/>
  <c r="E178" i="4"/>
  <c r="F179" i="7"/>
  <c r="E177" i="4"/>
  <c r="F178" i="7"/>
  <c r="E176" i="4"/>
  <c r="F177" i="7"/>
  <c r="E175" i="4"/>
  <c r="E174" i="4"/>
  <c r="F176" i="7"/>
  <c r="E173" i="4"/>
  <c r="F175" i="7"/>
  <c r="F174" i="7"/>
  <c r="E172" i="4"/>
  <c r="E171" i="4"/>
  <c r="F173" i="7"/>
  <c r="F172" i="7"/>
  <c r="E170" i="4"/>
  <c r="F171" i="7"/>
  <c r="E169" i="4"/>
  <c r="E168" i="4"/>
  <c r="F170" i="7"/>
  <c r="E167" i="4"/>
  <c r="F169" i="7"/>
  <c r="E166" i="4"/>
  <c r="F168" i="7"/>
  <c r="E165" i="4"/>
  <c r="F167" i="7"/>
  <c r="E164" i="4"/>
  <c r="F166" i="7"/>
  <c r="F165" i="7"/>
  <c r="E163" i="4"/>
  <c r="F164" i="7"/>
  <c r="E162" i="4"/>
  <c r="F163" i="7"/>
  <c r="E161" i="4"/>
  <c r="E160" i="4"/>
  <c r="F162" i="7"/>
  <c r="F161" i="7"/>
  <c r="E159" i="4"/>
  <c r="F160" i="7"/>
  <c r="E158" i="4"/>
  <c r="F159" i="7"/>
  <c r="E157" i="4"/>
  <c r="E156" i="4"/>
  <c r="F158" i="7"/>
  <c r="F157" i="7"/>
  <c r="E155" i="4"/>
  <c r="F156" i="7"/>
  <c r="E154" i="4"/>
  <c r="E153" i="4"/>
  <c r="F155" i="7"/>
  <c r="E152" i="4"/>
  <c r="F154" i="7"/>
  <c r="E151" i="4"/>
  <c r="F153" i="7"/>
  <c r="E150" i="4"/>
  <c r="F152" i="7"/>
  <c r="E149" i="4"/>
  <c r="F151" i="7"/>
  <c r="E148" i="4"/>
  <c r="F150" i="7"/>
  <c r="E147" i="4"/>
  <c r="F149" i="7"/>
  <c r="E146" i="4"/>
  <c r="F148" i="7"/>
  <c r="E145" i="4"/>
  <c r="F147" i="7"/>
  <c r="E144" i="4"/>
  <c r="F146" i="7"/>
  <c r="F145" i="7"/>
  <c r="E143" i="4"/>
  <c r="F144" i="7"/>
  <c r="E142" i="4"/>
  <c r="E141" i="4"/>
  <c r="F143" i="7"/>
  <c r="E140" i="4"/>
  <c r="F142" i="7"/>
  <c r="F141" i="7"/>
  <c r="E139" i="4"/>
  <c r="F140" i="7"/>
  <c r="E138" i="4"/>
  <c r="F139" i="7"/>
  <c r="E137" i="4"/>
  <c r="F138" i="7"/>
  <c r="E136" i="4"/>
  <c r="E135" i="4"/>
  <c r="F137" i="7"/>
  <c r="F136" i="7"/>
  <c r="E134" i="4"/>
  <c r="F135" i="7"/>
  <c r="E133" i="4"/>
  <c r="E132" i="4"/>
  <c r="F134" i="7"/>
  <c r="E131" i="4"/>
  <c r="F133" i="7"/>
  <c r="E130" i="4"/>
  <c r="F132" i="7"/>
  <c r="F131" i="7"/>
  <c r="E129" i="4"/>
  <c r="F130" i="7"/>
  <c r="E128" i="4"/>
  <c r="F129" i="7"/>
  <c r="E127" i="4"/>
  <c r="E126" i="4"/>
  <c r="F128" i="7"/>
  <c r="F127" i="7"/>
  <c r="E125" i="4"/>
  <c r="F126" i="7"/>
  <c r="E124" i="4"/>
  <c r="F125" i="7"/>
  <c r="E123" i="4"/>
  <c r="E122" i="4"/>
  <c r="F124" i="7"/>
  <c r="E121" i="4"/>
  <c r="F123" i="7"/>
  <c r="E120" i="4"/>
  <c r="F122" i="7"/>
  <c r="E119" i="4"/>
  <c r="F121" i="7"/>
  <c r="E118" i="4"/>
  <c r="F120" i="7"/>
  <c r="E117" i="4"/>
  <c r="F119" i="7"/>
  <c r="E116" i="4"/>
  <c r="F118" i="7"/>
  <c r="E115" i="4"/>
  <c r="F117" i="7"/>
  <c r="F116" i="7"/>
  <c r="E114" i="4"/>
  <c r="E113" i="4"/>
  <c r="F115" i="7"/>
  <c r="E112" i="4"/>
  <c r="F114" i="7"/>
  <c r="E111" i="4"/>
  <c r="F113" i="7"/>
  <c r="E110" i="4"/>
  <c r="F112" i="7"/>
  <c r="F111" i="7"/>
  <c r="E109" i="4"/>
  <c r="E108" i="4"/>
  <c r="F110" i="7"/>
  <c r="F109" i="7"/>
  <c r="E107" i="4"/>
  <c r="E106" i="4"/>
  <c r="F108" i="7"/>
  <c r="E105" i="4"/>
  <c r="F107" i="7"/>
  <c r="F106" i="7"/>
  <c r="E104" i="4"/>
  <c r="E103" i="4"/>
  <c r="F105" i="7"/>
  <c r="F104" i="7"/>
  <c r="E102" i="4"/>
  <c r="F103" i="7"/>
  <c r="E101" i="4"/>
  <c r="F102" i="7"/>
  <c r="E100" i="4"/>
  <c r="E99" i="4"/>
  <c r="F101" i="7"/>
  <c r="E98" i="4"/>
  <c r="F100" i="7"/>
  <c r="E97" i="4"/>
  <c r="F99" i="7"/>
  <c r="E96" i="4"/>
  <c r="F98" i="7"/>
  <c r="E95" i="4"/>
  <c r="F97" i="7"/>
  <c r="E94" i="4"/>
  <c r="F96" i="7"/>
  <c r="E93" i="4"/>
  <c r="F95" i="7"/>
  <c r="F94" i="7"/>
  <c r="E92" i="4"/>
  <c r="E91" i="4"/>
  <c r="F93" i="7"/>
  <c r="F92" i="7"/>
  <c r="E90" i="4"/>
  <c r="F91" i="7"/>
  <c r="E89" i="4"/>
  <c r="F90" i="7"/>
  <c r="E88" i="4"/>
  <c r="F89" i="7"/>
  <c r="E87" i="4"/>
  <c r="E86" i="4"/>
  <c r="F88" i="7"/>
  <c r="E85" i="4"/>
  <c r="F87" i="7"/>
  <c r="F86" i="7"/>
  <c r="E84" i="4"/>
  <c r="E83" i="4"/>
  <c r="F85" i="7"/>
  <c r="F84" i="7"/>
  <c r="E82" i="4"/>
  <c r="E81" i="4"/>
  <c r="F83" i="7"/>
  <c r="F82" i="7"/>
  <c r="E80" i="4"/>
  <c r="E79" i="4"/>
  <c r="F81" i="7"/>
  <c r="F80" i="7"/>
  <c r="E78" i="4"/>
  <c r="F79" i="7"/>
  <c r="E77" i="4"/>
  <c r="F78" i="7"/>
  <c r="E76" i="4"/>
  <c r="E75" i="4"/>
  <c r="F77" i="7"/>
  <c r="F76" i="7"/>
  <c r="E74" i="4"/>
  <c r="F75" i="7"/>
  <c r="E73" i="4"/>
  <c r="E72" i="4"/>
  <c r="F74" i="7"/>
  <c r="F73" i="7"/>
  <c r="E71" i="4"/>
  <c r="F72" i="7"/>
  <c r="E70" i="4"/>
  <c r="F71" i="7"/>
  <c r="E69" i="4"/>
  <c r="E68" i="4"/>
  <c r="F70" i="7"/>
  <c r="E67" i="4"/>
  <c r="F69" i="7"/>
  <c r="E66" i="4"/>
  <c r="F68" i="7"/>
  <c r="E65" i="4"/>
  <c r="F67" i="7"/>
  <c r="E64" i="4"/>
  <c r="F66" i="7"/>
  <c r="E63" i="4"/>
  <c r="F65" i="7"/>
  <c r="E62" i="4"/>
  <c r="F64" i="7"/>
  <c r="F63" i="7"/>
  <c r="E61" i="4"/>
  <c r="F62" i="7"/>
  <c r="E60" i="4"/>
  <c r="F61" i="7"/>
  <c r="E59" i="4"/>
  <c r="F60" i="7"/>
  <c r="E58" i="4"/>
  <c r="F59" i="7"/>
  <c r="E57" i="4"/>
  <c r="F58" i="7"/>
  <c r="E56" i="4"/>
  <c r="E55" i="4"/>
  <c r="F57" i="7"/>
  <c r="E54" i="4"/>
  <c r="F56" i="7"/>
  <c r="E53" i="4"/>
  <c r="F55" i="7"/>
  <c r="E52" i="4"/>
  <c r="F54" i="7"/>
  <c r="F53" i="7"/>
  <c r="E51" i="4"/>
  <c r="F52" i="7"/>
  <c r="E50" i="4"/>
  <c r="F51" i="7"/>
  <c r="E49" i="4"/>
  <c r="E48" i="4"/>
  <c r="F50" i="7"/>
  <c r="E47" i="4"/>
  <c r="F49" i="7"/>
  <c r="F48" i="7"/>
  <c r="E46" i="4"/>
  <c r="F47" i="7"/>
  <c r="E45" i="4"/>
  <c r="E44" i="4"/>
  <c r="F46" i="7"/>
  <c r="F45" i="7"/>
  <c r="E43" i="4"/>
  <c r="F44" i="7"/>
  <c r="E42" i="4"/>
  <c r="E41" i="4"/>
  <c r="F43" i="7"/>
  <c r="F42" i="7"/>
  <c r="E40" i="4"/>
  <c r="E39" i="4"/>
  <c r="F41" i="7"/>
  <c r="E38" i="4"/>
  <c r="F40" i="7"/>
  <c r="F39" i="7"/>
  <c r="E37" i="4"/>
  <c r="E36" i="4"/>
  <c r="F38" i="7"/>
  <c r="F37" i="7"/>
  <c r="E35" i="4"/>
  <c r="E34" i="4"/>
  <c r="F36" i="7"/>
  <c r="F35" i="7"/>
  <c r="E33" i="4"/>
  <c r="F34" i="7"/>
  <c r="E32" i="4"/>
  <c r="E31" i="4"/>
  <c r="F33" i="7"/>
  <c r="F32" i="7"/>
  <c r="E30" i="4"/>
  <c r="F31" i="7"/>
  <c r="E29" i="4"/>
  <c r="F30" i="7"/>
  <c r="E28" i="4"/>
  <c r="F29" i="7"/>
  <c r="E27" i="4"/>
  <c r="E26" i="4"/>
  <c r="F28" i="7"/>
  <c r="E25" i="4"/>
  <c r="F27" i="7"/>
  <c r="F26" i="7"/>
  <c r="E24" i="4"/>
  <c r="F25" i="7"/>
  <c r="E23" i="4"/>
  <c r="F24" i="7"/>
  <c r="E22" i="4"/>
  <c r="E21" i="4"/>
  <c r="F23" i="7"/>
  <c r="E20" i="4"/>
  <c r="F22" i="7"/>
  <c r="F21" i="7"/>
  <c r="E19" i="4"/>
  <c r="F20" i="7"/>
  <c r="E18" i="4"/>
  <c r="E17" i="4"/>
  <c r="F19" i="7"/>
  <c r="F18" i="7"/>
  <c r="E16" i="4"/>
  <c r="E15" i="4"/>
  <c r="F17" i="7"/>
  <c r="E14" i="4"/>
  <c r="F16" i="7"/>
  <c r="E13" i="4"/>
  <c r="F15" i="7"/>
  <c r="E12" i="4"/>
  <c r="F14" i="7"/>
  <c r="F13" i="7"/>
  <c r="E11" i="4"/>
  <c r="E10" i="4"/>
  <c r="F12" i="7"/>
  <c r="F11" i="7"/>
  <c r="E9" i="4"/>
  <c r="E8" i="4"/>
  <c r="F10" i="7"/>
  <c r="E7" i="4"/>
  <c r="F9" i="7"/>
  <c r="E6" i="4"/>
  <c r="F8" i="7"/>
  <c r="F7" i="7"/>
  <c r="E5" i="4"/>
  <c r="E4" i="4"/>
  <c r="F6" i="7"/>
  <c r="E3" i="4"/>
  <c r="F5" i="7"/>
  <c r="E253" i="7"/>
  <c r="E251" i="3"/>
  <c r="E250" i="3"/>
  <c r="E252" i="7"/>
  <c r="E251" i="7"/>
  <c r="E249" i="3"/>
  <c r="E250" i="7"/>
  <c r="E248" i="3"/>
  <c r="E247" i="3"/>
  <c r="E249" i="7"/>
  <c r="E248" i="7"/>
  <c r="E246" i="3"/>
  <c r="E247" i="7"/>
  <c r="E245" i="3"/>
  <c r="E246" i="7"/>
  <c r="E244" i="3"/>
  <c r="E243" i="3"/>
  <c r="E245" i="7"/>
  <c r="E244" i="7"/>
  <c r="E242" i="3"/>
  <c r="E243" i="7"/>
  <c r="E241" i="3"/>
  <c r="E242" i="7"/>
  <c r="E240" i="3"/>
  <c r="E241" i="7"/>
  <c r="E239" i="3"/>
  <c r="E240" i="7"/>
  <c r="E238" i="3"/>
  <c r="E237" i="3"/>
  <c r="E239" i="7"/>
  <c r="E236" i="3"/>
  <c r="E238" i="7"/>
  <c r="E235" i="3"/>
  <c r="E237" i="7"/>
  <c r="E234" i="3"/>
  <c r="E236" i="7"/>
  <c r="E235" i="7"/>
  <c r="E233" i="3"/>
  <c r="E232" i="3"/>
  <c r="E234" i="7"/>
  <c r="E233" i="7"/>
  <c r="E231" i="3"/>
  <c r="E232" i="7"/>
  <c r="E230" i="3"/>
  <c r="E231" i="7"/>
  <c r="E229" i="3"/>
  <c r="E228" i="3"/>
  <c r="E230" i="7"/>
  <c r="E229" i="7"/>
  <c r="E227" i="3"/>
  <c r="E228" i="7"/>
  <c r="E226" i="3"/>
  <c r="E227" i="7"/>
  <c r="E225" i="3"/>
  <c r="E224" i="3"/>
  <c r="E226" i="7"/>
  <c r="E223" i="3"/>
  <c r="E225" i="7"/>
  <c r="E224" i="7"/>
  <c r="E222" i="3"/>
  <c r="E221" i="3"/>
  <c r="E223" i="7"/>
  <c r="E220" i="3"/>
  <c r="E222" i="7"/>
  <c r="E221" i="7"/>
  <c r="E219" i="3"/>
  <c r="E220" i="7"/>
  <c r="E218" i="3"/>
  <c r="E217" i="3"/>
  <c r="E219" i="7"/>
  <c r="E216" i="3"/>
  <c r="E218" i="7"/>
  <c r="E215" i="3"/>
  <c r="E217" i="7"/>
  <c r="E216" i="7"/>
  <c r="E214" i="3"/>
  <c r="E215" i="7"/>
  <c r="E213" i="3"/>
  <c r="E212" i="3"/>
  <c r="E214" i="7"/>
  <c r="E213" i="7"/>
  <c r="E211" i="3"/>
  <c r="E212" i="7"/>
  <c r="E210" i="3"/>
  <c r="E209" i="3"/>
  <c r="E211" i="7"/>
  <c r="E210" i="7"/>
  <c r="E208" i="3"/>
  <c r="E209" i="7"/>
  <c r="E207" i="3"/>
  <c r="E208" i="7"/>
  <c r="E206" i="3"/>
  <c r="E207" i="7"/>
  <c r="E205" i="3"/>
  <c r="E206" i="7"/>
  <c r="E204" i="3"/>
  <c r="E205" i="7"/>
  <c r="E203" i="3"/>
  <c r="E204" i="7"/>
  <c r="E202" i="3"/>
  <c r="E201" i="3"/>
  <c r="E203" i="7"/>
  <c r="E202" i="7"/>
  <c r="E200" i="3"/>
  <c r="E201" i="7"/>
  <c r="E199" i="3"/>
  <c r="E200" i="7"/>
  <c r="E198" i="3"/>
  <c r="E197" i="3"/>
  <c r="E199" i="7"/>
  <c r="E198" i="7"/>
  <c r="E196" i="3"/>
  <c r="E195" i="3"/>
  <c r="E197" i="7"/>
  <c r="E196" i="7"/>
  <c r="E194" i="3"/>
  <c r="E193" i="3"/>
  <c r="E195" i="7"/>
  <c r="E192" i="3"/>
  <c r="E194" i="7"/>
  <c r="E191" i="3"/>
  <c r="E193" i="7"/>
  <c r="E190" i="3"/>
  <c r="E192" i="7"/>
  <c r="E191" i="7"/>
  <c r="E189" i="3"/>
  <c r="E188" i="3"/>
  <c r="E190" i="7"/>
  <c r="E187" i="3"/>
  <c r="E189" i="7"/>
  <c r="E188" i="7"/>
  <c r="E186" i="3"/>
  <c r="E187" i="7"/>
  <c r="E185" i="3"/>
  <c r="E186" i="7"/>
  <c r="E184" i="3"/>
  <c r="E183" i="3"/>
  <c r="E185" i="7"/>
  <c r="E182" i="3"/>
  <c r="E184" i="7"/>
  <c r="E183" i="7"/>
  <c r="E181" i="3"/>
  <c r="E182" i="7"/>
  <c r="E180" i="3"/>
  <c r="E181" i="7"/>
  <c r="E179" i="3"/>
  <c r="E180" i="7"/>
  <c r="E178" i="3"/>
  <c r="E179" i="7"/>
  <c r="E177" i="3"/>
  <c r="E178" i="7"/>
  <c r="E176" i="3"/>
  <c r="E177" i="7"/>
  <c r="E175" i="3"/>
  <c r="E176" i="7"/>
  <c r="E174" i="3"/>
  <c r="E175" i="7"/>
  <c r="E173" i="3"/>
  <c r="E174" i="7"/>
  <c r="E172" i="3"/>
  <c r="E173" i="7"/>
  <c r="E171" i="3"/>
  <c r="E172" i="7"/>
  <c r="E170" i="3"/>
  <c r="E171" i="7"/>
  <c r="E169" i="3"/>
  <c r="E168" i="3"/>
  <c r="E170" i="7"/>
  <c r="E167" i="3"/>
  <c r="E169" i="7"/>
  <c r="E168" i="7"/>
  <c r="E166" i="3"/>
  <c r="E165" i="3"/>
  <c r="E167" i="7"/>
  <c r="E166" i="7"/>
  <c r="E164" i="3"/>
  <c r="E165" i="7"/>
  <c r="E163" i="3"/>
  <c r="E164" i="7"/>
  <c r="E162" i="3"/>
  <c r="E163" i="7"/>
  <c r="E161" i="3"/>
  <c r="E162" i="7"/>
  <c r="E160" i="3"/>
  <c r="E161" i="7"/>
  <c r="E159" i="3"/>
  <c r="E160" i="7"/>
  <c r="E158" i="3"/>
  <c r="E159" i="7"/>
  <c r="E157" i="3"/>
  <c r="E158" i="7"/>
  <c r="E156" i="3"/>
  <c r="E155" i="3"/>
  <c r="E157" i="7"/>
  <c r="E154" i="3"/>
  <c r="E156" i="7"/>
  <c r="E155" i="7"/>
  <c r="E153" i="3"/>
  <c r="E152" i="3"/>
  <c r="E154" i="7"/>
  <c r="E151" i="3"/>
  <c r="E153" i="7"/>
  <c r="E152" i="7"/>
  <c r="E150" i="3"/>
  <c r="E151" i="7"/>
  <c r="E149" i="3"/>
  <c r="E148" i="3"/>
  <c r="E150" i="7"/>
  <c r="E149" i="7"/>
  <c r="E147" i="3"/>
  <c r="E148" i="7"/>
  <c r="E146" i="3"/>
  <c r="E147" i="7"/>
  <c r="E145" i="3"/>
  <c r="E146" i="7"/>
  <c r="E144" i="3"/>
  <c r="E143" i="3"/>
  <c r="E145" i="7"/>
  <c r="E144" i="7"/>
  <c r="E142" i="3"/>
  <c r="E143" i="7"/>
  <c r="E141" i="3"/>
  <c r="E140" i="3"/>
  <c r="E142" i="7"/>
  <c r="E139" i="3"/>
  <c r="E141" i="7"/>
  <c r="E140" i="7"/>
  <c r="E138" i="3"/>
  <c r="E139" i="7"/>
  <c r="E137" i="3"/>
  <c r="E138" i="7"/>
  <c r="E136" i="3"/>
  <c r="E135" i="3"/>
  <c r="E137" i="7"/>
  <c r="E136" i="7"/>
  <c r="E134" i="3"/>
  <c r="E133" i="3"/>
  <c r="E135" i="7"/>
  <c r="E132" i="3"/>
  <c r="E134" i="7"/>
  <c r="E131" i="3"/>
  <c r="E133" i="7"/>
  <c r="E130" i="3"/>
  <c r="E132" i="7"/>
  <c r="E131" i="7"/>
  <c r="E129" i="3"/>
  <c r="E128" i="3"/>
  <c r="E130" i="7"/>
  <c r="E127" i="3"/>
  <c r="E129" i="7"/>
  <c r="E128" i="7"/>
  <c r="E126" i="3"/>
  <c r="E125" i="3"/>
  <c r="E127" i="7"/>
  <c r="E126" i="7"/>
  <c r="E124" i="3"/>
  <c r="E125" i="7"/>
  <c r="E123" i="3"/>
  <c r="E122" i="3"/>
  <c r="E124" i="7"/>
  <c r="E121" i="3"/>
  <c r="E123" i="7"/>
  <c r="E120" i="3"/>
  <c r="E122" i="7"/>
  <c r="E121" i="7"/>
  <c r="E119" i="3"/>
  <c r="E118" i="3"/>
  <c r="E120" i="7"/>
  <c r="E117" i="3"/>
  <c r="E119" i="7"/>
  <c r="E118" i="7"/>
  <c r="E116" i="3"/>
  <c r="E115" i="3"/>
  <c r="E117" i="7"/>
  <c r="E116" i="7"/>
  <c r="E114" i="3"/>
  <c r="E115" i="7"/>
  <c r="E113" i="3"/>
  <c r="E114" i="7"/>
  <c r="E112" i="3"/>
  <c r="E113" i="7"/>
  <c r="E111" i="3"/>
  <c r="E112" i="7"/>
  <c r="E110" i="3"/>
  <c r="E111" i="7"/>
  <c r="E109" i="3"/>
  <c r="E108" i="3"/>
  <c r="E110" i="7"/>
  <c r="E109" i="7"/>
  <c r="E107" i="3"/>
  <c r="E108" i="7"/>
  <c r="E106" i="3"/>
  <c r="E107" i="7"/>
  <c r="E105" i="3"/>
  <c r="E106" i="7"/>
  <c r="E104" i="3"/>
  <c r="E105" i="7"/>
  <c r="E103" i="3"/>
  <c r="E102" i="3"/>
  <c r="E104" i="7"/>
  <c r="E101" i="3"/>
  <c r="E103" i="7"/>
  <c r="E100" i="3"/>
  <c r="E102" i="7"/>
  <c r="E101" i="7"/>
  <c r="E99" i="3"/>
  <c r="E100" i="7"/>
  <c r="E98" i="3"/>
  <c r="E99" i="7"/>
  <c r="E97" i="3"/>
  <c r="E96" i="3"/>
  <c r="E98" i="7"/>
  <c r="E97" i="7"/>
  <c r="E95" i="3"/>
  <c r="E94" i="3"/>
  <c r="E96" i="7"/>
  <c r="E95" i="7"/>
  <c r="E93" i="3"/>
  <c r="E92" i="3"/>
  <c r="E94" i="7"/>
  <c r="E93" i="7"/>
  <c r="E91" i="3"/>
  <c r="E90" i="3"/>
  <c r="E92" i="7"/>
  <c r="E89" i="3"/>
  <c r="E91" i="7"/>
  <c r="E90" i="7"/>
  <c r="E88" i="3"/>
  <c r="E87" i="3"/>
  <c r="E89" i="7"/>
  <c r="E86" i="3"/>
  <c r="E88" i="7"/>
  <c r="E87" i="7"/>
  <c r="E85" i="3"/>
  <c r="E84" i="3"/>
  <c r="E86" i="7"/>
  <c r="E85" i="7"/>
  <c r="E83" i="3"/>
  <c r="E84" i="7"/>
  <c r="E82" i="3"/>
  <c r="E83" i="7"/>
  <c r="E81" i="3"/>
  <c r="E82" i="7"/>
  <c r="E80" i="3"/>
  <c r="E81" i="7"/>
  <c r="E79" i="3"/>
  <c r="E80" i="7"/>
  <c r="E78" i="3"/>
  <c r="E79" i="7"/>
  <c r="E77" i="3"/>
  <c r="E78" i="7"/>
  <c r="E76" i="3"/>
  <c r="E77" i="7"/>
  <c r="E75" i="3"/>
  <c r="E74" i="3"/>
  <c r="E76" i="7"/>
  <c r="E75" i="7"/>
  <c r="E73" i="3"/>
  <c r="E74" i="7"/>
  <c r="E72" i="3"/>
  <c r="E73" i="7"/>
  <c r="E71" i="3"/>
  <c r="E72" i="7"/>
  <c r="E70" i="3"/>
  <c r="E71" i="7"/>
  <c r="E69" i="3"/>
  <c r="E68" i="3"/>
  <c r="E70" i="7"/>
  <c r="E67" i="3"/>
  <c r="E69" i="7"/>
  <c r="E68" i="7"/>
  <c r="E66" i="3"/>
  <c r="E67" i="7"/>
  <c r="E65" i="3"/>
  <c r="E66" i="7"/>
  <c r="E64" i="3"/>
  <c r="E65" i="7"/>
  <c r="E63" i="3"/>
  <c r="E64" i="7"/>
  <c r="E62" i="3"/>
  <c r="E63" i="7"/>
  <c r="E61" i="3"/>
  <c r="E62" i="7"/>
  <c r="E60" i="3"/>
  <c r="E61" i="7"/>
  <c r="E59" i="3"/>
  <c r="E60" i="7"/>
  <c r="E58" i="3"/>
  <c r="E57" i="3"/>
  <c r="E59" i="7"/>
  <c r="E58" i="7"/>
  <c r="E56" i="3"/>
  <c r="E55" i="3"/>
  <c r="E57" i="7"/>
  <c r="E56" i="7"/>
  <c r="E54" i="3"/>
  <c r="E55" i="7"/>
  <c r="E53" i="3"/>
  <c r="E52" i="3"/>
  <c r="E54" i="7"/>
  <c r="E53" i="7"/>
  <c r="E51" i="3"/>
  <c r="E52" i="7"/>
  <c r="E50" i="3"/>
  <c r="E49" i="3"/>
  <c r="E51" i="7"/>
  <c r="E48" i="3"/>
  <c r="E50" i="7"/>
  <c r="E49" i="7"/>
  <c r="E47" i="3"/>
  <c r="E46" i="3"/>
  <c r="E48" i="7"/>
  <c r="E45" i="3"/>
  <c r="E47" i="7"/>
  <c r="E46" i="7"/>
  <c r="E44" i="3"/>
  <c r="E43" i="3"/>
  <c r="E45" i="7"/>
  <c r="E42" i="3"/>
  <c r="E44" i="7"/>
  <c r="E41" i="3"/>
  <c r="E43" i="7"/>
  <c r="E40" i="3"/>
  <c r="E42" i="7"/>
  <c r="E41" i="7"/>
  <c r="E39" i="3"/>
  <c r="E38" i="3"/>
  <c r="E40" i="7"/>
  <c r="E39" i="7"/>
  <c r="E37" i="3"/>
  <c r="E38" i="7"/>
  <c r="E36" i="3"/>
  <c r="E35" i="3"/>
  <c r="E37" i="7"/>
  <c r="E36" i="7"/>
  <c r="E34" i="3"/>
  <c r="E33" i="3"/>
  <c r="E35" i="7"/>
  <c r="E32" i="3"/>
  <c r="E34" i="7"/>
  <c r="E31" i="3"/>
  <c r="E33" i="7"/>
  <c r="E30" i="3"/>
  <c r="E32" i="7"/>
  <c r="E31" i="7"/>
  <c r="E29" i="3"/>
  <c r="E28" i="3"/>
  <c r="E30" i="7"/>
  <c r="E27" i="3"/>
  <c r="E29" i="7"/>
  <c r="E26" i="3"/>
  <c r="E28" i="7"/>
  <c r="E27" i="7"/>
  <c r="E25" i="3"/>
  <c r="E26" i="7"/>
  <c r="E24" i="3"/>
  <c r="E25" i="7"/>
  <c r="E23" i="3"/>
  <c r="E22" i="3"/>
  <c r="E24" i="7"/>
  <c r="E23" i="7"/>
  <c r="E21" i="3"/>
  <c r="E20" i="3"/>
  <c r="E22" i="7"/>
  <c r="E21" i="7"/>
  <c r="E19" i="3"/>
  <c r="E20" i="7"/>
  <c r="E18" i="3"/>
  <c r="E19" i="7"/>
  <c r="E17" i="3"/>
  <c r="E18" i="7"/>
  <c r="E16" i="3"/>
  <c r="E17" i="7"/>
  <c r="E15" i="3"/>
  <c r="E16" i="7"/>
  <c r="E14" i="3"/>
  <c r="E15" i="7"/>
  <c r="E13" i="3"/>
  <c r="E14" i="7"/>
  <c r="E12" i="3"/>
  <c r="E13" i="7"/>
  <c r="E11" i="3"/>
  <c r="E10" i="3"/>
  <c r="E12" i="7"/>
  <c r="E9" i="3"/>
  <c r="E11" i="7"/>
  <c r="E10" i="7"/>
  <c r="E8" i="3"/>
  <c r="E7" i="3"/>
  <c r="E9" i="7"/>
  <c r="E8" i="7"/>
  <c r="E6" i="3"/>
  <c r="E5" i="3"/>
  <c r="E7" i="7"/>
  <c r="E4" i="3"/>
  <c r="E6" i="7"/>
  <c r="E3" i="3"/>
  <c r="E5" i="7"/>
  <c r="E3" i="2"/>
  <c r="D5" i="7"/>
  <c r="E251" i="2"/>
  <c r="D253" i="7"/>
  <c r="E250" i="2"/>
  <c r="D252" i="7"/>
  <c r="D251" i="7"/>
  <c r="E249" i="2"/>
  <c r="D250" i="7"/>
  <c r="E248" i="2"/>
  <c r="D249" i="7"/>
  <c r="E247" i="2"/>
  <c r="D248" i="7"/>
  <c r="E246" i="2"/>
  <c r="D247" i="7"/>
  <c r="E245" i="2"/>
  <c r="E244" i="2"/>
  <c r="D246" i="7"/>
  <c r="E243" i="2"/>
  <c r="D245" i="7"/>
  <c r="E242" i="2"/>
  <c r="D244" i="7"/>
  <c r="E241" i="2"/>
  <c r="D243" i="7"/>
  <c r="D242" i="7"/>
  <c r="E240" i="2"/>
  <c r="E239" i="2"/>
  <c r="D241" i="7"/>
  <c r="E238" i="2"/>
  <c r="D240" i="7"/>
  <c r="D239" i="7"/>
  <c r="E237" i="2"/>
  <c r="E236" i="2"/>
  <c r="D238" i="7"/>
  <c r="E235" i="2"/>
  <c r="D237" i="7"/>
  <c r="E234" i="2"/>
  <c r="D236" i="7"/>
  <c r="E233" i="2"/>
  <c r="D235" i="7"/>
  <c r="E232" i="2"/>
  <c r="D234" i="7"/>
  <c r="D233" i="7"/>
  <c r="E231" i="2"/>
  <c r="D232" i="7"/>
  <c r="E230" i="2"/>
  <c r="D231" i="7"/>
  <c r="E229" i="2"/>
  <c r="E228" i="2"/>
  <c r="D230" i="7"/>
  <c r="E227" i="2"/>
  <c r="D229" i="7"/>
  <c r="E226" i="2"/>
  <c r="D228" i="7"/>
  <c r="E225" i="2"/>
  <c r="D227" i="7"/>
  <c r="D226" i="7"/>
  <c r="E224" i="2"/>
  <c r="E223" i="2"/>
  <c r="D225" i="7"/>
  <c r="E222" i="2"/>
  <c r="D224" i="7"/>
  <c r="E221" i="2"/>
  <c r="D223" i="7"/>
  <c r="E220" i="2"/>
  <c r="D222" i="7"/>
  <c r="E219" i="2"/>
  <c r="D221" i="7"/>
  <c r="D220" i="7"/>
  <c r="E218" i="2"/>
  <c r="D219" i="7"/>
  <c r="E217" i="2"/>
  <c r="D218" i="7"/>
  <c r="E216" i="2"/>
  <c r="D217" i="7"/>
  <c r="E215" i="2"/>
  <c r="D216" i="7"/>
  <c r="E214" i="2"/>
  <c r="D215" i="7"/>
  <c r="E213" i="2"/>
  <c r="E212" i="2"/>
  <c r="D214" i="7"/>
  <c r="E211" i="2"/>
  <c r="D213" i="7"/>
  <c r="E210" i="2"/>
  <c r="D212" i="7"/>
  <c r="E209" i="2"/>
  <c r="D211" i="7"/>
  <c r="E208" i="2"/>
  <c r="D210" i="7"/>
  <c r="D209" i="7"/>
  <c r="E207" i="2"/>
  <c r="E206" i="2"/>
  <c r="D208" i="7"/>
  <c r="E205" i="2"/>
  <c r="D207" i="7"/>
  <c r="E204" i="2"/>
  <c r="D206" i="7"/>
  <c r="D205" i="7"/>
  <c r="E203" i="2"/>
  <c r="D204" i="7"/>
  <c r="E202" i="2"/>
  <c r="D203" i="7"/>
  <c r="E201" i="2"/>
  <c r="D202" i="7"/>
  <c r="E200" i="2"/>
  <c r="D201" i="7"/>
  <c r="E199" i="2"/>
  <c r="D200" i="7"/>
  <c r="E198" i="2"/>
  <c r="D199" i="7"/>
  <c r="E197" i="2"/>
  <c r="D198" i="7"/>
  <c r="E196" i="2"/>
  <c r="E195" i="2"/>
  <c r="D197" i="7"/>
  <c r="D196" i="7"/>
  <c r="E194" i="2"/>
  <c r="E193" i="2"/>
  <c r="D195" i="7"/>
  <c r="E192" i="2"/>
  <c r="D194" i="7"/>
  <c r="D193" i="7"/>
  <c r="E191" i="2"/>
  <c r="E190" i="2"/>
  <c r="D192" i="7"/>
  <c r="D191" i="7"/>
  <c r="E189" i="2"/>
  <c r="D190" i="7"/>
  <c r="E188" i="2"/>
  <c r="D189" i="7"/>
  <c r="E187" i="2"/>
  <c r="D188" i="7"/>
  <c r="E186" i="2"/>
  <c r="D187" i="7"/>
  <c r="E185" i="2"/>
  <c r="D186" i="7"/>
  <c r="E184" i="2"/>
  <c r="D185" i="7"/>
  <c r="E183" i="2"/>
  <c r="D184" i="7"/>
  <c r="E182" i="2"/>
  <c r="D183" i="7"/>
  <c r="E181" i="2"/>
  <c r="D182" i="7"/>
  <c r="E180" i="2"/>
  <c r="D181" i="7"/>
  <c r="E179" i="2"/>
  <c r="D180" i="7"/>
  <c r="E178" i="2"/>
  <c r="D179" i="7"/>
  <c r="E177" i="2"/>
  <c r="E176" i="2"/>
  <c r="D178" i="7"/>
  <c r="E175" i="2"/>
  <c r="D177" i="7"/>
  <c r="E174" i="2"/>
  <c r="D176" i="7"/>
  <c r="E173" i="2"/>
  <c r="D175" i="7"/>
  <c r="E172" i="2"/>
  <c r="D174" i="7"/>
  <c r="E171" i="2"/>
  <c r="D173" i="7"/>
  <c r="E170" i="2"/>
  <c r="D172" i="7"/>
  <c r="E169" i="2"/>
  <c r="D171" i="7"/>
  <c r="D170" i="7"/>
  <c r="E168" i="2"/>
  <c r="D169" i="7"/>
  <c r="E167" i="2"/>
  <c r="D168" i="7"/>
  <c r="E166" i="2"/>
  <c r="D167" i="7"/>
  <c r="E165" i="2"/>
  <c r="D166" i="7"/>
  <c r="E164" i="2"/>
  <c r="D165" i="7"/>
  <c r="E163" i="2"/>
  <c r="D164" i="7"/>
  <c r="E162" i="2"/>
  <c r="D163" i="7"/>
  <c r="E161" i="2"/>
  <c r="E160" i="2"/>
  <c r="D162" i="7"/>
  <c r="D161" i="7"/>
  <c r="E159" i="2"/>
  <c r="D160" i="7"/>
  <c r="E158" i="2"/>
  <c r="D159" i="7"/>
  <c r="E157" i="2"/>
  <c r="D158" i="7"/>
  <c r="E156" i="2"/>
  <c r="E155" i="2"/>
  <c r="D157" i="7"/>
  <c r="D156" i="7"/>
  <c r="E154" i="2"/>
  <c r="D155" i="7"/>
  <c r="E153" i="2"/>
  <c r="D154" i="7"/>
  <c r="E152" i="2"/>
  <c r="E151" i="2"/>
  <c r="D153" i="7"/>
  <c r="E150" i="2"/>
  <c r="D152" i="7"/>
  <c r="E149" i="2"/>
  <c r="D151" i="7"/>
  <c r="E148" i="2"/>
  <c r="D150" i="7"/>
  <c r="E147" i="2"/>
  <c r="D149" i="7"/>
  <c r="E146" i="2"/>
  <c r="D148" i="7"/>
  <c r="E145" i="2"/>
  <c r="D147" i="7"/>
  <c r="E144" i="2"/>
  <c r="D146" i="7"/>
  <c r="E143" i="2"/>
  <c r="D145" i="7"/>
  <c r="E142" i="2"/>
  <c r="D144" i="7"/>
  <c r="E141" i="2"/>
  <c r="D143" i="7"/>
  <c r="E140" i="2"/>
  <c r="D142" i="7"/>
  <c r="E139" i="2"/>
  <c r="D141" i="7"/>
  <c r="E138" i="2"/>
  <c r="D140" i="7"/>
  <c r="D139" i="7"/>
  <c r="E137" i="2"/>
  <c r="D138" i="7"/>
  <c r="E136" i="2"/>
  <c r="D137" i="7"/>
  <c r="E135" i="2"/>
  <c r="D136" i="7"/>
  <c r="E134" i="2"/>
  <c r="D135" i="7"/>
  <c r="E133" i="2"/>
  <c r="E132" i="2"/>
  <c r="D134" i="7"/>
  <c r="D133" i="7"/>
  <c r="E131" i="2"/>
  <c r="E130" i="2"/>
  <c r="D132" i="7"/>
  <c r="D131" i="7"/>
  <c r="E129" i="2"/>
  <c r="E128" i="2"/>
  <c r="D130" i="7"/>
  <c r="D129" i="7"/>
  <c r="E127" i="2"/>
  <c r="E126" i="2"/>
  <c r="D128" i="7"/>
  <c r="E125" i="2"/>
  <c r="D127" i="7"/>
  <c r="E124" i="2"/>
  <c r="D126" i="7"/>
  <c r="E123" i="2"/>
  <c r="D125" i="7"/>
  <c r="E122" i="2"/>
  <c r="D124" i="7"/>
  <c r="E121" i="2"/>
  <c r="D123" i="7"/>
  <c r="E120" i="2"/>
  <c r="D122" i="7"/>
  <c r="E119" i="2"/>
  <c r="D121" i="7"/>
  <c r="E118" i="2"/>
  <c r="D120" i="7"/>
  <c r="E117" i="2"/>
  <c r="D119" i="7"/>
  <c r="D118" i="7"/>
  <c r="E116" i="2"/>
  <c r="E115" i="2"/>
  <c r="D117" i="7"/>
  <c r="D116" i="7"/>
  <c r="E114" i="2"/>
  <c r="D115" i="7"/>
  <c r="E113" i="2"/>
  <c r="D114" i="7"/>
  <c r="E112" i="2"/>
  <c r="D113" i="7"/>
  <c r="E111" i="2"/>
  <c r="D112" i="7"/>
  <c r="E110" i="2"/>
  <c r="E109" i="2"/>
  <c r="D111" i="7"/>
  <c r="E108" i="2"/>
  <c r="D110" i="7"/>
  <c r="E107" i="2"/>
  <c r="D109" i="7"/>
  <c r="E106" i="2"/>
  <c r="D108" i="7"/>
  <c r="D107" i="7"/>
  <c r="E105" i="2"/>
  <c r="D106" i="7"/>
  <c r="E104" i="2"/>
  <c r="E103" i="2"/>
  <c r="D105" i="7"/>
  <c r="D104" i="7"/>
  <c r="E102" i="2"/>
  <c r="D103" i="7"/>
  <c r="E101" i="2"/>
  <c r="D102" i="7"/>
  <c r="E100" i="2"/>
  <c r="D101" i="7"/>
  <c r="E99" i="2"/>
  <c r="D100" i="7"/>
  <c r="E98" i="2"/>
  <c r="D99" i="7"/>
  <c r="E97" i="2"/>
  <c r="E96" i="2"/>
  <c r="D98" i="7"/>
  <c r="D97" i="7"/>
  <c r="E95" i="2"/>
  <c r="D96" i="7"/>
  <c r="E94" i="2"/>
  <c r="D95" i="7"/>
  <c r="E93" i="2"/>
  <c r="D94" i="7"/>
  <c r="E92" i="2"/>
  <c r="D93" i="7"/>
  <c r="E91" i="2"/>
  <c r="E90" i="2"/>
  <c r="D92" i="7"/>
  <c r="E89" i="2"/>
  <c r="D91" i="7"/>
  <c r="E88" i="2"/>
  <c r="D90" i="7"/>
  <c r="D89" i="7"/>
  <c r="E87" i="2"/>
  <c r="D88" i="7"/>
  <c r="E86" i="2"/>
  <c r="D87" i="7"/>
  <c r="E85" i="2"/>
  <c r="D86" i="7"/>
  <c r="E84" i="2"/>
  <c r="D85" i="7"/>
  <c r="E83" i="2"/>
  <c r="E82" i="2"/>
  <c r="D84" i="7"/>
  <c r="E81" i="2"/>
  <c r="D83" i="7"/>
  <c r="E80" i="2"/>
  <c r="D82" i="7"/>
  <c r="D81" i="7"/>
  <c r="E79" i="2"/>
  <c r="D80" i="7"/>
  <c r="E78" i="2"/>
  <c r="E77" i="2"/>
  <c r="D79" i="7"/>
  <c r="E76" i="2"/>
  <c r="D78" i="7"/>
  <c r="E75" i="2"/>
  <c r="D77" i="7"/>
  <c r="E74" i="2"/>
  <c r="D76" i="7"/>
  <c r="E73" i="2"/>
  <c r="D75" i="7"/>
  <c r="D74" i="7"/>
  <c r="E72" i="2"/>
  <c r="E71" i="2"/>
  <c r="D73" i="7"/>
  <c r="E70" i="2"/>
  <c r="D72" i="7"/>
  <c r="E69" i="2"/>
  <c r="D71" i="7"/>
  <c r="E68" i="2"/>
  <c r="D70" i="7"/>
  <c r="E67" i="2"/>
  <c r="D69" i="7"/>
  <c r="D68" i="7"/>
  <c r="E66" i="2"/>
  <c r="D67" i="7"/>
  <c r="E65" i="2"/>
  <c r="E64" i="2"/>
  <c r="D66" i="7"/>
  <c r="D65" i="7"/>
  <c r="E63" i="2"/>
  <c r="E62" i="2"/>
  <c r="D64" i="7"/>
  <c r="E61" i="2"/>
  <c r="D63" i="7"/>
  <c r="E60" i="2"/>
  <c r="D62" i="7"/>
  <c r="E59" i="2"/>
  <c r="D61" i="7"/>
  <c r="D60" i="7"/>
  <c r="E58" i="2"/>
  <c r="E57" i="2"/>
  <c r="D59" i="7"/>
  <c r="D58" i="7"/>
  <c r="E56" i="2"/>
  <c r="E55" i="2"/>
  <c r="D57" i="7"/>
  <c r="D56" i="7"/>
  <c r="E54" i="2"/>
  <c r="D55" i="7"/>
  <c r="E53" i="2"/>
  <c r="D54" i="7"/>
  <c r="E52" i="2"/>
  <c r="D53" i="7"/>
  <c r="E51" i="2"/>
  <c r="D52" i="7"/>
  <c r="E50" i="2"/>
  <c r="D51" i="7"/>
  <c r="E49" i="2"/>
  <c r="D50" i="7"/>
  <c r="E48" i="2"/>
  <c r="E47" i="2"/>
  <c r="D49" i="7"/>
  <c r="E46" i="2"/>
  <c r="D48" i="7"/>
  <c r="E45" i="2"/>
  <c r="D47" i="7"/>
  <c r="E44" i="2"/>
  <c r="D46" i="7"/>
  <c r="D45" i="7"/>
  <c r="E43" i="2"/>
  <c r="E42" i="2"/>
  <c r="D44" i="7"/>
  <c r="E41" i="2"/>
  <c r="D43" i="7"/>
  <c r="E40" i="2"/>
  <c r="D42" i="7"/>
  <c r="E39" i="2"/>
  <c r="D41" i="7"/>
  <c r="E38" i="2"/>
  <c r="D40" i="7"/>
  <c r="D39" i="7"/>
  <c r="E37" i="2"/>
  <c r="E36" i="2"/>
  <c r="D38" i="7"/>
  <c r="D37" i="7"/>
  <c r="E35" i="2"/>
  <c r="D36" i="7"/>
  <c r="E34" i="2"/>
  <c r="D35" i="7"/>
  <c r="E33" i="2"/>
  <c r="D34" i="7"/>
  <c r="E32" i="2"/>
  <c r="D33" i="7"/>
  <c r="E31" i="2"/>
  <c r="D32" i="7"/>
  <c r="E30" i="2"/>
  <c r="E29" i="2"/>
  <c r="D31" i="7"/>
  <c r="D30" i="7"/>
  <c r="E28" i="2"/>
  <c r="E27" i="2"/>
  <c r="D29" i="7"/>
  <c r="E26" i="2"/>
  <c r="D28" i="7"/>
  <c r="D27" i="7"/>
  <c r="E25" i="2"/>
  <c r="E24" i="2"/>
  <c r="D26" i="7"/>
  <c r="E23" i="2"/>
  <c r="D25" i="7"/>
  <c r="E22" i="2"/>
  <c r="D24" i="7"/>
  <c r="D23" i="7"/>
  <c r="E21" i="2"/>
  <c r="E20" i="2"/>
  <c r="D22" i="7"/>
  <c r="E19" i="2"/>
  <c r="D21" i="7"/>
  <c r="D20" i="7"/>
  <c r="E18" i="2"/>
  <c r="E17" i="2"/>
  <c r="D19" i="7"/>
  <c r="E16" i="2"/>
  <c r="D18" i="7"/>
  <c r="E15" i="2"/>
  <c r="D17" i="7"/>
  <c r="E14" i="2"/>
  <c r="D16" i="7"/>
  <c r="E13" i="2"/>
  <c r="D15" i="7"/>
  <c r="D14" i="7"/>
  <c r="E12" i="2"/>
  <c r="E11" i="2"/>
  <c r="D13" i="7"/>
  <c r="E10" i="2"/>
  <c r="D12" i="7"/>
  <c r="E9" i="2"/>
  <c r="D11" i="7"/>
  <c r="E8" i="2"/>
  <c r="D10" i="7"/>
  <c r="E7" i="2"/>
  <c r="D9" i="7"/>
  <c r="E6" i="2"/>
  <c r="D8" i="7"/>
  <c r="D7" i="7"/>
  <c r="E5" i="2"/>
  <c r="D6" i="7"/>
  <c r="E4" i="2"/>
  <c r="E5" i="1"/>
  <c r="C7" i="7"/>
  <c r="E6" i="1"/>
  <c r="C8" i="7"/>
  <c r="E7" i="1"/>
  <c r="C9" i="7"/>
  <c r="E8" i="1"/>
  <c r="C10" i="7"/>
  <c r="E9" i="1"/>
  <c r="C11" i="7"/>
  <c r="E10" i="1"/>
  <c r="C12" i="7"/>
  <c r="E11" i="1"/>
  <c r="C13" i="7"/>
  <c r="E12" i="1"/>
  <c r="C14" i="7"/>
  <c r="E13" i="1"/>
  <c r="C15" i="7"/>
  <c r="E14" i="1"/>
  <c r="C16" i="7"/>
  <c r="E15" i="1"/>
  <c r="C17" i="7"/>
  <c r="E16" i="1"/>
  <c r="C18" i="7"/>
  <c r="E17" i="1"/>
  <c r="C19" i="7"/>
  <c r="E18" i="1"/>
  <c r="C20" i="7"/>
  <c r="E19" i="1"/>
  <c r="C21" i="7"/>
  <c r="E20" i="1"/>
  <c r="C22" i="7"/>
  <c r="E21" i="1"/>
  <c r="C23" i="7"/>
  <c r="E22" i="1"/>
  <c r="C24" i="7"/>
  <c r="E23" i="1"/>
  <c r="C25" i="7"/>
  <c r="E24" i="1"/>
  <c r="C26" i="7"/>
  <c r="E25" i="1"/>
  <c r="C27" i="7"/>
  <c r="E26" i="1"/>
  <c r="C28" i="7"/>
  <c r="E27" i="1"/>
  <c r="C29" i="7"/>
  <c r="E28" i="1"/>
  <c r="C30" i="7"/>
  <c r="E29" i="1"/>
  <c r="C31" i="7"/>
  <c r="E30" i="1"/>
  <c r="C32" i="7"/>
  <c r="E31" i="1"/>
  <c r="C33" i="7"/>
  <c r="E32" i="1"/>
  <c r="C34" i="7"/>
  <c r="E33" i="1"/>
  <c r="C35" i="7"/>
  <c r="E34" i="1"/>
  <c r="C36" i="7"/>
  <c r="E35" i="1"/>
  <c r="C37" i="7"/>
  <c r="E36" i="1"/>
  <c r="C38" i="7"/>
  <c r="E37" i="1"/>
  <c r="C39" i="7"/>
  <c r="E38" i="1"/>
  <c r="C40" i="7"/>
  <c r="E39" i="1"/>
  <c r="C41" i="7"/>
  <c r="E40" i="1"/>
  <c r="C42" i="7"/>
  <c r="E41" i="1"/>
  <c r="C43" i="7"/>
  <c r="E42" i="1"/>
  <c r="C44" i="7"/>
  <c r="E43" i="1"/>
  <c r="C45" i="7"/>
  <c r="E44" i="1"/>
  <c r="C46" i="7"/>
  <c r="E45" i="1"/>
  <c r="C47" i="7"/>
  <c r="E46" i="1"/>
  <c r="C48" i="7"/>
  <c r="E47" i="1"/>
  <c r="C49" i="7"/>
  <c r="E48" i="1"/>
  <c r="C50" i="7"/>
  <c r="E49" i="1"/>
  <c r="C51" i="7"/>
  <c r="E50" i="1"/>
  <c r="C52" i="7"/>
  <c r="E51" i="1"/>
  <c r="C53" i="7"/>
  <c r="E52" i="1"/>
  <c r="C54" i="7"/>
  <c r="E53" i="1"/>
  <c r="C55" i="7"/>
  <c r="E54" i="1"/>
  <c r="C56" i="7"/>
  <c r="E55" i="1"/>
  <c r="C57" i="7"/>
  <c r="E56" i="1"/>
  <c r="C58" i="7"/>
  <c r="E57" i="1"/>
  <c r="C59" i="7"/>
  <c r="E58" i="1"/>
  <c r="C60" i="7"/>
  <c r="E59" i="1"/>
  <c r="C61" i="7"/>
  <c r="E60" i="1"/>
  <c r="C62" i="7"/>
  <c r="E61" i="1"/>
  <c r="C63" i="7"/>
  <c r="E62" i="1"/>
  <c r="C64" i="7"/>
  <c r="E63" i="1"/>
  <c r="C65" i="7"/>
  <c r="E64" i="1"/>
  <c r="C66" i="7"/>
  <c r="E65" i="1"/>
  <c r="C67" i="7"/>
  <c r="E66" i="1"/>
  <c r="C68" i="7"/>
  <c r="E67" i="1"/>
  <c r="C69" i="7"/>
  <c r="E68" i="1"/>
  <c r="C70" i="7"/>
  <c r="E69" i="1"/>
  <c r="C71" i="7"/>
  <c r="E70" i="1"/>
  <c r="C72" i="7"/>
  <c r="E71" i="1"/>
  <c r="C73" i="7"/>
  <c r="E72" i="1"/>
  <c r="C74" i="7"/>
  <c r="E73" i="1"/>
  <c r="C75" i="7"/>
  <c r="E74" i="1"/>
  <c r="C76" i="7"/>
  <c r="E75" i="1"/>
  <c r="C77" i="7"/>
  <c r="E76" i="1"/>
  <c r="C78" i="7"/>
  <c r="E77" i="1"/>
  <c r="C79" i="7"/>
  <c r="E78" i="1"/>
  <c r="C80" i="7"/>
  <c r="E79" i="1"/>
  <c r="C81" i="7"/>
  <c r="E80" i="1"/>
  <c r="C82" i="7"/>
  <c r="E81" i="1"/>
  <c r="C83" i="7"/>
  <c r="E82" i="1"/>
  <c r="C84" i="7"/>
  <c r="E83" i="1"/>
  <c r="C85" i="7"/>
  <c r="E84" i="1"/>
  <c r="C86" i="7"/>
  <c r="E85" i="1"/>
  <c r="C87" i="7"/>
  <c r="E86" i="1"/>
  <c r="C88" i="7"/>
  <c r="E87" i="1"/>
  <c r="C89" i="7"/>
  <c r="E88" i="1"/>
  <c r="C90" i="7"/>
  <c r="E89" i="1"/>
  <c r="C91" i="7"/>
  <c r="E90" i="1"/>
  <c r="C92" i="7"/>
  <c r="E91" i="1"/>
  <c r="C93" i="7"/>
  <c r="E92" i="1"/>
  <c r="C94" i="7"/>
  <c r="E93" i="1"/>
  <c r="C95" i="7"/>
  <c r="E94" i="1"/>
  <c r="C96" i="7"/>
  <c r="E95" i="1"/>
  <c r="C97" i="7"/>
  <c r="E96" i="1"/>
  <c r="C98" i="7"/>
  <c r="E97" i="1"/>
  <c r="C99" i="7"/>
  <c r="E98" i="1"/>
  <c r="C100" i="7"/>
  <c r="E99" i="1"/>
  <c r="C101" i="7"/>
  <c r="E100" i="1"/>
  <c r="C102" i="7"/>
  <c r="E101" i="1"/>
  <c r="C103" i="7"/>
  <c r="E102" i="1"/>
  <c r="C104" i="7"/>
  <c r="E103" i="1"/>
  <c r="C105" i="7"/>
  <c r="E104" i="1"/>
  <c r="C106" i="7"/>
  <c r="E105" i="1"/>
  <c r="C107" i="7"/>
  <c r="E106" i="1"/>
  <c r="C108" i="7"/>
  <c r="E107" i="1"/>
  <c r="C109" i="7"/>
  <c r="E108" i="1"/>
  <c r="C110" i="7"/>
  <c r="E109" i="1"/>
  <c r="C111" i="7"/>
  <c r="E110" i="1"/>
  <c r="C112" i="7"/>
  <c r="E111" i="1"/>
  <c r="C113" i="7"/>
  <c r="E112" i="1"/>
  <c r="C114" i="7"/>
  <c r="E113" i="1"/>
  <c r="C115" i="7"/>
  <c r="E114" i="1"/>
  <c r="C116" i="7"/>
  <c r="E115" i="1"/>
  <c r="C117" i="7"/>
  <c r="E116" i="1"/>
  <c r="C118" i="7"/>
  <c r="E117" i="1"/>
  <c r="C119" i="7"/>
  <c r="E118" i="1"/>
  <c r="C120" i="7"/>
  <c r="E119" i="1"/>
  <c r="C121" i="7"/>
  <c r="E120" i="1"/>
  <c r="C122" i="7"/>
  <c r="E121" i="1"/>
  <c r="C123" i="7"/>
  <c r="E122" i="1"/>
  <c r="C124" i="7"/>
  <c r="E123" i="1"/>
  <c r="C125" i="7"/>
  <c r="E124" i="1"/>
  <c r="C126" i="7"/>
  <c r="E125" i="1"/>
  <c r="C127" i="7"/>
  <c r="E126" i="1"/>
  <c r="C128" i="7"/>
  <c r="E127" i="1"/>
  <c r="C129" i="7"/>
  <c r="E128" i="1"/>
  <c r="C130" i="7"/>
  <c r="E129" i="1"/>
  <c r="C131" i="7"/>
  <c r="E130" i="1"/>
  <c r="C132" i="7"/>
  <c r="E131" i="1"/>
  <c r="C133" i="7"/>
  <c r="E132" i="1"/>
  <c r="C134" i="7"/>
  <c r="E133" i="1"/>
  <c r="C135" i="7"/>
  <c r="E134" i="1"/>
  <c r="C136" i="7"/>
  <c r="E135" i="1"/>
  <c r="C137" i="7"/>
  <c r="E136" i="1"/>
  <c r="C138" i="7"/>
  <c r="E137" i="1"/>
  <c r="C139" i="7"/>
  <c r="E138" i="1"/>
  <c r="C140" i="7"/>
  <c r="E139" i="1"/>
  <c r="C141" i="7"/>
  <c r="E140" i="1"/>
  <c r="C142" i="7"/>
  <c r="E141" i="1"/>
  <c r="C143" i="7"/>
  <c r="E142" i="1"/>
  <c r="C144" i="7"/>
  <c r="E143" i="1"/>
  <c r="C145" i="7"/>
  <c r="E144" i="1"/>
  <c r="C146" i="7"/>
  <c r="E145" i="1"/>
  <c r="C147" i="7"/>
  <c r="E146" i="1"/>
  <c r="C148" i="7"/>
  <c r="E147" i="1"/>
  <c r="C149" i="7"/>
  <c r="E148" i="1"/>
  <c r="C150" i="7"/>
  <c r="E149" i="1"/>
  <c r="C151" i="7"/>
  <c r="E150" i="1"/>
  <c r="C152" i="7"/>
  <c r="E151" i="1"/>
  <c r="C153" i="7"/>
  <c r="E152" i="1"/>
  <c r="C154" i="7"/>
  <c r="E153" i="1"/>
  <c r="C155" i="7"/>
  <c r="E154" i="1"/>
  <c r="C156" i="7"/>
  <c r="E155" i="1"/>
  <c r="C157" i="7"/>
  <c r="E156" i="1"/>
  <c r="C158" i="7"/>
  <c r="E157" i="1"/>
  <c r="C159" i="7"/>
  <c r="E158" i="1"/>
  <c r="C160" i="7"/>
  <c r="E159" i="1"/>
  <c r="C161" i="7"/>
  <c r="E160" i="1"/>
  <c r="C162" i="7"/>
  <c r="E161" i="1"/>
  <c r="C163" i="7"/>
  <c r="E162" i="1"/>
  <c r="C164" i="7"/>
  <c r="E163" i="1"/>
  <c r="C165" i="7"/>
  <c r="E164" i="1"/>
  <c r="C166" i="7"/>
  <c r="E165" i="1"/>
  <c r="C167" i="7"/>
  <c r="E166" i="1"/>
  <c r="C168" i="7"/>
  <c r="E167" i="1"/>
  <c r="C169" i="7"/>
  <c r="E168" i="1"/>
  <c r="C170" i="7"/>
  <c r="E169" i="1"/>
  <c r="C171" i="7"/>
  <c r="E170" i="1"/>
  <c r="C172" i="7"/>
  <c r="E171" i="1"/>
  <c r="C173" i="7"/>
  <c r="E172" i="1"/>
  <c r="C174" i="7"/>
  <c r="E173" i="1"/>
  <c r="C175" i="7"/>
  <c r="E174" i="1"/>
  <c r="C176" i="7"/>
  <c r="E175" i="1"/>
  <c r="C177" i="7"/>
  <c r="E176" i="1"/>
  <c r="C178" i="7"/>
  <c r="E177" i="1"/>
  <c r="C179" i="7"/>
  <c r="E178" i="1"/>
  <c r="C180" i="7"/>
  <c r="E179" i="1"/>
  <c r="C181" i="7"/>
  <c r="E180" i="1"/>
  <c r="C182" i="7"/>
  <c r="E181" i="1"/>
  <c r="C183" i="7"/>
  <c r="E182" i="1"/>
  <c r="C184" i="7"/>
  <c r="E183" i="1"/>
  <c r="C185" i="7"/>
  <c r="E184" i="1"/>
  <c r="C186" i="7"/>
  <c r="E185" i="1"/>
  <c r="C187" i="7"/>
  <c r="E186" i="1"/>
  <c r="C188" i="7"/>
  <c r="E187" i="1"/>
  <c r="C189" i="7"/>
  <c r="E188" i="1"/>
  <c r="C190" i="7"/>
  <c r="E189" i="1"/>
  <c r="C191" i="7"/>
  <c r="E190" i="1"/>
  <c r="C192" i="7"/>
  <c r="E191" i="1"/>
  <c r="C193" i="7"/>
  <c r="E192" i="1"/>
  <c r="C194" i="7"/>
  <c r="E193" i="1"/>
  <c r="C195" i="7"/>
  <c r="E194" i="1"/>
  <c r="C196" i="7"/>
  <c r="E195" i="1"/>
  <c r="C197" i="7"/>
  <c r="E196" i="1"/>
  <c r="C198" i="7"/>
  <c r="E197" i="1"/>
  <c r="C199" i="7"/>
  <c r="E198" i="1"/>
  <c r="C200" i="7"/>
  <c r="E199" i="1"/>
  <c r="C201" i="7"/>
  <c r="E200" i="1"/>
  <c r="C202" i="7"/>
  <c r="E201" i="1"/>
  <c r="C203" i="7"/>
  <c r="E202" i="1"/>
  <c r="C204" i="7"/>
  <c r="E203" i="1"/>
  <c r="C205" i="7"/>
  <c r="E204" i="1"/>
  <c r="C206" i="7"/>
  <c r="E205" i="1"/>
  <c r="C207" i="7"/>
  <c r="E206" i="1"/>
  <c r="C208" i="7"/>
  <c r="E207" i="1"/>
  <c r="C209" i="7"/>
  <c r="E208" i="1"/>
  <c r="C210" i="7"/>
  <c r="E209" i="1"/>
  <c r="C211" i="7"/>
  <c r="E210" i="1"/>
  <c r="C212" i="7"/>
  <c r="E211" i="1"/>
  <c r="C213" i="7"/>
  <c r="E212" i="1"/>
  <c r="C214" i="7"/>
  <c r="E213" i="1"/>
  <c r="C215" i="7"/>
  <c r="E214" i="1"/>
  <c r="C216" i="7"/>
  <c r="E215" i="1"/>
  <c r="C217" i="7"/>
  <c r="E216" i="1"/>
  <c r="C218" i="7"/>
  <c r="E217" i="1"/>
  <c r="C219" i="7"/>
  <c r="E218" i="1"/>
  <c r="C220" i="7"/>
  <c r="E219" i="1"/>
  <c r="C221" i="7"/>
  <c r="E220" i="1"/>
  <c r="C222" i="7"/>
  <c r="E221" i="1"/>
  <c r="C223" i="7"/>
  <c r="E222" i="1"/>
  <c r="C224" i="7"/>
  <c r="E223" i="1"/>
  <c r="C225" i="7"/>
  <c r="E224" i="1"/>
  <c r="C226" i="7"/>
  <c r="E225" i="1"/>
  <c r="C227" i="7"/>
  <c r="E226" i="1"/>
  <c r="C228" i="7"/>
  <c r="E227" i="1"/>
  <c r="C229" i="7"/>
  <c r="E228" i="1"/>
  <c r="C230" i="7"/>
  <c r="E229" i="1"/>
  <c r="C231" i="7"/>
  <c r="E230" i="1"/>
  <c r="C232" i="7"/>
  <c r="E231" i="1"/>
  <c r="C233" i="7"/>
  <c r="E232" i="1"/>
  <c r="C234" i="7"/>
  <c r="E233" i="1"/>
  <c r="C235" i="7"/>
  <c r="E234" i="1"/>
  <c r="C236" i="7"/>
  <c r="E235" i="1"/>
  <c r="C237" i="7"/>
  <c r="E236" i="1"/>
  <c r="C238" i="7"/>
  <c r="E237" i="1"/>
  <c r="C239" i="7"/>
  <c r="E238" i="1"/>
  <c r="C240" i="7"/>
  <c r="E239" i="1"/>
  <c r="C241" i="7"/>
  <c r="E240" i="1"/>
  <c r="C242" i="7"/>
  <c r="E241" i="1"/>
  <c r="C243" i="7"/>
  <c r="E242" i="1"/>
  <c r="C244" i="7"/>
  <c r="E243" i="1"/>
  <c r="C245" i="7"/>
  <c r="E244" i="1"/>
  <c r="C246" i="7"/>
  <c r="E245" i="1"/>
  <c r="C247" i="7"/>
  <c r="E246" i="1"/>
  <c r="C248" i="7"/>
  <c r="E247" i="1"/>
  <c r="C249" i="7"/>
  <c r="E248" i="1"/>
  <c r="C250" i="7"/>
  <c r="E249" i="1"/>
  <c r="C251" i="7"/>
  <c r="E250" i="1"/>
  <c r="C252" i="7"/>
  <c r="E251" i="1"/>
  <c r="C253" i="7"/>
  <c r="G4" i="6"/>
  <c r="B10" i="11" s="1"/>
  <c r="G5" i="6"/>
  <c r="J4" i="7"/>
  <c r="L5" i="7"/>
  <c r="L4" i="7"/>
  <c r="K4" i="7"/>
  <c r="N3" i="7"/>
  <c r="N10" i="7" s="1"/>
  <c r="K3" i="7"/>
  <c r="K10" i="7" s="1"/>
  <c r="L3" i="7"/>
  <c r="L10" i="7" s="1"/>
  <c r="M3" i="7"/>
  <c r="M10" i="7" s="1"/>
  <c r="J3" i="7"/>
  <c r="J10" i="7" s="1"/>
  <c r="H5" i="5" l="1"/>
  <c r="H4" i="5"/>
  <c r="H5" i="4"/>
  <c r="H6" i="4"/>
  <c r="H5" i="3"/>
  <c r="H4" i="3"/>
  <c r="H5" i="2"/>
  <c r="H4" i="2"/>
  <c r="H4" i="1"/>
  <c r="H5" i="1"/>
  <c r="M4" i="7"/>
  <c r="K5" i="7"/>
  <c r="M5" i="7"/>
  <c r="J5" i="7"/>
  <c r="N5" i="7"/>
  <c r="N4" i="7"/>
  <c r="K15" i="7"/>
  <c r="E5" i="11"/>
  <c r="H5" i="11" s="1"/>
  <c r="J15" i="7"/>
  <c r="E4" i="11"/>
  <c r="H4" i="11" s="1"/>
  <c r="L15" i="7"/>
  <c r="E6" i="11"/>
  <c r="H6" i="11" s="1"/>
  <c r="L16" i="7"/>
  <c r="F6" i="11"/>
  <c r="I6" i="11" s="1"/>
  <c r="C8" i="11" l="1"/>
  <c r="C8" i="10"/>
  <c r="I20" i="10" s="1"/>
  <c r="B8" i="10"/>
  <c r="B8" i="11"/>
  <c r="B7" i="10"/>
  <c r="B7" i="11"/>
  <c r="C7" i="10"/>
  <c r="C7" i="11"/>
  <c r="C6" i="11"/>
  <c r="C6" i="10"/>
  <c r="B6" i="10"/>
  <c r="B6" i="11"/>
  <c r="C5" i="11"/>
  <c r="C5" i="10"/>
  <c r="B5" i="10"/>
  <c r="B5" i="11"/>
  <c r="B4" i="10"/>
  <c r="B4" i="11"/>
  <c r="C4" i="10"/>
  <c r="C4" i="11"/>
  <c r="M15" i="7"/>
  <c r="E7" i="11"/>
  <c r="H7" i="11" s="1"/>
  <c r="K16" i="7"/>
  <c r="F5" i="11"/>
  <c r="I5" i="11" s="1"/>
  <c r="M16" i="7"/>
  <c r="F7" i="11"/>
  <c r="I7" i="11" s="1"/>
  <c r="J16" i="7"/>
  <c r="F4" i="11"/>
  <c r="I4" i="11" s="1"/>
  <c r="N16" i="7"/>
  <c r="F8" i="11"/>
  <c r="I8" i="11" s="1"/>
  <c r="N15" i="7"/>
  <c r="E8" i="11"/>
  <c r="H8" i="11" s="1"/>
  <c r="B14" i="11"/>
  <c r="B19" i="11" s="1"/>
  <c r="B21" i="11" s="1"/>
  <c r="B13" i="11"/>
  <c r="B17" i="11" s="1"/>
  <c r="H32" i="10" l="1"/>
  <c r="I19" i="10"/>
  <c r="H30" i="10"/>
  <c r="H31" i="10"/>
  <c r="I18" i="10"/>
  <c r="I17" i="10"/>
  <c r="H29" i="10"/>
  <c r="H27" i="10"/>
  <c r="H28" i="10"/>
  <c r="B11" i="10"/>
  <c r="B10" i="10"/>
  <c r="H25" i="10"/>
  <c r="H23" i="10"/>
  <c r="H24" i="10"/>
  <c r="I16" i="10"/>
  <c r="H26" i="10"/>
  <c r="B13" i="10" l="1"/>
  <c r="D13" i="10" l="1"/>
  <c r="D15" i="10" s="1"/>
  <c r="B15" i="10"/>
</calcChain>
</file>

<file path=xl/sharedStrings.xml><?xml version="1.0" encoding="utf-8"?>
<sst xmlns="http://schemas.openxmlformats.org/spreadsheetml/2006/main" count="1592" uniqueCount="127">
  <si>
    <t xml:space="preserve">Date </t>
  </si>
  <si>
    <t xml:space="preserve">series </t>
  </si>
  <si>
    <t xml:space="preserve">close </t>
  </si>
  <si>
    <t>EQ</t>
  </si>
  <si>
    <t xml:space="preserve">  </t>
  </si>
  <si>
    <t xml:space="preserve">Close </t>
  </si>
  <si>
    <t>NTPC</t>
  </si>
  <si>
    <t>Date</t>
  </si>
  <si>
    <t>NIFTY50</t>
  </si>
  <si>
    <t>HDFC  Life Insurance</t>
  </si>
  <si>
    <t>Adani Enterprises</t>
  </si>
  <si>
    <t>Hindalco Industries</t>
  </si>
  <si>
    <t>Alpha (Intercept)</t>
  </si>
  <si>
    <t>Beta (Slope)</t>
  </si>
  <si>
    <t>Using Excel Function</t>
  </si>
  <si>
    <t xml:space="preserve"> =INTERCEPT(C2:C251,$B$2:$B$251)</t>
  </si>
  <si>
    <t xml:space="preserve"> =SLOPE(C2:C251,$B$2:$B$251)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</si>
  <si>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</si>
  <si>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</si>
  <si>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</si>
  <si>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</si>
  <si>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</si>
  <si>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</si>
  <si>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</si>
  <si>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</si>
  <si>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</si>
  <si>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</si>
  <si>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</si>
  <si>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</si>
  <si>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</si>
  <si>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</si>
  <si>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</si>
  <si>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</si>
  <si>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</si>
  <si>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</si>
  <si>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</si>
  <si>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</si>
  <si>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</si>
  <si>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</si>
  <si>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</si>
  <si>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SUMMARY OUTPUT - NIFTY50 and HDFC Life Insurance</t>
  </si>
  <si>
    <t>SUMMARY OUTPUT - NIFTY50 and Hindalco Industries</t>
  </si>
  <si>
    <t>SUMMARY OUTPUT - NIFTY50 and Adani Enterprises</t>
  </si>
  <si>
    <t>SUMMARY OUTPUT - NIFTY50 and NTPC</t>
  </si>
  <si>
    <t>Dabur India</t>
  </si>
  <si>
    <t>SUMMARY OUTPUT - NIFTY50 and Dabur India</t>
  </si>
  <si>
    <t>Daily Returns (Ln(P1/PO))</t>
  </si>
  <si>
    <t>Annualized Returns</t>
  </si>
  <si>
    <t>Expected (Returns)</t>
  </si>
  <si>
    <t>NTPC Limited</t>
  </si>
  <si>
    <t>Risk (Standard Deviation)</t>
  </si>
  <si>
    <t xml:space="preserve"> =AVERAGE(E2:E251)</t>
  </si>
  <si>
    <t xml:space="preserve"> =STDEV.S(E2:E251)</t>
  </si>
  <si>
    <t>Dabur India Limited</t>
  </si>
  <si>
    <t>HDFC Life Insurance</t>
  </si>
  <si>
    <t xml:space="preserve"> =AVERAGE(D2:D251)</t>
  </si>
  <si>
    <t xml:space="preserve"> =STDEV.S(D2:D251)</t>
  </si>
  <si>
    <t>Company</t>
  </si>
  <si>
    <t>Expected Returns (Individual )</t>
  </si>
  <si>
    <t>Standard Deviation (Individual)</t>
  </si>
  <si>
    <t>Weights</t>
  </si>
  <si>
    <t>Portfolio Returns</t>
  </si>
  <si>
    <t>Used correlation from data analysis toolpak.</t>
  </si>
  <si>
    <t xml:space="preserve"> =SUMPRODUCT(B2:B6,D2:D6)</t>
  </si>
  <si>
    <t xml:space="preserve"> =(B2*D2)+(B3*D3)+(B4*D4)+(B5*D5)+(B6*D6)</t>
  </si>
  <si>
    <t>5 Seecurities</t>
  </si>
  <si>
    <t>Markowitz Model</t>
  </si>
  <si>
    <t>5 Variances</t>
  </si>
  <si>
    <t>10 Covariances</t>
  </si>
  <si>
    <t>Security Number</t>
  </si>
  <si>
    <t>Variance of Security</t>
  </si>
  <si>
    <t>Portfolio Standard Deviation</t>
  </si>
  <si>
    <t xml:space="preserve"> =SQRT(B13)</t>
  </si>
  <si>
    <t>Security Name</t>
  </si>
  <si>
    <t>Computed correlation from data analysis toolpak.</t>
  </si>
  <si>
    <t>Correlation Coefficient of Security</t>
  </si>
  <si>
    <t>1 &amp; 2</t>
  </si>
  <si>
    <t>1 &amp; 3</t>
  </si>
  <si>
    <t>2 &amp; 3</t>
  </si>
  <si>
    <t>1 &amp; 4</t>
  </si>
  <si>
    <t>1 &amp; 5</t>
  </si>
  <si>
    <t>2 &amp; 4</t>
  </si>
  <si>
    <t>2 &amp; 5</t>
  </si>
  <si>
    <t>3 &amp; 4</t>
  </si>
  <si>
    <t>3 &amp; 5</t>
  </si>
  <si>
    <t>4 &amp; 5</t>
  </si>
  <si>
    <t>Covariance No:</t>
  </si>
  <si>
    <t>Covariance</t>
  </si>
  <si>
    <t>Portfolio Risk/ Variance (Formula Below)</t>
  </si>
  <si>
    <t>Portfolio Risk/Variance (Formula Below)</t>
  </si>
  <si>
    <t>Single Index Model</t>
  </si>
  <si>
    <t>Using Regression - Data Analysis Toolpak</t>
  </si>
  <si>
    <t>NIFTY 50 (Market Return)</t>
  </si>
  <si>
    <t>Beta - Slope Function</t>
  </si>
  <si>
    <t>Alpha - Intercept Function</t>
  </si>
  <si>
    <t>Residual Variance - Regression</t>
  </si>
  <si>
    <t>Expected Returns (Individual)</t>
  </si>
  <si>
    <t>Weight * Alpha</t>
  </si>
  <si>
    <t>Weight * Beta</t>
  </si>
  <si>
    <t xml:space="preserve"> =SUM(H4:H8)</t>
  </si>
  <si>
    <t xml:space="preserve"> =SUM(I4:I8)</t>
  </si>
  <si>
    <t>Portfolio Return (Formula Shown Below)</t>
  </si>
  <si>
    <t>Portfolio Alpha (Formula on the right)</t>
  </si>
  <si>
    <t>Portfolio Beta (Formula on the right0</t>
  </si>
  <si>
    <t>Daily Returns = Ln(P1/P0)</t>
  </si>
  <si>
    <t>Single Annualized Return = Daily Return * 252</t>
  </si>
  <si>
    <t>252 trading days</t>
  </si>
  <si>
    <t>Alpha-Beta Computation</t>
  </si>
  <si>
    <t>Portfolio Return Formula</t>
  </si>
  <si>
    <t>Portfolio Alpha Formula</t>
  </si>
  <si>
    <t>Portfolio Beta Formula</t>
  </si>
  <si>
    <t>Portfolio Variance Formula</t>
  </si>
  <si>
    <t>Portfolio Risk Formula</t>
  </si>
  <si>
    <t>Portfolio Risk (Formula Shown Below)</t>
  </si>
  <si>
    <t>Difference (Intercept)</t>
  </si>
  <si>
    <t>Difference (Slope)</t>
  </si>
  <si>
    <t>Weight ^2</t>
  </si>
  <si>
    <t>Weight^2 * Residual Variance</t>
  </si>
  <si>
    <t xml:space="preserve"> =B13+(B14*B10)</t>
  </si>
  <si>
    <t xml:space="preserve"> =((B14^2)*(B10^2)+SUM(K4:K8))</t>
  </si>
  <si>
    <t xml:space="preserve"> =SQRT(B19</t>
  </si>
  <si>
    <t>Abhimanyu Babbar</t>
  </si>
  <si>
    <t>Securities Analysis and Portfolio Management</t>
  </si>
  <si>
    <t>Topic:</t>
  </si>
  <si>
    <t>Risk and Return Analysis of 5 NIFTY50 Stocks using Markowitz Model and Single Index Model</t>
  </si>
  <si>
    <t>Subject</t>
  </si>
  <si>
    <t>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</si>
</sst>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 * #,##0.00_ ;_ * \-#,##0.00_ ;_ * &quot;-&quot;??_ ;_ @_ "/>
    <numFmt numFmtId="164" formatCode="0.00000"/>
    <numFmt numFmtId="165" formatCode="0.0000000"/>
    <numFmt numFmtId="166" formatCode="0.0000%"/>
    <numFmt numFmtId="167" formatCode="0.000%"/>
    <numFmt numFmtId="168" formatCode="0.00000%"/>
    <numFmt numFmtId="169" formatCode="0.000000%"/>
    <numFmt numFmtId="170" formatCode="0.0000000%"/>
    <numFmt numFmtId="171" formatCode="0.00000000%"/>
    <numFmt numFmtId="172" formatCode="0.000000000%"/>
    <numFmt numFmtId="173" formatCode="0.0000000E+00"/>
    <numFmt numFmtId="174" formatCode="0.000000"/>
    <numFmt numFmtId="175" formatCode="0.000000000000%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2">
    <xf numFmtId="0" fontId="0" fillId="0" borderId="0" xfId="0"/>
    <xf numFmtId="0" fontId="1" fillId="0" borderId="0" xfId="0" applyFont="1"/>
    <xf numFmtId="0" fontId="1" fillId="0" borderId="1" xfId="0" applyFont="1" applyBorder="1"/>
    <xf numFmtId="15" fontId="1" fillId="0" borderId="1" xfId="0" applyNumberFormat="1" applyFont="1" applyBorder="1"/>
    <xf numFmtId="0" fontId="2" fillId="0" borderId="1" xfId="0" applyFont="1" applyBorder="1"/>
    <xf numFmtId="14" fontId="1" fillId="0" borderId="1" xfId="0" applyNumberFormat="1" applyFont="1" applyBorder="1"/>
    <xf numFmtId="43" fontId="1" fillId="0" borderId="1" xfId="1" applyFont="1" applyBorder="1"/>
    <xf numFmtId="15" fontId="1" fillId="0" borderId="2" xfId="0" applyNumberFormat="1" applyFont="1" applyBorder="1"/>
    <xf numFmtId="0" fontId="1" fillId="0" borderId="4" xfId="0" applyFont="1" applyBorder="1"/>
    <xf numFmtId="0" fontId="4" fillId="0" borderId="5" xfId="0" applyFont="1" applyBorder="1" applyAlignment="1">
      <alignment horizontal="center"/>
    </xf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4" fillId="0" borderId="14" xfId="0" applyFont="1" applyBorder="1" applyAlignment="1">
      <alignment horizontal="centerContinuous"/>
    </xf>
    <xf numFmtId="0" fontId="4" fillId="0" borderId="15" xfId="0" applyFont="1" applyBorder="1" applyAlignment="1">
      <alignment horizontal="centerContinuous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165" fontId="1" fillId="2" borderId="1" xfId="0" applyNumberFormat="1" applyFont="1" applyFill="1" applyBorder="1"/>
    <xf numFmtId="166" fontId="1" fillId="2" borderId="1" xfId="2" applyNumberFormat="1" applyFont="1" applyFill="1" applyBorder="1"/>
    <xf numFmtId="167" fontId="1" fillId="2" borderId="1" xfId="2" applyNumberFormat="1" applyFont="1" applyFill="1" applyBorder="1"/>
    <xf numFmtId="0" fontId="1" fillId="3" borderId="1" xfId="0" applyFont="1" applyFill="1" applyBorder="1"/>
    <xf numFmtId="167" fontId="1" fillId="3" borderId="1" xfId="0" applyNumberFormat="1" applyFont="1" applyFill="1" applyBorder="1"/>
    <xf numFmtId="10" fontId="1" fillId="2" borderId="1" xfId="2" applyNumberFormat="1" applyFont="1" applyFill="1" applyBorder="1"/>
    <xf numFmtId="170" fontId="1" fillId="0" borderId="1" xfId="2" applyNumberFormat="1" applyFont="1" applyBorder="1"/>
    <xf numFmtId="166" fontId="1" fillId="0" borderId="1" xfId="2" applyNumberFormat="1" applyFont="1" applyBorder="1"/>
    <xf numFmtId="169" fontId="1" fillId="0" borderId="1" xfId="2" applyNumberFormat="1" applyFont="1" applyBorder="1"/>
    <xf numFmtId="171" fontId="1" fillId="0" borderId="1" xfId="2" applyNumberFormat="1" applyFont="1" applyBorder="1"/>
    <xf numFmtId="0" fontId="2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3" borderId="3" xfId="0" applyFont="1" applyFill="1" applyBorder="1"/>
    <xf numFmtId="0" fontId="1" fillId="3" borderId="17" xfId="0" applyFont="1" applyFill="1" applyBorder="1"/>
    <xf numFmtId="0" fontId="2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8" xfId="0" applyFont="1" applyBorder="1"/>
    <xf numFmtId="167" fontId="1" fillId="3" borderId="1" xfId="2" applyNumberFormat="1" applyFont="1" applyFill="1" applyBorder="1"/>
    <xf numFmtId="166" fontId="1" fillId="3" borderId="1" xfId="2" applyNumberFormat="1" applyFont="1" applyFill="1" applyBorder="1"/>
    <xf numFmtId="172" fontId="1" fillId="0" borderId="1" xfId="2" applyNumberFormat="1" applyFont="1" applyBorder="1"/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75" fontId="1" fillId="0" borderId="1" xfId="2" applyNumberFormat="1" applyFont="1" applyBorder="1"/>
    <xf numFmtId="0" fontId="2" fillId="0" borderId="2" xfId="0" applyFont="1" applyBorder="1" applyAlignment="1">
      <alignment horizontal="center" vertical="center"/>
    </xf>
    <xf numFmtId="170" fontId="1" fillId="0" borderId="1" xfId="2" applyNumberFormat="1" applyFont="1" applyBorder="1" applyAlignment="1">
      <alignment vertical="center"/>
    </xf>
    <xf numFmtId="171" fontId="1" fillId="0" borderId="1" xfId="2" applyNumberFormat="1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168" fontId="1" fillId="3" borderId="1" xfId="2" applyNumberFormat="1" applyFont="1" applyFill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169" fontId="1" fillId="3" borderId="1" xfId="2" applyNumberFormat="1" applyFont="1" applyFill="1" applyBorder="1" applyAlignment="1">
      <alignment vertical="center"/>
    </xf>
    <xf numFmtId="174" fontId="1" fillId="3" borderId="1" xfId="0" applyNumberFormat="1" applyFont="1" applyFill="1" applyBorder="1" applyAlignment="1">
      <alignment vertical="center"/>
    </xf>
    <xf numFmtId="165" fontId="1" fillId="3" borderId="1" xfId="2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73" fontId="1" fillId="0" borderId="1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71" fontId="1" fillId="0" borderId="3" xfId="2" applyNumberFormat="1" applyFont="1" applyBorder="1"/>
    <xf numFmtId="0" fontId="2" fillId="0" borderId="2" xfId="0" applyFont="1" applyBorder="1"/>
    <xf numFmtId="0" fontId="1" fillId="4" borderId="6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4" borderId="14" xfId="0" applyFont="1" applyFill="1" applyBorder="1"/>
    <xf numFmtId="0" fontId="1" fillId="4" borderId="16" xfId="0" applyFont="1" applyFill="1" applyBorder="1"/>
    <xf numFmtId="166" fontId="1" fillId="0" borderId="0" xfId="0" applyNumberFormat="1" applyFont="1"/>
    <xf numFmtId="0" fontId="1" fillId="6" borderId="0" xfId="0" applyFont="1" applyFill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1" fillId="0" borderId="1" xfId="0" applyFont="1" applyBorder="1" applyAlignment="1"/>
    <xf numFmtId="0" fontId="1" fillId="6" borderId="1" xfId="0" applyFont="1" applyFill="1" applyBorder="1" applyAlignment="1"/>
    <xf numFmtId="0" fontId="1" fillId="6" borderId="10" xfId="0" applyFont="1" applyFill="1" applyBorder="1"/>
    <xf numFmtId="0" fontId="1" fillId="6" borderId="17" xfId="0" applyFont="1" applyFill="1" applyBorder="1" applyAlignment="1"/>
    <xf numFmtId="0" fontId="1" fillId="0" borderId="19" xfId="0" applyFont="1" applyBorder="1" applyAlignment="1"/>
    <xf numFmtId="0" fontId="1" fillId="0" borderId="3" xfId="0" applyFont="1" applyBorder="1"/>
    <xf numFmtId="0" fontId="1" fillId="0" borderId="18" xfId="0" applyFont="1" applyBorder="1"/>
    <xf numFmtId="0" fontId="1" fillId="0" borderId="17" xfId="0" applyFont="1" applyBorder="1"/>
    <xf numFmtId="0" fontId="1" fillId="6" borderId="0" xfId="0" applyFont="1" applyFill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E787AE60-8210-4BBD-9FA3-10E8399539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285938</xdr:colOff>
      <xdr:row>17</xdr:row>
      <xdr:rowOff>145433</xdr:rowOff>
    </xdr:from>
    <xdr:to>
      <xdr:col>2</xdr:col>
      <xdr:colOff>2170718</xdr:colOff>
      <xdr:row>28</xdr:row>
      <xdr:rowOff>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F28A0A-A67F-E41A-AC9D-E81AB3A0B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938" y="3136375"/>
          <a:ext cx="6118113" cy="1677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182792</xdr:colOff>
      <xdr:row>11</xdr:row>
      <xdr:rowOff>144790</xdr:rowOff>
    </xdr:from>
    <xdr:to>
      <xdr:col>5</xdr:col>
      <xdr:colOff>1159126</xdr:colOff>
      <xdr:row>16</xdr:row>
      <xdr:rowOff>6471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BAC3FA-1C20-3D5E-F9FA-80170C4DB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602" y="1918758"/>
          <a:ext cx="2508398" cy="668030"/>
        </a:xfrm>
        <a:prstGeom prst="rect">
          <a:avLst/>
        </a:prstGeom>
      </xdr:spPr>
    </xdr:pic>
    <xdr:clientData/>
  </xdr:twoCellAnchor>
  <xdr:twoCellAnchor editAs="oneCell">
    <xdr:from>
      <xdr:col>7</xdr:col>
      <xdr:colOff>260292</xdr:colOff>
      <xdr:row>11</xdr:row>
      <xdr:rowOff>113558</xdr:rowOff>
    </xdr:from>
    <xdr:to>
      <xdr:col>8</xdr:col>
      <xdr:colOff>920748</xdr:colOff>
      <xdr:row>16</xdr:row>
      <xdr:rowOff>103046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F73E36-D71E-68FD-13B6-15650FA82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87959" y="1976225"/>
          <a:ext cx="1602373" cy="836154"/>
        </a:xfrm>
        <a:prstGeom prst="rect">
          <a:avLst/>
        </a:prstGeom>
      </xdr:spPr>
    </xdr:pic>
    <xdr:clientData/>
  </xdr:twoCellAnchor>
  <xdr:twoCellAnchor editAs="oneCell">
    <xdr:from>
      <xdr:col>7</xdr:col>
      <xdr:colOff>105833</xdr:colOff>
      <xdr:row>22</xdr:row>
      <xdr:rowOff>74084</xdr:rowOff>
    </xdr:from>
    <xdr:to>
      <xdr:col>8</xdr:col>
      <xdr:colOff>897062</xdr:colOff>
      <xdr:row>25</xdr:row>
      <xdr:rowOff>9240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2B0EFE-4EA1-7870-FA64-FBF20E0F5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35516" y="3622021"/>
          <a:ext cx="1738690" cy="418965"/>
        </a:xfrm>
        <a:prstGeom prst="rect">
          <a:avLst/>
        </a:prstGeom>
      </xdr:spPr>
    </xdr:pic>
    <xdr:clientData/>
  </xdr:twoCellAnchor>
  <xdr:twoCellAnchor editAs="oneCell">
    <xdr:from>
      <xdr:col>4</xdr:col>
      <xdr:colOff>193621</xdr:colOff>
      <xdr:row>23</xdr:row>
      <xdr:rowOff>10585</xdr:rowOff>
    </xdr:from>
    <xdr:to>
      <xdr:col>5</xdr:col>
      <xdr:colOff>1032397</xdr:colOff>
      <xdr:row>26</xdr:row>
      <xdr:rowOff>60477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242D95-A4B5-CA3D-5A5A-21E1CDCEB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97431" y="3719791"/>
          <a:ext cx="2370840" cy="533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2AB5-90A6-485B-BD6B-E7A227D57E42}">
  <sheetPr>
    <tabColor rgb="FF00B050"/>
  </sheetPr>
  <dimension ref="A1:L3"/>
  <sheetViews>
    <sheetView showGridLines="0" tabSelected="1" zoomScale="190" zoomScaleNormal="19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A10" sqref="A10"/>
    </sheetView>
  </sheetViews>
  <sheetFormatPr defaultColWidth="8.73046875" defaultRowHeight="13.15" x14ac:dyDescent="0.4"/>
  <cols>
    <col min="1" max="1" width="15.19921875" style="87" customWidth="1"/>
    <col min="2" max="2" width="13" style="87" customWidth="1"/>
    <col min="3" max="3" width="14.796875" style="87" customWidth="1"/>
    <col min="4" max="16384" width="8.73046875" style="87"/>
  </cols>
  <sheetData>
    <row r="1" spans="1:12" x14ac:dyDescent="0.4">
      <c r="A1" s="4" t="s">
        <v>125</v>
      </c>
      <c r="B1" s="89" t="s">
        <v>122</v>
      </c>
      <c r="C1" s="89"/>
      <c r="D1" s="89"/>
      <c r="E1" s="89"/>
      <c r="F1" s="89"/>
      <c r="G1" s="89"/>
      <c r="H1" s="89"/>
      <c r="I1" s="116"/>
      <c r="J1" s="114"/>
      <c r="K1" s="114"/>
      <c r="L1" s="114"/>
    </row>
    <row r="2" spans="1:12" x14ac:dyDescent="0.4">
      <c r="A2" s="4" t="s">
        <v>123</v>
      </c>
      <c r="B2" s="113" t="s">
        <v>124</v>
      </c>
      <c r="C2" s="117"/>
      <c r="D2" s="117"/>
      <c r="E2" s="117"/>
      <c r="F2" s="117"/>
      <c r="G2" s="117"/>
      <c r="H2" s="117"/>
      <c r="I2" s="116"/>
      <c r="J2" s="114"/>
      <c r="K2" s="114"/>
      <c r="L2" s="114"/>
    </row>
    <row r="3" spans="1:12" x14ac:dyDescent="0.4">
      <c r="A3" s="88" t="s">
        <v>126</v>
      </c>
      <c r="B3" s="118" t="s">
        <v>121</v>
      </c>
      <c r="C3" s="118"/>
      <c r="D3" s="119"/>
      <c r="E3" s="119"/>
      <c r="F3" s="119"/>
      <c r="G3" s="119"/>
      <c r="H3" s="120"/>
      <c r="L3" s="115"/>
    </row>
  </sheetData>
  <mergeCells count="1">
    <mergeCell ref="B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ED378-2137-4C73-9E30-6575301D9A09}">
  <sheetPr>
    <tabColor theme="4" tint="0.59999389629810485"/>
  </sheetPr>
  <dimension ref="A1:O253"/>
  <sheetViews>
    <sheetView showGridLines="0" zoomScale="66" zoomScaleNormal="66" workbookViewId="0">
      <pane ySplit="3" topLeftCell="A4" activePane="bottomLeft" state="frozen"/>
      <selection pane="bottomLeft" activeCell="C9" sqref="C9"/>
    </sheetView>
  </sheetViews>
  <sheetFormatPr defaultColWidth="8.73046875" defaultRowHeight="13.15" x14ac:dyDescent="0.4"/>
  <cols>
    <col min="1" max="1" width="8.9296875" style="1" bestFit="1" customWidth="1"/>
    <col min="2" max="2" width="13.9296875" style="1" customWidth="1"/>
    <col min="3" max="3" width="12" style="1" customWidth="1"/>
    <col min="4" max="4" width="13.265625" style="1" customWidth="1"/>
    <col min="5" max="5" width="18.265625" style="1" bestFit="1" customWidth="1"/>
    <col min="6" max="6" width="16.265625" style="1" customWidth="1"/>
    <col min="7" max="7" width="16.19921875" style="1" bestFit="1" customWidth="1"/>
    <col min="8" max="8" width="8.73046875" style="1"/>
    <col min="9" max="9" width="34.46484375" style="1" customWidth="1"/>
    <col min="10" max="10" width="30.73046875" style="1" bestFit="1" customWidth="1"/>
    <col min="11" max="11" width="12.73046875" style="1" bestFit="1" customWidth="1"/>
    <col min="12" max="12" width="18.265625" style="1" bestFit="1" customWidth="1"/>
    <col min="13" max="13" width="18.73046875" style="1" bestFit="1" customWidth="1"/>
    <col min="14" max="14" width="16.33203125" style="1" bestFit="1" customWidth="1"/>
    <col min="15" max="15" width="17.796875" style="1" bestFit="1" customWidth="1"/>
    <col min="16" max="16384" width="8.73046875" style="1"/>
  </cols>
  <sheetData>
    <row r="1" spans="1:15" x14ac:dyDescent="0.4">
      <c r="A1" s="90" t="s">
        <v>107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15" x14ac:dyDescent="0.4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</row>
    <row r="3" spans="1:15" ht="13.05" customHeight="1" x14ac:dyDescent="0.4">
      <c r="A3" s="75" t="s">
        <v>7</v>
      </c>
      <c r="B3" s="75" t="s">
        <v>8</v>
      </c>
      <c r="C3" s="75" t="s">
        <v>6</v>
      </c>
      <c r="D3" s="75" t="s">
        <v>44</v>
      </c>
      <c r="E3" s="75" t="s">
        <v>9</v>
      </c>
      <c r="F3" s="75" t="s">
        <v>10</v>
      </c>
      <c r="G3" s="75" t="s">
        <v>11</v>
      </c>
      <c r="I3" s="76" t="s">
        <v>14</v>
      </c>
      <c r="J3" s="75" t="str">
        <f>C3</f>
        <v>NTPC</v>
      </c>
      <c r="K3" s="75" t="str">
        <f>D3</f>
        <v>Dabur India</v>
      </c>
      <c r="L3" s="75" t="str">
        <f>E3</f>
        <v>HDFC  Life Insurance</v>
      </c>
      <c r="M3" s="75" t="str">
        <f>F3</f>
        <v>Adani Enterprises</v>
      </c>
      <c r="N3" s="75" t="str">
        <f>G3</f>
        <v>Hindalco Industries</v>
      </c>
      <c r="O3" s="10"/>
    </row>
    <row r="4" spans="1:15" x14ac:dyDescent="0.4">
      <c r="A4" s="7">
        <v>45499</v>
      </c>
      <c r="B4" s="32">
        <f>'NIFTY 50'!C2</f>
        <v>0</v>
      </c>
      <c r="C4" s="33">
        <f>NTPC!D2</f>
        <v>0</v>
      </c>
      <c r="D4" s="33">
        <f>'Dabur India'!D2</f>
        <v>0</v>
      </c>
      <c r="E4" s="78">
        <f>'HDFC Life Insurance'!D2</f>
        <v>0</v>
      </c>
      <c r="F4" s="33">
        <f>'Adani Enterprises'!D2</f>
        <v>0</v>
      </c>
      <c r="G4" s="34">
        <f>'Hindalco Industries'!D2</f>
        <v>0</v>
      </c>
      <c r="I4" s="20" t="s">
        <v>12</v>
      </c>
      <c r="J4" s="22">
        <f>INTERCEPT(C4:C253,$B$4:$B$253)</f>
        <v>-6.9409930182060149E-4</v>
      </c>
      <c r="K4" s="22">
        <f>INTERCEPT(D4:D253,$B$4:$B$253)</f>
        <v>-8.50396311064854E-4</v>
      </c>
      <c r="L4" s="22">
        <f>INTERCEPT(E4:E253,$B$4:$B$253)</f>
        <v>2.0020085795146472E-4</v>
      </c>
      <c r="M4" s="22">
        <f>INTERCEPT(F4:F253,$B$4:$B$253)</f>
        <v>-7.5638370909458851E-4</v>
      </c>
      <c r="N4" s="22">
        <f>INTERCEPT(G4:G253,$B$4:$B$253)</f>
        <v>1.5150523928082001E-4</v>
      </c>
      <c r="O4" s="10"/>
    </row>
    <row r="5" spans="1:15" x14ac:dyDescent="0.4">
      <c r="A5" s="3">
        <v>45502</v>
      </c>
      <c r="B5" s="32">
        <f>'NIFTY 50'!C3</f>
        <v>5.0331229834195685E-5</v>
      </c>
      <c r="C5" s="33">
        <f>NTPC!D3</f>
        <v>-6.0744302195291948E-3</v>
      </c>
      <c r="D5" s="33">
        <f>'Dabur India'!D3</f>
        <v>1.3584284899660678E-2</v>
      </c>
      <c r="E5" s="78">
        <f>'HDFC Life Insurance'!D3</f>
        <v>-9.2844546381864439E-3</v>
      </c>
      <c r="F5" s="33">
        <f>'Adani Enterprises'!D3</f>
        <v>2.8687913221869077E-3</v>
      </c>
      <c r="G5" s="34">
        <f>'Hindalco Industries'!D3</f>
        <v>-1.1240587192764338E-3</v>
      </c>
      <c r="I5" s="20" t="s">
        <v>13</v>
      </c>
      <c r="J5" s="23">
        <f>SLOPE(C4:C253,$B$4:$B$253)</f>
        <v>1.1116739240087403</v>
      </c>
      <c r="K5" s="23">
        <f>SLOPE(D4:D253,$B$4:$B$253)</f>
        <v>0.60298073382925155</v>
      </c>
      <c r="L5" s="23">
        <f>SLOPE(E4:E253,$B$4:$B$253)</f>
        <v>0.80206706332623978</v>
      </c>
      <c r="M5" s="23">
        <f>SLOPE(F4:F253,$B$4:$B$253)</f>
        <v>1.5777152902252163</v>
      </c>
      <c r="N5" s="23">
        <f>SLOPE(G4:G253,$B$4:$B$253)</f>
        <v>1.312694087367968</v>
      </c>
      <c r="O5" s="10"/>
    </row>
    <row r="6" spans="1:15" x14ac:dyDescent="0.4">
      <c r="A6" s="3">
        <v>45503</v>
      </c>
      <c r="B6" s="32">
        <f>'NIFTY 50'!C4</f>
        <v>8.5323207050211575E-4</v>
      </c>
      <c r="C6" s="33">
        <f>NTPC!D4</f>
        <v>3.2593257796190343E-2</v>
      </c>
      <c r="D6" s="33">
        <f>'Dabur India'!D4</f>
        <v>-1.129423770309095E-2</v>
      </c>
      <c r="E6" s="78">
        <f>'HDFC Life Insurance'!D4</f>
        <v>5.0213408034728124E-4</v>
      </c>
      <c r="F6" s="33">
        <f>'Adani Enterprises'!D4</f>
        <v>1.267285096917168E-2</v>
      </c>
      <c r="G6" s="34">
        <f>'Hindalco Industries'!D4</f>
        <v>-9.5680091060236054E-3</v>
      </c>
      <c r="I6" s="77"/>
      <c r="O6" s="10"/>
    </row>
    <row r="7" spans="1:15" x14ac:dyDescent="0.4">
      <c r="A7" s="3">
        <v>45504</v>
      </c>
      <c r="B7" s="32">
        <f>'NIFTY 50'!C5</f>
        <v>3.7684413413710642E-3</v>
      </c>
      <c r="C7" s="33">
        <f>NTPC!D5</f>
        <v>2.1994932488212778E-2</v>
      </c>
      <c r="D7" s="33">
        <f>'Dabur India'!D5</f>
        <v>2.8355406522424312E-3</v>
      </c>
      <c r="E7" s="78">
        <f>'HDFC Life Insurance'!D5</f>
        <v>2.5909285350639598E-2</v>
      </c>
      <c r="F7" s="33">
        <f>'Adani Enterprises'!D5</f>
        <v>1.2908731762723979E-2</v>
      </c>
      <c r="G7" s="34">
        <f>'Hindalco Industries'!D5</f>
        <v>1.3683395212885505E-2</v>
      </c>
      <c r="I7" s="77"/>
      <c r="J7" s="1" t="s">
        <v>15</v>
      </c>
      <c r="O7" s="10"/>
    </row>
    <row r="8" spans="1:15" x14ac:dyDescent="0.4">
      <c r="A8" s="3">
        <v>45505</v>
      </c>
      <c r="B8" s="32">
        <f>'NIFTY 50'!C6</f>
        <v>2.3918165281347566E-3</v>
      </c>
      <c r="C8" s="33">
        <f>NTPC!D6</f>
        <v>1.7750183106344814E-2</v>
      </c>
      <c r="D8" s="33">
        <f>'Dabur India'!D6</f>
        <v>1.2195273093818206E-2</v>
      </c>
      <c r="E8" s="78">
        <f>'HDFC Life Insurance'!D6</f>
        <v>-2.6590177307059641E-3</v>
      </c>
      <c r="F8" s="33">
        <f>'Adani Enterprises'!D6</f>
        <v>1.498466186506631E-2</v>
      </c>
      <c r="G8" s="34">
        <f>'Hindalco Industries'!D6</f>
        <v>5.8074766751530687E-3</v>
      </c>
      <c r="J8" s="1" t="s">
        <v>16</v>
      </c>
      <c r="O8" s="10"/>
    </row>
    <row r="9" spans="1:15" x14ac:dyDescent="0.4">
      <c r="A9" s="3">
        <v>45506</v>
      </c>
      <c r="B9" s="32">
        <f>'NIFTY 50'!C7</f>
        <v>-1.179214365820847E-2</v>
      </c>
      <c r="C9" s="33">
        <f>NTPC!D7</f>
        <v>-8.8952730280628702E-3</v>
      </c>
      <c r="D9" s="33">
        <f>'Dabur India'!D7</f>
        <v>-2.5098677929726188E-2</v>
      </c>
      <c r="E9" s="78">
        <f>'HDFC Life Insurance'!D7</f>
        <v>-8.7263044944194453E-3</v>
      </c>
      <c r="F9" s="33">
        <f>'Adani Enterprises'!D7</f>
        <v>-1.7670160216938888E-2</v>
      </c>
      <c r="G9" s="34">
        <f>'Hindalco Industries'!D7</f>
        <v>-3.8520141981034629E-2</v>
      </c>
      <c r="O9" s="10"/>
    </row>
    <row r="10" spans="1:15" x14ac:dyDescent="0.4">
      <c r="A10" s="48">
        <v>45509</v>
      </c>
      <c r="B10" s="32">
        <f>'NIFTY 50'!C8</f>
        <v>-2.7151768509934573E-2</v>
      </c>
      <c r="C10" s="33">
        <f>NTPC!D8</f>
        <v>-1.5487433638411551E-2</v>
      </c>
      <c r="D10" s="33">
        <f>'Dabur India'!D8</f>
        <v>1.0225605330770738E-2</v>
      </c>
      <c r="E10" s="78">
        <f>'HDFC Life Insurance'!D8</f>
        <v>4.9354961640571344E-3</v>
      </c>
      <c r="F10" s="33">
        <f>'Adani Enterprises'!D8</f>
        <v>-3.9591562383273063E-2</v>
      </c>
      <c r="G10" s="34">
        <f>'Hindalco Industries'!D8</f>
        <v>-5.3484445699502295E-2</v>
      </c>
      <c r="H10" s="50"/>
      <c r="I10" s="20" t="s">
        <v>91</v>
      </c>
      <c r="J10" s="51" t="str">
        <f>J3</f>
        <v>NTPC</v>
      </c>
      <c r="K10" s="51" t="str">
        <f t="shared" ref="K10:N10" si="0">K3</f>
        <v>Dabur India</v>
      </c>
      <c r="L10" s="51" t="str">
        <f t="shared" si="0"/>
        <v>HDFC  Life Insurance</v>
      </c>
      <c r="M10" s="51" t="str">
        <f t="shared" si="0"/>
        <v>Adani Enterprises</v>
      </c>
      <c r="N10" s="51" t="str">
        <f t="shared" si="0"/>
        <v>Hindalco Industries</v>
      </c>
      <c r="O10" s="10"/>
    </row>
    <row r="11" spans="1:15" x14ac:dyDescent="0.4">
      <c r="A11" s="3">
        <v>45510</v>
      </c>
      <c r="B11" s="32">
        <f>'NIFTY 50'!C9</f>
        <v>-2.6244521876233645E-3</v>
      </c>
      <c r="C11" s="33">
        <f>NTPC!D9</f>
        <v>4.2257835295647968E-3</v>
      </c>
      <c r="D11" s="33">
        <f>'Dabur India'!D9</f>
        <v>-7.6792523992490315E-3</v>
      </c>
      <c r="E11" s="78">
        <f>'HDFC Life Insurance'!D9</f>
        <v>-4.5027383137660394E-2</v>
      </c>
      <c r="F11" s="33">
        <f>'Adani Enterprises'!D9</f>
        <v>1.1291419120142634E-2</v>
      </c>
      <c r="G11" s="34">
        <f>'Hindalco Industries'!D9</f>
        <v>-6.5327686194324537E-3</v>
      </c>
      <c r="I11" s="20" t="s">
        <v>12</v>
      </c>
      <c r="J11" s="23">
        <f>Regression!B17</f>
        <v>-6.9409930182060149E-4</v>
      </c>
      <c r="K11" s="23">
        <f>Regression!L17</f>
        <v>-8.50396311064854E-4</v>
      </c>
      <c r="L11" s="23">
        <f>Regression!B37</f>
        <v>2.0020085795146472E-4</v>
      </c>
      <c r="M11" s="23">
        <f>Regression!L37</f>
        <v>-7.5638370909458851E-4</v>
      </c>
      <c r="N11" s="23">
        <f>Regression!B58</f>
        <v>1.5150523928082001E-4</v>
      </c>
      <c r="O11" s="10"/>
    </row>
    <row r="12" spans="1:15" x14ac:dyDescent="0.4">
      <c r="A12" s="3">
        <v>45511</v>
      </c>
      <c r="B12" s="32">
        <f>'NIFTY 50'!C10</f>
        <v>1.2630098903435905E-2</v>
      </c>
      <c r="C12" s="33">
        <f>NTPC!D10</f>
        <v>3.1276339702313968E-3</v>
      </c>
      <c r="D12" s="33">
        <f>'Dabur India'!D10</f>
        <v>1.5925912133319082E-2</v>
      </c>
      <c r="E12" s="78">
        <f>'HDFC Life Insurance'!D10</f>
        <v>2.4204401443716741E-2</v>
      </c>
      <c r="F12" s="33">
        <f>'Adani Enterprises'!D10</f>
        <v>3.6193863793380583E-2</v>
      </c>
      <c r="G12" s="34">
        <f>'Hindalco Industries'!D10</f>
        <v>2.171884398162776E-2</v>
      </c>
      <c r="I12" s="20" t="s">
        <v>13</v>
      </c>
      <c r="J12" s="23">
        <f>Regression!B18</f>
        <v>1.1116739240087403</v>
      </c>
      <c r="K12" s="23">
        <f>Regression!L18</f>
        <v>0.60298073382925177</v>
      </c>
      <c r="L12" s="23">
        <f>Regression!B38</f>
        <v>0.80206706332624012</v>
      </c>
      <c r="M12" s="23">
        <f>Regression!L38</f>
        <v>1.5777152902252156</v>
      </c>
      <c r="N12" s="23">
        <f>Regression!B59</f>
        <v>1.3126940873679682</v>
      </c>
      <c r="O12" s="10"/>
    </row>
    <row r="13" spans="1:15" x14ac:dyDescent="0.4">
      <c r="A13" s="3">
        <v>45512</v>
      </c>
      <c r="B13" s="32">
        <f>'NIFTY 50'!C11</f>
        <v>-7.4564783815551433E-3</v>
      </c>
      <c r="C13" s="33">
        <f>NTPC!D11</f>
        <v>-2.0874544375722035E-2</v>
      </c>
      <c r="D13" s="33">
        <f>'Dabur India'!D11</f>
        <v>-2.8197715871646793E-3</v>
      </c>
      <c r="E13" s="78">
        <f>'HDFC Life Insurance'!D11</f>
        <v>2.0049015076592305E-2</v>
      </c>
      <c r="F13" s="33">
        <f>'Adani Enterprises'!D11</f>
        <v>-5.792099296725456E-3</v>
      </c>
      <c r="G13" s="34">
        <f>'Hindalco Industries'!D11</f>
        <v>-1.559312547568395E-2</v>
      </c>
      <c r="O13" s="10"/>
    </row>
    <row r="14" spans="1:15" x14ac:dyDescent="0.4">
      <c r="A14" s="3">
        <v>45513</v>
      </c>
      <c r="B14" s="32">
        <f>'NIFTY 50'!C12</f>
        <v>1.0333291215294636E-2</v>
      </c>
      <c r="C14" s="33">
        <f>NTPC!D12</f>
        <v>7.2096603609934857E-3</v>
      </c>
      <c r="D14" s="33">
        <f>'Dabur India'!D12</f>
        <v>-2.1405605630267971E-2</v>
      </c>
      <c r="E14" s="78">
        <f>'HDFC Life Insurance'!D12</f>
        <v>-1.1254763997179307E-2</v>
      </c>
      <c r="F14" s="33">
        <f>'Adani Enterprises'!D12</f>
        <v>6.2941782278030916E-3</v>
      </c>
      <c r="G14" s="34">
        <f>'Hindalco Industries'!D12</f>
        <v>1.4309634203706872E-2</v>
      </c>
      <c r="O14" s="10"/>
    </row>
    <row r="15" spans="1:15" x14ac:dyDescent="0.4">
      <c r="A15" s="3">
        <v>45516</v>
      </c>
      <c r="B15" s="32">
        <f>'NIFTY 50'!C13</f>
        <v>-8.4163857619835045E-4</v>
      </c>
      <c r="C15" s="33">
        <f>NTPC!D13</f>
        <v>-2.4153977697240512E-2</v>
      </c>
      <c r="D15" s="33">
        <f>'Dabur India'!D13</f>
        <v>-5.7864020649828433E-3</v>
      </c>
      <c r="E15" s="78">
        <f>'HDFC Life Insurance'!D13</f>
        <v>7.1181976753545919E-5</v>
      </c>
      <c r="F15" s="33">
        <f>'Adani Enterprises'!D13</f>
        <v>-1.1294742506784404E-2</v>
      </c>
      <c r="G15" s="34">
        <f>'Hindalco Industries'!D13</f>
        <v>1.0301548477414275E-2</v>
      </c>
      <c r="I15" s="24" t="s">
        <v>114</v>
      </c>
      <c r="J15" s="25">
        <f>J4-J11</f>
        <v>0</v>
      </c>
      <c r="K15" s="25">
        <f>K4-K11</f>
        <v>0</v>
      </c>
      <c r="L15" s="25">
        <f t="shared" ref="L15:N16" si="1">L4-L11</f>
        <v>0</v>
      </c>
      <c r="M15" s="25">
        <f t="shared" si="1"/>
        <v>0</v>
      </c>
      <c r="N15" s="25">
        <f t="shared" si="1"/>
        <v>0</v>
      </c>
      <c r="O15" s="10"/>
    </row>
    <row r="16" spans="1:15" x14ac:dyDescent="0.4">
      <c r="A16" s="3">
        <v>45517</v>
      </c>
      <c r="B16" s="32">
        <f>'NIFTY 50'!C14</f>
        <v>-8.5798488623965701E-3</v>
      </c>
      <c r="C16" s="33">
        <f>NTPC!D14</f>
        <v>-1.1668158224510115E-2</v>
      </c>
      <c r="D16" s="33">
        <f>'Dabur India'!D14</f>
        <v>-2.3651404211348946E-2</v>
      </c>
      <c r="E16" s="78">
        <f>'HDFC Life Insurance'!D14</f>
        <v>-2.5155386035435247E-2</v>
      </c>
      <c r="F16" s="33">
        <f>'Adani Enterprises'!D14</f>
        <v>-1.9075042442884587E-2</v>
      </c>
      <c r="G16" s="34">
        <f>'Hindalco Industries'!D14</f>
        <v>-1.2712543778567051E-2</v>
      </c>
      <c r="I16" s="24" t="s">
        <v>115</v>
      </c>
      <c r="J16" s="25">
        <f>J5-J12</f>
        <v>0</v>
      </c>
      <c r="K16" s="25">
        <f>K5-K12</f>
        <v>0</v>
      </c>
      <c r="L16" s="25">
        <f t="shared" si="1"/>
        <v>0</v>
      </c>
      <c r="M16" s="25">
        <f t="shared" si="1"/>
        <v>0</v>
      </c>
      <c r="N16" s="25">
        <f t="shared" si="1"/>
        <v>0</v>
      </c>
      <c r="O16" s="10"/>
    </row>
    <row r="17" spans="1:15" x14ac:dyDescent="0.4">
      <c r="A17" s="3">
        <v>45518</v>
      </c>
      <c r="B17" s="32">
        <f>'NIFTY 50'!C15</f>
        <v>1.967576418212346E-4</v>
      </c>
      <c r="C17" s="33">
        <f>NTPC!D15</f>
        <v>3.785250187143803E-4</v>
      </c>
      <c r="D17" s="33">
        <f>'Dabur India'!D15</f>
        <v>-2.3962002789470931E-3</v>
      </c>
      <c r="E17" s="78">
        <f>'HDFC Life Insurance'!D15</f>
        <v>1.9688634354433523E-3</v>
      </c>
      <c r="F17" s="33">
        <f>'Adani Enterprises'!D15</f>
        <v>-1.6992402072404652E-2</v>
      </c>
      <c r="G17" s="34">
        <f>'Hindalco Industries'!D15</f>
        <v>8.0460232573683387E-5</v>
      </c>
      <c r="O17" s="10"/>
    </row>
    <row r="18" spans="1:15" x14ac:dyDescent="0.4">
      <c r="A18" s="3">
        <v>45520</v>
      </c>
      <c r="B18" s="32">
        <f>'NIFTY 50'!C16</f>
        <v>1.6325753017997963E-2</v>
      </c>
      <c r="C18" s="33">
        <f>NTPC!D16</f>
        <v>4.2799662514223071E-3</v>
      </c>
      <c r="D18" s="33">
        <f>'Dabur India'!D16</f>
        <v>2.1604768311981923E-2</v>
      </c>
      <c r="E18" s="78">
        <f>'HDFC Life Insurance'!D16</f>
        <v>4.4339523850964284E-3</v>
      </c>
      <c r="F18" s="33">
        <f>'Adani Enterprises'!D16</f>
        <v>2.2346390027086285E-2</v>
      </c>
      <c r="G18" s="34">
        <f>'Hindalco Industries'!D16</f>
        <v>2.0230062321918017E-2</v>
      </c>
      <c r="O18" s="10"/>
    </row>
    <row r="19" spans="1:15" x14ac:dyDescent="0.4">
      <c r="A19" s="3">
        <v>45523</v>
      </c>
      <c r="B19" s="32">
        <f>'NIFTY 50'!C17</f>
        <v>1.2827353745464452E-3</v>
      </c>
      <c r="C19" s="33">
        <f>NTPC!D17</f>
        <v>1.2607044588533031E-2</v>
      </c>
      <c r="D19" s="33">
        <f>'Dabur India'!D17</f>
        <v>5.9730583590816635E-3</v>
      </c>
      <c r="E19" s="78">
        <f>'HDFC Life Insurance'!D17</f>
        <v>-5.3814397924461512E-3</v>
      </c>
      <c r="F19" s="33">
        <f>'Adani Enterprises'!D17</f>
        <v>-2.0124456388200319E-3</v>
      </c>
      <c r="G19" s="34">
        <f>'Hindalco Industries'!D17</f>
        <v>3.8210371477822767E-2</v>
      </c>
      <c r="I19" s="36"/>
      <c r="J19" s="37" t="s">
        <v>8</v>
      </c>
      <c r="K19" s="37" t="s">
        <v>6</v>
      </c>
      <c r="L19" s="37" t="s">
        <v>44</v>
      </c>
      <c r="M19" s="37" t="s">
        <v>9</v>
      </c>
      <c r="N19" s="37" t="s">
        <v>10</v>
      </c>
      <c r="O19" s="37" t="s">
        <v>11</v>
      </c>
    </row>
    <row r="20" spans="1:15" x14ac:dyDescent="0.4">
      <c r="A20" s="3">
        <v>45524</v>
      </c>
      <c r="B20" s="32">
        <f>'NIFTY 50'!C18</f>
        <v>5.1226480205889434E-3</v>
      </c>
      <c r="C20" s="33">
        <f>NTPC!D18</f>
        <v>7.7840635208269934E-3</v>
      </c>
      <c r="D20" s="33">
        <f>'Dabur India'!D18</f>
        <v>2.8929624805281743E-3</v>
      </c>
      <c r="E20" s="78">
        <f>'HDFC Life Insurance'!D18</f>
        <v>3.5669469296607997E-2</v>
      </c>
      <c r="F20" s="33">
        <f>'Adani Enterprises'!D18</f>
        <v>-1.0335088429615728E-2</v>
      </c>
      <c r="G20" s="34">
        <f>'Hindalco Industries'!D18</f>
        <v>2.1100839203010983E-2</v>
      </c>
      <c r="I20" s="35" t="s">
        <v>8</v>
      </c>
      <c r="J20" s="28">
        <v>1</v>
      </c>
      <c r="K20" s="28"/>
      <c r="L20" s="28"/>
      <c r="M20" s="28"/>
      <c r="N20" s="28"/>
      <c r="O20" s="28"/>
    </row>
    <row r="21" spans="1:15" x14ac:dyDescent="0.4">
      <c r="A21" s="3">
        <v>45525</v>
      </c>
      <c r="B21" s="32">
        <f>'NIFTY 50'!C19</f>
        <v>2.8846339064908873E-3</v>
      </c>
      <c r="C21" s="33">
        <f>NTPC!D19</f>
        <v>6.6241655370357661E-3</v>
      </c>
      <c r="D21" s="33">
        <f>'Dabur India'!D19</f>
        <v>1.7893833036430992E-2</v>
      </c>
      <c r="E21" s="78">
        <f>'HDFC Life Insurance'!D19</f>
        <v>1.9441088905006391E-2</v>
      </c>
      <c r="F21" s="33">
        <f>'Adani Enterprises'!D19</f>
        <v>1.4564580522381864E-2</v>
      </c>
      <c r="G21" s="34">
        <f>'Hindalco Industries'!D19</f>
        <v>1.869763708929768E-2</v>
      </c>
      <c r="I21" s="35" t="s">
        <v>6</v>
      </c>
      <c r="J21" s="28">
        <v>0.53467522383200505</v>
      </c>
      <c r="K21" s="28">
        <v>1</v>
      </c>
      <c r="L21" s="28"/>
      <c r="M21" s="28"/>
      <c r="N21" s="28"/>
      <c r="O21" s="28"/>
    </row>
    <row r="22" spans="1:15" x14ac:dyDescent="0.4">
      <c r="A22" s="3">
        <v>45526</v>
      </c>
      <c r="B22" s="32">
        <f>'NIFTY 50'!C20</f>
        <v>1.6659376161698191E-3</v>
      </c>
      <c r="C22" s="33">
        <f>NTPC!D20</f>
        <v>-1.3788227797999602E-2</v>
      </c>
      <c r="D22" s="33">
        <f>'Dabur India'!D20</f>
        <v>1.8430822384593086E-2</v>
      </c>
      <c r="E22" s="78">
        <f>'HDFC Life Insurance'!D20</f>
        <v>1.9992423328629235E-3</v>
      </c>
      <c r="F22" s="33">
        <f>'Adani Enterprises'!D20</f>
        <v>-5.358233182678411E-3</v>
      </c>
      <c r="G22" s="34">
        <f>'Hindalco Industries'!D20</f>
        <v>-7.2931480906164836E-5</v>
      </c>
      <c r="I22" s="35" t="s">
        <v>44</v>
      </c>
      <c r="J22" s="28">
        <v>0.41628687795054137</v>
      </c>
      <c r="K22" s="28">
        <v>0.75328724190289276</v>
      </c>
      <c r="L22" s="28">
        <v>1</v>
      </c>
      <c r="M22" s="28"/>
      <c r="N22" s="28"/>
      <c r="O22" s="28"/>
    </row>
    <row r="23" spans="1:15" x14ac:dyDescent="0.4">
      <c r="A23" s="3">
        <v>45527</v>
      </c>
      <c r="B23" s="32">
        <f>'NIFTY 50'!C21</f>
        <v>4.6943013455067465E-4</v>
      </c>
      <c r="C23" s="33">
        <f>NTPC!D21</f>
        <v>-3.4769686090135865E-3</v>
      </c>
      <c r="D23" s="33">
        <f>'Dabur India'!D21</f>
        <v>-4.4982238093468447E-3</v>
      </c>
      <c r="E23" s="78">
        <f>'HDFC Life Insurance'!D21</f>
        <v>4.1237171838621562E-3</v>
      </c>
      <c r="F23" s="33">
        <f>'Adani Enterprises'!D21</f>
        <v>-7.3517836065920619E-3</v>
      </c>
      <c r="G23" s="34">
        <f>'Hindalco Industries'!D21</f>
        <v>-6.5662279381054024E-4</v>
      </c>
      <c r="I23" s="35" t="s">
        <v>9</v>
      </c>
      <c r="J23" s="28">
        <v>0.75538371952959094</v>
      </c>
      <c r="K23" s="28">
        <v>0.32294721243632013</v>
      </c>
      <c r="L23" s="28">
        <v>6.3422427314457297E-2</v>
      </c>
      <c r="M23" s="28">
        <v>1</v>
      </c>
      <c r="N23" s="28"/>
      <c r="O23" s="28"/>
    </row>
    <row r="24" spans="1:15" x14ac:dyDescent="0.4">
      <c r="A24" s="3">
        <v>45530</v>
      </c>
      <c r="B24" s="32">
        <f>'NIFTY 50'!C22</f>
        <v>7.5230495028018388E-3</v>
      </c>
      <c r="C24" s="33">
        <f>NTPC!D22</f>
        <v>3.1589306336324605E-2</v>
      </c>
      <c r="D24" s="33">
        <f>'Dabur India'!D22</f>
        <v>1.7414525464254427E-2</v>
      </c>
      <c r="E24" s="78">
        <f>'HDFC Life Insurance'!D22</f>
        <v>-4.6059270922863488E-3</v>
      </c>
      <c r="F24" s="33">
        <f>'Adani Enterprises'!D22</f>
        <v>-2.3920536681152492E-3</v>
      </c>
      <c r="G24" s="34">
        <f>'Hindalco Industries'!D22</f>
        <v>3.8302402050901373E-2</v>
      </c>
      <c r="I24" s="35" t="s">
        <v>10</v>
      </c>
      <c r="J24" s="28">
        <v>0.65975557714482469</v>
      </c>
      <c r="K24" s="28">
        <v>0.88425693036814379</v>
      </c>
      <c r="L24" s="28">
        <v>0.7921457635455087</v>
      </c>
      <c r="M24" s="28">
        <v>0.42782349349798465</v>
      </c>
      <c r="N24" s="28">
        <v>1</v>
      </c>
      <c r="O24" s="28"/>
    </row>
    <row r="25" spans="1:15" x14ac:dyDescent="0.4">
      <c r="A25" s="3">
        <v>45531</v>
      </c>
      <c r="B25" s="32">
        <f>'NIFTY 50'!C23</f>
        <v>2.8583793184004246E-4</v>
      </c>
      <c r="C25" s="33">
        <f>NTPC!D23</f>
        <v>-1.2613872522470667E-2</v>
      </c>
      <c r="D25" s="33">
        <f>'Dabur India'!D23</f>
        <v>-1.7181361821182021E-2</v>
      </c>
      <c r="E25" s="78">
        <f>'HDFC Life Insurance'!D23</f>
        <v>1.8974088201007076E-2</v>
      </c>
      <c r="F25" s="33">
        <f>'Adani Enterprises'!D23</f>
        <v>-6.1928588540711472E-4</v>
      </c>
      <c r="G25" s="34">
        <f>'Hindalco Industries'!D23</f>
        <v>-1.1799338505311096E-2</v>
      </c>
      <c r="I25" s="35" t="s">
        <v>11</v>
      </c>
      <c r="J25" s="28">
        <v>0.57432851736783241</v>
      </c>
      <c r="K25" s="28">
        <v>0.62597245989182626</v>
      </c>
      <c r="L25" s="28">
        <v>0.35794411683644534</v>
      </c>
      <c r="M25" s="28">
        <v>0.48507367366011195</v>
      </c>
      <c r="N25" s="28">
        <v>0.54155770189436025</v>
      </c>
      <c r="O25" s="28">
        <v>1</v>
      </c>
    </row>
    <row r="26" spans="1:15" x14ac:dyDescent="0.4">
      <c r="A26" s="3">
        <v>45532</v>
      </c>
      <c r="B26" s="32">
        <f>'NIFTY 50'!C24</f>
        <v>1.3820625685767348E-3</v>
      </c>
      <c r="C26" s="33">
        <f>NTPC!D24</f>
        <v>-1.4657386281163719E-3</v>
      </c>
      <c r="D26" s="33">
        <f>'Dabur India'!D24</f>
        <v>1.5530364978932419E-3</v>
      </c>
      <c r="E26" s="78">
        <f>'HDFC Life Insurance'!D24</f>
        <v>3.4421118587089766E-3</v>
      </c>
      <c r="F26" s="33">
        <f>'Adani Enterprises'!D24</f>
        <v>-1.2830154176989706E-2</v>
      </c>
      <c r="G26" s="34">
        <f>'Hindalco Industries'!D24</f>
        <v>2.2008457287952077E-3</v>
      </c>
      <c r="O26" s="10"/>
    </row>
    <row r="27" spans="1:15" x14ac:dyDescent="0.4">
      <c r="A27" s="3">
        <v>45533</v>
      </c>
      <c r="B27" s="32">
        <f>'NIFTY 50'!C25</f>
        <v>3.9677928253165316E-3</v>
      </c>
      <c r="C27" s="33">
        <f>NTPC!D25</f>
        <v>2.0758295505845597E-3</v>
      </c>
      <c r="D27" s="33">
        <f>'Dabur India'!D25</f>
        <v>-3.8803306528556008E-4</v>
      </c>
      <c r="E27" s="78">
        <f>'HDFC Life Insurance'!D25</f>
        <v>-7.0318072031343645E-3</v>
      </c>
      <c r="F27" s="33">
        <f>'Adani Enterprises'!D25</f>
        <v>-2.5958365477095732E-3</v>
      </c>
      <c r="G27" s="34">
        <f>'Hindalco Industries'!D25</f>
        <v>-6.4743565061773636E-3</v>
      </c>
      <c r="I27" s="38" t="s">
        <v>62</v>
      </c>
      <c r="J27" s="39"/>
      <c r="O27" s="10"/>
    </row>
    <row r="28" spans="1:15" x14ac:dyDescent="0.4">
      <c r="A28" s="3">
        <v>45534</v>
      </c>
      <c r="B28" s="32">
        <f>'NIFTY 50'!C26</f>
        <v>3.332155576256976E-3</v>
      </c>
      <c r="C28" s="33">
        <f>NTPC!D26</f>
        <v>1.5252686449242192E-2</v>
      </c>
      <c r="D28" s="33">
        <f>'Dabur India'!D26</f>
        <v>-1.0926511579245629E-2</v>
      </c>
      <c r="E28" s="78">
        <f>'HDFC Life Insurance'!D26</f>
        <v>2.4396867617384748E-3</v>
      </c>
      <c r="F28" s="33">
        <f>'Adani Enterprises'!D26</f>
        <v>-2.6492259447935876E-4</v>
      </c>
      <c r="G28" s="34">
        <f>'Hindalco Industries'!D26</f>
        <v>1.2126833886187917E-3</v>
      </c>
      <c r="O28" s="10"/>
    </row>
    <row r="29" spans="1:15" x14ac:dyDescent="0.4">
      <c r="A29" s="3">
        <v>45537</v>
      </c>
      <c r="B29" s="32">
        <f>'NIFTY 50'!C27</f>
        <v>1.6945599981708784E-3</v>
      </c>
      <c r="C29" s="33">
        <f>NTPC!D27</f>
        <v>-1.500875426118058E-2</v>
      </c>
      <c r="D29" s="33">
        <f>'Dabur India'!D27</f>
        <v>-7.8505263884363549E-4</v>
      </c>
      <c r="E29" s="78">
        <f>'HDFC Life Insurance'!D27</f>
        <v>8.8949373529558576E-3</v>
      </c>
      <c r="F29" s="33">
        <f>'Adani Enterprises'!D27</f>
        <v>7.5229258531003436E-3</v>
      </c>
      <c r="G29" s="34">
        <f>'Hindalco Industries'!D27</f>
        <v>-2.5195341061630114E-2</v>
      </c>
      <c r="O29" s="10"/>
    </row>
    <row r="30" spans="1:15" x14ac:dyDescent="0.4">
      <c r="A30" s="3">
        <v>45538</v>
      </c>
      <c r="B30" s="32">
        <f>'NIFTY 50'!C28</f>
        <v>4.5491810987265924E-5</v>
      </c>
      <c r="C30" s="33">
        <f>NTPC!D28</f>
        <v>-8.8192634340813602E-3</v>
      </c>
      <c r="D30" s="33">
        <f>'Dabur India'!D28</f>
        <v>2.4316598246986766E-3</v>
      </c>
      <c r="E30" s="78">
        <f>'HDFC Life Insurance'!D28</f>
        <v>1.7885520486059844E-2</v>
      </c>
      <c r="F30" s="33">
        <f>'Adani Enterprises'!D28</f>
        <v>-1.9907052187605476E-3</v>
      </c>
      <c r="G30" s="34">
        <f>'Hindalco Industries'!D28</f>
        <v>-7.3378667964489677E-3</v>
      </c>
      <c r="O30" s="10"/>
    </row>
    <row r="31" spans="1:15" x14ac:dyDescent="0.4">
      <c r="A31" s="3">
        <v>45539</v>
      </c>
      <c r="B31" s="32">
        <f>'NIFTY 50'!C29</f>
        <v>-3.2152298316295127E-3</v>
      </c>
      <c r="C31" s="33">
        <f>NTPC!D29</f>
        <v>-3.2039460556272012E-3</v>
      </c>
      <c r="D31" s="33">
        <f>'Dabur India'!D29</f>
        <v>1.8397569164034535E-2</v>
      </c>
      <c r="E31" s="78">
        <f>'HDFC Life Insurance'!D29</f>
        <v>6.589568715097E-5</v>
      </c>
      <c r="F31" s="33">
        <f>'Adani Enterprises'!D29</f>
        <v>-7.8532920213895303E-3</v>
      </c>
      <c r="G31" s="34">
        <f>'Hindalco Industries'!D29</f>
        <v>-1.7983690430962457E-2</v>
      </c>
      <c r="O31" s="10"/>
    </row>
    <row r="32" spans="1:15" x14ac:dyDescent="0.4">
      <c r="A32" s="3">
        <v>45540</v>
      </c>
      <c r="B32" s="32">
        <f>'NIFTY 50'!C30</f>
        <v>-2.1293593353156458E-3</v>
      </c>
      <c r="C32" s="33">
        <f>NTPC!D30</f>
        <v>-4.5772332033267383E-3</v>
      </c>
      <c r="D32" s="33">
        <f>'Dabur India'!D30</f>
        <v>-8.1090918157591969E-3</v>
      </c>
      <c r="E32" s="78">
        <f>'HDFC Life Insurance'!D30</f>
        <v>-9.2014020925299238E-3</v>
      </c>
      <c r="F32" s="33">
        <f>'Adani Enterprises'!D30</f>
        <v>9.954046311885375E-4</v>
      </c>
      <c r="G32" s="34">
        <f>'Hindalco Industries'!D30</f>
        <v>4.7129318579781122E-3</v>
      </c>
      <c r="O32" s="10"/>
    </row>
    <row r="33" spans="1:15" x14ac:dyDescent="0.4">
      <c r="A33" s="3">
        <v>45541</v>
      </c>
      <c r="B33" s="32">
        <f>'NIFTY 50'!C31</f>
        <v>-1.1718778635040884E-2</v>
      </c>
      <c r="C33" s="33">
        <f>NTPC!D31</f>
        <v>-2.117740944599172E-2</v>
      </c>
      <c r="D33" s="33">
        <f>'Dabur India'!D31</f>
        <v>-6.2053988959914438E-4</v>
      </c>
      <c r="E33" s="78">
        <f>'HDFC Life Insurance'!D31</f>
        <v>-1.8051152779686743E-2</v>
      </c>
      <c r="F33" s="33">
        <f>'Adani Enterprises'!D31</f>
        <v>-1.3320621614074202E-2</v>
      </c>
      <c r="G33" s="34">
        <f>'Hindalco Industries'!D31</f>
        <v>-4.263123019147292E-3</v>
      </c>
      <c r="O33" s="10"/>
    </row>
    <row r="34" spans="1:15" x14ac:dyDescent="0.4">
      <c r="A34" s="3">
        <v>45544</v>
      </c>
      <c r="B34" s="32">
        <f>'NIFTY 50'!C32</f>
        <v>3.3843154867430215E-3</v>
      </c>
      <c r="C34" s="33">
        <f>NTPC!D32</f>
        <v>-1.2617257803717573E-2</v>
      </c>
      <c r="D34" s="33">
        <f>'Dabur India'!D32</f>
        <v>2.7474465827451316E-2</v>
      </c>
      <c r="E34" s="78">
        <f>'HDFC Life Insurance'!D32</f>
        <v>-3.5273405179684107E-3</v>
      </c>
      <c r="F34" s="33">
        <f>'Adani Enterprises'!D32</f>
        <v>-3.8049746222938254E-3</v>
      </c>
      <c r="G34" s="34">
        <f>'Hindalco Industries'!D32</f>
        <v>-1.2899511270414369E-2</v>
      </c>
      <c r="O34" s="10"/>
    </row>
    <row r="35" spans="1:15" x14ac:dyDescent="0.4">
      <c r="A35" s="3">
        <v>45545</v>
      </c>
      <c r="B35" s="32">
        <f>'NIFTY 50'!C33</f>
        <v>4.1898915779699352E-3</v>
      </c>
      <c r="C35" s="33">
        <f>NTPC!D33</f>
        <v>1.6409450440780252E-2</v>
      </c>
      <c r="D35" s="33">
        <f>'Dabur India'!D33</f>
        <v>4.3687927275280159E-3</v>
      </c>
      <c r="E35" s="78">
        <f>'HDFC Life Insurance'!D33</f>
        <v>-4.5743708488814296E-2</v>
      </c>
      <c r="F35" s="33">
        <f>'Adani Enterprises'!D33</f>
        <v>7.4783351774527296E-3</v>
      </c>
      <c r="G35" s="34">
        <f>'Hindalco Industries'!D33</f>
        <v>1.4415237123138237E-3</v>
      </c>
      <c r="O35" s="10"/>
    </row>
    <row r="36" spans="1:15" x14ac:dyDescent="0.4">
      <c r="A36" s="3">
        <v>45546</v>
      </c>
      <c r="B36" s="32">
        <f>'NIFTY 50'!C34</f>
        <v>-4.9099820315822162E-3</v>
      </c>
      <c r="C36" s="33">
        <f>NTPC!D34</f>
        <v>-1.6922599906819498E-2</v>
      </c>
      <c r="D36" s="33">
        <f>'Dabur India'!D34</f>
        <v>-2.0313741326849549E-3</v>
      </c>
      <c r="E36" s="78">
        <f>'HDFC Life Insurance'!D34</f>
        <v>-3.9200363800735395E-3</v>
      </c>
      <c r="F36" s="33">
        <f>'Adani Enterprises'!D34</f>
        <v>-1.6390627309460278E-2</v>
      </c>
      <c r="G36" s="34">
        <f>'Hindalco Industries'!D34</f>
        <v>-1.805434596849784E-2</v>
      </c>
      <c r="O36" s="10"/>
    </row>
    <row r="37" spans="1:15" x14ac:dyDescent="0.4">
      <c r="A37" s="3">
        <v>45547</v>
      </c>
      <c r="B37" s="32">
        <f>'NIFTY 50'!C35</f>
        <v>1.8703577686811725E-2</v>
      </c>
      <c r="C37" s="33">
        <f>NTPC!D35</f>
        <v>3.8267727842553514E-2</v>
      </c>
      <c r="D37" s="33">
        <f>'Dabur India'!D35</f>
        <v>1.279494398015672E-3</v>
      </c>
      <c r="E37" s="78">
        <f>'HDFC Life Insurance'!D35</f>
        <v>2.0358376126017666E-2</v>
      </c>
      <c r="F37" s="33">
        <f>'Adani Enterprises'!D35</f>
        <v>1.7929758339034187E-2</v>
      </c>
      <c r="G37" s="34">
        <f>'Hindalco Industries'!D35</f>
        <v>4.3061264084914272E-2</v>
      </c>
      <c r="O37" s="10"/>
    </row>
    <row r="38" spans="1:15" x14ac:dyDescent="0.4">
      <c r="A38" s="3">
        <v>45548</v>
      </c>
      <c r="B38" s="32">
        <f>'NIFTY 50'!C36</f>
        <v>-1.2769632085949123E-3</v>
      </c>
      <c r="C38" s="33">
        <f>NTPC!D36</f>
        <v>-8.5581917698856463E-3</v>
      </c>
      <c r="D38" s="33">
        <f>'Dabur India'!D36</f>
        <v>-5.8084876467220659E-3</v>
      </c>
      <c r="E38" s="78">
        <f>'HDFC Life Insurance'!D36</f>
        <v>-1.2887956125852109E-2</v>
      </c>
      <c r="F38" s="33">
        <f>'Adani Enterprises'!D36</f>
        <v>-7.6015367669257624E-3</v>
      </c>
      <c r="G38" s="34">
        <f>'Hindalco Industries'!D36</f>
        <v>-4.3721585820774228E-3</v>
      </c>
      <c r="O38" s="10"/>
    </row>
    <row r="39" spans="1:15" x14ac:dyDescent="0.4">
      <c r="A39" s="3">
        <v>45551</v>
      </c>
      <c r="B39" s="32">
        <f>'NIFTY 50'!C37</f>
        <v>1.0740980826790941E-3</v>
      </c>
      <c r="C39" s="33">
        <f>NTPC!D37</f>
        <v>2.3878057541595114E-2</v>
      </c>
      <c r="D39" s="33">
        <f>'Dabur India'!D37</f>
        <v>6.806579956493609E-4</v>
      </c>
      <c r="E39" s="78">
        <f>'HDFC Life Insurance'!D37</f>
        <v>-5.7579686362711421E-3</v>
      </c>
      <c r="F39" s="33">
        <f>'Adani Enterprises'!D37</f>
        <v>5.5600025649937285E-3</v>
      </c>
      <c r="G39" s="34">
        <f>'Hindalco Industries'!D37</f>
        <v>1.752106070050163E-2</v>
      </c>
      <c r="O39" s="10"/>
    </row>
    <row r="40" spans="1:15" x14ac:dyDescent="0.4">
      <c r="A40" s="3">
        <v>45552</v>
      </c>
      <c r="B40" s="32">
        <f>'NIFTY 50'!C38</f>
        <v>1.3700169261289907E-3</v>
      </c>
      <c r="C40" s="33">
        <f>NTPC!D38</f>
        <v>1.2569660297097097E-2</v>
      </c>
      <c r="D40" s="33">
        <f>'Dabur India'!D38</f>
        <v>-1.8161185468463055E-3</v>
      </c>
      <c r="E40" s="78">
        <f>'HDFC Life Insurance'!D38</f>
        <v>-3.49937868259708E-3</v>
      </c>
      <c r="F40" s="33">
        <f>'Adani Enterprises'!D38</f>
        <v>-3.2549818171557659E-3</v>
      </c>
      <c r="G40" s="34">
        <f>'Hindalco Industries'!D38</f>
        <v>-3.1429328214198976E-3</v>
      </c>
      <c r="O40" s="10"/>
    </row>
    <row r="41" spans="1:15" x14ac:dyDescent="0.4">
      <c r="A41" s="3">
        <v>45553</v>
      </c>
      <c r="B41" s="32">
        <f>'NIFTY 50'!C39</f>
        <v>-1.6142975111744227E-3</v>
      </c>
      <c r="C41" s="33">
        <f>NTPC!D39</f>
        <v>-5.1779271566566535E-3</v>
      </c>
      <c r="D41" s="33">
        <f>'Dabur India'!D39</f>
        <v>-8.7482966366728247E-3</v>
      </c>
      <c r="E41" s="78">
        <f>'HDFC Life Insurance'!D39</f>
        <v>-1.4309222318188445E-4</v>
      </c>
      <c r="F41" s="33">
        <f>'Adani Enterprises'!D39</f>
        <v>-6.3727771944067273E-3</v>
      </c>
      <c r="G41" s="34">
        <f>'Hindalco Industries'!D39</f>
        <v>3.288875612105144E-3</v>
      </c>
      <c r="O41" s="10"/>
    </row>
    <row r="42" spans="1:15" x14ac:dyDescent="0.4">
      <c r="A42" s="3">
        <v>45554</v>
      </c>
      <c r="B42" s="32">
        <f>'NIFTY 50'!C40</f>
        <v>1.5061029536485916E-3</v>
      </c>
      <c r="C42" s="33">
        <f>NTPC!D40</f>
        <v>2.3387296705738865E-2</v>
      </c>
      <c r="D42" s="33">
        <f>'Dabur India'!D40</f>
        <v>1.5617025758999004E-2</v>
      </c>
      <c r="E42" s="78">
        <f>'HDFC Life Insurance'!D40</f>
        <v>3.8563212826141758E-3</v>
      </c>
      <c r="F42" s="33">
        <f>'Adani Enterprises'!D40</f>
        <v>-4.4580500822331256E-3</v>
      </c>
      <c r="G42" s="34">
        <f>'Hindalco Industries'!D40</f>
        <v>-1.5334626393908469E-3</v>
      </c>
      <c r="O42" s="10"/>
    </row>
    <row r="43" spans="1:15" x14ac:dyDescent="0.4">
      <c r="A43" s="3">
        <v>45555</v>
      </c>
      <c r="B43" s="32">
        <f>'NIFTY 50'!C41</f>
        <v>1.4652627320371103E-2</v>
      </c>
      <c r="C43" s="33">
        <f>NTPC!D41</f>
        <v>0</v>
      </c>
      <c r="D43" s="33">
        <f>'Dabur India'!D41</f>
        <v>4.2784827885676549E-3</v>
      </c>
      <c r="E43" s="78">
        <f>'HDFC Life Insurance'!D41</f>
        <v>1.359216734695665E-2</v>
      </c>
      <c r="F43" s="33">
        <f>'Adani Enterprises'!D41</f>
        <v>2.1961179326186089E-2</v>
      </c>
      <c r="G43" s="34">
        <f>'Hindalco Industries'!D41</f>
        <v>1.4797890802636044E-2</v>
      </c>
      <c r="O43" s="10"/>
    </row>
    <row r="44" spans="1:15" x14ac:dyDescent="0.4">
      <c r="A44" s="3">
        <v>45558</v>
      </c>
      <c r="B44" s="32">
        <f>'NIFTY 50'!C42</f>
        <v>5.7259000437972149E-3</v>
      </c>
      <c r="C44" s="33">
        <f>NTPC!D42</f>
        <v>1.0325094660041088E-2</v>
      </c>
      <c r="D44" s="33">
        <f>'Dabur India'!D42</f>
        <v>-9.7848138799982703E-3</v>
      </c>
      <c r="E44" s="78">
        <f>'HDFC Life Insurance'!D42</f>
        <v>2.2800932156175204E-2</v>
      </c>
      <c r="F44" s="33">
        <f>'Adani Enterprises'!D42</f>
        <v>1.1714398430681009E-2</v>
      </c>
      <c r="G44" s="34">
        <f>'Hindalco Industries'!D42</f>
        <v>-5.5597818222028212E-3</v>
      </c>
      <c r="O44" s="10"/>
    </row>
    <row r="45" spans="1:15" x14ac:dyDescent="0.4">
      <c r="A45" s="3">
        <v>45559</v>
      </c>
      <c r="B45" s="32">
        <f>'NIFTY 50'!C43</f>
        <v>5.2043728308821627E-5</v>
      </c>
      <c r="C45" s="33">
        <f>NTPC!D43</f>
        <v>-5.8380525915249413E-4</v>
      </c>
      <c r="D45" s="33">
        <f>'Dabur India'!D43</f>
        <v>-7.8973756949509196E-3</v>
      </c>
      <c r="E45" s="78">
        <f>'HDFC Life Insurance'!D43</f>
        <v>-9.3910371152521651E-3</v>
      </c>
      <c r="F45" s="33">
        <f>'Adani Enterprises'!D43</f>
        <v>1.627641689904568E-2</v>
      </c>
      <c r="G45" s="34">
        <f>'Hindalco Industries'!D43</f>
        <v>3.8772252049765338E-2</v>
      </c>
      <c r="O45" s="10"/>
    </row>
    <row r="46" spans="1:15" x14ac:dyDescent="0.4">
      <c r="A46" s="3">
        <v>45560</v>
      </c>
      <c r="B46" s="32">
        <f>'NIFTY 50'!C44</f>
        <v>2.4545416990469533E-3</v>
      </c>
      <c r="C46" s="33">
        <f>NTPC!D44</f>
        <v>1.8514761697820303E-2</v>
      </c>
      <c r="D46" s="33">
        <f>'Dabur India'!D44</f>
        <v>-4.498556362823404E-2</v>
      </c>
      <c r="E46" s="78">
        <f>'HDFC Life Insurance'!D44</f>
        <v>-5.7749334263148952E-3</v>
      </c>
      <c r="F46" s="33">
        <f>'Adani Enterprises'!D44</f>
        <v>3.6134899780027423E-3</v>
      </c>
      <c r="G46" s="34">
        <f>'Hindalco Industries'!D44</f>
        <v>8.3548010151275891E-4</v>
      </c>
      <c r="O46" s="10"/>
    </row>
    <row r="47" spans="1:15" x14ac:dyDescent="0.4">
      <c r="A47" s="3">
        <v>45561</v>
      </c>
      <c r="B47" s="32">
        <f>'NIFTY 50'!C45</f>
        <v>8.1156779580020509E-3</v>
      </c>
      <c r="C47" s="33">
        <f>NTPC!D45</f>
        <v>-3.4455070263915552E-3</v>
      </c>
      <c r="D47" s="33">
        <f>'Dabur India'!D45</f>
        <v>-1.9956103210370456E-3</v>
      </c>
      <c r="E47" s="78">
        <f>'HDFC Life Insurance'!D45</f>
        <v>1.797987720595097E-2</v>
      </c>
      <c r="F47" s="33">
        <f>'Adani Enterprises'!D45</f>
        <v>5.6360793085330867E-3</v>
      </c>
      <c r="G47" s="34">
        <f>'Hindalco Industries'!D45</f>
        <v>2.2298081646739493E-2</v>
      </c>
      <c r="O47" s="10"/>
    </row>
    <row r="48" spans="1:15" x14ac:dyDescent="0.4">
      <c r="A48" s="3">
        <v>45562</v>
      </c>
      <c r="B48" s="32">
        <f>'NIFTY 50'!C46</f>
        <v>-1.4161659013423675E-3</v>
      </c>
      <c r="C48" s="33">
        <f>NTPC!D46</f>
        <v>5.2782681350607439E-3</v>
      </c>
      <c r="D48" s="33">
        <f>'Dabur India'!D46</f>
        <v>1.1519491832292509E-2</v>
      </c>
      <c r="E48" s="78">
        <f>'HDFC Life Insurance'!D46</f>
        <v>8.9056351150510751E-4</v>
      </c>
      <c r="F48" s="33">
        <f>'Adani Enterprises'!D46</f>
        <v>2.44684630990126E-3</v>
      </c>
      <c r="G48" s="34">
        <f>'Hindalco Industries'!D46</f>
        <v>1.6871772865446787E-2</v>
      </c>
      <c r="O48" s="10"/>
    </row>
    <row r="49" spans="1:15" x14ac:dyDescent="0.4">
      <c r="A49" s="3">
        <v>45565</v>
      </c>
      <c r="B49" s="32">
        <f>'NIFTY 50'!C47</f>
        <v>-1.4160706565616464E-2</v>
      </c>
      <c r="C49" s="33">
        <f>NTPC!D47</f>
        <v>1.4316799475683808E-2</v>
      </c>
      <c r="D49" s="33">
        <f>'Dabur India'!D47</f>
        <v>-1.2398823596854546E-2</v>
      </c>
      <c r="E49" s="78">
        <f>'HDFC Life Insurance'!D47</f>
        <v>-1.6848900173312316E-2</v>
      </c>
      <c r="F49" s="33">
        <f>'Adani Enterprises'!D47</f>
        <v>1.7714231071063267E-3</v>
      </c>
      <c r="G49" s="34">
        <f>'Hindalco Industries'!D47</f>
        <v>1.2039923269430415E-2</v>
      </c>
      <c r="O49" s="10"/>
    </row>
    <row r="50" spans="1:15" x14ac:dyDescent="0.4">
      <c r="A50" s="3">
        <v>45566</v>
      </c>
      <c r="B50" s="32">
        <f>'NIFTY 50'!C48</f>
        <v>-5.4061649034323775E-4</v>
      </c>
      <c r="C50" s="33">
        <f>NTPC!D48</f>
        <v>-7.0191616160282062E-3</v>
      </c>
      <c r="D50" s="33">
        <f>'Dabur India'!D48</f>
        <v>-9.966325862725495E-3</v>
      </c>
      <c r="E50" s="78">
        <f>'HDFC Life Insurance'!D48</f>
        <v>-1.0922948539236655E-2</v>
      </c>
      <c r="F50" s="33">
        <f>'Adani Enterprises'!D48</f>
        <v>1.5897328603268823E-2</v>
      </c>
      <c r="G50" s="34">
        <f>'Hindalco Industries'!D48</f>
        <v>7.0499386046804918E-3</v>
      </c>
      <c r="O50" s="10"/>
    </row>
    <row r="51" spans="1:15" x14ac:dyDescent="0.4">
      <c r="A51" s="3">
        <v>45568</v>
      </c>
      <c r="B51" s="32">
        <f>'NIFTY 50'!C49</f>
        <v>-2.1424213560051142E-2</v>
      </c>
      <c r="C51" s="33">
        <f>NTPC!D49</f>
        <v>-1.0851668542421153E-2</v>
      </c>
      <c r="D51" s="33">
        <f>'Dabur India'!D49</f>
        <v>-6.4732400997292425E-2</v>
      </c>
      <c r="E51" s="78">
        <f>'HDFC Life Insurance'!D49</f>
        <v>-1.1257154524634558E-2</v>
      </c>
      <c r="F51" s="33">
        <f>'Adani Enterprises'!D49</f>
        <v>-2.224747030630626E-2</v>
      </c>
      <c r="G51" s="34">
        <f>'Hindalco Industries'!D49</f>
        <v>-1.9156785079757377E-2</v>
      </c>
      <c r="O51" s="10"/>
    </row>
    <row r="52" spans="1:15" x14ac:dyDescent="0.4">
      <c r="A52" s="3">
        <v>45569</v>
      </c>
      <c r="B52" s="32">
        <f>'NIFTY 50'!C50</f>
        <v>-9.3704617030021236E-3</v>
      </c>
      <c r="C52" s="33">
        <f>NTPC!D50</f>
        <v>-1.1319132170661042E-2</v>
      </c>
      <c r="D52" s="33">
        <f>'Dabur India'!D50</f>
        <v>-1.344747631748227E-2</v>
      </c>
      <c r="E52" s="78">
        <f>'HDFC Life Insurance'!D50</f>
        <v>9.2839333065180534E-3</v>
      </c>
      <c r="F52" s="33">
        <f>'Adani Enterprises'!D50</f>
        <v>-1.7184204400541904E-3</v>
      </c>
      <c r="G52" s="34">
        <f>'Hindalco Industries'!D50</f>
        <v>1.0702342158663575E-3</v>
      </c>
      <c r="O52" s="10"/>
    </row>
    <row r="53" spans="1:15" x14ac:dyDescent="0.4">
      <c r="A53" s="3">
        <v>45572</v>
      </c>
      <c r="B53" s="32">
        <f>'NIFTY 50'!C51</f>
        <v>-8.7873868890513806E-3</v>
      </c>
      <c r="C53" s="33">
        <f>NTPC!D51</f>
        <v>-3.5468902992973242E-2</v>
      </c>
      <c r="D53" s="33">
        <f>'Dabur India'!D51</f>
        <v>-5.3422205258843065E-3</v>
      </c>
      <c r="E53" s="78">
        <f>'HDFC Life Insurance'!D51</f>
        <v>-4.170648960662519E-3</v>
      </c>
      <c r="F53" s="33">
        <f>'Adani Enterprises'!D51</f>
        <v>-3.0237347222790447E-2</v>
      </c>
      <c r="G53" s="34">
        <f>'Hindalco Industries'!D51</f>
        <v>-2.2445506920716462E-2</v>
      </c>
      <c r="O53" s="10"/>
    </row>
    <row r="54" spans="1:15" x14ac:dyDescent="0.4">
      <c r="A54" s="3">
        <v>45573</v>
      </c>
      <c r="B54" s="32">
        <f>'NIFTY 50'!C52</f>
        <v>8.7294190611797214E-3</v>
      </c>
      <c r="C54" s="33">
        <f>NTPC!D52</f>
        <v>1.315179167268265E-2</v>
      </c>
      <c r="D54" s="33">
        <f>'Dabur India'!D52</f>
        <v>-3.606777606938668E-3</v>
      </c>
      <c r="E54" s="78">
        <f>'HDFC Life Insurance'!D52</f>
        <v>6.0030548578392301E-3</v>
      </c>
      <c r="F54" s="33">
        <f>'Adani Enterprises'!D52</f>
        <v>4.6199161708797287E-2</v>
      </c>
      <c r="G54" s="34">
        <f>'Hindalco Industries'!D52</f>
        <v>-1.3075680068217299E-2</v>
      </c>
      <c r="O54" s="10"/>
    </row>
    <row r="55" spans="1:15" x14ac:dyDescent="0.4">
      <c r="A55" s="3">
        <v>45574</v>
      </c>
      <c r="B55" s="32">
        <f>'NIFTY 50'!C53</f>
        <v>-1.2481224780150524E-3</v>
      </c>
      <c r="C55" s="33">
        <f>NTPC!D53</f>
        <v>-5.9566533047899451E-3</v>
      </c>
      <c r="D55" s="33">
        <f>'Dabur India'!D53</f>
        <v>-4.0621744308387189E-3</v>
      </c>
      <c r="E55" s="78">
        <f>'HDFC Life Insurance'!D53</f>
        <v>1.0088357944340737E-2</v>
      </c>
      <c r="F55" s="33">
        <f>'Adani Enterprises'!D53</f>
        <v>-2.2013010813238501E-3</v>
      </c>
      <c r="G55" s="34">
        <f>'Hindalco Industries'!D53</f>
        <v>7.9346329975995278E-3</v>
      </c>
      <c r="O55" s="10"/>
    </row>
    <row r="56" spans="1:15" x14ac:dyDescent="0.4">
      <c r="A56" s="3">
        <v>45575</v>
      </c>
      <c r="B56" s="32">
        <f>'NIFTY 50'!C54</f>
        <v>6.6025884544412166E-4</v>
      </c>
      <c r="C56" s="33">
        <f>NTPC!D54</f>
        <v>1.0105299093861245E-2</v>
      </c>
      <c r="D56" s="33">
        <f>'Dabur India'!D54</f>
        <v>1.1700155463765936E-2</v>
      </c>
      <c r="E56" s="78">
        <f>'HDFC Life Insurance'!D54</f>
        <v>8.8136869512249263E-3</v>
      </c>
      <c r="F56" s="33">
        <f>'Adani Enterprises'!D54</f>
        <v>6.4634111181905334E-3</v>
      </c>
      <c r="G56" s="34">
        <f>'Hindalco Industries'!D54</f>
        <v>3.5672672801928393E-3</v>
      </c>
      <c r="O56" s="10"/>
    </row>
    <row r="57" spans="1:15" x14ac:dyDescent="0.4">
      <c r="A57" s="3">
        <v>45576</v>
      </c>
      <c r="B57" s="32">
        <f>'NIFTY 50'!C55</f>
        <v>-1.3690215037028451E-3</v>
      </c>
      <c r="C57" s="33">
        <f>NTPC!D55</f>
        <v>-4.7326077551567092E-4</v>
      </c>
      <c r="D57" s="33">
        <f>'Dabur India'!D55</f>
        <v>-1.4879001475894813E-3</v>
      </c>
      <c r="E57" s="78">
        <f>'HDFC Life Insurance'!D55</f>
        <v>2.7633851643912101E-4</v>
      </c>
      <c r="F57" s="33">
        <f>'Adani Enterprises'!D55</f>
        <v>-1.1724949734946767E-2</v>
      </c>
      <c r="G57" s="34">
        <f>'Hindalco Industries'!D55</f>
        <v>2.3283623745343238E-2</v>
      </c>
      <c r="O57" s="10"/>
    </row>
    <row r="58" spans="1:15" x14ac:dyDescent="0.4">
      <c r="A58" s="3">
        <v>45579</v>
      </c>
      <c r="B58" s="32">
        <f>'NIFTY 50'!C56</f>
        <v>6.5359709797854493E-3</v>
      </c>
      <c r="C58" s="33">
        <f>NTPC!D56</f>
        <v>4.7225589541735379E-3</v>
      </c>
      <c r="D58" s="33">
        <f>'Dabur India'!D56</f>
        <v>-6.238213789814818E-3</v>
      </c>
      <c r="E58" s="78">
        <f>'HDFC Life Insurance'!D56</f>
        <v>2.287647987945985E-2</v>
      </c>
      <c r="F58" s="33">
        <f>'Adani Enterprises'!D56</f>
        <v>-1.1573795095962626E-2</v>
      </c>
      <c r="G58" s="34">
        <f>'Hindalco Industries'!D56</f>
        <v>-5.8375715140644158E-3</v>
      </c>
      <c r="O58" s="10"/>
    </row>
    <row r="59" spans="1:15" x14ac:dyDescent="0.4">
      <c r="A59" s="3">
        <v>45580</v>
      </c>
      <c r="B59" s="32">
        <f>'NIFTY 50'!C57</f>
        <v>-2.8135747549046168E-3</v>
      </c>
      <c r="C59" s="33">
        <f>NTPC!D57</f>
        <v>4.9348002858481338E-3</v>
      </c>
      <c r="D59" s="33">
        <f>'Dabur India'!D57</f>
        <v>6.5009453234888496E-3</v>
      </c>
      <c r="E59" s="78">
        <f>'HDFC Life Insurance'!D57</f>
        <v>-3.6227627368629937E-2</v>
      </c>
      <c r="F59" s="33">
        <f>'Adani Enterprises'!D57</f>
        <v>1.1602050996881959E-3</v>
      </c>
      <c r="G59" s="34">
        <f>'Hindalco Industries'!D57</f>
        <v>-2.1838345340324458E-2</v>
      </c>
      <c r="O59" s="10"/>
    </row>
    <row r="60" spans="1:15" x14ac:dyDescent="0.4">
      <c r="A60" s="3">
        <v>45581</v>
      </c>
      <c r="B60" s="32">
        <f>'NIFTY 50'!C58</f>
        <v>-3.4400322558512829E-3</v>
      </c>
      <c r="C60" s="33">
        <f>NTPC!D58</f>
        <v>-5.5239019229144978E-3</v>
      </c>
      <c r="D60" s="33">
        <f>'Dabur India'!D58</f>
        <v>1.2703555508162262E-2</v>
      </c>
      <c r="E60" s="78">
        <f>'HDFC Life Insurance'!D58</f>
        <v>1.7418295411133499E-2</v>
      </c>
      <c r="F60" s="33">
        <f>'Adani Enterprises'!D58</f>
        <v>-6.0737433511642933E-3</v>
      </c>
      <c r="G60" s="34">
        <f>'Hindalco Industries'!D58</f>
        <v>8.4244188521062323E-3</v>
      </c>
      <c r="O60" s="10"/>
    </row>
    <row r="61" spans="1:15" x14ac:dyDescent="0.4">
      <c r="A61" s="3">
        <v>45582</v>
      </c>
      <c r="B61" s="32">
        <f>'NIFTY 50'!C59</f>
        <v>-8.9077370211750866E-3</v>
      </c>
      <c r="C61" s="33">
        <f>NTPC!D59</f>
        <v>-1.5439736638832595E-2</v>
      </c>
      <c r="D61" s="33">
        <f>'Dabur India'!D59</f>
        <v>-9.9926973048240983E-3</v>
      </c>
      <c r="E61" s="78">
        <f>'HDFC Life Insurance'!D59</f>
        <v>-9.6359013581491938E-4</v>
      </c>
      <c r="F61" s="33">
        <f>'Adani Enterprises'!D59</f>
        <v>-2.3658198495691837E-2</v>
      </c>
      <c r="G61" s="34">
        <f>'Hindalco Industries'!D59</f>
        <v>2.3162351114295078E-3</v>
      </c>
      <c r="O61" s="10"/>
    </row>
    <row r="62" spans="1:15" x14ac:dyDescent="0.4">
      <c r="A62" s="3">
        <v>45583</v>
      </c>
      <c r="B62" s="32">
        <f>'NIFTY 50'!C60</f>
        <v>4.2012887401181526E-3</v>
      </c>
      <c r="C62" s="33">
        <f>NTPC!D60</f>
        <v>1.7088347469132095E-2</v>
      </c>
      <c r="D62" s="33">
        <f>'Dabur India'!D60</f>
        <v>-2.0105780626757282E-3</v>
      </c>
      <c r="E62" s="78">
        <f>'HDFC Life Insurance'!D60</f>
        <v>2.226778195586936E-2</v>
      </c>
      <c r="F62" s="33">
        <f>'Adani Enterprises'!D60</f>
        <v>-3.9064173019735283E-3</v>
      </c>
      <c r="G62" s="34">
        <f>'Hindalco Industries'!D60</f>
        <v>2.5130664725579732E-2</v>
      </c>
      <c r="O62" s="10"/>
    </row>
    <row r="63" spans="1:15" x14ac:dyDescent="0.4">
      <c r="A63" s="3">
        <v>45586</v>
      </c>
      <c r="B63" s="32">
        <f>'NIFTY 50'!C61</f>
        <v>-2.9394512770190822E-3</v>
      </c>
      <c r="C63" s="33">
        <f>NTPC!D61</f>
        <v>1.1765397978158856E-4</v>
      </c>
      <c r="D63" s="33">
        <f>'Dabur India'!D61</f>
        <v>-5.6160203765850273E-3</v>
      </c>
      <c r="E63" s="78">
        <f>'HDFC Life Insurance'!D61</f>
        <v>4.568979257868898E-3</v>
      </c>
      <c r="F63" s="33">
        <f>'Adani Enterprises'!D61</f>
        <v>-2.1668791214918517E-2</v>
      </c>
      <c r="G63" s="34">
        <f>'Hindalco Industries'!D61</f>
        <v>-1.8619518553580371E-2</v>
      </c>
      <c r="O63" s="10"/>
    </row>
    <row r="64" spans="1:15" x14ac:dyDescent="0.4">
      <c r="A64" s="3">
        <v>45587</v>
      </c>
      <c r="B64" s="32">
        <f>'NIFTY 50'!C62</f>
        <v>-1.2547572710405439E-2</v>
      </c>
      <c r="C64" s="33">
        <f>NTPC!D62</f>
        <v>-2.2005050851379739E-2</v>
      </c>
      <c r="D64" s="33">
        <f>'Dabur India'!D62</f>
        <v>-1.6145121387487926E-2</v>
      </c>
      <c r="E64" s="78">
        <f>'HDFC Life Insurance'!D62</f>
        <v>-2.3948771858606364E-2</v>
      </c>
      <c r="F64" s="33">
        <f>'Adani Enterprises'!D62</f>
        <v>-3.9526446403063908E-2</v>
      </c>
      <c r="G64" s="34">
        <f>'Hindalco Industries'!D62</f>
        <v>-2.6511125548331967E-2</v>
      </c>
      <c r="O64" s="10"/>
    </row>
    <row r="65" spans="1:15" x14ac:dyDescent="0.4">
      <c r="A65" s="3">
        <v>45588</v>
      </c>
      <c r="B65" s="32">
        <f>'NIFTY 50'!C63</f>
        <v>-1.4967001787999864E-3</v>
      </c>
      <c r="C65" s="33">
        <f>NTPC!D63</f>
        <v>-1.8081919747506982E-2</v>
      </c>
      <c r="D65" s="33">
        <f>'Dabur India'!D63</f>
        <v>-7.156915674964414E-4</v>
      </c>
      <c r="E65" s="78">
        <f>'HDFC Life Insurance'!D63</f>
        <v>-6.1297068541281341E-3</v>
      </c>
      <c r="F65" s="33">
        <f>'Adani Enterprises'!D63</f>
        <v>4.1524262975137722E-3</v>
      </c>
      <c r="G65" s="34">
        <f>'Hindalco Industries'!D63</f>
        <v>-4.3830730761086692E-3</v>
      </c>
      <c r="O65" s="10"/>
    </row>
    <row r="66" spans="1:15" x14ac:dyDescent="0.4">
      <c r="A66" s="3">
        <v>45589</v>
      </c>
      <c r="B66" s="32">
        <f>'NIFTY 50'!C64</f>
        <v>-1.4784511312879243E-3</v>
      </c>
      <c r="C66" s="33">
        <f>NTPC!D64</f>
        <v>8.7784031165049382E-3</v>
      </c>
      <c r="D66" s="33">
        <f>'Dabur India'!D64</f>
        <v>-3.2193377618621614E-2</v>
      </c>
      <c r="E66" s="78">
        <f>'HDFC Life Insurance'!D64</f>
        <v>-1.2373298412031783E-2</v>
      </c>
      <c r="F66" s="33">
        <f>'Adani Enterprises'!D64</f>
        <v>-1.8885413546676844E-3</v>
      </c>
      <c r="G66" s="34">
        <f>'Hindalco Industries'!D64</f>
        <v>-3.7509724793601942E-2</v>
      </c>
      <c r="O66" s="10"/>
    </row>
    <row r="67" spans="1:15" x14ac:dyDescent="0.4">
      <c r="A67" s="3">
        <v>45590</v>
      </c>
      <c r="B67" s="32">
        <f>'NIFTY 50'!C65</f>
        <v>-8.999611999159645E-3</v>
      </c>
      <c r="C67" s="33">
        <f>NTPC!D65</f>
        <v>-3.2069842530674172E-2</v>
      </c>
      <c r="D67" s="33">
        <f>'Dabur India'!D65</f>
        <v>-4.2604491599934156E-3</v>
      </c>
      <c r="E67" s="78">
        <f>'HDFC Life Insurance'!D65</f>
        <v>-7.5827085218507185E-3</v>
      </c>
      <c r="F67" s="33">
        <f>'Adani Enterprises'!D65</f>
        <v>-4.9524480777703279E-2</v>
      </c>
      <c r="G67" s="34">
        <f>'Hindalco Industries'!D65</f>
        <v>-1.7452704846782092E-2</v>
      </c>
      <c r="O67" s="10"/>
    </row>
    <row r="68" spans="1:15" x14ac:dyDescent="0.4">
      <c r="A68" s="3">
        <v>45593</v>
      </c>
      <c r="B68" s="32">
        <f>'NIFTY 50'!C66</f>
        <v>6.5272351766822402E-3</v>
      </c>
      <c r="C68" s="33">
        <f>NTPC!D66</f>
        <v>1.2456563658006289E-2</v>
      </c>
      <c r="D68" s="33">
        <f>'Dabur India'!D66</f>
        <v>2.7464194142433351E-2</v>
      </c>
      <c r="E68" s="78">
        <f>'HDFC Life Insurance'!D66</f>
        <v>1.2327675906076595E-2</v>
      </c>
      <c r="F68" s="33">
        <f>'Adani Enterprises'!D66</f>
        <v>3.831425829734407E-2</v>
      </c>
      <c r="G68" s="34">
        <f>'Hindalco Industries'!D66</f>
        <v>2.0632817385190395E-2</v>
      </c>
      <c r="O68" s="10"/>
    </row>
    <row r="69" spans="1:15" x14ac:dyDescent="0.4">
      <c r="A69" s="3">
        <v>45594</v>
      </c>
      <c r="B69" s="32">
        <f>'NIFTY 50'!C67</f>
        <v>5.2329751018960107E-3</v>
      </c>
      <c r="C69" s="33">
        <f>NTPC!D67</f>
        <v>2.0220038189869265E-2</v>
      </c>
      <c r="D69" s="33">
        <f>'Dabur India'!D67</f>
        <v>-3.2768752669915413E-2</v>
      </c>
      <c r="E69" s="78">
        <f>'HDFC Life Insurance'!D67</f>
        <v>3.3070483612591753E-2</v>
      </c>
      <c r="F69" s="33">
        <f>'Adani Enterprises'!D67</f>
        <v>1.7690487462574202E-2</v>
      </c>
      <c r="G69" s="34">
        <f>'Hindalco Industries'!D67</f>
        <v>1.0097368329964986E-3</v>
      </c>
      <c r="O69" s="10"/>
    </row>
    <row r="70" spans="1:15" x14ac:dyDescent="0.4">
      <c r="A70" s="3">
        <v>45595</v>
      </c>
      <c r="B70" s="32">
        <f>'NIFTY 50'!C68</f>
        <v>-5.1631312234782087E-3</v>
      </c>
      <c r="C70" s="33">
        <f>NTPC!D68</f>
        <v>-8.8954464591789253E-3</v>
      </c>
      <c r="D70" s="33">
        <f>'Dabur India'!D68</f>
        <v>1.9954472721487555E-2</v>
      </c>
      <c r="E70" s="78">
        <f>'HDFC Life Insurance'!D68</f>
        <v>-2.0892930512496171E-2</v>
      </c>
      <c r="F70" s="33">
        <f>'Adani Enterprises'!D68</f>
        <v>4.1498589281260698E-2</v>
      </c>
      <c r="G70" s="34">
        <f>'Hindalco Industries'!D68</f>
        <v>-7.5253611289478215E-3</v>
      </c>
      <c r="O70" s="10"/>
    </row>
    <row r="71" spans="1:15" x14ac:dyDescent="0.4">
      <c r="A71" s="3">
        <v>45596</v>
      </c>
      <c r="B71" s="32">
        <f>'NIFTY 50'!C69</f>
        <v>-5.582325779352925E-3</v>
      </c>
      <c r="C71" s="33">
        <f>NTPC!D69</f>
        <v>-8.5716040269264641E-4</v>
      </c>
      <c r="D71" s="33">
        <f>'Dabur India'!D69</f>
        <v>-1.2239604322173657E-2</v>
      </c>
      <c r="E71" s="78">
        <f>'HDFC Life Insurance'!D69</f>
        <v>-9.535727314435612E-3</v>
      </c>
      <c r="F71" s="33">
        <f>'Adani Enterprises'!D69</f>
        <v>-7.4537026095097235E-3</v>
      </c>
      <c r="G71" s="34">
        <f>'Hindalco Industries'!D69</f>
        <v>-3.4195529702002068E-3</v>
      </c>
      <c r="O71" s="10"/>
    </row>
    <row r="72" spans="1:15" x14ac:dyDescent="0.4">
      <c r="A72" s="3">
        <v>45597</v>
      </c>
      <c r="B72" s="32">
        <f>'NIFTY 50'!C70</f>
        <v>4.0816635619174632E-3</v>
      </c>
      <c r="C72" s="33">
        <f>NTPC!D70</f>
        <v>7.8096797175744833E-3</v>
      </c>
      <c r="D72" s="33">
        <f>'Dabur India'!D70</f>
        <v>4.711107507896428E-3</v>
      </c>
      <c r="E72" s="78">
        <f>'HDFC Life Insurance'!D70</f>
        <v>4.9174182270229558E-3</v>
      </c>
      <c r="F72" s="33">
        <f>'Adani Enterprises'!D70</f>
        <v>7.631322708931287E-4</v>
      </c>
      <c r="G72" s="34">
        <f>'Hindalco Industries'!D70</f>
        <v>7.0445841275649443E-3</v>
      </c>
      <c r="O72" s="10"/>
    </row>
    <row r="73" spans="1:15" x14ac:dyDescent="0.4">
      <c r="A73" s="3">
        <v>45600</v>
      </c>
      <c r="B73" s="32">
        <f>'NIFTY 50'!C71</f>
        <v>-1.2795285095394087E-2</v>
      </c>
      <c r="C73" s="33">
        <f>NTPC!D71</f>
        <v>-2.5607702361901682E-2</v>
      </c>
      <c r="D73" s="33">
        <f>'Dabur India'!D71</f>
        <v>-1.410696248160094E-2</v>
      </c>
      <c r="E73" s="78">
        <f>'HDFC Life Insurance'!D71</f>
        <v>-1.7915504790375066E-2</v>
      </c>
      <c r="F73" s="33">
        <f>'Adani Enterprises'!D71</f>
        <v>-1.7821881335578736E-2</v>
      </c>
      <c r="G73" s="34">
        <f>'Hindalco Industries'!D71</f>
        <v>-2.4319979754212944E-2</v>
      </c>
      <c r="O73" s="10"/>
    </row>
    <row r="74" spans="1:15" x14ac:dyDescent="0.4">
      <c r="A74" s="3">
        <v>45601</v>
      </c>
      <c r="B74" s="32">
        <f>'NIFTY 50'!C72</f>
        <v>9.0420073960085362E-3</v>
      </c>
      <c r="C74" s="33">
        <f>NTPC!D72</f>
        <v>5.3479388700824141E-3</v>
      </c>
      <c r="D74" s="33">
        <f>'Dabur India'!D72</f>
        <v>-1.869508324757374E-4</v>
      </c>
      <c r="E74" s="78">
        <f>'HDFC Life Insurance'!D72</f>
        <v>8.963017779767159E-3</v>
      </c>
      <c r="F74" s="33">
        <f>'Adani Enterprises'!D72</f>
        <v>6.2446981246345604E-3</v>
      </c>
      <c r="G74" s="34">
        <f>'Hindalco Industries'!D72</f>
        <v>3.3899079973580874E-2</v>
      </c>
      <c r="O74" s="10"/>
    </row>
    <row r="75" spans="1:15" x14ac:dyDescent="0.4">
      <c r="A75" s="3">
        <v>45602</v>
      </c>
      <c r="B75" s="32">
        <f>'NIFTY 50'!C73</f>
        <v>1.111981616471547E-2</v>
      </c>
      <c r="C75" s="33">
        <f>NTPC!D73</f>
        <v>1.4285957247476434E-2</v>
      </c>
      <c r="D75" s="33">
        <f>'Dabur India'!D73</f>
        <v>8.8417905814610117E-3</v>
      </c>
      <c r="E75" s="78">
        <f>'HDFC Life Insurance'!D73</f>
        <v>-1.1992149045263757E-2</v>
      </c>
      <c r="F75" s="33">
        <f>'Adani Enterprises'!D73</f>
        <v>4.3852844707230339E-2</v>
      </c>
      <c r="G75" s="34">
        <f>'Hindalco Industries'!D73</f>
        <v>1.5152343963686542E-2</v>
      </c>
      <c r="O75" s="10"/>
    </row>
    <row r="76" spans="1:15" x14ac:dyDescent="0.4">
      <c r="A76" s="3">
        <v>45603</v>
      </c>
      <c r="B76" s="32">
        <f>'NIFTY 50'!C74</f>
        <v>-1.1696111838928169E-2</v>
      </c>
      <c r="C76" s="33">
        <f>NTPC!D74</f>
        <v>-1.2550921491859468E-2</v>
      </c>
      <c r="D76" s="33">
        <f>'Dabur India'!D74</f>
        <v>-9.4963938685009575E-3</v>
      </c>
      <c r="E76" s="78">
        <f>'HDFC Life Insurance'!D74</f>
        <v>4.2241684890150987E-3</v>
      </c>
      <c r="F76" s="33">
        <f>'Adani Enterprises'!D74</f>
        <v>-2.5315703675823493E-2</v>
      </c>
      <c r="G76" s="34">
        <f>'Hindalco Industries'!D74</f>
        <v>-8.8681534244133137E-2</v>
      </c>
      <c r="O76" s="10"/>
    </row>
    <row r="77" spans="1:15" x14ac:dyDescent="0.4">
      <c r="A77" s="3">
        <v>45604</v>
      </c>
      <c r="B77" s="32">
        <f>'NIFTY 50'!C75</f>
        <v>-2.115930138503043E-3</v>
      </c>
      <c r="C77" s="33">
        <f>NTPC!D75</f>
        <v>-1.5347484475592942E-2</v>
      </c>
      <c r="D77" s="33">
        <f>'Dabur India'!D75</f>
        <v>-5.6285326830972735E-3</v>
      </c>
      <c r="E77" s="78">
        <f>'HDFC Life Insurance'!D75</f>
        <v>-4.5064151744904045E-3</v>
      </c>
      <c r="F77" s="33">
        <f>'Adani Enterprises'!D75</f>
        <v>-1.3900413673492405E-2</v>
      </c>
      <c r="G77" s="34">
        <f>'Hindalco Industries'!D75</f>
        <v>3.61942561389783E-3</v>
      </c>
      <c r="O77" s="10"/>
    </row>
    <row r="78" spans="1:15" x14ac:dyDescent="0.4">
      <c r="A78" s="3">
        <v>45607</v>
      </c>
      <c r="B78" s="32">
        <f>'NIFTY 50'!C76</f>
        <v>-2.8577641296602358E-4</v>
      </c>
      <c r="C78" s="33">
        <f>NTPC!D76</f>
        <v>-1.2908303758879615E-2</v>
      </c>
      <c r="D78" s="33">
        <f>'Dabur India'!D76</f>
        <v>-1.659985947325968E-2</v>
      </c>
      <c r="E78" s="78">
        <f>'HDFC Life Insurance'!D76</f>
        <v>-4.4559256102237018E-3</v>
      </c>
      <c r="F78" s="33">
        <f>'Adani Enterprises'!D76</f>
        <v>-8.7266423249217438E-3</v>
      </c>
      <c r="G78" s="34">
        <f>'Hindalco Industries'!D76</f>
        <v>7.5050130179863984E-3</v>
      </c>
      <c r="O78" s="10"/>
    </row>
    <row r="79" spans="1:15" x14ac:dyDescent="0.4">
      <c r="A79" s="3">
        <v>45608</v>
      </c>
      <c r="B79" s="32">
        <f>'NIFTY 50'!C77</f>
        <v>-1.0738316295232621E-2</v>
      </c>
      <c r="C79" s="33">
        <f>NTPC!D77</f>
        <v>-3.1703502710050561E-2</v>
      </c>
      <c r="D79" s="33">
        <f>'Dabur India'!D77</f>
        <v>-2.3712700704022715E-2</v>
      </c>
      <c r="E79" s="78">
        <f>'HDFC Life Insurance'!D77</f>
        <v>-7.6137984771066812E-3</v>
      </c>
      <c r="F79" s="33">
        <f>'Adani Enterprises'!D77</f>
        <v>-1.1656536511511517E-2</v>
      </c>
      <c r="G79" s="34">
        <f>'Hindalco Industries'!D77</f>
        <v>-5.6618360888258815E-3</v>
      </c>
      <c r="O79" s="10"/>
    </row>
    <row r="80" spans="1:15" x14ac:dyDescent="0.4">
      <c r="A80" s="3">
        <v>45609</v>
      </c>
      <c r="B80" s="32">
        <f>'NIFTY 50'!C78</f>
        <v>-1.367571506132014E-2</v>
      </c>
      <c r="C80" s="33">
        <f>NTPC!D78</f>
        <v>2.7571736760337051E-3</v>
      </c>
      <c r="D80" s="33">
        <f>'Dabur India'!D78</f>
        <v>6.853674327125382E-4</v>
      </c>
      <c r="E80" s="78">
        <f>'HDFC Life Insurance'!D78</f>
        <v>-2.1588506744287118E-2</v>
      </c>
      <c r="F80" s="33">
        <f>'Adani Enterprises'!D78</f>
        <v>-1.8746042821055447E-2</v>
      </c>
      <c r="G80" s="34">
        <f>'Hindalco Industries'!D78</f>
        <v>-3.9199229458637304E-2</v>
      </c>
      <c r="O80" s="10"/>
    </row>
    <row r="81" spans="1:15" x14ac:dyDescent="0.4">
      <c r="A81" s="3">
        <v>45610</v>
      </c>
      <c r="B81" s="32">
        <f>'NIFTY 50'!C79</f>
        <v>-1.1190921021192711E-3</v>
      </c>
      <c r="C81" s="33">
        <f>NTPC!D79</f>
        <v>-2.3480550790633405E-2</v>
      </c>
      <c r="D81" s="33">
        <f>'Dabur India'!D79</f>
        <v>-5.3977264377464583E-3</v>
      </c>
      <c r="E81" s="78">
        <f>'HDFC Life Insurance'!D79</f>
        <v>1.2980132207687007E-2</v>
      </c>
      <c r="F81" s="33">
        <f>'Adani Enterprises'!D79</f>
        <v>3.5793428840878269E-3</v>
      </c>
      <c r="G81" s="34">
        <f>'Hindalco Industries'!D79</f>
        <v>1.1962200876173713E-3</v>
      </c>
      <c r="O81" s="10"/>
    </row>
    <row r="82" spans="1:15" x14ac:dyDescent="0.4">
      <c r="A82" s="3">
        <v>45614</v>
      </c>
      <c r="B82" s="32">
        <f>'NIFTY 50'!C80</f>
        <v>-3.3584146152224673E-3</v>
      </c>
      <c r="C82" s="33">
        <f>NTPC!D80</f>
        <v>-1.5692962742333887E-2</v>
      </c>
      <c r="D82" s="33">
        <f>'Dabur India'!D80</f>
        <v>7.8693688892837526E-4</v>
      </c>
      <c r="E82" s="78">
        <f>'HDFC Life Insurance'!D80</f>
        <v>-5.0559876574577259E-3</v>
      </c>
      <c r="F82" s="33">
        <f>'Adani Enterprises'!D80</f>
        <v>-2.869544082239208E-3</v>
      </c>
      <c r="G82" s="34">
        <f>'Hindalco Industries'!D80</f>
        <v>3.7081845569028438E-2</v>
      </c>
      <c r="O82" s="10"/>
    </row>
    <row r="83" spans="1:15" x14ac:dyDescent="0.4">
      <c r="A83" s="3">
        <v>45615</v>
      </c>
      <c r="B83" s="32">
        <f>'NIFTY 50'!C81</f>
        <v>2.7548168140559032E-3</v>
      </c>
      <c r="C83" s="33">
        <f>NTPC!D81</f>
        <v>0</v>
      </c>
      <c r="D83" s="33">
        <f>'Dabur India'!D81</f>
        <v>-5.9014460255091804E-4</v>
      </c>
      <c r="E83" s="78">
        <f>'HDFC Life Insurance'!D81</f>
        <v>-1.4735112327640137E-2</v>
      </c>
      <c r="F83" s="33">
        <f>'Adani Enterprises'!D81</f>
        <v>9.9287267473478704E-4</v>
      </c>
      <c r="G83" s="34">
        <f>'Hindalco Industries'!D81</f>
        <v>-1.711826782101971E-2</v>
      </c>
      <c r="O83" s="10"/>
    </row>
    <row r="84" spans="1:15" x14ac:dyDescent="0.4">
      <c r="A84" s="3">
        <v>45617</v>
      </c>
      <c r="B84" s="32">
        <f>'NIFTY 50'!C82</f>
        <v>-7.1946440359882038E-3</v>
      </c>
      <c r="C84" s="33">
        <f>NTPC!D82</f>
        <v>-2.9192084652917533E-2</v>
      </c>
      <c r="D84" s="33">
        <f>'Dabur India'!D82</f>
        <v>-4.8325948382088287E-3</v>
      </c>
      <c r="E84" s="78">
        <f>'HDFC Life Insurance'!D82</f>
        <v>-8.8574538340610524E-3</v>
      </c>
      <c r="F84" s="33">
        <f>'Adani Enterprises'!D82</f>
        <v>-0.25627086979708608</v>
      </c>
      <c r="G84" s="34">
        <f>'Hindalco Industries'!D82</f>
        <v>1.2499677515666418E-2</v>
      </c>
      <c r="O84" s="10"/>
    </row>
    <row r="85" spans="1:15" x14ac:dyDescent="0.4">
      <c r="A85" s="3">
        <v>45618</v>
      </c>
      <c r="B85" s="32">
        <f>'NIFTY 50'!C83</f>
        <v>2.3589058766826355E-2</v>
      </c>
      <c r="C85" s="33">
        <f>NTPC!D83</f>
        <v>2.5777480502038031E-2</v>
      </c>
      <c r="D85" s="33">
        <f>'Dabur India'!D83</f>
        <v>1.4233369122914778E-2</v>
      </c>
      <c r="E85" s="78">
        <f>'HDFC Life Insurance'!D83</f>
        <v>2.0256086675734322E-2</v>
      </c>
      <c r="F85" s="33">
        <f>'Adani Enterprises'!D83</f>
        <v>2.0106533435065892E-2</v>
      </c>
      <c r="G85" s="34">
        <f>'Hindalco Industries'!D83</f>
        <v>6.2300705297726761E-3</v>
      </c>
      <c r="O85" s="10"/>
    </row>
    <row r="86" spans="1:15" x14ac:dyDescent="0.4">
      <c r="A86" s="3">
        <v>45621</v>
      </c>
      <c r="B86" s="32">
        <f>'NIFTY 50'!C84</f>
        <v>1.307542239477766E-2</v>
      </c>
      <c r="C86" s="33">
        <f>NTPC!D84</f>
        <v>8.0398334547510334E-3</v>
      </c>
      <c r="D86" s="33">
        <f>'Dabur India'!D84</f>
        <v>1.6433429270057628E-2</v>
      </c>
      <c r="E86" s="78">
        <f>'HDFC Life Insurance'!D84</f>
        <v>-4.9526685358477476E-3</v>
      </c>
      <c r="F86" s="33">
        <f>'Adani Enterprises'!D84</f>
        <v>1.3153684243965758E-2</v>
      </c>
      <c r="G86" s="34">
        <f>'Hindalco Industries'!D84</f>
        <v>1.1814612063681958E-2</v>
      </c>
      <c r="O86" s="10"/>
    </row>
    <row r="87" spans="1:15" x14ac:dyDescent="0.4">
      <c r="A87" s="3">
        <v>45622</v>
      </c>
      <c r="B87" s="32">
        <f>'NIFTY 50'!C85</f>
        <v>-1.1318480070857482E-3</v>
      </c>
      <c r="C87" s="33">
        <f>NTPC!D85</f>
        <v>-1.8492411085861984E-2</v>
      </c>
      <c r="D87" s="33">
        <f>'Dabur India'!D85</f>
        <v>7.3554326939571073E-3</v>
      </c>
      <c r="E87" s="78">
        <f>'HDFC Life Insurance'!D85</f>
        <v>-3.5108286500629702E-3</v>
      </c>
      <c r="F87" s="33">
        <f>'Adani Enterprises'!D85</f>
        <v>-4.8557633067349427E-2</v>
      </c>
      <c r="G87" s="34">
        <f>'Hindalco Industries'!D85</f>
        <v>9.4272729562952622E-3</v>
      </c>
      <c r="O87" s="10"/>
    </row>
    <row r="88" spans="1:15" x14ac:dyDescent="0.4">
      <c r="A88" s="3">
        <v>45623</v>
      </c>
      <c r="B88" s="32">
        <f>'NIFTY 50'!C86</f>
        <v>3.3175600994260466E-3</v>
      </c>
      <c r="C88" s="33">
        <f>NTPC!D86</f>
        <v>2.0932428563227783E-2</v>
      </c>
      <c r="D88" s="33">
        <f>'Dabur India'!D86</f>
        <v>4.0841582154373416E-3</v>
      </c>
      <c r="E88" s="78">
        <f>'HDFC Life Insurance'!D86</f>
        <v>-2.714701399386794E-3</v>
      </c>
      <c r="F88" s="33">
        <f>'Adani Enterprises'!D86</f>
        <v>0.10885127704976234</v>
      </c>
      <c r="G88" s="34">
        <f>'Hindalco Industries'!D86</f>
        <v>-7.5346950796012771E-3</v>
      </c>
      <c r="O88" s="10"/>
    </row>
    <row r="89" spans="1:15" x14ac:dyDescent="0.4">
      <c r="A89" s="3">
        <v>45624</v>
      </c>
      <c r="B89" s="32">
        <f>'NIFTY 50'!C87</f>
        <v>-1.4972560750343969E-2</v>
      </c>
      <c r="C89" s="33">
        <f>NTPC!D87</f>
        <v>-1.9826998023687779E-2</v>
      </c>
      <c r="D89" s="33">
        <f>'Dabur India'!D87</f>
        <v>-2.8476526125117297E-3</v>
      </c>
      <c r="E89" s="78">
        <f>'HDFC Life Insurance'!D87</f>
        <v>-3.415239447077708E-2</v>
      </c>
      <c r="F89" s="33">
        <f>'Adani Enterprises'!D87</f>
        <v>1.625715756804736E-2</v>
      </c>
      <c r="G89" s="34">
        <f>'Hindalco Industries'!D87</f>
        <v>-1.6548210010771499E-2</v>
      </c>
      <c r="O89" s="10"/>
    </row>
    <row r="90" spans="1:15" x14ac:dyDescent="0.4">
      <c r="A90" s="3">
        <v>45625</v>
      </c>
      <c r="B90" s="32">
        <f>'NIFTY 50'!C88</f>
        <v>9.0311310507838367E-3</v>
      </c>
      <c r="C90" s="33">
        <f>NTPC!D88</f>
        <v>4.4095427657198337E-3</v>
      </c>
      <c r="D90" s="33">
        <f>'Dabur India'!D88</f>
        <v>2.1839252852487415E-3</v>
      </c>
      <c r="E90" s="78">
        <f>'HDFC Life Insurance'!D88</f>
        <v>7.6019613096802376E-5</v>
      </c>
      <c r="F90" s="33">
        <f>'Adani Enterprises'!D88</f>
        <v>1.06322107643554E-2</v>
      </c>
      <c r="G90" s="34">
        <f>'Hindalco Industries'!D88</f>
        <v>9.1087161982403003E-3</v>
      </c>
      <c r="O90" s="10"/>
    </row>
    <row r="91" spans="1:15" x14ac:dyDescent="0.4">
      <c r="A91" s="3">
        <v>45628</v>
      </c>
      <c r="B91" s="32">
        <f>'NIFTY 50'!C89</f>
        <v>5.988802614002176E-3</v>
      </c>
      <c r="C91" s="33">
        <f>NTPC!D89</f>
        <v>-1.5100376973938229E-2</v>
      </c>
      <c r="D91" s="33">
        <f>'Dabur India'!D89</f>
        <v>-6.1843116087846569E-3</v>
      </c>
      <c r="E91" s="78">
        <f>'HDFC Life Insurance'!D89</f>
        <v>-2.7044292384639349E-2</v>
      </c>
      <c r="F91" s="33">
        <f>'Adani Enterprises'!D89</f>
        <v>-2.4795752714857557E-3</v>
      </c>
      <c r="G91" s="34">
        <f>'Hindalco Industries'!D89</f>
        <v>9.705869338794108E-3</v>
      </c>
      <c r="O91" s="10"/>
    </row>
    <row r="92" spans="1:15" x14ac:dyDescent="0.4">
      <c r="A92" s="3">
        <v>45629</v>
      </c>
      <c r="B92" s="32">
        <f>'NIFTY 50'!C90</f>
        <v>7.4323390894845123E-3</v>
      </c>
      <c r="C92" s="33">
        <f>NTPC!D90</f>
        <v>2.5495765348268799E-2</v>
      </c>
      <c r="D92" s="33">
        <f>'Dabur India'!D90</f>
        <v>-2.5801533736614255E-3</v>
      </c>
      <c r="E92" s="78">
        <f>'HDFC Life Insurance'!D90</f>
        <v>-9.7316730985368069E-3</v>
      </c>
      <c r="F92" s="33">
        <f>'Adani Enterprises'!D90</f>
        <v>2.2993218146260305E-2</v>
      </c>
      <c r="G92" s="34">
        <f>'Hindalco Industries'!D90</f>
        <v>7.4428039703083142E-3</v>
      </c>
      <c r="O92" s="10"/>
    </row>
    <row r="93" spans="1:15" x14ac:dyDescent="0.4">
      <c r="A93" s="3">
        <v>45630</v>
      </c>
      <c r="B93" s="32">
        <f>'NIFTY 50'!C91</f>
        <v>4.2105608026115151E-4</v>
      </c>
      <c r="C93" s="33">
        <f>NTPC!D91</f>
        <v>1.4320698669967571E-2</v>
      </c>
      <c r="D93" s="33">
        <f>'Dabur India'!D91</f>
        <v>4.7830870955424342E-4</v>
      </c>
      <c r="E93" s="78">
        <f>'HDFC Life Insurance'!D91</f>
        <v>2.5307949891534953E-2</v>
      </c>
      <c r="F93" s="33">
        <f>'Adani Enterprises'!D91</f>
        <v>-7.7661377163086498E-3</v>
      </c>
      <c r="G93" s="34">
        <f>'Hindalco Industries'!D91</f>
        <v>-6.7638917124960242E-3</v>
      </c>
      <c r="O93" s="10"/>
    </row>
    <row r="94" spans="1:15" x14ac:dyDescent="0.4">
      <c r="A94" s="3">
        <v>45631</v>
      </c>
      <c r="B94" s="32">
        <f>'NIFTY 50'!C92</f>
        <v>9.7996040025433873E-3</v>
      </c>
      <c r="C94" s="33">
        <f>NTPC!D92</f>
        <v>-9.7048881396732557E-3</v>
      </c>
      <c r="D94" s="33">
        <f>'Dabur India'!D92</f>
        <v>6.6924807698935955E-4</v>
      </c>
      <c r="E94" s="78">
        <f>'HDFC Life Insurance'!D92</f>
        <v>-1.0978925804036472E-2</v>
      </c>
      <c r="F94" s="33">
        <f>'Adani Enterprises'!D92</f>
        <v>1.1081770872446895E-2</v>
      </c>
      <c r="G94" s="34">
        <f>'Hindalco Industries'!D92</f>
        <v>1.1695162912872901E-2</v>
      </c>
      <c r="O94" s="10"/>
    </row>
    <row r="95" spans="1:15" x14ac:dyDescent="0.4">
      <c r="A95" s="3">
        <v>45632</v>
      </c>
      <c r="B95" s="32">
        <f>'NIFTY 50'!C93</f>
        <v>-1.2392127321359235E-3</v>
      </c>
      <c r="C95" s="33">
        <f>NTPC!D93</f>
        <v>9.4767488308191729E-4</v>
      </c>
      <c r="D95" s="33">
        <f>'Dabur India'!D93</f>
        <v>1.2417022465551308E-3</v>
      </c>
      <c r="E95" s="78">
        <f>'HDFC Life Insurance'!D93</f>
        <v>-1.0393560527263195E-2</v>
      </c>
      <c r="F95" s="33">
        <f>'Adani Enterprises'!D93</f>
        <v>-6.4228339988866758E-3</v>
      </c>
      <c r="G95" s="34">
        <f>'Hindalco Industries'!D93</f>
        <v>-1.0439971119750836E-3</v>
      </c>
      <c r="O95" s="10"/>
    </row>
    <row r="96" spans="1:15" x14ac:dyDescent="0.4">
      <c r="A96" s="3">
        <v>45635</v>
      </c>
      <c r="B96" s="32">
        <f>'NIFTY 50'!C94</f>
        <v>-2.3855515118706054E-3</v>
      </c>
      <c r="C96" s="33">
        <f>NTPC!D94</f>
        <v>9.4677764562017353E-4</v>
      </c>
      <c r="D96" s="33">
        <f>'Dabur India'!D94</f>
        <v>-3.2894830245202761E-2</v>
      </c>
      <c r="E96" s="78">
        <f>'HDFC Life Insurance'!D94</f>
        <v>8.2923106782952019E-3</v>
      </c>
      <c r="F96" s="33">
        <f>'Adani Enterprises'!D94</f>
        <v>-4.218108108356146E-3</v>
      </c>
      <c r="G96" s="34">
        <f>'Hindalco Industries'!D94</f>
        <v>1.1185266443366824E-3</v>
      </c>
      <c r="O96" s="10"/>
    </row>
    <row r="97" spans="1:15" x14ac:dyDescent="0.4">
      <c r="A97" s="3">
        <v>45636</v>
      </c>
      <c r="B97" s="32">
        <f>'NIFTY 50'!C95</f>
        <v>-3.6360645182499104E-4</v>
      </c>
      <c r="C97" s="33">
        <f>NTPC!D95</f>
        <v>-1.8944525287022161E-3</v>
      </c>
      <c r="D97" s="33">
        <f>'Dabur India'!D95</f>
        <v>1.9727757018007697E-4</v>
      </c>
      <c r="E97" s="78">
        <f>'HDFC Life Insurance'!D95</f>
        <v>-1.3332485153371919E-2</v>
      </c>
      <c r="F97" s="33">
        <f>'Adani Enterprises'!D95</f>
        <v>-1.1545448160615666E-2</v>
      </c>
      <c r="G97" s="34">
        <f>'Hindalco Industries'!D95</f>
        <v>-2.9855224444800496E-3</v>
      </c>
      <c r="O97" s="10"/>
    </row>
    <row r="98" spans="1:15" x14ac:dyDescent="0.4">
      <c r="A98" s="3">
        <v>45637</v>
      </c>
      <c r="B98" s="32">
        <f>'NIFTY 50'!C96</f>
        <v>1.2892918498735822E-3</v>
      </c>
      <c r="C98" s="33">
        <f>NTPC!D96</f>
        <v>-9.9367863153412804E-3</v>
      </c>
      <c r="D98" s="33">
        <f>'Dabur India'!D96</f>
        <v>2.7578073225812921E-3</v>
      </c>
      <c r="E98" s="78">
        <f>'HDFC Life Insurance'!D96</f>
        <v>2.1294223118016589E-3</v>
      </c>
      <c r="F98" s="33">
        <f>'Adani Enterprises'!D96</f>
        <v>-4.0410659222715533E-3</v>
      </c>
      <c r="G98" s="34">
        <f>'Hindalco Industries'!D96</f>
        <v>2.3891305973709896E-3</v>
      </c>
      <c r="O98" s="10"/>
    </row>
    <row r="99" spans="1:15" x14ac:dyDescent="0.4">
      <c r="A99" s="3">
        <v>45638</v>
      </c>
      <c r="B99" s="32">
        <f>'NIFTY 50'!C97</f>
        <v>-3.7852882635684751E-3</v>
      </c>
      <c r="C99" s="33">
        <f>NTPC!D97</f>
        <v>-2.7459775550083637E-2</v>
      </c>
      <c r="D99" s="33">
        <f>'Dabur India'!D97</f>
        <v>-3.3497568268435625E-3</v>
      </c>
      <c r="E99" s="78">
        <f>'HDFC Life Insurance'!D97</f>
        <v>-1.284508622289213E-2</v>
      </c>
      <c r="F99" s="33">
        <f>'Adani Enterprises'!D97</f>
        <v>1.8886550078061899E-2</v>
      </c>
      <c r="G99" s="34">
        <f>'Hindalco Industries'!D97</f>
        <v>-2.6881736618003024E-3</v>
      </c>
      <c r="O99" s="10"/>
    </row>
    <row r="100" spans="1:15" x14ac:dyDescent="0.4">
      <c r="A100" s="3">
        <v>45639</v>
      </c>
      <c r="B100" s="32">
        <f>'NIFTY 50'!C98</f>
        <v>8.9057100554239786E-3</v>
      </c>
      <c r="C100" s="33">
        <f>NTPC!D98</f>
        <v>4.3493579612318631E-3</v>
      </c>
      <c r="D100" s="33">
        <f>'Dabur India'!D98</f>
        <v>1.2065475712133782E-2</v>
      </c>
      <c r="E100" s="78">
        <f>'HDFC Life Insurance'!D98</f>
        <v>9.5306892493844785E-3</v>
      </c>
      <c r="F100" s="33">
        <f>'Adani Enterprises'!D98</f>
        <v>9.3210655678265444E-3</v>
      </c>
      <c r="G100" s="34">
        <f>'Hindalco Industries'!D98</f>
        <v>-9.9189271291325112E-3</v>
      </c>
      <c r="O100" s="10"/>
    </row>
    <row r="101" spans="1:15" x14ac:dyDescent="0.4">
      <c r="A101" s="3">
        <v>45642</v>
      </c>
      <c r="B101" s="32">
        <f>'NIFTY 50'!C99</f>
        <v>-4.0476180718514044E-3</v>
      </c>
      <c r="C101" s="33">
        <f>NTPC!D99</f>
        <v>-1.1971130919757142E-2</v>
      </c>
      <c r="D101" s="33">
        <f>'Dabur India'!D99</f>
        <v>-5.5732239099330711E-3</v>
      </c>
      <c r="E101" s="78">
        <f>'HDFC Life Insurance'!D99</f>
        <v>3.7869867743639545E-3</v>
      </c>
      <c r="F101" s="33">
        <f>'Adani Enterprises'!D99</f>
        <v>-6.0119825124014415E-3</v>
      </c>
      <c r="G101" s="34">
        <f>'Hindalco Industries'!D99</f>
        <v>-1.307406886652375E-2</v>
      </c>
      <c r="O101" s="10"/>
    </row>
    <row r="102" spans="1:15" x14ac:dyDescent="0.4">
      <c r="A102" s="3">
        <v>45643</v>
      </c>
      <c r="B102" s="32">
        <f>'NIFTY 50'!C100</f>
        <v>-1.3560256148274351E-2</v>
      </c>
      <c r="C102" s="33">
        <f>NTPC!D100</f>
        <v>-1.096955226481388E-2</v>
      </c>
      <c r="D102" s="33">
        <f>'Dabur India'!D100</f>
        <v>-8.9624867424333496E-3</v>
      </c>
      <c r="E102" s="78">
        <f>'HDFC Life Insurance'!D100</f>
        <v>-1.2998518596639691E-2</v>
      </c>
      <c r="F102" s="33">
        <f>'Adani Enterprises'!D100</f>
        <v>-9.9200813504915879E-3</v>
      </c>
      <c r="G102" s="34">
        <f>'Hindalco Industries'!D100</f>
        <v>-2.1734101184947594E-2</v>
      </c>
      <c r="O102" s="10"/>
    </row>
    <row r="103" spans="1:15" x14ac:dyDescent="0.4">
      <c r="A103" s="3">
        <v>45644</v>
      </c>
      <c r="B103" s="32">
        <f>'NIFTY 50'!C101</f>
        <v>-5.6516241445957781E-3</v>
      </c>
      <c r="C103" s="33">
        <f>NTPC!D101</f>
        <v>-2.1135702812351474E-2</v>
      </c>
      <c r="D103" s="33">
        <f>'Dabur India'!D101</f>
        <v>0</v>
      </c>
      <c r="E103" s="78">
        <f>'HDFC Life Insurance'!D101</f>
        <v>-3.5163466264845362E-3</v>
      </c>
      <c r="F103" s="33">
        <f>'Adani Enterprises'!D101</f>
        <v>-1.221450979626325E-2</v>
      </c>
      <c r="G103" s="34">
        <f>'Hindalco Industries'!D101</f>
        <v>-1.0138009735152956E-2</v>
      </c>
      <c r="O103" s="10"/>
    </row>
    <row r="104" spans="1:15" x14ac:dyDescent="0.4">
      <c r="A104" s="3">
        <v>45645</v>
      </c>
      <c r="B104" s="32">
        <f>'NIFTY 50'!C102</f>
        <v>-1.0265808823608006E-2</v>
      </c>
      <c r="C104" s="33">
        <f>NTPC!D102</f>
        <v>-1.2810305492191131E-2</v>
      </c>
      <c r="D104" s="33">
        <f>'Dabur India'!D102</f>
        <v>-2.873138153206941E-3</v>
      </c>
      <c r="E104" s="78">
        <f>'HDFC Life Insurance'!D102</f>
        <v>-1.6024360451620972E-3</v>
      </c>
      <c r="F104" s="33">
        <f>'Adani Enterprises'!D102</f>
        <v>-1.5604971402169735E-2</v>
      </c>
      <c r="G104" s="34">
        <f>'Hindalco Industries'!D102</f>
        <v>-5.7828814066622179E-3</v>
      </c>
      <c r="O104" s="10"/>
    </row>
    <row r="105" spans="1:15" x14ac:dyDescent="0.4">
      <c r="A105" s="3">
        <v>45646</v>
      </c>
      <c r="B105" s="32">
        <f>'NIFTY 50'!C103</f>
        <v>-1.5322391854064712E-2</v>
      </c>
      <c r="C105" s="33">
        <f>NTPC!D103</f>
        <v>-1.2376211053049832E-2</v>
      </c>
      <c r="D105" s="33">
        <f>'Dabur India'!D103</f>
        <v>-2.7819193301380067E-3</v>
      </c>
      <c r="E105" s="78">
        <f>'HDFC Life Insurance'!D103</f>
        <v>4.0084980694664757E-4</v>
      </c>
      <c r="F105" s="33">
        <f>'Adani Enterprises'!D103</f>
        <v>-3.1234829339858237E-2</v>
      </c>
      <c r="G105" s="34">
        <f>'Hindalco Industries'!D103</f>
        <v>-1.070297757035661E-2</v>
      </c>
      <c r="O105" s="10"/>
    </row>
    <row r="106" spans="1:15" x14ac:dyDescent="0.4">
      <c r="A106" s="3">
        <v>45649</v>
      </c>
      <c r="B106" s="32">
        <f>'NIFTY 50'!C104</f>
        <v>7.0108723942055237E-3</v>
      </c>
      <c r="C106" s="33">
        <f>NTPC!D104</f>
        <v>1.1995802907974512E-3</v>
      </c>
      <c r="D106" s="33">
        <f>'Dabur India'!D104</f>
        <v>1.3734715192030579E-2</v>
      </c>
      <c r="E106" s="78">
        <f>'HDFC Life Insurance'!D104</f>
        <v>-2.0058577752813424E-3</v>
      </c>
      <c r="F106" s="33">
        <f>'Adani Enterprises'!D104</f>
        <v>-2.5619689924389101E-3</v>
      </c>
      <c r="G106" s="34">
        <f>'Hindalco Industries'!D104</f>
        <v>1.8300956346281021E-2</v>
      </c>
      <c r="O106" s="10"/>
    </row>
    <row r="107" spans="1:15" x14ac:dyDescent="0.4">
      <c r="A107" s="3">
        <v>45650</v>
      </c>
      <c r="B107" s="32">
        <f>'NIFTY 50'!C105</f>
        <v>-1.0867483078192092E-3</v>
      </c>
      <c r="C107" s="33">
        <f>NTPC!D105</f>
        <v>4.9331141225674186E-3</v>
      </c>
      <c r="D107" s="33">
        <f>'Dabur India'!D105</f>
        <v>8.8282903374772013E-4</v>
      </c>
      <c r="E107" s="78">
        <f>'HDFC Life Insurance'!D105</f>
        <v>-8.0318059558822744E-5</v>
      </c>
      <c r="F107" s="33">
        <f>'Adani Enterprises'!D105</f>
        <v>1.4221065747406423E-2</v>
      </c>
      <c r="G107" s="34">
        <f>'Hindalco Industries'!D105</f>
        <v>-1.0621532957121321E-2</v>
      </c>
      <c r="O107" s="10"/>
    </row>
    <row r="108" spans="1:15" x14ac:dyDescent="0.4">
      <c r="A108" s="3">
        <v>45652</v>
      </c>
      <c r="B108" s="32">
        <f>'NIFTY 50'!C106</f>
        <v>9.4991671677012402E-4</v>
      </c>
      <c r="C108" s="33">
        <f>NTPC!D106</f>
        <v>-1.9404439255317092E-3</v>
      </c>
      <c r="D108" s="33">
        <f>'Dabur India'!D106</f>
        <v>-8.5668388638793641E-3</v>
      </c>
      <c r="E108" s="78">
        <f>'HDFC Life Insurance'!D106</f>
        <v>6.2455163377305488E-3</v>
      </c>
      <c r="F108" s="33">
        <f>'Adani Enterprises'!D106</f>
        <v>1.1649722131322756E-2</v>
      </c>
      <c r="G108" s="34">
        <f>'Hindalco Industries'!D106</f>
        <v>2.0697348576317921E-3</v>
      </c>
      <c r="O108" s="10"/>
    </row>
    <row r="109" spans="1:15" x14ac:dyDescent="0.4">
      <c r="A109" s="3">
        <v>45653</v>
      </c>
      <c r="B109" s="32">
        <f>'NIFTY 50'!C107</f>
        <v>2.6574959504618452E-3</v>
      </c>
      <c r="C109" s="33">
        <f>NTPC!D107</f>
        <v>1.0453222784152485E-3</v>
      </c>
      <c r="D109" s="33">
        <f>'Dabur India'!D107</f>
        <v>3.0609749893569984E-3</v>
      </c>
      <c r="E109" s="78">
        <f>'HDFC Life Insurance'!D107</f>
        <v>-7.2098365667497555E-3</v>
      </c>
      <c r="F109" s="33">
        <f>'Adani Enterprises'!D107</f>
        <v>4.0331018037810702E-3</v>
      </c>
      <c r="G109" s="34">
        <f>'Hindalco Industries'!D107</f>
        <v>-1.8216609345890103E-2</v>
      </c>
      <c r="O109" s="10"/>
    </row>
    <row r="110" spans="1:15" x14ac:dyDescent="0.4">
      <c r="A110" s="3">
        <v>45656</v>
      </c>
      <c r="B110" s="32">
        <f>'NIFTY 50'!C108</f>
        <v>-7.1010005853283714E-3</v>
      </c>
      <c r="C110" s="33">
        <f>NTPC!D108</f>
        <v>-1.0804426832603941E-2</v>
      </c>
      <c r="D110" s="33">
        <f>'Dabur India'!D108</f>
        <v>-3.7534615382742724E-3</v>
      </c>
      <c r="E110" s="78">
        <f>'HDFC Life Insurance'!D108</f>
        <v>-7.2621960417846715E-3</v>
      </c>
      <c r="F110" s="33">
        <f>'Adani Enterprises'!D108</f>
        <v>7.2958799839002081E-2</v>
      </c>
      <c r="G110" s="34">
        <f>'Hindalco Industries'!D108</f>
        <v>-2.675580202294249E-2</v>
      </c>
      <c r="O110" s="10"/>
    </row>
    <row r="111" spans="1:15" x14ac:dyDescent="0.4">
      <c r="A111" s="3">
        <v>45657</v>
      </c>
      <c r="B111" s="32">
        <f>'NIFTY 50'!C109</f>
        <v>-4.229250767129392E-6</v>
      </c>
      <c r="C111" s="33">
        <f>NTPC!D109</f>
        <v>5.8668840716065715E-3</v>
      </c>
      <c r="D111" s="33">
        <f>'Dabur India'!D109</f>
        <v>3.4576473074527077E-3</v>
      </c>
      <c r="E111" s="78">
        <f>'HDFC Life Insurance'!D109</f>
        <v>-5.6705416886636663E-4</v>
      </c>
      <c r="F111" s="33">
        <f>'Adani Enterprises'!D109</f>
        <v>-2.4879236750350905E-2</v>
      </c>
      <c r="G111" s="34">
        <f>'Hindalco Industries'!D109</f>
        <v>2.243364324169158E-3</v>
      </c>
      <c r="O111" s="10"/>
    </row>
    <row r="112" spans="1:15" x14ac:dyDescent="0.4">
      <c r="A112" s="3">
        <v>45658</v>
      </c>
      <c r="B112" s="32">
        <f>'NIFTY 50'!C110</f>
        <v>4.1403208063656048E-3</v>
      </c>
      <c r="C112" s="33">
        <f>NTPC!D110</f>
        <v>8.995502855463505E-4</v>
      </c>
      <c r="D112" s="33">
        <f>'Dabur India'!D110</f>
        <v>7.7607344670349108E-3</v>
      </c>
      <c r="E112" s="78">
        <f>'HDFC Life Insurance'!D110</f>
        <v>2.4306258981332613E-4</v>
      </c>
      <c r="F112" s="33">
        <f>'Adani Enterprises'!D110</f>
        <v>1.0307950029360229E-2</v>
      </c>
      <c r="G112" s="34">
        <f>'Hindalco Industries'!D110</f>
        <v>-1.5894595958481278E-2</v>
      </c>
      <c r="O112" s="10"/>
    </row>
    <row r="113" spans="1:15" x14ac:dyDescent="0.4">
      <c r="A113" s="3">
        <v>45659</v>
      </c>
      <c r="B113" s="32">
        <f>'NIFTY 50'!C111</f>
        <v>1.8599976460843735E-2</v>
      </c>
      <c r="C113" s="33">
        <f>NTPC!D111</f>
        <v>1.2953356133403355E-2</v>
      </c>
      <c r="D113" s="33">
        <f>'Dabur India'!D111</f>
        <v>4.6861356867557375E-3</v>
      </c>
      <c r="E113" s="78">
        <f>'HDFC Life Insurance'!D111</f>
        <v>4.7682637723325929E-3</v>
      </c>
      <c r="F113" s="33">
        <f>'Adani Enterprises'!D111</f>
        <v>1.6632924622339573E-2</v>
      </c>
      <c r="G113" s="34">
        <f>'Hindalco Industries'!D111</f>
        <v>1.0151519704645168E-2</v>
      </c>
      <c r="O113" s="10"/>
    </row>
    <row r="114" spans="1:15" x14ac:dyDescent="0.4">
      <c r="A114" s="3">
        <v>45660</v>
      </c>
      <c r="B114" s="32">
        <f>'NIFTY 50'!C112</f>
        <v>-7.6317874477081537E-3</v>
      </c>
      <c r="C114" s="33">
        <f>NTPC!D112</f>
        <v>5.458448309628541E-3</v>
      </c>
      <c r="D114" s="33">
        <f>'Dabur India'!D112</f>
        <v>2.2249894513280209E-2</v>
      </c>
      <c r="E114" s="78">
        <f>'HDFC Life Insurance'!D112</f>
        <v>4.5851345261145758E-3</v>
      </c>
      <c r="F114" s="33">
        <f>'Adani Enterprises'!D112</f>
        <v>-1.2823917096849711E-2</v>
      </c>
      <c r="G114" s="34">
        <f>'Hindalco Industries'!D112</f>
        <v>-1.3191805806326978E-2</v>
      </c>
      <c r="O114" s="10"/>
    </row>
    <row r="115" spans="1:15" x14ac:dyDescent="0.4">
      <c r="A115" s="3">
        <v>45663</v>
      </c>
      <c r="B115" s="32">
        <f>'NIFTY 50'!C113</f>
        <v>-1.6325161807199819E-2</v>
      </c>
      <c r="C115" s="33">
        <f>NTPC!D113</f>
        <v>-3.7016288717340654E-2</v>
      </c>
      <c r="D115" s="33">
        <f>'Dabur India'!D113</f>
        <v>-3.8946412807923901E-2</v>
      </c>
      <c r="E115" s="78">
        <f>'HDFC Life Insurance'!D113</f>
        <v>-2.7749044372956673E-2</v>
      </c>
      <c r="F115" s="33">
        <f>'Adani Enterprises'!D113</f>
        <v>-3.5784371939463613E-2</v>
      </c>
      <c r="G115" s="34">
        <f>'Hindalco Industries'!D113</f>
        <v>-2.9266195135531147E-2</v>
      </c>
      <c r="O115" s="10"/>
    </row>
    <row r="116" spans="1:15" x14ac:dyDescent="0.4">
      <c r="A116" s="3">
        <v>45664</v>
      </c>
      <c r="B116" s="32">
        <f>'NIFTY 50'!C114</f>
        <v>3.8817603067130878E-3</v>
      </c>
      <c r="C116" s="33">
        <f>NTPC!D114</f>
        <v>3.3531505278612478E-3</v>
      </c>
      <c r="D116" s="33">
        <f>'Dabur India'!D114</f>
        <v>7.8919221876104177E-3</v>
      </c>
      <c r="E116" s="78">
        <f>'HDFC Life Insurance'!D114</f>
        <v>2.2680038869659434E-2</v>
      </c>
      <c r="F116" s="33">
        <f>'Adani Enterprises'!D114</f>
        <v>1.8458982574238812E-2</v>
      </c>
      <c r="G116" s="34">
        <f>'Hindalco Industries'!D114</f>
        <v>1.7953183738531973E-2</v>
      </c>
      <c r="O116" s="10"/>
    </row>
    <row r="117" spans="1:15" x14ac:dyDescent="0.4">
      <c r="A117" s="3">
        <v>45665</v>
      </c>
      <c r="B117" s="32">
        <f>'NIFTY 50'!C115</f>
        <v>-7.9963124172743882E-4</v>
      </c>
      <c r="C117" s="33">
        <f>NTPC!D115</f>
        <v>-9.7860108182304673E-3</v>
      </c>
      <c r="D117" s="33">
        <f>'Dabur India'!D115</f>
        <v>9.5834881725037641E-3</v>
      </c>
      <c r="E117" s="78">
        <f>'HDFC Life Insurance'!D115</f>
        <v>-2.9890558264650743E-3</v>
      </c>
      <c r="F117" s="33">
        <f>'Adani Enterprises'!D115</f>
        <v>-2.1049294876305702E-3</v>
      </c>
      <c r="G117" s="34">
        <f>'Hindalco Industries'!D115</f>
        <v>3.671608957509574E-3</v>
      </c>
      <c r="O117" s="10"/>
    </row>
    <row r="118" spans="1:15" x14ac:dyDescent="0.4">
      <c r="A118" s="3">
        <v>45666</v>
      </c>
      <c r="B118" s="32">
        <f>'NIFTY 50'!C116</f>
        <v>-6.8812492953755225E-3</v>
      </c>
      <c r="C118" s="33">
        <f>NTPC!D116</f>
        <v>-1.5641046699906708E-2</v>
      </c>
      <c r="D118" s="33">
        <f>'Dabur India'!D116</f>
        <v>1.4301142374886881E-2</v>
      </c>
      <c r="E118" s="78">
        <f>'HDFC Life Insurance'!D116</f>
        <v>-9.4294309463785839E-3</v>
      </c>
      <c r="F118" s="33">
        <f>'Adani Enterprises'!D116</f>
        <v>-1.4960774922463102E-2</v>
      </c>
      <c r="G118" s="34">
        <f>'Hindalco Industries'!D116</f>
        <v>4.4221519466077523E-3</v>
      </c>
      <c r="O118" s="10"/>
    </row>
    <row r="119" spans="1:15" x14ac:dyDescent="0.4">
      <c r="A119" s="3">
        <v>45667</v>
      </c>
      <c r="B119" s="32">
        <f>'NIFTY 50'!C117</f>
        <v>-4.0461744370668276E-3</v>
      </c>
      <c r="C119" s="33">
        <f>NTPC!D117</f>
        <v>-3.8503006040576937E-2</v>
      </c>
      <c r="D119" s="33">
        <f>'Dabur India'!D117</f>
        <v>-6.2557347554854821E-3</v>
      </c>
      <c r="E119" s="78">
        <f>'HDFC Life Insurance'!D117</f>
        <v>-5.8156366557068576E-3</v>
      </c>
      <c r="F119" s="33">
        <f>'Adani Enterprises'!D117</f>
        <v>-4.2666653276635554E-2</v>
      </c>
      <c r="G119" s="34">
        <f>'Hindalco Industries'!D117</f>
        <v>-2.5437480516866624E-2</v>
      </c>
      <c r="O119" s="10"/>
    </row>
    <row r="120" spans="1:15" x14ac:dyDescent="0.4">
      <c r="A120" s="3">
        <v>45670</v>
      </c>
      <c r="B120" s="32">
        <f>'NIFTY 50'!C118</f>
        <v>-1.4857063581440453E-2</v>
      </c>
      <c r="C120" s="33">
        <f>NTPC!D118</f>
        <v>-3.3146739713815661E-2</v>
      </c>
      <c r="D120" s="33">
        <f>'Dabur India'!D118</f>
        <v>-1.3901939732114283E-2</v>
      </c>
      <c r="E120" s="78">
        <f>'HDFC Life Insurance'!D118</f>
        <v>-1.4730488135801337E-2</v>
      </c>
      <c r="F120" s="33">
        <f>'Adani Enterprises'!D118</f>
        <v>-6.4920444914721848E-2</v>
      </c>
      <c r="G120" s="34">
        <f>'Hindalco Industries'!D118</f>
        <v>-1.8802170482485798E-2</v>
      </c>
      <c r="O120" s="10"/>
    </row>
    <row r="121" spans="1:15" x14ac:dyDescent="0.4">
      <c r="A121" s="3">
        <v>45671</v>
      </c>
      <c r="B121" s="32">
        <f>'NIFTY 50'!C119</f>
        <v>3.8952104933376291E-3</v>
      </c>
      <c r="C121" s="33">
        <f>NTPC!D119</f>
        <v>4.0097385978425507E-2</v>
      </c>
      <c r="D121" s="33">
        <f>'Dabur India'!D119</f>
        <v>3.4204773148317573E-3</v>
      </c>
      <c r="E121" s="78">
        <f>'HDFC Life Insurance'!D119</f>
        <v>1.1664723868883378E-3</v>
      </c>
      <c r="F121" s="33">
        <f>'Adani Enterprises'!D119</f>
        <v>6.7507224346411626E-2</v>
      </c>
      <c r="G121" s="34">
        <f>'Hindalco Industries'!D119</f>
        <v>4.7035907534740753E-2</v>
      </c>
      <c r="O121" s="10"/>
    </row>
    <row r="122" spans="1:15" x14ac:dyDescent="0.4">
      <c r="A122" s="3">
        <v>45672</v>
      </c>
      <c r="B122" s="32">
        <f>'NIFTY 50'!C120</f>
        <v>1.6016645210618786E-3</v>
      </c>
      <c r="C122" s="33">
        <f>NTPC!D120</f>
        <v>3.466908350823155E-2</v>
      </c>
      <c r="D122" s="33">
        <f>'Dabur India'!D120</f>
        <v>5.8365924444513774E-3</v>
      </c>
      <c r="E122" s="78">
        <f>'HDFC Life Insurance'!D120</f>
        <v>-1.0463411078185042E-2</v>
      </c>
      <c r="F122" s="33">
        <f>'Adani Enterprises'!D120</f>
        <v>3.1874542053723434E-3</v>
      </c>
      <c r="G122" s="34">
        <f>'Hindalco Industries'!D120</f>
        <v>1.0994123480428813E-3</v>
      </c>
      <c r="O122" s="10"/>
    </row>
    <row r="123" spans="1:15" x14ac:dyDescent="0.4">
      <c r="A123" s="3">
        <v>45673</v>
      </c>
      <c r="B123" s="32">
        <f>'NIFTY 50'!C121</f>
        <v>4.2385877535739327E-3</v>
      </c>
      <c r="C123" s="33">
        <f>NTPC!D121</f>
        <v>1.283158983132876E-2</v>
      </c>
      <c r="D123" s="33">
        <f>'Dabur India'!D121</f>
        <v>1.3296274505206613E-2</v>
      </c>
      <c r="E123" s="78">
        <f>'HDFC Life Insurance'!D121</f>
        <v>7.643732423054718E-2</v>
      </c>
      <c r="F123" s="33">
        <f>'Adani Enterprises'!D121</f>
        <v>1.6487084418674851E-2</v>
      </c>
      <c r="G123" s="34">
        <f>'Hindalco Industries'!D121</f>
        <v>1.8507415996529143E-2</v>
      </c>
      <c r="O123" s="10"/>
    </row>
    <row r="124" spans="1:15" x14ac:dyDescent="0.4">
      <c r="A124" s="3">
        <v>45674</v>
      </c>
      <c r="B124" s="32">
        <f>'NIFTY 50'!C122</f>
        <v>-4.6694699484325849E-3</v>
      </c>
      <c r="C124" s="33">
        <f>NTPC!D122</f>
        <v>1.9949365934809988E-3</v>
      </c>
      <c r="D124" s="33">
        <f>'Dabur India'!D122</f>
        <v>6.9626872920754684E-3</v>
      </c>
      <c r="E124" s="78">
        <f>'HDFC Life Insurance'!D122</f>
        <v>1.2464943963591086E-3</v>
      </c>
      <c r="F124" s="33">
        <f>'Adani Enterprises'!D122</f>
        <v>-1.1620691498509677E-2</v>
      </c>
      <c r="G124" s="34">
        <f>'Hindalco Industries'!D122</f>
        <v>2.3615397209186928E-2</v>
      </c>
      <c r="O124" s="10"/>
    </row>
    <row r="125" spans="1:15" x14ac:dyDescent="0.4">
      <c r="A125" s="3">
        <v>45677</v>
      </c>
      <c r="B125" s="32">
        <f>'NIFTY 50'!C123</f>
        <v>6.0819192391741118E-3</v>
      </c>
      <c r="C125" s="33">
        <f>NTPC!D123</f>
        <v>2.990256017387E-2</v>
      </c>
      <c r="D125" s="33">
        <f>'Dabur India'!D123</f>
        <v>-8.4952546418534305E-3</v>
      </c>
      <c r="E125" s="78">
        <f>'HDFC Life Insurance'!D123</f>
        <v>-1.2771965974505079E-2</v>
      </c>
      <c r="F125" s="33">
        <f>'Adani Enterprises'!D123</f>
        <v>1.7759521818691074E-2</v>
      </c>
      <c r="G125" s="34">
        <f>'Hindalco Industries'!D123</f>
        <v>1.8621225475481111E-3</v>
      </c>
      <c r="O125" s="10"/>
    </row>
    <row r="126" spans="1:15" x14ac:dyDescent="0.4">
      <c r="A126" s="3">
        <v>45678</v>
      </c>
      <c r="B126" s="32">
        <f>'NIFTY 50'!C124</f>
        <v>-1.3806738277095545E-2</v>
      </c>
      <c r="C126" s="33">
        <f>NTPC!D124</f>
        <v>-3.559094510270263E-2</v>
      </c>
      <c r="D126" s="33">
        <f>'Dabur India'!D124</f>
        <v>-6.7123749943205136E-4</v>
      </c>
      <c r="E126" s="78">
        <f>'HDFC Life Insurance'!D124</f>
        <v>-1.5977447311480902E-2</v>
      </c>
      <c r="F126" s="33">
        <f>'Adani Enterprises'!D124</f>
        <v>-2.423934215461826E-2</v>
      </c>
      <c r="G126" s="34">
        <f>'Hindalco Industries'!D124</f>
        <v>-5.19018276451641E-3</v>
      </c>
      <c r="O126" s="10"/>
    </row>
    <row r="127" spans="1:15" x14ac:dyDescent="0.4">
      <c r="A127" s="3">
        <v>45679</v>
      </c>
      <c r="B127" s="32">
        <f>'NIFTY 50'!C125</f>
        <v>5.6604741870661156E-3</v>
      </c>
      <c r="C127" s="33">
        <f>NTPC!D125</f>
        <v>-5.8760026807991158E-3</v>
      </c>
      <c r="D127" s="33">
        <f>'Dabur India'!D125</f>
        <v>-1.4398850579876432E-3</v>
      </c>
      <c r="E127" s="78">
        <f>'HDFC Life Insurance'!D125</f>
        <v>-9.3383386714116969E-3</v>
      </c>
      <c r="F127" s="33">
        <f>'Adani Enterprises'!D125</f>
        <v>-3.2557240180486149E-3</v>
      </c>
      <c r="G127" s="34">
        <f>'Hindalco Industries'!D125</f>
        <v>-2.4422024512276374E-3</v>
      </c>
      <c r="O127" s="10"/>
    </row>
    <row r="128" spans="1:15" x14ac:dyDescent="0.4">
      <c r="A128" s="3">
        <v>45680</v>
      </c>
      <c r="B128" s="32">
        <f>'NIFTY 50'!C126</f>
        <v>2.1570001913706685E-3</v>
      </c>
      <c r="C128" s="33">
        <f>NTPC!D126</f>
        <v>3.8696743590460113E-3</v>
      </c>
      <c r="D128" s="33">
        <f>'Dabur India'!D126</f>
        <v>7.8461793777497863E-3</v>
      </c>
      <c r="E128" s="78">
        <f>'HDFC Life Insurance'!D126</f>
        <v>4.519052235462756E-3</v>
      </c>
      <c r="F128" s="33">
        <f>'Adani Enterprises'!D126</f>
        <v>3.5492681461288013E-3</v>
      </c>
      <c r="G128" s="34">
        <f>'Hindalco Industries'!D126</f>
        <v>-8.5127795735599025E-3</v>
      </c>
      <c r="O128" s="10"/>
    </row>
    <row r="129" spans="1:15" x14ac:dyDescent="0.4">
      <c r="A129" s="3">
        <v>45681</v>
      </c>
      <c r="B129" s="32">
        <f>'NIFTY 50'!C127</f>
        <v>-4.8879573663295961E-3</v>
      </c>
      <c r="C129" s="33">
        <f>NTPC!D127</f>
        <v>0</v>
      </c>
      <c r="D129" s="33">
        <f>'Dabur India'!D127</f>
        <v>-5.6392025187950697E-3</v>
      </c>
      <c r="E129" s="78">
        <f>'HDFC Life Insurance'!D127</f>
        <v>1.6101763177861885E-4</v>
      </c>
      <c r="F129" s="33">
        <f>'Adani Enterprises'!D127</f>
        <v>-2.9746241190774576E-2</v>
      </c>
      <c r="G129" s="34">
        <f>'Hindalco Industries'!D127</f>
        <v>-2.2219488218226061E-3</v>
      </c>
      <c r="O129" s="10"/>
    </row>
    <row r="130" spans="1:15" x14ac:dyDescent="0.4">
      <c r="A130" s="3">
        <v>45684</v>
      </c>
      <c r="B130" s="32">
        <f>'NIFTY 50'!C128</f>
        <v>-1.1456670033394137E-2</v>
      </c>
      <c r="C130" s="33">
        <f>NTPC!D128</f>
        <v>-4.4902142486451411E-3</v>
      </c>
      <c r="D130" s="33">
        <f>'Dabur India'!D128</f>
        <v>4.2085188849956138E-3</v>
      </c>
      <c r="E130" s="78">
        <f>'HDFC Life Insurance'!D128</f>
        <v>-1.7705327282688019E-2</v>
      </c>
      <c r="F130" s="33">
        <f>'Adani Enterprises'!D128</f>
        <v>-2.422082203934731E-2</v>
      </c>
      <c r="G130" s="34">
        <f>'Hindalco Industries'!D128</f>
        <v>-3.3509585277520695E-2</v>
      </c>
      <c r="O130" s="10"/>
    </row>
    <row r="131" spans="1:15" x14ac:dyDescent="0.4">
      <c r="A131" s="3">
        <v>45685</v>
      </c>
      <c r="B131" s="32">
        <f>'NIFTY 50'!C129</f>
        <v>5.5955626228530505E-3</v>
      </c>
      <c r="C131" s="33">
        <f>NTPC!D129</f>
        <v>-1.2335233305358077E-2</v>
      </c>
      <c r="D131" s="33">
        <f>'Dabur India'!D129</f>
        <v>2.8593233358102398E-3</v>
      </c>
      <c r="E131" s="78">
        <f>'HDFC Life Insurance'!D129</f>
        <v>2.2099456508026701E-3</v>
      </c>
      <c r="F131" s="33">
        <f>'Adani Enterprises'!D129</f>
        <v>1.1593376289208699E-2</v>
      </c>
      <c r="G131" s="34">
        <f>'Hindalco Industries'!D129</f>
        <v>-2.2486409437611432E-2</v>
      </c>
      <c r="O131" s="10"/>
    </row>
    <row r="132" spans="1:15" x14ac:dyDescent="0.4">
      <c r="A132" s="3">
        <v>45686</v>
      </c>
      <c r="B132" s="32">
        <f>'NIFTY 50'!C130</f>
        <v>8.9267044567532539E-3</v>
      </c>
      <c r="C132" s="33">
        <f>NTPC!D130</f>
        <v>9.3823987719137379E-3</v>
      </c>
      <c r="D132" s="33">
        <f>'Dabur India'!D130</f>
        <v>-1.3896433314041615E-2</v>
      </c>
      <c r="E132" s="78">
        <f>'HDFC Life Insurance'!D130</f>
        <v>2.7100618127781653E-2</v>
      </c>
      <c r="F132" s="33">
        <f>'Adani Enterprises'!D130</f>
        <v>1.4138117854772847E-2</v>
      </c>
      <c r="G132" s="34">
        <f>'Hindalco Industries'!D130</f>
        <v>1.7704162919586344E-2</v>
      </c>
      <c r="O132" s="10"/>
    </row>
    <row r="133" spans="1:15" x14ac:dyDescent="0.4">
      <c r="A133" s="3">
        <v>45687</v>
      </c>
      <c r="B133" s="32">
        <f>'NIFTY 50'!C131</f>
        <v>3.7231312102430775E-3</v>
      </c>
      <c r="C133" s="33">
        <f>NTPC!D131</f>
        <v>5.4326870132269667E-3</v>
      </c>
      <c r="D133" s="33">
        <f>'Dabur India'!D131</f>
        <v>2.9665609519156595E-2</v>
      </c>
      <c r="E133" s="78">
        <f>'HDFC Life Insurance'!D131</f>
        <v>9.1881834522849221E-3</v>
      </c>
      <c r="F133" s="33">
        <f>'Adani Enterprises'!D131</f>
        <v>-2.887845062270487E-2</v>
      </c>
      <c r="G133" s="34">
        <f>'Hindalco Industries'!D131</f>
        <v>6.3996122674865406E-3</v>
      </c>
      <c r="O133" s="10"/>
    </row>
    <row r="134" spans="1:15" x14ac:dyDescent="0.4">
      <c r="A134" s="3">
        <v>45688</v>
      </c>
      <c r="B134" s="32">
        <f>'NIFTY 50'!C132</f>
        <v>1.1074177663955638E-2</v>
      </c>
      <c r="C134" s="33">
        <f>NTPC!D132</f>
        <v>3.0911925696728796E-3</v>
      </c>
      <c r="D134" s="33">
        <f>'Dabur India'!D132</f>
        <v>-7.2399357190542366E-3</v>
      </c>
      <c r="E134" s="78">
        <f>'HDFC Life Insurance'!D132</f>
        <v>6.1311306665467E-3</v>
      </c>
      <c r="F134" s="33">
        <f>'Adani Enterprises'!D132</f>
        <v>1.5505552477976968E-2</v>
      </c>
      <c r="G134" s="34">
        <f>'Hindalco Industries'!D132</f>
        <v>1.0912429058864588E-2</v>
      </c>
      <c r="O134" s="10"/>
    </row>
    <row r="135" spans="1:15" x14ac:dyDescent="0.4">
      <c r="A135" s="3">
        <v>45689</v>
      </c>
      <c r="B135" s="32">
        <f>'NIFTY 50'!C133</f>
        <v>-1.1172460305538994E-3</v>
      </c>
      <c r="C135" s="33">
        <f>NTPC!D133</f>
        <v>-1.9635974516858962E-2</v>
      </c>
      <c r="D135" s="33">
        <f>'Dabur India'!D133</f>
        <v>1.7307134836778034E-2</v>
      </c>
      <c r="E135" s="78">
        <f>'HDFC Life Insurance'!D133</f>
        <v>-1.9865320273019491E-2</v>
      </c>
      <c r="F135" s="33">
        <f>'Adani Enterprises'!D133</f>
        <v>-7.8108256161248026E-3</v>
      </c>
      <c r="G135" s="34">
        <f>'Hindalco Industries'!D133</f>
        <v>-1.329682940510071E-2</v>
      </c>
      <c r="O135" s="10"/>
    </row>
    <row r="136" spans="1:15" x14ac:dyDescent="0.4">
      <c r="A136" s="3">
        <v>45691</v>
      </c>
      <c r="B136" s="32">
        <f>'NIFTY 50'!C134</f>
        <v>-5.1704524791751734E-3</v>
      </c>
      <c r="C136" s="33">
        <f>NTPC!D134</f>
        <v>-2.0511093496553102E-2</v>
      </c>
      <c r="D136" s="33">
        <f>'Dabur India'!D134</f>
        <v>-8.4758109981142825E-3</v>
      </c>
      <c r="E136" s="78">
        <f>'HDFC Life Insurance'!D134</f>
        <v>-6.5763329480188135E-3</v>
      </c>
      <c r="F136" s="33">
        <f>'Adani Enterprises'!D134</f>
        <v>-3.5967689955340751E-3</v>
      </c>
      <c r="G136" s="34">
        <f>'Hindalco Industries'!D134</f>
        <v>-2.1370912427693206E-2</v>
      </c>
      <c r="O136" s="10"/>
    </row>
    <row r="137" spans="1:15" x14ac:dyDescent="0.4">
      <c r="A137" s="3">
        <v>45692</v>
      </c>
      <c r="B137" s="32">
        <f>'NIFTY 50'!C135</f>
        <v>1.6059690853104273E-2</v>
      </c>
      <c r="C137" s="33">
        <f>NTPC!D135</f>
        <v>2.4908085505280449E-2</v>
      </c>
      <c r="D137" s="33">
        <f>'Dabur India'!D135</f>
        <v>1.2086424558148725E-2</v>
      </c>
      <c r="E137" s="78">
        <f>'HDFC Life Insurance'!D135</f>
        <v>7.2156169717086929E-3</v>
      </c>
      <c r="F137" s="33">
        <f>'Adani Enterprises'!D135</f>
        <v>1.7378021777381826E-2</v>
      </c>
      <c r="G137" s="34">
        <f>'Hindalco Industries'!D135</f>
        <v>1.7098862184753611E-2</v>
      </c>
      <c r="O137" s="10"/>
    </row>
    <row r="138" spans="1:15" x14ac:dyDescent="0.4">
      <c r="A138" s="3">
        <v>45693</v>
      </c>
      <c r="B138" s="32">
        <f>'NIFTY 50'!C136</f>
        <v>-1.8108786231885072E-3</v>
      </c>
      <c r="C138" s="33">
        <f>NTPC!D136</f>
        <v>1.5656806079218598E-3</v>
      </c>
      <c r="D138" s="33">
        <f>'Dabur India'!D136</f>
        <v>-1.7808498235654981E-2</v>
      </c>
      <c r="E138" s="78">
        <f>'HDFC Life Insurance'!D136</f>
        <v>3.1106705043171122E-3</v>
      </c>
      <c r="F138" s="33">
        <f>'Adani Enterprises'!D136</f>
        <v>9.9868969523114019E-3</v>
      </c>
      <c r="G138" s="34">
        <f>'Hindalco Industries'!D136</f>
        <v>2.8113792824655443E-2</v>
      </c>
      <c r="O138" s="10"/>
    </row>
    <row r="139" spans="1:15" x14ac:dyDescent="0.4">
      <c r="A139" s="3">
        <v>45694</v>
      </c>
      <c r="B139" s="32">
        <f>'NIFTY 50'!C137</f>
        <v>-3.9302666996406553E-3</v>
      </c>
      <c r="C139" s="33">
        <f>NTPC!D137</f>
        <v>-2.1506205220963619E-2</v>
      </c>
      <c r="D139" s="33">
        <f>'Dabur India'!D137</f>
        <v>-1.0021829175810223E-2</v>
      </c>
      <c r="E139" s="78">
        <f>'HDFC Life Insurance'!D137</f>
        <v>6.508992658162481E-3</v>
      </c>
      <c r="F139" s="33">
        <f>'Adani Enterprises'!D137</f>
        <v>-5.2404126783995872E-3</v>
      </c>
      <c r="G139" s="34">
        <f>'Hindalco Industries'!D137</f>
        <v>-8.6117333352250421E-3</v>
      </c>
      <c r="O139" s="10"/>
    </row>
    <row r="140" spans="1:15" x14ac:dyDescent="0.4">
      <c r="A140" s="3">
        <v>45695</v>
      </c>
      <c r="B140" s="32">
        <f>'NIFTY 50'!C138</f>
        <v>-1.8404145702315485E-3</v>
      </c>
      <c r="C140" s="33">
        <f>NTPC!D138</f>
        <v>1.3180024059019231E-2</v>
      </c>
      <c r="D140" s="33">
        <f>'Dabur India'!D138</f>
        <v>1.7089152549687743E-3</v>
      </c>
      <c r="E140" s="78">
        <f>'HDFC Life Insurance'!D138</f>
        <v>5.9164768492278447E-3</v>
      </c>
      <c r="F140" s="33">
        <f>'Adani Enterprises'!D138</f>
        <v>1.1330408770307533E-2</v>
      </c>
      <c r="G140" s="34">
        <f>'Hindalco Industries'!D138</f>
        <v>1.9870130397643519E-2</v>
      </c>
      <c r="O140" s="10"/>
    </row>
    <row r="141" spans="1:15" x14ac:dyDescent="0.4">
      <c r="A141" s="3">
        <v>45698</v>
      </c>
      <c r="B141" s="32">
        <f>'NIFTY 50'!C139</f>
        <v>-7.598848278210316E-3</v>
      </c>
      <c r="C141" s="33">
        <f>NTPC!D139</f>
        <v>-2.0560131356641895E-2</v>
      </c>
      <c r="D141" s="33">
        <f>'Dabur India'!D139</f>
        <v>1.8953758517262118E-3</v>
      </c>
      <c r="E141" s="78">
        <f>'HDFC Life Insurance'!D139</f>
        <v>0</v>
      </c>
      <c r="F141" s="33">
        <f>'Adani Enterprises'!D139</f>
        <v>-2.0736875781813203E-2</v>
      </c>
      <c r="G141" s="34">
        <f>'Hindalco Industries'!D139</f>
        <v>-1.8946885546298548E-2</v>
      </c>
      <c r="O141" s="10"/>
    </row>
    <row r="142" spans="1:15" x14ac:dyDescent="0.4">
      <c r="A142" s="3">
        <v>45699</v>
      </c>
      <c r="B142" s="32">
        <f>'NIFTY 50'!C140</f>
        <v>-1.3338295712820561E-2</v>
      </c>
      <c r="C142" s="33">
        <f>NTPC!D140</f>
        <v>-1.5906844081167919E-2</v>
      </c>
      <c r="D142" s="33">
        <f>'Dabur India'!D140</f>
        <v>-1.9889735805031727E-2</v>
      </c>
      <c r="E142" s="78">
        <f>'HDFC Life Insurance'!D140</f>
        <v>-2.7267893691393832E-2</v>
      </c>
      <c r="F142" s="33">
        <f>'Adani Enterprises'!D140</f>
        <v>1.3420110136415342E-2</v>
      </c>
      <c r="G142" s="34">
        <f>'Hindalco Industries'!D140</f>
        <v>-2.5170952853450856E-4</v>
      </c>
      <c r="O142" s="10"/>
    </row>
    <row r="143" spans="1:15" x14ac:dyDescent="0.4">
      <c r="A143" s="3">
        <v>45700</v>
      </c>
      <c r="B143" s="32">
        <f>'NIFTY 50'!C141</f>
        <v>-1.1514180951839536E-3</v>
      </c>
      <c r="C143" s="33">
        <f>NTPC!D141</f>
        <v>2.12470456657119E-3</v>
      </c>
      <c r="D143" s="33">
        <f>'Dabur India'!D141</f>
        <v>1.5429890674953409E-2</v>
      </c>
      <c r="E143" s="78">
        <f>'HDFC Life Insurance'!D141</f>
        <v>1.6910841787007497E-2</v>
      </c>
      <c r="F143" s="33">
        <f>'Adani Enterprises'!D141</f>
        <v>1.3561125005078684E-2</v>
      </c>
      <c r="G143" s="34">
        <f>'Hindalco Industries'!D141</f>
        <v>5.1056817336014425E-3</v>
      </c>
      <c r="O143" s="10"/>
    </row>
    <row r="144" spans="1:15" x14ac:dyDescent="0.4">
      <c r="A144" s="3">
        <v>45701</v>
      </c>
      <c r="B144" s="32">
        <f>'NIFTY 50'!C142</f>
        <v>-6.0117219533637628E-4</v>
      </c>
      <c r="C144" s="33">
        <f>NTPC!D142</f>
        <v>1.4683092612690384E-3</v>
      </c>
      <c r="D144" s="33">
        <f>'Dabur India'!D142</f>
        <v>-1.1285506158829884E-2</v>
      </c>
      <c r="E144" s="78">
        <f>'HDFC Life Insurance'!D142</f>
        <v>7.1499506521666004E-4</v>
      </c>
      <c r="F144" s="33">
        <f>'Adani Enterprises'!D142</f>
        <v>-4.73104547036967E-2</v>
      </c>
      <c r="G144" s="34">
        <f>'Hindalco Industries'!D142</f>
        <v>5.9930260943934638E-3</v>
      </c>
      <c r="O144" s="10"/>
    </row>
    <row r="145" spans="1:15" x14ac:dyDescent="0.4">
      <c r="A145" s="3">
        <v>45702</v>
      </c>
      <c r="B145" s="32">
        <f>'NIFTY 50'!C143</f>
        <v>-4.4451141660866375E-3</v>
      </c>
      <c r="C145" s="33">
        <f>NTPC!D143</f>
        <v>-2.0921609824035282E-2</v>
      </c>
      <c r="D145" s="33">
        <f>'Dabur India'!D143</f>
        <v>9.6176965690705944E-5</v>
      </c>
      <c r="E145" s="78">
        <f>'HDFC Life Insurance'!D143</f>
        <v>-5.4148882108881469E-3</v>
      </c>
      <c r="F145" s="33">
        <f>'Adani Enterprises'!D143</f>
        <v>-4.1872240672449032E-2</v>
      </c>
      <c r="G145" s="34">
        <f>'Hindalco Industries'!D143</f>
        <v>6.1222992588928276E-3</v>
      </c>
      <c r="O145" s="10"/>
    </row>
    <row r="146" spans="1:15" x14ac:dyDescent="0.4">
      <c r="A146" s="3">
        <v>45705</v>
      </c>
      <c r="B146" s="32">
        <f>'NIFTY 50'!C144</f>
        <v>1.318406118349223E-3</v>
      </c>
      <c r="C146" s="33">
        <f>NTPC!D144</f>
        <v>6.6368254230515303E-3</v>
      </c>
      <c r="D146" s="33">
        <f>'Dabur India'!D144</f>
        <v>1.2494595310918223E-3</v>
      </c>
      <c r="E146" s="78">
        <f>'HDFC Life Insurance'!D144</f>
        <v>-4.7220864886381234E-3</v>
      </c>
      <c r="F146" s="33">
        <f>'Adani Enterprises'!D144</f>
        <v>3.2472833900335597E-2</v>
      </c>
      <c r="G146" s="34">
        <f>'Hindalco Industries'!D144</f>
        <v>7.6414652263660753E-3</v>
      </c>
      <c r="O146" s="10"/>
    </row>
    <row r="147" spans="1:15" x14ac:dyDescent="0.4">
      <c r="A147" s="3">
        <v>45706</v>
      </c>
      <c r="B147" s="32">
        <f>'NIFTY 50'!C145</f>
        <v>-6.1867170548291742E-4</v>
      </c>
      <c r="C147" s="33">
        <f>NTPC!D145</f>
        <v>2.8850505585014549E-2</v>
      </c>
      <c r="D147" s="33">
        <f>'Dabur India'!D145</f>
        <v>-1.0427824529684836E-2</v>
      </c>
      <c r="E147" s="78">
        <f>'HDFC Life Insurance'!D145</f>
        <v>-6.9232284258479663E-3</v>
      </c>
      <c r="F147" s="33">
        <f>'Adani Enterprises'!D145</f>
        <v>-1.5301533138558027E-3</v>
      </c>
      <c r="G147" s="34">
        <f>'Hindalco Industries'!D145</f>
        <v>9.8175578531005804E-4</v>
      </c>
      <c r="O147" s="10"/>
    </row>
    <row r="148" spans="1:15" x14ac:dyDescent="0.4">
      <c r="A148" s="3">
        <v>45707</v>
      </c>
      <c r="B148" s="32">
        <f>'NIFTY 50'!C146</f>
        <v>-5.4056176144420191E-4</v>
      </c>
      <c r="C148" s="33">
        <f>NTPC!D146</f>
        <v>1.1501724239011683E-2</v>
      </c>
      <c r="D148" s="33">
        <f>'Dabur India'!D146</f>
        <v>-2.0989393536688699E-2</v>
      </c>
      <c r="E148" s="78">
        <f>'HDFC Life Insurance'!D146</f>
        <v>6.2812253542823427E-3</v>
      </c>
      <c r="F148" s="33">
        <f>'Adani Enterprises'!D146</f>
        <v>-1.7950539929262176E-2</v>
      </c>
      <c r="G148" s="34">
        <f>'Hindalco Industries'!D146</f>
        <v>2.39963038959882E-2</v>
      </c>
      <c r="O148" s="10"/>
    </row>
    <row r="149" spans="1:15" x14ac:dyDescent="0.4">
      <c r="A149" s="3">
        <v>45708</v>
      </c>
      <c r="B149" s="32">
        <f>'NIFTY 50'!C147</f>
        <v>-8.615791860687675E-4</v>
      </c>
      <c r="C149" s="33">
        <f>NTPC!D147</f>
        <v>3.2349097771912638E-2</v>
      </c>
      <c r="D149" s="33">
        <f>'Dabur India'!D147</f>
        <v>1.1628037995119214E-2</v>
      </c>
      <c r="E149" s="78">
        <f>'HDFC Life Insurance'!D147</f>
        <v>-4.5862412929644379E-3</v>
      </c>
      <c r="F149" s="33">
        <f>'Adani Enterprises'!D147</f>
        <v>-8.2572599764835718E-4</v>
      </c>
      <c r="G149" s="34">
        <f>'Hindalco Industries'!D147</f>
        <v>1.9761926809490116E-2</v>
      </c>
      <c r="O149" s="10"/>
    </row>
    <row r="150" spans="1:15" x14ac:dyDescent="0.4">
      <c r="A150" s="3">
        <v>45709</v>
      </c>
      <c r="B150" s="32">
        <f>'NIFTY 50'!C148</f>
        <v>-5.1302863291465021E-3</v>
      </c>
      <c r="C150" s="33">
        <f>NTPC!D148</f>
        <v>3.3773443217424504E-3</v>
      </c>
      <c r="D150" s="33">
        <f>'Dabur India'!D148</f>
        <v>-3.3366076097501537E-3</v>
      </c>
      <c r="E150" s="78">
        <f>'HDFC Life Insurance'!D148</f>
        <v>4.5862412929644873E-3</v>
      </c>
      <c r="F150" s="33">
        <f>'Adani Enterprises'!D148</f>
        <v>-2.1289735246847862E-2</v>
      </c>
      <c r="G150" s="34">
        <f>'Hindalco Industries'!D148</f>
        <v>2.2827624890703491E-2</v>
      </c>
      <c r="O150" s="10"/>
    </row>
    <row r="151" spans="1:15" x14ac:dyDescent="0.4">
      <c r="A151" s="3">
        <v>45712</v>
      </c>
      <c r="B151" s="32">
        <f>'NIFTY 50'!C149</f>
        <v>-1.069708155537406E-2</v>
      </c>
      <c r="C151" s="33">
        <f>NTPC!D149</f>
        <v>-1.9030511661085731E-2</v>
      </c>
      <c r="D151" s="33">
        <f>'Dabur India'!D149</f>
        <v>-5.8165491538199653E-3</v>
      </c>
      <c r="E151" s="78">
        <f>'HDFC Life Insurance'!D149</f>
        <v>-9.4366954267139213E-3</v>
      </c>
      <c r="F151" s="33">
        <f>'Adani Enterprises'!D149</f>
        <v>-8.4505887464231839E-3</v>
      </c>
      <c r="G151" s="34">
        <f>'Hindalco Industries'!D149</f>
        <v>-1.7986512913828332E-2</v>
      </c>
      <c r="O151" s="10"/>
    </row>
    <row r="152" spans="1:15" x14ac:dyDescent="0.4">
      <c r="A152" s="3">
        <v>45713</v>
      </c>
      <c r="B152" s="32">
        <f>'NIFTY 50'!C150</f>
        <v>-2.5720107722782741E-4</v>
      </c>
      <c r="C152" s="33">
        <f>NTPC!D150</f>
        <v>-4.383225552526732E-3</v>
      </c>
      <c r="D152" s="33">
        <f>'Dabur India'!D150</f>
        <v>1.0328129972280787E-2</v>
      </c>
      <c r="E152" s="78">
        <f>'HDFC Life Insurance'!D150</f>
        <v>8.3121973162523562E-3</v>
      </c>
      <c r="F152" s="33">
        <f>'Adani Enterprises'!D150</f>
        <v>6.9258227371274701E-3</v>
      </c>
      <c r="G152" s="34">
        <f>'Hindalco Industries'!D150</f>
        <v>-3.5600540755984476E-2</v>
      </c>
      <c r="O152" s="10"/>
    </row>
    <row r="153" spans="1:15" x14ac:dyDescent="0.4">
      <c r="A153" s="3">
        <v>45715</v>
      </c>
      <c r="B153" s="32">
        <f>'NIFTY 50'!C151</f>
        <v>-1.108829387776427E-4</v>
      </c>
      <c r="C153" s="33">
        <f>NTPC!D151</f>
        <v>-9.4578258593447373E-3</v>
      </c>
      <c r="D153" s="33">
        <f>'Dabur India'!D151</f>
        <v>-1.5184673538317175E-2</v>
      </c>
      <c r="E153" s="78">
        <f>'HDFC Life Insurance'!D151</f>
        <v>-6.0457239484280221E-3</v>
      </c>
      <c r="F153" s="33">
        <f>'Adani Enterprises'!D151</f>
        <v>-8.9134715777899557E-3</v>
      </c>
      <c r="G153" s="34">
        <f>'Hindalco Industries'!D151</f>
        <v>1.997828953138743E-2</v>
      </c>
      <c r="O153" s="10"/>
    </row>
    <row r="154" spans="1:15" x14ac:dyDescent="0.4">
      <c r="A154" s="3">
        <v>45716</v>
      </c>
      <c r="B154" s="32">
        <f>'NIFTY 50'!C152</f>
        <v>-1.8820898177206152E-2</v>
      </c>
      <c r="C154" s="33">
        <f>NTPC!D152</f>
        <v>-1.3553583863791439E-2</v>
      </c>
      <c r="D154" s="33">
        <f>'Dabur India'!D152</f>
        <v>-1.9969556280208321E-2</v>
      </c>
      <c r="E154" s="78">
        <f>'HDFC Life Insurance'!D152</f>
        <v>-1.6138584845630334E-2</v>
      </c>
      <c r="F154" s="33">
        <f>'Adani Enterprises'!D152</f>
        <v>-7.1073166697536005E-3</v>
      </c>
      <c r="G154" s="34">
        <f>'Hindalco Industries'!D152</f>
        <v>3.7905754934719044E-3</v>
      </c>
      <c r="O154" s="10"/>
    </row>
    <row r="155" spans="1:15" x14ac:dyDescent="0.4">
      <c r="A155" s="3">
        <v>45719</v>
      </c>
      <c r="B155" s="32">
        <f>'NIFTY 50'!C153</f>
        <v>-2.4410089624874701E-4</v>
      </c>
      <c r="C155" s="33">
        <f>NTPC!D153</f>
        <v>9.4272488548968556E-3</v>
      </c>
      <c r="D155" s="33">
        <f>'Dabur India'!D153</f>
        <v>-3.1470509705241513E-3</v>
      </c>
      <c r="E155" s="78">
        <f>'HDFC Life Insurance'!D153</f>
        <v>1.5491545030108819E-2</v>
      </c>
      <c r="F155" s="33">
        <f>'Adani Enterprises'!D153</f>
        <v>1.0016461233961507E-2</v>
      </c>
      <c r="G155" s="34">
        <f>'Hindalco Industries'!D153</f>
        <v>3.4621169210469266E-3</v>
      </c>
      <c r="O155" s="10"/>
    </row>
    <row r="156" spans="1:15" x14ac:dyDescent="0.4">
      <c r="A156" s="3">
        <v>45720</v>
      </c>
      <c r="B156" s="32">
        <f>'NIFTY 50'!C154</f>
        <v>-1.6582982605433554E-3</v>
      </c>
      <c r="C156" s="33">
        <f>NTPC!D154</f>
        <v>-2.0695701090577279E-3</v>
      </c>
      <c r="D156" s="33">
        <f>'Dabur India'!D154</f>
        <v>-1.6505577440230904E-2</v>
      </c>
      <c r="E156" s="78">
        <f>'HDFC Life Insurance'!D154</f>
        <v>-2.4301348532917819E-3</v>
      </c>
      <c r="F156" s="33">
        <f>'Adani Enterprises'!D154</f>
        <v>1.2999080246855421E-2</v>
      </c>
      <c r="G156" s="34">
        <f>'Hindalco Industries'!D154</f>
        <v>7.9800141828157718E-3</v>
      </c>
      <c r="O156" s="10"/>
    </row>
    <row r="157" spans="1:15" x14ac:dyDescent="0.4">
      <c r="A157" s="3">
        <v>45721</v>
      </c>
      <c r="B157" s="32">
        <f>'NIFTY 50'!C155</f>
        <v>1.1465694568782813E-2</v>
      </c>
      <c r="C157" s="33">
        <f>NTPC!D155</f>
        <v>3.8914199740919753E-2</v>
      </c>
      <c r="D157" s="33">
        <f>'Dabur India'!D155</f>
        <v>8.2355828870694283E-3</v>
      </c>
      <c r="E157" s="78">
        <f>'HDFC Life Insurance'!D155</f>
        <v>7.5947686701331755E-3</v>
      </c>
      <c r="F157" s="33">
        <f>'Adani Enterprises'!D155</f>
        <v>4.6037760750135007E-2</v>
      </c>
      <c r="G157" s="34">
        <f>'Hindalco Industries'!D155</f>
        <v>2.4173617452143394E-2</v>
      </c>
      <c r="O157" s="10"/>
    </row>
    <row r="158" spans="1:15" x14ac:dyDescent="0.4">
      <c r="A158" s="3">
        <v>45722</v>
      </c>
      <c r="B158" s="32">
        <f>'NIFTY 50'!C156</f>
        <v>9.2420781725971422E-3</v>
      </c>
      <c r="C158" s="33">
        <f>NTPC!D156</f>
        <v>3.5239303533330747E-2</v>
      </c>
      <c r="D158" s="33">
        <f>'Dabur India'!D156</f>
        <v>1.4857299852683466E-2</v>
      </c>
      <c r="E158" s="78">
        <f>'HDFC Life Insurance'!D156</f>
        <v>-4.7601848730064447E-3</v>
      </c>
      <c r="F158" s="33">
        <f>'Adani Enterprises'!D156</f>
        <v>3.1120126478149089E-3</v>
      </c>
      <c r="G158" s="34">
        <f>'Hindalco Industries'!D156</f>
        <v>3.6739740230270837E-2</v>
      </c>
      <c r="O158" s="10"/>
    </row>
    <row r="159" spans="1:15" x14ac:dyDescent="0.4">
      <c r="A159" s="3">
        <v>45723</v>
      </c>
      <c r="B159" s="32">
        <f>'NIFTY 50'!C157</f>
        <v>3.4591948403792664E-4</v>
      </c>
      <c r="C159" s="33">
        <f>NTPC!D157</f>
        <v>-2.5021906221515296E-2</v>
      </c>
      <c r="D159" s="33">
        <f>'Dabur India'!D157</f>
        <v>1.6148570323998384E-3</v>
      </c>
      <c r="E159" s="78">
        <f>'HDFC Life Insurance'!D157</f>
        <v>1.1178692145796001E-2</v>
      </c>
      <c r="F159" s="33">
        <f>'Adani Enterprises'!D157</f>
        <v>-2.3775939739240238E-3</v>
      </c>
      <c r="G159" s="34">
        <f>'Hindalco Industries'!D157</f>
        <v>1.3689866461742793E-2</v>
      </c>
      <c r="O159" s="10"/>
    </row>
    <row r="160" spans="1:15" x14ac:dyDescent="0.4">
      <c r="A160" s="3">
        <v>45726</v>
      </c>
      <c r="B160" s="32">
        <f>'NIFTY 50'!C158</f>
        <v>-4.0966182483126905E-3</v>
      </c>
      <c r="C160" s="33">
        <f>NTPC!D158</f>
        <v>-4.5526975518901138E-4</v>
      </c>
      <c r="D160" s="33">
        <f>'Dabur India'!D158</f>
        <v>-4.9537582979144283E-3</v>
      </c>
      <c r="E160" s="78">
        <f>'HDFC Life Insurance'!D158</f>
        <v>1.1190153833342124E-3</v>
      </c>
      <c r="F160" s="33">
        <f>'Adani Enterprises'!D158</f>
        <v>-8.579524452852736E-3</v>
      </c>
      <c r="G160" s="34">
        <f>'Hindalco Industries'!D158</f>
        <v>-3.1872536941791874E-3</v>
      </c>
      <c r="O160" s="10"/>
    </row>
    <row r="161" spans="1:15" x14ac:dyDescent="0.4">
      <c r="A161" s="3">
        <v>45727</v>
      </c>
      <c r="B161" s="32">
        <f>'NIFTY 50'!C159</f>
        <v>1.6726652208703832E-3</v>
      </c>
      <c r="C161" s="33">
        <f>NTPC!D159</f>
        <v>2.7285146532041358E-3</v>
      </c>
      <c r="D161" s="33">
        <f>'Dabur India'!D159</f>
        <v>8.4771927579953832E-3</v>
      </c>
      <c r="E161" s="78">
        <f>'HDFC Life Insurance'!D159</f>
        <v>1.7500545625140088E-2</v>
      </c>
      <c r="F161" s="33">
        <f>'Adani Enterprises'!D159</f>
        <v>9.9578844229738697E-3</v>
      </c>
      <c r="G161" s="34">
        <f>'Hindalco Industries'!D159</f>
        <v>9.1720572230498294E-3</v>
      </c>
      <c r="O161" s="10"/>
    </row>
    <row r="162" spans="1:15" x14ac:dyDescent="0.4">
      <c r="A162" s="3">
        <v>45728</v>
      </c>
      <c r="B162" s="32">
        <f>'NIFTY 50'!C160</f>
        <v>-1.2186336801356743E-3</v>
      </c>
      <c r="C162" s="33">
        <f>NTPC!D160</f>
        <v>-4.5423575616366742E-4</v>
      </c>
      <c r="D162" s="33">
        <f>'Dabur India'!D160</f>
        <v>4.8120393606871682E-3</v>
      </c>
      <c r="E162" s="78">
        <f>'HDFC Life Insurance'!D160</f>
        <v>-7.8017654089385206E-3</v>
      </c>
      <c r="F162" s="33">
        <f>'Adani Enterprises'!D160</f>
        <v>-3.917732728901553E-3</v>
      </c>
      <c r="G162" s="34">
        <f>'Hindalco Industries'!D160</f>
        <v>-8.1568287094550447E-3</v>
      </c>
      <c r="O162" s="10"/>
    </row>
    <row r="163" spans="1:15" x14ac:dyDescent="0.4">
      <c r="A163" s="3">
        <v>45729</v>
      </c>
      <c r="B163" s="32">
        <f>'NIFTY 50'!C161</f>
        <v>-3.2673867932358361E-3</v>
      </c>
      <c r="C163" s="33">
        <f>NTPC!D161</f>
        <v>5.2866220853484682E-3</v>
      </c>
      <c r="D163" s="33">
        <f>'Dabur India'!D161</f>
        <v>1.9982022834135076E-3</v>
      </c>
      <c r="E163" s="78">
        <f>'HDFC Life Insurance'!D161</f>
        <v>-1.5306421282675658E-2</v>
      </c>
      <c r="F163" s="33">
        <f>'Adani Enterprises'!D161</f>
        <v>-9.2765459425319247E-3</v>
      </c>
      <c r="G163" s="34">
        <f>'Hindalco Industries'!D161</f>
        <v>-1.8286056627297112E-2</v>
      </c>
      <c r="O163" s="10"/>
    </row>
    <row r="164" spans="1:15" x14ac:dyDescent="0.4">
      <c r="A164" s="3">
        <v>45733</v>
      </c>
      <c r="B164" s="32">
        <f>'NIFTY 50'!C162</f>
        <v>4.9681714537350846E-3</v>
      </c>
      <c r="C164" s="33">
        <f>NTPC!D162</f>
        <v>-7.5352275436393456E-4</v>
      </c>
      <c r="D164" s="33">
        <f>'Dabur India'!D162</f>
        <v>-1.2453711222596874E-2</v>
      </c>
      <c r="E164" s="78">
        <f>'HDFC Life Insurance'!D162</f>
        <v>1.1819335802742418E-2</v>
      </c>
      <c r="F164" s="33">
        <f>'Adani Enterprises'!D162</f>
        <v>1.4126928129484706E-2</v>
      </c>
      <c r="G164" s="34">
        <f>'Hindalco Industries'!D162</f>
        <v>5.0070055271234882E-3</v>
      </c>
      <c r="O164" s="10"/>
    </row>
    <row r="165" spans="1:15" x14ac:dyDescent="0.4">
      <c r="A165" s="3">
        <v>45734</v>
      </c>
      <c r="B165" s="32">
        <f>'NIFTY 50'!C163</f>
        <v>1.4359668968781786E-2</v>
      </c>
      <c r="C165" s="33">
        <f>NTPC!D163</f>
        <v>1.704077110186953E-2</v>
      </c>
      <c r="D165" s="33">
        <f>'Dabur India'!D163</f>
        <v>8.0523837213981164E-3</v>
      </c>
      <c r="E165" s="78">
        <f>'HDFC Life Insurance'!D163</f>
        <v>1.6924873635518475E-2</v>
      </c>
      <c r="F165" s="33">
        <f>'Adani Enterprises'!D163</f>
        <v>2.4468466173095713E-2</v>
      </c>
      <c r="G165" s="34">
        <f>'Hindalco Industries'!D163</f>
        <v>2.4809048400784454E-2</v>
      </c>
      <c r="O165" s="10"/>
    </row>
    <row r="166" spans="1:15" x14ac:dyDescent="0.4">
      <c r="A166" s="3">
        <v>45735</v>
      </c>
      <c r="B166" s="32">
        <f>'NIFTY 50'!C164</f>
        <v>3.2049417598595076E-3</v>
      </c>
      <c r="C166" s="33">
        <f>NTPC!D164</f>
        <v>1.1640888839226947E-2</v>
      </c>
      <c r="D166" s="33">
        <f>'Dabur India'!D164</f>
        <v>-6.6385276991649221E-3</v>
      </c>
      <c r="E166" s="78">
        <f>'HDFC Life Insurance'!D164</f>
        <v>3.6782937564898997E-2</v>
      </c>
      <c r="F166" s="33">
        <f>'Adani Enterprises'!D164</f>
        <v>4.3871567940834315E-3</v>
      </c>
      <c r="G166" s="34">
        <f>'Hindalco Industries'!D164</f>
        <v>1.0025781418424291E-3</v>
      </c>
      <c r="O166" s="10"/>
    </row>
    <row r="167" spans="1:15" x14ac:dyDescent="0.4">
      <c r="A167" s="3">
        <v>45736</v>
      </c>
      <c r="B167" s="32">
        <f>'NIFTY 50'!C165</f>
        <v>1.228044696739064E-2</v>
      </c>
      <c r="C167" s="33">
        <f>NTPC!D165</f>
        <v>1.3176196913975858E-3</v>
      </c>
      <c r="D167" s="33">
        <f>'Dabur India'!D165</f>
        <v>7.1396552466102834E-3</v>
      </c>
      <c r="E167" s="78">
        <f>'HDFC Life Insurance'!D165</f>
        <v>1.4639144095524994E-2</v>
      </c>
      <c r="F167" s="33">
        <f>'Adani Enterprises'!D165</f>
        <v>8.8666195585946159E-3</v>
      </c>
      <c r="G167" s="34">
        <f>'Hindalco Industries'!D165</f>
        <v>1.0537655359038368E-2</v>
      </c>
      <c r="O167" s="10"/>
    </row>
    <row r="168" spans="1:15" x14ac:dyDescent="0.4">
      <c r="A168" s="3">
        <v>45737</v>
      </c>
      <c r="B168" s="32">
        <f>'NIFTY 50'!C166</f>
        <v>6.8649343915537933E-3</v>
      </c>
      <c r="C168" s="33">
        <f>NTPC!D166</f>
        <v>2.7561083667722398E-2</v>
      </c>
      <c r="D168" s="33">
        <f>'Dabur India'!D166</f>
        <v>1.5510352695465315E-2</v>
      </c>
      <c r="E168" s="78">
        <f>'HDFC Life Insurance'!D166</f>
        <v>7.7551258349103898E-3</v>
      </c>
      <c r="F168" s="33">
        <f>'Adani Enterprises'!D166</f>
        <v>9.9956171333587009E-3</v>
      </c>
      <c r="G168" s="34">
        <f>'Hindalco Industries'!D166</f>
        <v>-1.5129097530914275E-2</v>
      </c>
      <c r="O168" s="10"/>
    </row>
    <row r="169" spans="1:15" x14ac:dyDescent="0.4">
      <c r="A169" s="3">
        <v>45740</v>
      </c>
      <c r="B169" s="32">
        <f>'NIFTY 50'!C167</f>
        <v>1.310200357491904E-2</v>
      </c>
      <c r="C169" s="33">
        <f>NTPC!D167</f>
        <v>4.3585039719290383E-2</v>
      </c>
      <c r="D169" s="33">
        <f>'Dabur India'!D167</f>
        <v>7.8895467603209979E-4</v>
      </c>
      <c r="E169" s="78">
        <f>'HDFC Life Insurance'!D167</f>
        <v>4.4133873463688301E-4</v>
      </c>
      <c r="F169" s="33">
        <f>'Adani Enterprises'!D167</f>
        <v>2.4939249954559809E-3</v>
      </c>
      <c r="G169" s="34">
        <f>'Hindalco Industries'!D167</f>
        <v>8.8055836178958461E-3</v>
      </c>
      <c r="O169" s="10"/>
    </row>
    <row r="170" spans="1:15" x14ac:dyDescent="0.4">
      <c r="A170" s="3">
        <v>45741</v>
      </c>
      <c r="B170" s="32">
        <f>'NIFTY 50'!C168</f>
        <v>4.3526951476421065E-4</v>
      </c>
      <c r="C170" s="33">
        <f>NTPC!D168</f>
        <v>0</v>
      </c>
      <c r="D170" s="33">
        <f>'Dabur India'!D168</f>
        <v>4.0336519838990899E-3</v>
      </c>
      <c r="E170" s="78">
        <f>'HDFC Life Insurance'!D168</f>
        <v>-1.0051821515746517E-2</v>
      </c>
      <c r="F170" s="33">
        <f>'Adani Enterprises'!D168</f>
        <v>-2.0623245077752528E-2</v>
      </c>
      <c r="G170" s="34">
        <f>'Hindalco Industries'!D168</f>
        <v>-1.1541760440171458E-2</v>
      </c>
      <c r="O170" s="10"/>
    </row>
    <row r="171" spans="1:15" x14ac:dyDescent="0.4">
      <c r="A171" s="3">
        <v>45742</v>
      </c>
      <c r="B171" s="32">
        <f>'NIFTY 50'!C169</f>
        <v>-7.710697617041672E-3</v>
      </c>
      <c r="C171" s="33">
        <f>NTPC!D169</f>
        <v>-3.4094211342976126E-2</v>
      </c>
      <c r="D171" s="33">
        <f>'Dabur India'!D169</f>
        <v>-7.8577746897463786E-4</v>
      </c>
      <c r="E171" s="78">
        <f>'HDFC Life Insurance'!D169</f>
        <v>-7.0071102954288658E-3</v>
      </c>
      <c r="F171" s="33">
        <f>'Adani Enterprises'!D169</f>
        <v>-3.3456036559221629E-3</v>
      </c>
      <c r="G171" s="34">
        <f>'Hindalco Industries'!D169</f>
        <v>-3.1052561511249262E-3</v>
      </c>
      <c r="O171" s="10"/>
    </row>
    <row r="172" spans="1:15" x14ac:dyDescent="0.4">
      <c r="A172" s="3">
        <v>45743</v>
      </c>
      <c r="B172" s="32">
        <f>'NIFTY 50'!C170</f>
        <v>4.4648620864278519E-3</v>
      </c>
      <c r="C172" s="33">
        <f>NTPC!D170</f>
        <v>1.6776571301585951E-2</v>
      </c>
      <c r="D172" s="33">
        <f>'Dabur India'!D170</f>
        <v>7.830127115479403E-3</v>
      </c>
      <c r="E172" s="78">
        <f>'HDFC Life Insurance'!D170</f>
        <v>1.9996222805368558E-2</v>
      </c>
      <c r="F172" s="33">
        <f>'Adani Enterprises'!D170</f>
        <v>2.1707671324513195E-2</v>
      </c>
      <c r="G172" s="34">
        <f>'Hindalco Industries'!D170</f>
        <v>2.9610392486539758E-3</v>
      </c>
      <c r="O172" s="10"/>
    </row>
    <row r="173" spans="1:15" x14ac:dyDescent="0.4">
      <c r="A173" s="3">
        <v>45744</v>
      </c>
      <c r="B173" s="32">
        <f>'NIFTY 50'!C171</f>
        <v>-3.0820655541120134E-3</v>
      </c>
      <c r="C173" s="33">
        <f>NTPC!D171</f>
        <v>-8.492915650322409E-3</v>
      </c>
      <c r="D173" s="33">
        <f>'Dabur India'!D171</f>
        <v>-1.2459081064681998E-2</v>
      </c>
      <c r="E173" s="78">
        <f>'HDFC Life Insurance'!D171</f>
        <v>5.5571947637116969E-3</v>
      </c>
      <c r="F173" s="33">
        <f>'Adani Enterprises'!D171</f>
        <v>-2.0324903841201846E-2</v>
      </c>
      <c r="G173" s="34">
        <f>'Hindalco Industries'!D171</f>
        <v>-1.5845657897668664E-2</v>
      </c>
      <c r="O173" s="10"/>
    </row>
    <row r="174" spans="1:15" x14ac:dyDescent="0.4">
      <c r="A174" s="3">
        <v>45748</v>
      </c>
      <c r="B174" s="32">
        <f>'NIFTY 50'!C172</f>
        <v>-1.5150750180769317E-2</v>
      </c>
      <c r="C174" s="33">
        <f>NTPC!D172</f>
        <v>-1.53578221079399E-2</v>
      </c>
      <c r="D174" s="33">
        <f>'Dabur India'!D172</f>
        <v>-1.7928767090090642E-2</v>
      </c>
      <c r="E174" s="78">
        <f>'HDFC Life Insurance'!D172</f>
        <v>1.0445474343016762E-2</v>
      </c>
      <c r="F174" s="33">
        <f>'Adani Enterprises'!D172</f>
        <v>8.3637515747852862E-3</v>
      </c>
      <c r="G174" s="34">
        <f>'Hindalco Industries'!D172</f>
        <v>-2.7783691746055918E-2</v>
      </c>
      <c r="O174" s="10"/>
    </row>
    <row r="175" spans="1:15" x14ac:dyDescent="0.4">
      <c r="A175" s="3">
        <v>45749</v>
      </c>
      <c r="B175" s="32">
        <f>'NIFTY 50'!C173</f>
        <v>7.1680732227189349E-3</v>
      </c>
      <c r="C175" s="33">
        <f>NTPC!D173</f>
        <v>-1.1365251969208186E-3</v>
      </c>
      <c r="D175" s="33">
        <f>'Dabur India'!D173</f>
        <v>-3.5237891987420842E-3</v>
      </c>
      <c r="E175" s="78">
        <f>'HDFC Life Insurance'!D173</f>
        <v>4.6794657219589404E-3</v>
      </c>
      <c r="F175" s="33">
        <f>'Adani Enterprises'!D173</f>
        <v>1.4517806767700737E-2</v>
      </c>
      <c r="G175" s="34">
        <f>'Hindalco Industries'!D173</f>
        <v>-3.8492066092793778E-3</v>
      </c>
      <c r="O175" s="10"/>
    </row>
    <row r="176" spans="1:15" x14ac:dyDescent="0.4">
      <c r="A176" s="3">
        <v>45750</v>
      </c>
      <c r="B176" s="32">
        <f>'NIFTY 50'!C174</f>
        <v>-3.5313765366867989E-3</v>
      </c>
      <c r="C176" s="33">
        <f>NTPC!D174</f>
        <v>2.0123102159063044E-2</v>
      </c>
      <c r="D176" s="33">
        <f>'Dabur India'!D174</f>
        <v>-6.3174516531714048E-2</v>
      </c>
      <c r="E176" s="78">
        <f>'HDFC Life Insurance'!D174</f>
        <v>-4.6794657219589022E-3</v>
      </c>
      <c r="F176" s="33">
        <f>'Adani Enterprises'!D174</f>
        <v>1.7321884088230405E-2</v>
      </c>
      <c r="G176" s="34">
        <f>'Hindalco Industries'!D174</f>
        <v>-1.3015368112070361E-2</v>
      </c>
      <c r="O176" s="10"/>
    </row>
    <row r="177" spans="1:15" x14ac:dyDescent="0.4">
      <c r="A177" s="3">
        <v>45751</v>
      </c>
      <c r="B177" s="32">
        <f>'NIFTY 50'!C175</f>
        <v>-1.4978218273382259E-2</v>
      </c>
      <c r="C177" s="33">
        <f>NTPC!D175</f>
        <v>-2.3968439091325202E-2</v>
      </c>
      <c r="D177" s="33">
        <f>'Dabur India'!D175</f>
        <v>-7.873631788841982E-3</v>
      </c>
      <c r="E177" s="78">
        <f>'HDFC Life Insurance'!D175</f>
        <v>-5.5718513121818134E-3</v>
      </c>
      <c r="F177" s="33">
        <f>'Adani Enterprises'!D175</f>
        <v>-3.2096655674578763E-2</v>
      </c>
      <c r="G177" s="34">
        <f>'Hindalco Industries'!D175</f>
        <v>-8.4194679424400801E-2</v>
      </c>
      <c r="O177" s="10"/>
    </row>
    <row r="178" spans="1:15" x14ac:dyDescent="0.4">
      <c r="A178" s="3">
        <v>45754</v>
      </c>
      <c r="B178" s="32">
        <f>'NIFTY 50'!C176</f>
        <v>-3.2970153387305259E-2</v>
      </c>
      <c r="C178" s="33">
        <f>NTPC!D176</f>
        <v>-1.7137964777346304E-3</v>
      </c>
      <c r="D178" s="33">
        <f>'Dabur India'!D176</f>
        <v>-2.2669754695914045E-2</v>
      </c>
      <c r="E178" s="78">
        <f>'HDFC Life Insurance'!D176</f>
        <v>-3.4099244674114203E-2</v>
      </c>
      <c r="F178" s="33">
        <f>'Adani Enterprises'!D176</f>
        <v>-5.3648497657425118E-2</v>
      </c>
      <c r="G178" s="34">
        <f>'Hindalco Industries'!D176</f>
        <v>-6.5700403740254737E-2</v>
      </c>
      <c r="O178" s="10"/>
    </row>
    <row r="179" spans="1:15" x14ac:dyDescent="0.4">
      <c r="A179" s="3">
        <v>45755</v>
      </c>
      <c r="B179" s="32">
        <f>'NIFTY 50'!C177</f>
        <v>1.6746313096183522E-2</v>
      </c>
      <c r="C179" s="33">
        <f>NTPC!D177</f>
        <v>8.9648412569794493E-3</v>
      </c>
      <c r="D179" s="33">
        <f>'Dabur India'!D177</f>
        <v>1.6696345677109977E-2</v>
      </c>
      <c r="E179" s="78">
        <f>'HDFC Life Insurance'!D177</f>
        <v>2.9298537170673034E-2</v>
      </c>
      <c r="F179" s="33">
        <f>'Adani Enterprises'!D177</f>
        <v>3.2458833870188324E-2</v>
      </c>
      <c r="G179" s="34">
        <f>'Hindalco Industries'!D177</f>
        <v>1.1591511462576313E-2</v>
      </c>
      <c r="O179" s="10"/>
    </row>
    <row r="180" spans="1:15" x14ac:dyDescent="0.4">
      <c r="A180" s="3">
        <v>45756</v>
      </c>
      <c r="B180" s="32">
        <f>'NIFTY 50'!C178</f>
        <v>-6.0843628224417504E-3</v>
      </c>
      <c r="C180" s="33">
        <f>NTPC!D178</f>
        <v>-1.0252118843021418E-2</v>
      </c>
      <c r="D180" s="33">
        <f>'Dabur India'!D178</f>
        <v>1.3524685461815083E-2</v>
      </c>
      <c r="E180" s="78">
        <f>'HDFC Life Insurance'!D178</f>
        <v>-1.3863049901802985E-3</v>
      </c>
      <c r="F180" s="33">
        <f>'Adani Enterprises'!D178</f>
        <v>-2.1581344383006983E-2</v>
      </c>
      <c r="G180" s="34">
        <f>'Hindalco Industries'!D178</f>
        <v>-7.6831746346606149E-3</v>
      </c>
      <c r="O180" s="10"/>
    </row>
    <row r="181" spans="1:15" x14ac:dyDescent="0.4">
      <c r="A181" s="3">
        <v>45758</v>
      </c>
      <c r="B181" s="32">
        <f>'NIFTY 50'!C179</f>
        <v>1.8988933890639957E-2</v>
      </c>
      <c r="C181" s="33">
        <f>NTPC!D179</f>
        <v>3.0307485656369766E-2</v>
      </c>
      <c r="D181" s="33">
        <f>'Dabur India'!D179</f>
        <v>-8.5263049585852253E-3</v>
      </c>
      <c r="E181" s="78">
        <f>'HDFC Life Insurance'!D179</f>
        <v>1.0946109751316583E-3</v>
      </c>
      <c r="F181" s="33">
        <f>'Adani Enterprises'!D179</f>
        <v>3.7079473170455728E-2</v>
      </c>
      <c r="G181" s="34">
        <f>'Hindalco Industries'!D179</f>
        <v>6.237527875973841E-2</v>
      </c>
      <c r="O181" s="10"/>
    </row>
    <row r="182" spans="1:15" x14ac:dyDescent="0.4">
      <c r="A182" s="3">
        <v>45762</v>
      </c>
      <c r="B182" s="32">
        <f>'NIFTY 50'!C180</f>
        <v>2.16659867627985E-2</v>
      </c>
      <c r="C182" s="33">
        <f>NTPC!D180</f>
        <v>6.6427036398998057E-3</v>
      </c>
      <c r="D182" s="33">
        <f>'Dabur India'!D180</f>
        <v>2.6631165832861313E-2</v>
      </c>
      <c r="E182" s="78">
        <f>'HDFC Life Insurance'!D180</f>
        <v>2.7550744530312928E-2</v>
      </c>
      <c r="F182" s="33">
        <f>'Adani Enterprises'!D180</f>
        <v>4.0853009805624028E-2</v>
      </c>
      <c r="G182" s="34">
        <f>'Hindalco Industries'!D180</f>
        <v>2.8411468452769196E-2</v>
      </c>
      <c r="O182" s="10"/>
    </row>
    <row r="183" spans="1:15" x14ac:dyDescent="0.4">
      <c r="A183" s="3">
        <v>45763</v>
      </c>
      <c r="B183" s="32">
        <f>'NIFTY 50'!C181</f>
        <v>4.6465712828317922E-3</v>
      </c>
      <c r="C183" s="33">
        <f>NTPC!D181</f>
        <v>-8.8667801752563662E-3</v>
      </c>
      <c r="D183" s="33">
        <f>'Dabur India'!D181</f>
        <v>1.5914899827339592E-2</v>
      </c>
      <c r="E183" s="78">
        <f>'HDFC Life Insurance'!D181</f>
        <v>1.5977816591734667E-2</v>
      </c>
      <c r="F183" s="33">
        <f>'Adani Enterprises'!D181</f>
        <v>-1.0757583064002108E-3</v>
      </c>
      <c r="G183" s="34">
        <f>'Hindalco Industries'!D181</f>
        <v>-1.2545989408155819E-2</v>
      </c>
      <c r="O183" s="10"/>
    </row>
    <row r="184" spans="1:15" x14ac:dyDescent="0.4">
      <c r="A184" s="3">
        <v>45764</v>
      </c>
      <c r="B184" s="32">
        <f>'NIFTY 50'!C182</f>
        <v>1.7528893682587383E-2</v>
      </c>
      <c r="C184" s="33">
        <f>NTPC!D182</f>
        <v>1.2996173517267616E-2</v>
      </c>
      <c r="D184" s="33">
        <f>'Dabur India'!D182</f>
        <v>-4.2679500583899859E-3</v>
      </c>
      <c r="E184" s="78">
        <f>'HDFC Life Insurance'!D182</f>
        <v>5.5706571186801583E-3</v>
      </c>
      <c r="F184" s="33">
        <f>'Adani Enterprises'!D182</f>
        <v>1.03440437880508E-3</v>
      </c>
      <c r="G184" s="34">
        <f>'Hindalco Industries'!D182</f>
        <v>-6.5606038108444273E-4</v>
      </c>
      <c r="O184" s="10"/>
    </row>
    <row r="185" spans="1:15" x14ac:dyDescent="0.4">
      <c r="A185" s="3">
        <v>45768</v>
      </c>
      <c r="B185" s="32">
        <f>'NIFTY 50'!C183</f>
        <v>1.1418047561345738E-2</v>
      </c>
      <c r="C185" s="33">
        <f>NTPC!D183</f>
        <v>1.5098486156986462E-3</v>
      </c>
      <c r="D185" s="33">
        <f>'Dabur India'!D183</f>
        <v>-7.854677237191075E-3</v>
      </c>
      <c r="E185" s="78">
        <f>'HDFC Life Insurance'!D183</f>
        <v>-1.0961883199714124E-2</v>
      </c>
      <c r="F185" s="33">
        <f>'Adani Enterprises'!D183</f>
        <v>1.0121877068405167E-2</v>
      </c>
      <c r="G185" s="34">
        <f>'Hindalco Industries'!D183</f>
        <v>2.0301143817853279E-2</v>
      </c>
      <c r="O185" s="10"/>
    </row>
    <row r="186" spans="1:15" x14ac:dyDescent="0.4">
      <c r="A186" s="3">
        <v>45769</v>
      </c>
      <c r="B186" s="32">
        <f>'NIFTY 50'!C184</f>
        <v>1.726965939596701E-3</v>
      </c>
      <c r="C186" s="33">
        <f>NTPC!D184</f>
        <v>-1.1865481372807836E-2</v>
      </c>
      <c r="D186" s="33">
        <f>'Dabur India'!D184</f>
        <v>1.8438982750542669E-2</v>
      </c>
      <c r="E186" s="78">
        <f>'HDFC Life Insurance'!D184</f>
        <v>4.9131427554376193E-4</v>
      </c>
      <c r="F186" s="33">
        <f>'Adani Enterprises'!D184</f>
        <v>1.1456160984556576E-3</v>
      </c>
      <c r="G186" s="34">
        <f>'Hindalco Industries'!D184</f>
        <v>-3.0593373833471553E-3</v>
      </c>
      <c r="O186" s="10"/>
    </row>
    <row r="187" spans="1:15" x14ac:dyDescent="0.4">
      <c r="A187" s="3">
        <v>45770</v>
      </c>
      <c r="B187" s="32">
        <f>'NIFTY 50'!C185</f>
        <v>6.6685884351257562E-3</v>
      </c>
      <c r="C187" s="33">
        <f>NTPC!D185</f>
        <v>9.8060312043903915E-3</v>
      </c>
      <c r="D187" s="33">
        <f>'Dabur India'!D185</f>
        <v>3.7090502030858482E-3</v>
      </c>
      <c r="E187" s="78">
        <f>'HDFC Life Insurance'!D185</f>
        <v>-4.8535248092700612E-3</v>
      </c>
      <c r="F187" s="33">
        <f>'Adani Enterprises'!D185</f>
        <v>3.3067328206298013E-3</v>
      </c>
      <c r="G187" s="34">
        <f>'Hindalco Industries'!D185</f>
        <v>1.4409471220151784E-2</v>
      </c>
      <c r="O187" s="10"/>
    </row>
    <row r="188" spans="1:15" x14ac:dyDescent="0.4">
      <c r="A188" s="3">
        <v>45771</v>
      </c>
      <c r="B188" s="32">
        <f>'NIFTY 50'!C186</f>
        <v>-3.386473618159028E-3</v>
      </c>
      <c r="C188" s="33">
        <f>NTPC!D186</f>
        <v>-1.6506193568836766E-3</v>
      </c>
      <c r="D188" s="33">
        <f>'Dabur India'!D186</f>
        <v>1.1248712535870667E-2</v>
      </c>
      <c r="E188" s="78">
        <f>'HDFC Life Insurance'!D186</f>
        <v>-9.8765440127254094E-4</v>
      </c>
      <c r="F188" s="33">
        <f>'Adani Enterprises'!D186</f>
        <v>-4.5342288831039567E-3</v>
      </c>
      <c r="G188" s="34">
        <f>'Hindalco Industries'!D186</f>
        <v>-1.1928905148303479E-3</v>
      </c>
      <c r="O188" s="10"/>
    </row>
    <row r="189" spans="1:15" x14ac:dyDescent="0.4">
      <c r="A189" s="3">
        <v>45772</v>
      </c>
      <c r="B189" s="32">
        <f>'NIFTY 50'!C187</f>
        <v>-8.588454617289994E-3</v>
      </c>
      <c r="C189" s="33">
        <f>NTPC!D187</f>
        <v>-1.8759669163500744E-2</v>
      </c>
      <c r="D189" s="33">
        <f>'Dabur India'!D187</f>
        <v>-1.454496603546826E-2</v>
      </c>
      <c r="E189" s="78">
        <f>'HDFC Life Insurance'!D187</f>
        <v>-5.449604767564703E-3</v>
      </c>
      <c r="F189" s="33">
        <f>'Adani Enterprises'!D187</f>
        <v>-3.6778661566033259E-2</v>
      </c>
      <c r="G189" s="34">
        <f>'Hindalco Industries'!D187</f>
        <v>-9.9964845401794965E-3</v>
      </c>
      <c r="O189" s="10"/>
    </row>
    <row r="190" spans="1:15" x14ac:dyDescent="0.4">
      <c r="A190" s="3">
        <v>45775</v>
      </c>
      <c r="B190" s="32">
        <f>'NIFTY 50'!C188</f>
        <v>1.1956431581801425E-2</v>
      </c>
      <c r="C190" s="33">
        <f>NTPC!D188</f>
        <v>1.4068064035181925E-2</v>
      </c>
      <c r="D190" s="33">
        <f>'Dabur India'!D188</f>
        <v>-4.9648426353547798E-3</v>
      </c>
      <c r="E190" s="78">
        <f>'HDFC Life Insurance'!D188</f>
        <v>8.9021359405932511E-3</v>
      </c>
      <c r="F190" s="33">
        <f>'Adani Enterprises'!D188</f>
        <v>6.5621200317352085E-3</v>
      </c>
      <c r="G190" s="34">
        <f>'Hindalco Industries'!D188</f>
        <v>1.0473811518216098E-2</v>
      </c>
      <c r="O190" s="10"/>
    </row>
    <row r="191" spans="1:15" x14ac:dyDescent="0.4">
      <c r="A191" s="3">
        <v>45776</v>
      </c>
      <c r="B191" s="32">
        <f>'NIFTY 50'!C189</f>
        <v>3.0617833174725629E-4</v>
      </c>
      <c r="C191" s="33">
        <f>NTPC!D189</f>
        <v>-1.26663256503499E-2</v>
      </c>
      <c r="D191" s="33">
        <f>'Dabur India'!D189</f>
        <v>3.0025388814854041E-3</v>
      </c>
      <c r="E191" s="78">
        <f>'HDFC Life Insurance'!D189</f>
        <v>5.8910332372373421E-3</v>
      </c>
      <c r="F191" s="33">
        <f>'Adani Enterprises'!D189</f>
        <v>-1.6679818243476703E-2</v>
      </c>
      <c r="G191" s="34">
        <f>'Hindalco Industries'!D189</f>
        <v>-9.7507166407687414E-3</v>
      </c>
      <c r="O191" s="10"/>
    </row>
    <row r="192" spans="1:15" x14ac:dyDescent="0.4">
      <c r="A192" s="3">
        <v>45777</v>
      </c>
      <c r="B192" s="32">
        <f>'NIFTY 50'!C190</f>
        <v>-7.1912661076828911E-5</v>
      </c>
      <c r="C192" s="33">
        <f>NTPC!D190</f>
        <v>-6.7463361984637892E-3</v>
      </c>
      <c r="D192" s="33">
        <f>'Dabur India'!D190</f>
        <v>8.4414748746647044E-3</v>
      </c>
      <c r="E192" s="78">
        <f>'HDFC Life Insurance'!D190</f>
        <v>3.928525739031017E-2</v>
      </c>
      <c r="F192" s="33">
        <f>'Adani Enterprises'!D190</f>
        <v>-1.2651564505802529E-2</v>
      </c>
      <c r="G192" s="34">
        <f>'Hindalco Industries'!D190</f>
        <v>3.3675464794166977E-3</v>
      </c>
      <c r="O192" s="10"/>
    </row>
    <row r="193" spans="1:15" x14ac:dyDescent="0.4">
      <c r="A193" s="3">
        <v>45779</v>
      </c>
      <c r="B193" s="32">
        <f>'NIFTY 50'!C191</f>
        <v>5.1354844609369319E-4</v>
      </c>
      <c r="C193" s="33">
        <f>NTPC!D191</f>
        <v>-1.7354631865477907E-2</v>
      </c>
      <c r="D193" s="33">
        <f>'Dabur India'!D191</f>
        <v>-1.4975751092873368E-2</v>
      </c>
      <c r="E193" s="78">
        <f>'HDFC Life Insurance'!D191</f>
        <v>-2.1680145083521923E-2</v>
      </c>
      <c r="F193" s="33">
        <f>'Adani Enterprises'!D191</f>
        <v>-3.0899817861931517E-3</v>
      </c>
      <c r="G193" s="34">
        <f>'Hindalco Industries'!D191</f>
        <v>1.1856116600414893E-2</v>
      </c>
      <c r="O193" s="10"/>
    </row>
    <row r="194" spans="1:15" x14ac:dyDescent="0.4">
      <c r="A194" s="3">
        <v>45782</v>
      </c>
      <c r="B194" s="32">
        <f>'NIFTY 50'!C192</f>
        <v>4.6898279589179014E-3</v>
      </c>
      <c r="C194" s="33">
        <f>NTPC!D192</f>
        <v>4.3038520139282189E-4</v>
      </c>
      <c r="D194" s="33">
        <f>'Dabur India'!D192</f>
        <v>2.8056338869492693E-3</v>
      </c>
      <c r="E194" s="78">
        <f>'HDFC Life Insurance'!D192</f>
        <v>1.5205011168869256E-2</v>
      </c>
      <c r="F194" s="33">
        <f>'Adani Enterprises'!D192</f>
        <v>6.794620763213205E-2</v>
      </c>
      <c r="G194" s="34">
        <f>'Hindalco Industries'!D192</f>
        <v>2.0545246262863568E-3</v>
      </c>
      <c r="O194" s="10"/>
    </row>
    <row r="195" spans="1:15" x14ac:dyDescent="0.4">
      <c r="A195" s="3">
        <v>45783</v>
      </c>
      <c r="B195" s="32">
        <f>'NIFTY 50'!C193</f>
        <v>-3.3394276617622325E-3</v>
      </c>
      <c r="C195" s="33">
        <f>NTPC!D193</f>
        <v>-1.9699362404430067E-2</v>
      </c>
      <c r="D195" s="33">
        <f>'Dabur India'!D193</f>
        <v>-2.597538994927838E-3</v>
      </c>
      <c r="E195" s="78">
        <f>'HDFC Life Insurance'!D193</f>
        <v>-2.230677508106204E-2</v>
      </c>
      <c r="F195" s="33">
        <f>'Adani Enterprises'!D193</f>
        <v>-4.2214397659077203E-2</v>
      </c>
      <c r="G195" s="34">
        <f>'Hindalco Industries'!D193</f>
        <v>-5.3029527888372634E-3</v>
      </c>
      <c r="O195" s="10"/>
    </row>
    <row r="196" spans="1:15" x14ac:dyDescent="0.4">
      <c r="A196" s="3">
        <v>45784</v>
      </c>
      <c r="B196" s="32">
        <f>'NIFTY 50'!C194</f>
        <v>1.4264051276974533E-3</v>
      </c>
      <c r="C196" s="33">
        <f>NTPC!D194</f>
        <v>7.3115452551649114E-4</v>
      </c>
      <c r="D196" s="33">
        <f>'Dabur India'!D194</f>
        <v>3.1162381092079529E-3</v>
      </c>
      <c r="E196" s="78">
        <f>'HDFC Life Insurance'!D194</f>
        <v>1.7974425855558328E-3</v>
      </c>
      <c r="F196" s="33">
        <f>'Adani Enterprises'!D194</f>
        <v>-3.8240105838726647E-4</v>
      </c>
      <c r="G196" s="34">
        <f>'Hindalco Industries'!D194</f>
        <v>9.8709689230443032E-3</v>
      </c>
      <c r="O196" s="10"/>
    </row>
    <row r="197" spans="1:15" x14ac:dyDescent="0.4">
      <c r="A197" s="3">
        <v>45785</v>
      </c>
      <c r="B197" s="32">
        <f>'NIFTY 50'!C195</f>
        <v>-5.7755427734603581E-3</v>
      </c>
      <c r="C197" s="33">
        <f>NTPC!D195</f>
        <v>-6.0113075968000239E-3</v>
      </c>
      <c r="D197" s="33">
        <f>'Dabur India'!D195</f>
        <v>-2.8188656482916255E-2</v>
      </c>
      <c r="E197" s="78">
        <f>'HDFC Life Insurance'!D195</f>
        <v>-1.313197824960361E-3</v>
      </c>
      <c r="F197" s="33">
        <f>'Adani Enterprises'!D195</f>
        <v>-2.9236301022996024E-2</v>
      </c>
      <c r="G197" s="34">
        <f>'Hindalco Industries'!D195</f>
        <v>-2.5628143572397781E-2</v>
      </c>
      <c r="O197" s="10"/>
    </row>
    <row r="198" spans="1:15" x14ac:dyDescent="0.4">
      <c r="A198" s="3">
        <v>45786</v>
      </c>
      <c r="B198" s="32">
        <f>'NIFTY 50'!C196</f>
        <v>-1.1010471243807775E-2</v>
      </c>
      <c r="C198" s="33">
        <f>NTPC!D196</f>
        <v>-1.5561633038925131E-2</v>
      </c>
      <c r="D198" s="33">
        <f>'Dabur India'!D196</f>
        <v>-1.2775953475053578E-2</v>
      </c>
      <c r="E198" s="78">
        <f>'HDFC Life Insurance'!D196</f>
        <v>-1.3017482208335715E-2</v>
      </c>
      <c r="F198" s="33">
        <f>'Adani Enterprises'!D196</f>
        <v>-1.5122744832106483E-2</v>
      </c>
      <c r="G198" s="34">
        <f>'Hindalco Industries'!D196</f>
        <v>1.114373980433497E-2</v>
      </c>
      <c r="O198" s="10"/>
    </row>
    <row r="199" spans="1:15" x14ac:dyDescent="0.4">
      <c r="A199" s="3">
        <v>45789</v>
      </c>
      <c r="B199" s="32">
        <f>'NIFTY 50'!C197</f>
        <v>3.7472171529076455E-2</v>
      </c>
      <c r="C199" s="33">
        <f>NTPC!D197</f>
        <v>4.039770736112596E-2</v>
      </c>
      <c r="D199" s="33">
        <f>'Dabur India'!D197</f>
        <v>2.6233110199151598E-2</v>
      </c>
      <c r="E199" s="78">
        <f>'HDFC Life Insurance'!D197</f>
        <v>2.900355211976725E-2</v>
      </c>
      <c r="F199" s="33">
        <f>'Adani Enterprises'!D197</f>
        <v>7.458066615344075E-2</v>
      </c>
      <c r="G199" s="34">
        <f>'Hindalco Industries'!D197</f>
        <v>3.8782125398797745E-2</v>
      </c>
      <c r="O199" s="10"/>
    </row>
    <row r="200" spans="1:15" x14ac:dyDescent="0.4">
      <c r="A200" s="3">
        <v>45790</v>
      </c>
      <c r="B200" s="32">
        <f>'NIFTY 50'!C198</f>
        <v>-1.3993305528556882E-2</v>
      </c>
      <c r="C200" s="33">
        <f>NTPC!D198</f>
        <v>-2.0434012921562966E-2</v>
      </c>
      <c r="D200" s="33">
        <f>'Dabur India'!D198</f>
        <v>-2.7403052561223596E-3</v>
      </c>
      <c r="E200" s="78">
        <f>'HDFC Life Insurance'!D198</f>
        <v>6.1239072440814727E-4</v>
      </c>
      <c r="F200" s="33">
        <f>'Adani Enterprises'!D198</f>
        <v>6.5344936101668716E-3</v>
      </c>
      <c r="G200" s="34">
        <f>'Hindalco Industries'!D198</f>
        <v>-2.6736651284693522E-2</v>
      </c>
      <c r="O200" s="10"/>
    </row>
    <row r="201" spans="1:15" x14ac:dyDescent="0.4">
      <c r="A201" s="3">
        <v>45791</v>
      </c>
      <c r="B201" s="32">
        <f>'NIFTY 50'!C199</f>
        <v>3.5962898121936287E-3</v>
      </c>
      <c r="C201" s="33">
        <f>NTPC!D199</f>
        <v>-8.6758870791903159E-3</v>
      </c>
      <c r="D201" s="33">
        <f>'Dabur India'!D199</f>
        <v>-1.018360344168861E-2</v>
      </c>
      <c r="E201" s="78">
        <f>'HDFC Life Insurance'!D199</f>
        <v>9.0063246325372669E-3</v>
      </c>
      <c r="F201" s="33">
        <f>'Adani Enterprises'!D199</f>
        <v>8.4436878649102043E-3</v>
      </c>
      <c r="G201" s="34">
        <f>'Hindalco Industries'!D199</f>
        <v>2.4586938364697105E-2</v>
      </c>
      <c r="O201" s="10"/>
    </row>
    <row r="202" spans="1:15" x14ac:dyDescent="0.4">
      <c r="A202" s="3">
        <v>45792</v>
      </c>
      <c r="B202" s="32">
        <f>'NIFTY 50'!C200</f>
        <v>1.5894480888894447E-2</v>
      </c>
      <c r="C202" s="33">
        <f>NTPC!D200</f>
        <v>9.9927356124506431E-3</v>
      </c>
      <c r="D202" s="33">
        <f>'Dabur India'!D200</f>
        <v>1.0661549133192249E-4</v>
      </c>
      <c r="E202" s="78">
        <f>'HDFC Life Insurance'!D200</f>
        <v>1.272707915154078E-2</v>
      </c>
      <c r="F202" s="33">
        <f>'Adani Enterprises'!D200</f>
        <v>2.3325491970218902E-2</v>
      </c>
      <c r="G202" s="34">
        <f>'Hindalco Industries'!D200</f>
        <v>1.6465041522571427E-2</v>
      </c>
      <c r="O202" s="10"/>
    </row>
    <row r="203" spans="1:15" x14ac:dyDescent="0.4">
      <c r="A203" s="3">
        <v>45793</v>
      </c>
      <c r="B203" s="32">
        <f>'NIFTY 50'!C201</f>
        <v>-1.6892334379733957E-3</v>
      </c>
      <c r="C203" s="33">
        <f>NTPC!D201</f>
        <v>3.3574223202990365E-3</v>
      </c>
      <c r="D203" s="33">
        <f>'Dabur India'!D201</f>
        <v>1.6179700493307848E-2</v>
      </c>
      <c r="E203" s="78">
        <f>'HDFC Life Insurance'!D201</f>
        <v>-8.6565678786819052E-4</v>
      </c>
      <c r="F203" s="33">
        <f>'Adani Enterprises'!D201</f>
        <v>1.3793322132335769E-2</v>
      </c>
      <c r="G203" s="34">
        <f>'Hindalco Industries'!D201</f>
        <v>-5.7623936840825677E-3</v>
      </c>
      <c r="O203" s="10"/>
    </row>
    <row r="204" spans="1:15" x14ac:dyDescent="0.4">
      <c r="A204" s="3">
        <v>45796</v>
      </c>
      <c r="B204" s="32">
        <f>'NIFTY 50'!C202</f>
        <v>-2.976070564100508E-3</v>
      </c>
      <c r="C204" s="33">
        <f>NTPC!D202</f>
        <v>5.9571552850803235E-3</v>
      </c>
      <c r="D204" s="33">
        <f>'Dabur India'!D202</f>
        <v>1.4165427989969399E-2</v>
      </c>
      <c r="E204" s="78">
        <f>'HDFC Life Insurance'!D202</f>
        <v>5.3280054540475938E-4</v>
      </c>
      <c r="F204" s="33">
        <f>'Adani Enterprises'!D202</f>
        <v>-5.651950048444542E-3</v>
      </c>
      <c r="G204" s="34">
        <f>'Hindalco Industries'!D202</f>
        <v>1.2158980143788941E-3</v>
      </c>
      <c r="O204" s="10"/>
    </row>
    <row r="205" spans="1:15" x14ac:dyDescent="0.4">
      <c r="A205" s="3">
        <v>45797</v>
      </c>
      <c r="B205" s="32">
        <f>'NIFTY 50'!C203</f>
        <v>-1.0540231594245037E-2</v>
      </c>
      <c r="C205" s="33">
        <f>NTPC!D203</f>
        <v>-7.4155192594649137E-3</v>
      </c>
      <c r="D205" s="33">
        <f>'Dabur India'!D203</f>
        <v>-1.6265607277090522E-2</v>
      </c>
      <c r="E205" s="78">
        <f>'HDFC Life Insurance'!D203</f>
        <v>-5.2069543544960477E-3</v>
      </c>
      <c r="F205" s="33">
        <f>'Adani Enterprises'!D203</f>
        <v>-1.5469746445728761E-2</v>
      </c>
      <c r="G205" s="34">
        <f>'Hindalco Industries'!D203</f>
        <v>6.6611403667822221E-3</v>
      </c>
      <c r="O205" s="10"/>
    </row>
    <row r="206" spans="1:15" x14ac:dyDescent="0.4">
      <c r="A206" s="3">
        <v>45798</v>
      </c>
      <c r="B206" s="32">
        <f>'NIFTY 50'!C204</f>
        <v>5.2346356247726386E-3</v>
      </c>
      <c r="C206" s="33">
        <f>NTPC!D204</f>
        <v>1.0308621234014688E-2</v>
      </c>
      <c r="D206" s="33">
        <f>'Dabur India'!D204</f>
        <v>1.2743017642009729E-2</v>
      </c>
      <c r="E206" s="78">
        <f>'HDFC Life Insurance'!D204</f>
        <v>1.6791501212082133E-2</v>
      </c>
      <c r="F206" s="33">
        <f>'Adani Enterprises'!D204</f>
        <v>-4.7980808597419697E-4</v>
      </c>
      <c r="G206" s="34">
        <f>'Hindalco Industries'!D204</f>
        <v>3.7714501672756547E-4</v>
      </c>
      <c r="O206" s="10"/>
    </row>
    <row r="207" spans="1:15" x14ac:dyDescent="0.4">
      <c r="A207" s="3">
        <v>45799</v>
      </c>
      <c r="B207" s="32">
        <f>'NIFTY 50'!C205</f>
        <v>-8.2451707060623922E-3</v>
      </c>
      <c r="C207" s="33">
        <f>NTPC!D205</f>
        <v>-1.3817396763694196E-2</v>
      </c>
      <c r="D207" s="33">
        <f>'Dabur India'!D205</f>
        <v>-9.8040000966208556E-3</v>
      </c>
      <c r="E207" s="78">
        <f>'HDFC Life Insurance'!D205</f>
        <v>-5.0806747144591666E-3</v>
      </c>
      <c r="F207" s="33">
        <f>'Adani Enterprises'!D205</f>
        <v>-5.1323288279231669E-3</v>
      </c>
      <c r="G207" s="34">
        <f>'Hindalco Industries'!D205</f>
        <v>-2.049517474412069E-2</v>
      </c>
      <c r="O207" s="10"/>
    </row>
    <row r="208" spans="1:15" x14ac:dyDescent="0.4">
      <c r="A208" s="3">
        <v>45800</v>
      </c>
      <c r="B208" s="32">
        <f>'NIFTY 50'!C206</f>
        <v>9.8438309105117507E-3</v>
      </c>
      <c r="C208" s="33">
        <f>NTPC!D206</f>
        <v>9.3295137334891629E-3</v>
      </c>
      <c r="D208" s="33">
        <f>'Dabur India'!D206</f>
        <v>1.0219067032122102E-2</v>
      </c>
      <c r="E208" s="78">
        <f>'HDFC Life Insurance'!D206</f>
        <v>3.1963664954239329E-2</v>
      </c>
      <c r="F208" s="33">
        <f>'Adani Enterprises'!D206</f>
        <v>2.0845690782847984E-2</v>
      </c>
      <c r="G208" s="34">
        <f>'Hindalco Industries'!D206</f>
        <v>8.4638176868133917E-4</v>
      </c>
      <c r="O208" s="10"/>
    </row>
    <row r="209" spans="1:15" x14ac:dyDescent="0.4">
      <c r="A209" s="3">
        <v>45803</v>
      </c>
      <c r="B209" s="32">
        <f>'NIFTY 50'!C207</f>
        <v>5.9373187376564407E-3</v>
      </c>
      <c r="C209" s="33">
        <f>NTPC!D207</f>
        <v>-3.1972124314252623E-3</v>
      </c>
      <c r="D209" s="33">
        <f>'Dabur India'!D207</f>
        <v>-3.4294655591984146E-3</v>
      </c>
      <c r="E209" s="78">
        <f>'HDFC Life Insurance'!D207</f>
        <v>-5.126890653187235E-4</v>
      </c>
      <c r="F209" s="33">
        <f>'Adani Enterprises'!D207</f>
        <v>3.0269103441902391E-3</v>
      </c>
      <c r="G209" s="34">
        <f>'Hindalco Industries'!D207</f>
        <v>1.7308197697966026E-2</v>
      </c>
      <c r="O209" s="10"/>
    </row>
    <row r="210" spans="1:15" x14ac:dyDescent="0.4">
      <c r="A210" s="3">
        <v>45804</v>
      </c>
      <c r="B210" s="32">
        <f>'NIFTY 50'!C208</f>
        <v>-7.0222766786781181E-3</v>
      </c>
      <c r="C210" s="33">
        <f>NTPC!D208</f>
        <v>-1.451531973074955E-2</v>
      </c>
      <c r="D210" s="33">
        <f>'Dabur India'!D208</f>
        <v>7.8805882748701067E-3</v>
      </c>
      <c r="E210" s="78">
        <f>'HDFC Life Insurance'!D208</f>
        <v>-5.3991646777706726E-3</v>
      </c>
      <c r="F210" s="33">
        <f>'Adani Enterprises'!D208</f>
        <v>-2.9088070824344623E-3</v>
      </c>
      <c r="G210" s="34">
        <f>'Hindalco Industries'!D208</f>
        <v>-3.0282406364952916E-3</v>
      </c>
      <c r="O210" s="10"/>
    </row>
    <row r="211" spans="1:15" x14ac:dyDescent="0.4">
      <c r="A211" s="3">
        <v>45805</v>
      </c>
      <c r="B211" s="32">
        <f>'NIFTY 50'!C209</f>
        <v>-2.9750731170425774E-3</v>
      </c>
      <c r="C211" s="33">
        <f>NTPC!D209</f>
        <v>4.4208736899932341E-3</v>
      </c>
      <c r="D211" s="33">
        <f>'Dabur India'!D209</f>
        <v>1.2386459056815831E-3</v>
      </c>
      <c r="E211" s="78">
        <f>'HDFC Life Insurance'!D209</f>
        <v>1.7441745462031005E-2</v>
      </c>
      <c r="F211" s="33">
        <f>'Adani Enterprises'!D209</f>
        <v>-1.0009380740498453E-2</v>
      </c>
      <c r="G211" s="34">
        <f>'Hindalco Industries'!D209</f>
        <v>-1.45107174178657E-2</v>
      </c>
      <c r="O211" s="10"/>
    </row>
    <row r="212" spans="1:15" x14ac:dyDescent="0.4">
      <c r="A212" s="3">
        <v>45806</v>
      </c>
      <c r="B212" s="32">
        <f>'NIFTY 50'!C210</f>
        <v>3.2731009002705618E-3</v>
      </c>
      <c r="C212" s="33">
        <f>NTPC!D210</f>
        <v>-2.0606424718803218E-3</v>
      </c>
      <c r="D212" s="33">
        <f>'Dabur India'!D210</f>
        <v>-5.3785814397536687E-3</v>
      </c>
      <c r="E212" s="78">
        <f>'HDFC Life Insurance'!D210</f>
        <v>-1.0889399799268319E-2</v>
      </c>
      <c r="F212" s="33">
        <f>'Adani Enterprises'!D210</f>
        <v>1.020618851897713E-2</v>
      </c>
      <c r="G212" s="34">
        <f>'Hindalco Industries'!D210</f>
        <v>7.6926035654576122E-5</v>
      </c>
      <c r="O212" s="10"/>
    </row>
    <row r="213" spans="1:15" x14ac:dyDescent="0.4">
      <c r="A213" s="3">
        <v>45807</v>
      </c>
      <c r="B213" s="32">
        <f>'NIFTY 50'!C211</f>
        <v>-3.3438034717525197E-3</v>
      </c>
      <c r="C213" s="33">
        <f>NTPC!D211</f>
        <v>-1.6190476200158711E-2</v>
      </c>
      <c r="D213" s="33">
        <f>'Dabur India'!D211</f>
        <v>1.7615672137281429E-3</v>
      </c>
      <c r="E213" s="78">
        <f>'HDFC Life Insurance'!D211</f>
        <v>-5.199819130619167E-3</v>
      </c>
      <c r="F213" s="33">
        <f>'Adani Enterprises'!D211</f>
        <v>-8.2597738744030307E-3</v>
      </c>
      <c r="G213" s="34">
        <f>'Hindalco Industries'!D211</f>
        <v>-2.5712363128489006E-2</v>
      </c>
      <c r="O213" s="10"/>
    </row>
    <row r="214" spans="1:15" x14ac:dyDescent="0.4">
      <c r="A214" s="3">
        <v>45810</v>
      </c>
      <c r="B214" s="32">
        <f>'NIFTY 50'!C212</f>
        <v>-1.3786887661705169E-3</v>
      </c>
      <c r="C214" s="33">
        <f>NTPC!D212</f>
        <v>-4.0513222191785776E-3</v>
      </c>
      <c r="D214" s="33">
        <f>'Dabur India'!D212</f>
        <v>3.1010982057082578E-3</v>
      </c>
      <c r="E214" s="78">
        <f>'HDFC Life Insurance'!D212</f>
        <v>-1.3151690973161365E-2</v>
      </c>
      <c r="F214" s="33">
        <f>'Adani Enterprises'!D212</f>
        <v>-4.3662056382596224E-4</v>
      </c>
      <c r="G214" s="34">
        <f>'Hindalco Industries'!D212</f>
        <v>-3.7956711709998857E-3</v>
      </c>
      <c r="O214" s="10"/>
    </row>
    <row r="215" spans="1:15" x14ac:dyDescent="0.4">
      <c r="A215" s="3">
        <v>45811</v>
      </c>
      <c r="B215" s="32">
        <f>'NIFTY 50'!C213</f>
        <v>-7.0687740923206172E-3</v>
      </c>
      <c r="C215" s="33">
        <f>NTPC!D213</f>
        <v>-1.3014711547524649E-2</v>
      </c>
      <c r="D215" s="33">
        <f>'Dabur India'!D213</f>
        <v>2.4739730173264948E-3</v>
      </c>
      <c r="E215" s="78">
        <f>'HDFC Life Insurance'!D213</f>
        <v>-1.1544139746865424E-2</v>
      </c>
      <c r="F215" s="33">
        <f>'Adani Enterprises'!D213</f>
        <v>-1.9200140890456317E-2</v>
      </c>
      <c r="G215" s="34">
        <f>'Hindalco Industries'!D213</f>
        <v>1.4250655566636419E-3</v>
      </c>
      <c r="O215" s="10"/>
    </row>
    <row r="216" spans="1:15" x14ac:dyDescent="0.4">
      <c r="A216" s="3">
        <v>45812</v>
      </c>
      <c r="B216" s="32">
        <f>'NIFTY 50'!C214</f>
        <v>3.1609356156210005E-3</v>
      </c>
      <c r="C216" s="33">
        <f>NTPC!D214</f>
        <v>3.0418274404849423E-3</v>
      </c>
      <c r="D216" s="33">
        <f>'Dabur India'!D214</f>
        <v>1.2685592110427571E-2</v>
      </c>
      <c r="E216" s="78">
        <f>'HDFC Life Insurance'!D214</f>
        <v>1.1867872428757218E-3</v>
      </c>
      <c r="F216" s="33">
        <f>'Adani Enterprises'!D214</f>
        <v>7.4592608427458068E-3</v>
      </c>
      <c r="G216" s="34">
        <f>'Hindalco Industries'!D214</f>
        <v>6.0732923198983839E-3</v>
      </c>
      <c r="O216" s="10"/>
    </row>
    <row r="217" spans="1:15" x14ac:dyDescent="0.4">
      <c r="A217" s="3">
        <v>45813</v>
      </c>
      <c r="B217" s="32">
        <f>'NIFTY 50'!C215</f>
        <v>5.2946077897617046E-3</v>
      </c>
      <c r="C217" s="33">
        <f>NTPC!D215</f>
        <v>-1.8239859138052454E-3</v>
      </c>
      <c r="D217" s="33">
        <f>'Dabur India'!D215</f>
        <v>-6.424987682657886E-3</v>
      </c>
      <c r="E217" s="78">
        <f>'HDFC Life Insurance'!D215</f>
        <v>3.6832454162965891E-3</v>
      </c>
      <c r="F217" s="33">
        <f>'Adani Enterprises'!D215</f>
        <v>6.0074673042782465E-3</v>
      </c>
      <c r="G217" s="34">
        <f>'Hindalco Industries'!D215</f>
        <v>2.1993567894690261E-3</v>
      </c>
      <c r="O217" s="10"/>
    </row>
    <row r="218" spans="1:15" x14ac:dyDescent="0.4">
      <c r="A218" s="3">
        <v>45814</v>
      </c>
      <c r="B218" s="32">
        <f>'NIFTY 50'!C216</f>
        <v>1.0135965436883998E-2</v>
      </c>
      <c r="C218" s="33">
        <f>NTPC!D216</f>
        <v>1.2698583337127561E-2</v>
      </c>
      <c r="D218" s="33">
        <f>'Dabur India'!D216</f>
        <v>-1.5361918674115099E-2</v>
      </c>
      <c r="E218" s="78">
        <f>'HDFC Life Insurance'!D216</f>
        <v>-8.5712926677757074E-3</v>
      </c>
      <c r="F218" s="33">
        <f>'Adani Enterprises'!D216</f>
        <v>1.1828820493652472E-2</v>
      </c>
      <c r="G218" s="34">
        <f>'Hindalco Industries'!D216</f>
        <v>2.0041062241104048E-2</v>
      </c>
      <c r="O218" s="10"/>
    </row>
    <row r="219" spans="1:15" x14ac:dyDescent="0.4">
      <c r="A219" s="3">
        <v>45817</v>
      </c>
      <c r="B219" s="32">
        <f>'NIFTY 50'!C217</f>
        <v>3.9975106246084267E-3</v>
      </c>
      <c r="C219" s="33">
        <f>NTPC!D217</f>
        <v>1.2687684193302408E-2</v>
      </c>
      <c r="D219" s="33">
        <f>'Dabur India'!D217</f>
        <v>8.9983541432946661E-3</v>
      </c>
      <c r="E219" s="78">
        <f>'HDFC Life Insurance'!D217</f>
        <v>6.9944198048942025E-3</v>
      </c>
      <c r="F219" s="33">
        <f>'Adani Enterprises'!D217</f>
        <v>1.8725015958730655E-2</v>
      </c>
      <c r="G219" s="34">
        <f>'Hindalco Industries'!D217</f>
        <v>9.9926984755382823E-4</v>
      </c>
      <c r="O219" s="10"/>
    </row>
    <row r="220" spans="1:15" x14ac:dyDescent="0.4">
      <c r="A220" s="3">
        <v>45818</v>
      </c>
      <c r="B220" s="32">
        <f>'NIFTY 50'!C218</f>
        <v>4.1826462015294284E-5</v>
      </c>
      <c r="C220" s="33">
        <f>NTPC!D218</f>
        <v>6.2102816777328453E-3</v>
      </c>
      <c r="D220" s="33">
        <f>'Dabur India'!D218</f>
        <v>8.1013620547918906E-3</v>
      </c>
      <c r="E220" s="78">
        <f>'HDFC Life Insurance'!D218</f>
        <v>2.692321946747284E-3</v>
      </c>
      <c r="F220" s="33">
        <f>'Adani Enterprises'!D218</f>
        <v>1.1934234652313032E-2</v>
      </c>
      <c r="G220" s="34">
        <f>'Hindalco Industries'!D218</f>
        <v>1.1534329457470039E-2</v>
      </c>
      <c r="O220" s="10"/>
    </row>
    <row r="221" spans="1:15" x14ac:dyDescent="0.4">
      <c r="A221" s="3">
        <v>45819</v>
      </c>
      <c r="B221" s="32">
        <f>'NIFTY 50'!C219</f>
        <v>1.4787352445249067E-3</v>
      </c>
      <c r="C221" s="33">
        <f>NTPC!D219</f>
        <v>-3.2481942039075825E-3</v>
      </c>
      <c r="D221" s="33">
        <f>'Dabur India'!D219</f>
        <v>-6.24970017402059E-3</v>
      </c>
      <c r="E221" s="78">
        <f>'HDFC Life Insurance'!D219</f>
        <v>2.2926024517784301E-3</v>
      </c>
      <c r="F221" s="33">
        <f>'Adani Enterprises'!D219</f>
        <v>-1.228284891416684E-2</v>
      </c>
      <c r="G221" s="34">
        <f>'Hindalco Industries'!D219</f>
        <v>-4.7961722634929441E-3</v>
      </c>
      <c r="O221" s="10"/>
    </row>
    <row r="222" spans="1:15" x14ac:dyDescent="0.4">
      <c r="A222" s="3">
        <v>45820</v>
      </c>
      <c r="B222" s="32">
        <f>'NIFTY 50'!C220</f>
        <v>-1.0122094193621185E-2</v>
      </c>
      <c r="C222" s="33">
        <f>NTPC!D220</f>
        <v>-1.3099323956512116E-2</v>
      </c>
      <c r="D222" s="33">
        <f>'Dabur India'!D220</f>
        <v>-2.8247226966880298E-2</v>
      </c>
      <c r="E222" s="78">
        <f>'HDFC Life Insurance'!D220</f>
        <v>-1.2774256804896028E-2</v>
      </c>
      <c r="F222" s="33">
        <f>'Adani Enterprises'!D220</f>
        <v>-1.4634693083617669E-2</v>
      </c>
      <c r="G222" s="34">
        <f>'Hindalco Industries'!D220</f>
        <v>-6.35408836412243E-3</v>
      </c>
      <c r="O222" s="10"/>
    </row>
    <row r="223" spans="1:15" x14ac:dyDescent="0.4">
      <c r="A223" s="3">
        <v>45821</v>
      </c>
      <c r="B223" s="32">
        <f>'NIFTY 50'!C221</f>
        <v>-6.8377988828330826E-3</v>
      </c>
      <c r="C223" s="33">
        <f>NTPC!D221</f>
        <v>-5.2580305921599178E-3</v>
      </c>
      <c r="D223" s="33">
        <f>'Dabur India'!D221</f>
        <v>-1.3731654371781013E-2</v>
      </c>
      <c r="E223" s="78">
        <f>'HDFC Life Insurance'!D221</f>
        <v>-2.1892734388511549E-3</v>
      </c>
      <c r="F223" s="33">
        <f>'Adani Enterprises'!D221</f>
        <v>-1.417396442847468E-2</v>
      </c>
      <c r="G223" s="34">
        <f>'Hindalco Industries'!D221</f>
        <v>-1.4309715498980797E-2</v>
      </c>
      <c r="O223" s="10"/>
    </row>
    <row r="224" spans="1:15" x14ac:dyDescent="0.4">
      <c r="A224" s="3">
        <v>45824</v>
      </c>
      <c r="B224" s="32">
        <f>'NIFTY 50'!C222</f>
        <v>9.177535114667245E-3</v>
      </c>
      <c r="C224" s="33">
        <f>NTPC!D222</f>
        <v>5.2580305921599594E-3</v>
      </c>
      <c r="D224" s="33">
        <f>'Dabur India'!D222</f>
        <v>1.1085170002817552E-2</v>
      </c>
      <c r="E224" s="78">
        <f>'HDFC Life Insurance'!D222</f>
        <v>2.3238540812334049E-2</v>
      </c>
      <c r="F224" s="33">
        <f>'Adani Enterprises'!D222</f>
        <v>1.4291895910420372E-2</v>
      </c>
      <c r="G224" s="34">
        <f>'Hindalco Industries'!D222</f>
        <v>1.2080060171711754E-2</v>
      </c>
      <c r="O224" s="10"/>
    </row>
    <row r="225" spans="1:15" x14ac:dyDescent="0.4">
      <c r="A225" s="3">
        <v>45825</v>
      </c>
      <c r="B225" s="32">
        <f>'NIFTY 50'!C223</f>
        <v>-3.7389676871053394E-3</v>
      </c>
      <c r="C225" s="33">
        <f>NTPC!D223</f>
        <v>4.4849828505996404E-3</v>
      </c>
      <c r="D225" s="33">
        <f>'Dabur India'!D223</f>
        <v>7.4172188830964685E-4</v>
      </c>
      <c r="E225" s="78">
        <f>'HDFC Life Insurance'!D223</f>
        <v>4.4027264384999681E-3</v>
      </c>
      <c r="F225" s="33">
        <f>'Adani Enterprises'!D223</f>
        <v>-2.2057526161403891E-2</v>
      </c>
      <c r="G225" s="34">
        <f>'Hindalco Industries'!D223</f>
        <v>-1.2235884090998485E-2</v>
      </c>
      <c r="O225" s="10"/>
    </row>
    <row r="226" spans="1:15" x14ac:dyDescent="0.4">
      <c r="A226" s="3">
        <v>45826</v>
      </c>
      <c r="B226" s="32">
        <f>'NIFTY 50'!C224</f>
        <v>-1.6651418462635466E-3</v>
      </c>
      <c r="C226" s="33">
        <f>NTPC!D224</f>
        <v>-8.3883056266348555E-3</v>
      </c>
      <c r="D226" s="33">
        <f>'Dabur India'!D224</f>
        <v>-3.9267760725564971E-3</v>
      </c>
      <c r="E226" s="78">
        <f>'HDFC Life Insurance'!D224</f>
        <v>-1.0064039753337844E-2</v>
      </c>
      <c r="F226" s="33">
        <f>'Adani Enterprises'!D224</f>
        <v>-1.1884689971514208E-2</v>
      </c>
      <c r="G226" s="34">
        <f>'Hindalco Industries'!D224</f>
        <v>5.6719005247269231E-3</v>
      </c>
      <c r="O226" s="10"/>
    </row>
    <row r="227" spans="1:15" x14ac:dyDescent="0.4">
      <c r="A227" s="3">
        <v>45827</v>
      </c>
      <c r="B227" s="32">
        <f>'NIFTY 50'!C225</f>
        <v>-7.5798355821293751E-4</v>
      </c>
      <c r="C227" s="33">
        <f>NTPC!D225</f>
        <v>-7.0949048465132718E-3</v>
      </c>
      <c r="D227" s="33">
        <f>'Dabur India'!D225</f>
        <v>-1.0905699875917729E-2</v>
      </c>
      <c r="E227" s="78">
        <f>'HDFC Life Insurance'!D225</f>
        <v>-5.693546351184884E-3</v>
      </c>
      <c r="F227" s="33">
        <f>'Adani Enterprises'!D225</f>
        <v>-1.5779986022591272E-2</v>
      </c>
      <c r="G227" s="34">
        <f>'Hindalco Industries'!D225</f>
        <v>-6.2174755353369571E-3</v>
      </c>
      <c r="O227" s="10"/>
    </row>
    <row r="228" spans="1:15" x14ac:dyDescent="0.4">
      <c r="A228" s="3">
        <v>45828</v>
      </c>
      <c r="B228" s="32">
        <f>'NIFTY 50'!C226</f>
        <v>1.2790309347901757E-2</v>
      </c>
      <c r="C228" s="33">
        <f>NTPC!D226</f>
        <v>1.5483210473148148E-2</v>
      </c>
      <c r="D228" s="33">
        <f>'Dabur India'!D226</f>
        <v>3.8626657468398911E-3</v>
      </c>
      <c r="E228" s="78">
        <f>'HDFC Life Insurance'!D226</f>
        <v>2.2197173043073996E-2</v>
      </c>
      <c r="F228" s="33">
        <f>'Adani Enterprises'!D226</f>
        <v>1.1419306672411355E-2</v>
      </c>
      <c r="G228" s="34">
        <f>'Hindalco Industries'!D226</f>
        <v>1.2088485060402623E-2</v>
      </c>
      <c r="O228" s="10"/>
    </row>
    <row r="229" spans="1:15" x14ac:dyDescent="0.4">
      <c r="A229" s="3">
        <v>45831</v>
      </c>
      <c r="B229" s="32">
        <f>'NIFTY 50'!C227</f>
        <v>-5.610555346030624E-3</v>
      </c>
      <c r="C229" s="33">
        <f>NTPC!D227</f>
        <v>-7.7868018491005844E-3</v>
      </c>
      <c r="D229" s="33">
        <f>'Dabur India'!D227</f>
        <v>1.2842467518503682E-3</v>
      </c>
      <c r="E229" s="78">
        <f>'HDFC Life Insurance'!D227</f>
        <v>-6.1812056955919039E-3</v>
      </c>
      <c r="F229" s="33">
        <f>'Adani Enterprises'!D227</f>
        <v>9.5927896006666059E-3</v>
      </c>
      <c r="G229" s="34">
        <f>'Hindalco Industries'!D227</f>
        <v>1.8694985741429908E-2</v>
      </c>
      <c r="O229" s="10"/>
    </row>
    <row r="230" spans="1:15" x14ac:dyDescent="0.4">
      <c r="A230" s="3">
        <v>45832</v>
      </c>
      <c r="B230" s="32">
        <f>'NIFTY 50'!C228</f>
        <v>2.8970604822426802E-3</v>
      </c>
      <c r="C230" s="33">
        <f>NTPC!D228</f>
        <v>-7.9994389293967603E-3</v>
      </c>
      <c r="D230" s="33">
        <f>'Dabur India'!D228</f>
        <v>1.6125959464134042E-2</v>
      </c>
      <c r="E230" s="78">
        <f>'HDFC Life Insurance'!D228</f>
        <v>7.1435770527084903E-3</v>
      </c>
      <c r="F230" s="33">
        <f>'Adani Enterprises'!D228</f>
        <v>1.3500687218902524E-2</v>
      </c>
      <c r="G230" s="34">
        <f>'Hindalco Industries'!D228</f>
        <v>1.2022988229533925E-2</v>
      </c>
      <c r="O230" s="10"/>
    </row>
    <row r="231" spans="1:15" x14ac:dyDescent="0.4">
      <c r="A231" s="3">
        <v>45833</v>
      </c>
      <c r="B231" s="32">
        <f>'NIFTY 50'!C229</f>
        <v>7.969960122065977E-3</v>
      </c>
      <c r="C231" s="33">
        <f>NTPC!D229</f>
        <v>2.7239726286378816E-3</v>
      </c>
      <c r="D231" s="33">
        <f>'Dabur India'!D229</f>
        <v>1.0781493455790355E-2</v>
      </c>
      <c r="E231" s="78">
        <f>'HDFC Life Insurance'!D229</f>
        <v>6.9018678886555891E-3</v>
      </c>
      <c r="F231" s="33">
        <f>'Adani Enterprises'!D229</f>
        <v>8.583743691391435E-3</v>
      </c>
      <c r="G231" s="34">
        <f>'Hindalco Industries'!D229</f>
        <v>4.8433461543257086E-3</v>
      </c>
      <c r="O231" s="10"/>
    </row>
    <row r="232" spans="1:15" x14ac:dyDescent="0.4">
      <c r="A232" s="3">
        <v>45834</v>
      </c>
      <c r="B232" s="32">
        <f>'NIFTY 50'!C230</f>
        <v>1.1979963629751521E-2</v>
      </c>
      <c r="C232" s="33">
        <f>NTPC!D230</f>
        <v>1.8862834722522235E-2</v>
      </c>
      <c r="D232" s="33">
        <f>'Dabur India'!D230</f>
        <v>2.7032663582073034E-3</v>
      </c>
      <c r="E232" s="78">
        <f>'HDFC Life Insurance'!D230</f>
        <v>1.8112893027219565E-2</v>
      </c>
      <c r="F232" s="33">
        <f>'Adani Enterprises'!D230</f>
        <v>2.3077646373875823E-2</v>
      </c>
      <c r="G232" s="34">
        <f>'Hindalco Industries'!D230</f>
        <v>2.6335650024340136E-2</v>
      </c>
      <c r="O232" s="10"/>
    </row>
    <row r="233" spans="1:15" x14ac:dyDescent="0.4">
      <c r="A233" s="3">
        <v>45835</v>
      </c>
      <c r="B233" s="32">
        <f>'NIFTY 50'!C231</f>
        <v>3.4696479984903748E-3</v>
      </c>
      <c r="C233" s="33">
        <f>NTPC!D231</f>
        <v>3.4051406060719275E-3</v>
      </c>
      <c r="D233" s="33">
        <f>'Dabur India'!D231</f>
        <v>9.9184613085759807E-3</v>
      </c>
      <c r="E233" s="78">
        <f>'HDFC Life Insurance'!D231</f>
        <v>9.3377172504020903E-3</v>
      </c>
      <c r="F233" s="33">
        <f>'Adani Enterprises'!D231</f>
        <v>2.2972821071079813E-2</v>
      </c>
      <c r="G233" s="34">
        <f>'Hindalco Industries'!D231</f>
        <v>9.7266518488115152E-3</v>
      </c>
      <c r="O233" s="10"/>
    </row>
    <row r="234" spans="1:15" x14ac:dyDescent="0.4">
      <c r="A234" s="3">
        <v>45838</v>
      </c>
      <c r="B234" s="32">
        <f>'NIFTY 50'!C232</f>
        <v>-4.7209687553906882E-3</v>
      </c>
      <c r="C234" s="33">
        <f>NTPC!D232</f>
        <v>-1.0101095986504044E-2</v>
      </c>
      <c r="D234" s="33">
        <f>'Dabur India'!D232</f>
        <v>-2.2643072663297769E-3</v>
      </c>
      <c r="E234" s="78">
        <f>'HDFC Life Insurance'!D232</f>
        <v>9.0671399912541605E-3</v>
      </c>
      <c r="F234" s="33">
        <f>'Adani Enterprises'!D232</f>
        <v>-1.0217154037528405E-2</v>
      </c>
      <c r="G234" s="34">
        <f>'Hindalco Industries'!D232</f>
        <v>-6.473911259979365E-3</v>
      </c>
      <c r="O234" s="10"/>
    </row>
    <row r="235" spans="1:15" x14ac:dyDescent="0.4">
      <c r="A235" s="3">
        <v>45839</v>
      </c>
      <c r="B235" s="32">
        <f>'NIFTY 50'!C233</f>
        <v>9.6946961940914944E-4</v>
      </c>
      <c r="C235" s="33">
        <f>NTPC!D233</f>
        <v>-6.8914130413314121E-3</v>
      </c>
      <c r="D235" s="33">
        <f>'Dabur India'!D233</f>
        <v>-5.8905766361440036E-3</v>
      </c>
      <c r="E235" s="78">
        <f>'HDFC Life Insurance'!D233</f>
        <v>-5.4180652181414117E-3</v>
      </c>
      <c r="F235" s="33">
        <f>'Adani Enterprises'!D233</f>
        <v>9.1582086840638697E-4</v>
      </c>
      <c r="G235" s="34">
        <f>'Hindalco Industries'!D233</f>
        <v>2.0906182145035835E-3</v>
      </c>
      <c r="O235" s="10"/>
    </row>
    <row r="236" spans="1:15" x14ac:dyDescent="0.4">
      <c r="A236" s="3">
        <v>45840</v>
      </c>
      <c r="B236" s="32">
        <f>'NIFTY 50'!C234</f>
        <v>-3.4669964446766102E-3</v>
      </c>
      <c r="C236" s="33">
        <f>NTPC!D234</f>
        <v>3.4516429556318202E-3</v>
      </c>
      <c r="D236" s="33">
        <f>'Dabur India'!D234</f>
        <v>1.0619203868152367E-2</v>
      </c>
      <c r="E236" s="78">
        <f>'HDFC Life Insurance'!D234</f>
        <v>-2.5257656751408845E-2</v>
      </c>
      <c r="F236" s="33">
        <f>'Adani Enterprises'!D234</f>
        <v>3.1987841441555266E-3</v>
      </c>
      <c r="G236" s="34">
        <f>'Hindalco Industries'!D234</f>
        <v>5.8162659925527823E-3</v>
      </c>
      <c r="O236" s="10"/>
    </row>
    <row r="237" spans="1:15" x14ac:dyDescent="0.4">
      <c r="A237" s="3">
        <v>45841</v>
      </c>
      <c r="B237" s="32">
        <f>'NIFTY 50'!C235</f>
        <v>-1.8915156833006601E-3</v>
      </c>
      <c r="C237" s="33">
        <f>NTPC!D235</f>
        <v>2.5435788382644777E-3</v>
      </c>
      <c r="D237" s="33">
        <f>'Dabur India'!D235</f>
        <v>8.272528410751781E-3</v>
      </c>
      <c r="E237" s="78">
        <f>'HDFC Life Insurance'!D235</f>
        <v>-4.8871919811969405E-3</v>
      </c>
      <c r="F237" s="33">
        <f>'Adani Enterprises'!D235</f>
        <v>-7.2500031380766964E-3</v>
      </c>
      <c r="G237" s="34">
        <f>'Hindalco Industries'!D235</f>
        <v>-7.906884207056198E-3</v>
      </c>
      <c r="O237" s="10"/>
    </row>
    <row r="238" spans="1:15" x14ac:dyDescent="0.4">
      <c r="A238" s="3">
        <v>45842</v>
      </c>
      <c r="B238" s="32">
        <f>'NIFTY 50'!C236</f>
        <v>2.1900559806014813E-3</v>
      </c>
      <c r="C238" s="33">
        <f>NTPC!D236</f>
        <v>2.6861678590127626E-3</v>
      </c>
      <c r="D238" s="33">
        <f>'Dabur India'!D236</f>
        <v>7.0943846754976028E-3</v>
      </c>
      <c r="E238" s="78">
        <f>'HDFC Life Insurance'!D236</f>
        <v>-9.5483631812853461E-4</v>
      </c>
      <c r="F238" s="33">
        <f>'Adani Enterprises'!D236</f>
        <v>-4.6446545314401746E-3</v>
      </c>
      <c r="G238" s="34">
        <f>'Hindalco Industries'!D236</f>
        <v>9.4807863777154021E-3</v>
      </c>
      <c r="O238" s="10"/>
    </row>
    <row r="239" spans="1:15" x14ac:dyDescent="0.4">
      <c r="A239" s="3">
        <v>45845</v>
      </c>
      <c r="B239" s="32">
        <f>'NIFTY 50'!C237</f>
        <v>1.1782657107136236E-5</v>
      </c>
      <c r="C239" s="33">
        <f>NTPC!D237</f>
        <v>5.7953947776790051E-3</v>
      </c>
      <c r="D239" s="33">
        <f>'Dabur India'!D237</f>
        <v>3.502863458511267E-2</v>
      </c>
      <c r="E239" s="78">
        <f>'HDFC Life Insurance'!D237</f>
        <v>5.5254022636877865E-3</v>
      </c>
      <c r="F239" s="33">
        <f>'Adani Enterprises'!D237</f>
        <v>-8.8886038917989334E-3</v>
      </c>
      <c r="G239" s="34">
        <f>'Hindalco Industries'!D237</f>
        <v>-1.0563858074621874E-2</v>
      </c>
      <c r="O239" s="10"/>
    </row>
    <row r="240" spans="1:15" x14ac:dyDescent="0.4">
      <c r="A240" s="3">
        <v>45846</v>
      </c>
      <c r="B240" s="32">
        <f>'NIFTY 50'!C238</f>
        <v>2.4007637482767337E-3</v>
      </c>
      <c r="C240" s="33">
        <f>NTPC!D238</f>
        <v>1.6896016424391765E-2</v>
      </c>
      <c r="D240" s="33">
        <f>'Dabur India'!D238</f>
        <v>6.8236099542908694E-4</v>
      </c>
      <c r="E240" s="78">
        <f>'HDFC Life Insurance'!D238</f>
        <v>5.9358598132662017E-3</v>
      </c>
      <c r="F240" s="33">
        <f>'Adani Enterprises'!D238</f>
        <v>5.8830529239863039E-3</v>
      </c>
      <c r="G240" s="34">
        <f>'Hindalco Industries'!D238</f>
        <v>-9.4360865642476154E-3</v>
      </c>
      <c r="O240" s="10"/>
    </row>
    <row r="241" spans="1:15" x14ac:dyDescent="0.4">
      <c r="A241" s="3">
        <v>45847</v>
      </c>
      <c r="B241" s="32">
        <f>'NIFTY 50'!C239</f>
        <v>-1.8196582966253595E-3</v>
      </c>
      <c r="C241" s="33">
        <f>NTPC!D239</f>
        <v>2.3282897595911681E-3</v>
      </c>
      <c r="D241" s="33">
        <f>'Dabur India'!D239</f>
        <v>1.7484144977638377E-2</v>
      </c>
      <c r="E241" s="78">
        <f>'HDFC Life Insurance'!D239</f>
        <v>-9.9339612836936951E-3</v>
      </c>
      <c r="F241" s="33">
        <f>'Adani Enterprises'!D239</f>
        <v>-3.2081661746943954E-3</v>
      </c>
      <c r="G241" s="34">
        <f>'Hindalco Industries'!D239</f>
        <v>-1.7138443099291308E-2</v>
      </c>
      <c r="O241" s="10"/>
    </row>
    <row r="242" spans="1:15" x14ac:dyDescent="0.4">
      <c r="A242" s="3">
        <v>45848</v>
      </c>
      <c r="B242" s="32">
        <f>'NIFTY 50'!C240</f>
        <v>-4.7549485778671007E-3</v>
      </c>
      <c r="C242" s="33">
        <f>NTPC!D240</f>
        <v>-7.4404019663000904E-3</v>
      </c>
      <c r="D242" s="33">
        <f>'Dabur India'!D240</f>
        <v>4.7867503666371148E-4</v>
      </c>
      <c r="E242" s="78">
        <f>'HDFC Life Insurance'!D240</f>
        <v>-1.9325823777872717E-2</v>
      </c>
      <c r="F242" s="33">
        <f>'Adani Enterprises'!D240</f>
        <v>-7.7459337722658283E-4</v>
      </c>
      <c r="G242" s="34">
        <f>'Hindalco Industries'!D240</f>
        <v>1.6308380189764419E-3</v>
      </c>
      <c r="O242" s="10"/>
    </row>
    <row r="243" spans="1:15" x14ac:dyDescent="0.4">
      <c r="A243" s="3">
        <v>45849</v>
      </c>
      <c r="B243" s="32">
        <f>'NIFTY 50'!C241</f>
        <v>-8.1338768732905544E-3</v>
      </c>
      <c r="C243" s="33">
        <f>NTPC!D241</f>
        <v>3.6541734734648699E-3</v>
      </c>
      <c r="D243" s="33">
        <f>'Dabur India'!D241</f>
        <v>1.6045917497360791E-2</v>
      </c>
      <c r="E243" s="78">
        <f>'HDFC Life Insurance'!D241</f>
        <v>-1.6010797823967644E-2</v>
      </c>
      <c r="F243" s="33">
        <f>'Adani Enterprises'!D241</f>
        <v>-8.6776037254404793E-3</v>
      </c>
      <c r="G243" s="34">
        <f>'Hindalco Industries'!D241</f>
        <v>-6.0921436562881535E-3</v>
      </c>
      <c r="O243" s="10"/>
    </row>
    <row r="244" spans="1:15" x14ac:dyDescent="0.4">
      <c r="A244" s="3">
        <v>45852</v>
      </c>
      <c r="B244" s="32">
        <f>'NIFTY 50'!C242</f>
        <v>-2.6895142142431107E-3</v>
      </c>
      <c r="C244" s="33">
        <f>NTPC!D242</f>
        <v>-1.7523368970040784E-3</v>
      </c>
      <c r="D244" s="33">
        <f>'Dabur India'!D242</f>
        <v>-8.7981268533897216E-3</v>
      </c>
      <c r="E244" s="78">
        <f>'HDFC Life Insurance'!D242</f>
        <v>7.5472056353829038E-3</v>
      </c>
      <c r="F244" s="33">
        <f>'Adani Enterprises'!D242</f>
        <v>8.7938309886130984E-3</v>
      </c>
      <c r="G244" s="34">
        <f>'Hindalco Industries'!D242</f>
        <v>-6.6544789282034743E-3</v>
      </c>
      <c r="O244" s="10"/>
    </row>
    <row r="245" spans="1:15" x14ac:dyDescent="0.4">
      <c r="A245" s="3">
        <v>45853</v>
      </c>
      <c r="B245" s="32">
        <f>'NIFTY 50'!C243</f>
        <v>4.5148958612713751E-3</v>
      </c>
      <c r="C245" s="33">
        <f>NTPC!D243</f>
        <v>-2.9235492095392997E-4</v>
      </c>
      <c r="D245" s="33">
        <f>'Dabur India'!D243</f>
        <v>1.5191799351699092E-3</v>
      </c>
      <c r="E245" s="78">
        <f>'HDFC Life Insurance'!D243</f>
        <v>-1.0383899822438619E-2</v>
      </c>
      <c r="F245" s="33">
        <f>'Adani Enterprises'!D243</f>
        <v>6.525749579845903E-3</v>
      </c>
      <c r="G245" s="34">
        <f>'Hindalco Industries'!D243</f>
        <v>6.5054254177172935E-3</v>
      </c>
      <c r="O245" s="10"/>
    </row>
    <row r="246" spans="1:15" x14ac:dyDescent="0.4">
      <c r="A246" s="3">
        <v>45854</v>
      </c>
      <c r="B246" s="32">
        <f>'NIFTY 50'!C244</f>
        <v>6.4474087122986417E-4</v>
      </c>
      <c r="C246" s="33">
        <f>NTPC!D244</f>
        <v>1.3149245813090221E-3</v>
      </c>
      <c r="D246" s="33">
        <f>'Dabur India'!D244</f>
        <v>1.8010337111611934E-3</v>
      </c>
      <c r="E246" s="78">
        <f>'HDFC Life Insurance'!D244</f>
        <v>-1.1898467823640139E-3</v>
      </c>
      <c r="F246" s="33">
        <f>'Adani Enterprises'!D244</f>
        <v>3.9564459008150834E-3</v>
      </c>
      <c r="G246" s="34">
        <f>'Hindalco Industries'!D244</f>
        <v>-6.1304019743570878E-3</v>
      </c>
      <c r="O246" s="10"/>
    </row>
    <row r="247" spans="1:15" x14ac:dyDescent="0.4">
      <c r="A247" s="3">
        <v>45855</v>
      </c>
      <c r="B247" s="32">
        <f>'NIFTY 50'!C245</f>
        <v>-3.9981374112852634E-3</v>
      </c>
      <c r="C247" s="33">
        <f>NTPC!D245</f>
        <v>5.8385638791839923E-4</v>
      </c>
      <c r="D247" s="33">
        <f>'Dabur India'!D245</f>
        <v>1.4195809888810746E-3</v>
      </c>
      <c r="E247" s="78">
        <f>'HDFC Life Insurance'!D245</f>
        <v>-5.5049052961326757E-3</v>
      </c>
      <c r="F247" s="33">
        <f>'Adani Enterprises'!D245</f>
        <v>3.1004216143284196E-3</v>
      </c>
      <c r="G247" s="34">
        <f>'Hindalco Industries'!D245</f>
        <v>1.1630638822702403E-2</v>
      </c>
      <c r="O247" s="10"/>
    </row>
    <row r="248" spans="1:15" x14ac:dyDescent="0.4">
      <c r="A248" s="3">
        <v>45856</v>
      </c>
      <c r="B248" s="32">
        <f>'NIFTY 50'!C246</f>
        <v>-5.7128920738239268E-3</v>
      </c>
      <c r="C248" s="33">
        <f>NTPC!D246</f>
        <v>-1.6064260482735768E-3</v>
      </c>
      <c r="D248" s="33">
        <f>'Dabur India'!D246</f>
        <v>-1.1604810154892507E-2</v>
      </c>
      <c r="E248" s="78">
        <f>'HDFC Life Insurance'!D246</f>
        <v>6.6484943609819501E-4</v>
      </c>
      <c r="F248" s="33">
        <f>'Adani Enterprises'!D246</f>
        <v>-7.8654461934695215E-3</v>
      </c>
      <c r="G248" s="34">
        <f>'Hindalco Industries'!D246</f>
        <v>1.9993342214824823E-3</v>
      </c>
      <c r="O248" s="10"/>
    </row>
    <row r="249" spans="1:15" x14ac:dyDescent="0.4">
      <c r="A249" s="3">
        <v>45859</v>
      </c>
      <c r="B249" s="32">
        <f>'NIFTY 50'!C247</f>
        <v>4.8862342043243081E-3</v>
      </c>
      <c r="C249" s="33">
        <f>NTPC!D247</f>
        <v>-1.6090108057006626E-3</v>
      </c>
      <c r="D249" s="33">
        <f>'Dabur India'!D247</f>
        <v>-1.5523620804411572E-2</v>
      </c>
      <c r="E249" s="78">
        <f>'HDFC Life Insurance'!D247</f>
        <v>1.4515958238248843E-2</v>
      </c>
      <c r="F249" s="33">
        <f>'Adani Enterprises'!D247</f>
        <v>8.9731409649681931E-3</v>
      </c>
      <c r="G249" s="34">
        <f>'Hindalco Industries'!D247</f>
        <v>1.0010388317926305E-2</v>
      </c>
      <c r="O249" s="10"/>
    </row>
    <row r="250" spans="1:15" x14ac:dyDescent="0.4">
      <c r="A250" s="3">
        <v>45860</v>
      </c>
      <c r="B250" s="32">
        <f>'NIFTY 50'!C248</f>
        <v>-1.1883969208231818E-3</v>
      </c>
      <c r="C250" s="33">
        <f>NTPC!D248</f>
        <v>-2.0515833690639609E-3</v>
      </c>
      <c r="D250" s="33">
        <f>'Dabur India'!D248</f>
        <v>9.7125104760179047E-4</v>
      </c>
      <c r="E250" s="78">
        <f>'HDFC Life Insurance'!D248</f>
        <v>-1.0486303228578909E-3</v>
      </c>
      <c r="F250" s="33">
        <f>'Adani Enterprises'!D248</f>
        <v>-1.2175365966421842E-2</v>
      </c>
      <c r="G250" s="34">
        <f>'Hindalco Industries'!D248</f>
        <v>1.0708534309814253E-2</v>
      </c>
      <c r="O250" s="10"/>
    </row>
    <row r="251" spans="1:15" x14ac:dyDescent="0.4">
      <c r="A251" s="3">
        <v>45861</v>
      </c>
      <c r="B251" s="32">
        <f>'NIFTY 50'!C249</f>
        <v>6.3245027919540961E-3</v>
      </c>
      <c r="C251" s="33">
        <f>NTPC!D249</f>
        <v>6.4337113281056199E-3</v>
      </c>
      <c r="D251" s="33">
        <f>'Dabur India'!D249</f>
        <v>-2.3325892586202267E-3</v>
      </c>
      <c r="E251" s="78">
        <f>'HDFC Life Insurance'!D249</f>
        <v>-6.843032361789801E-3</v>
      </c>
      <c r="F251" s="33">
        <f>'Adani Enterprises'!D249</f>
        <v>1.026478074633275E-2</v>
      </c>
      <c r="G251" s="34">
        <f>'Hindalco Industries'!D249</f>
        <v>7.7231608397121338E-3</v>
      </c>
      <c r="O251" s="10"/>
    </row>
    <row r="252" spans="1:15" x14ac:dyDescent="0.4">
      <c r="A252" s="3">
        <v>45862</v>
      </c>
      <c r="B252" s="32">
        <f>'NIFTY 50'!C250</f>
        <v>-6.2766205821811125E-3</v>
      </c>
      <c r="C252" s="33">
        <f>NTPC!D250</f>
        <v>-1.2171130523894231E-2</v>
      </c>
      <c r="D252" s="33">
        <f>'Dabur India'!D250</f>
        <v>-2.5331268416717064E-3</v>
      </c>
      <c r="E252" s="78">
        <f>'HDFC Life Insurance'!D250</f>
        <v>6.646291698139249E-3</v>
      </c>
      <c r="F252" s="33">
        <f>'Adani Enterprises'!D250</f>
        <v>-2.3358681091380147E-3</v>
      </c>
      <c r="G252" s="34">
        <f>'Hindalco Industries'!D250</f>
        <v>2.8756290636711601E-4</v>
      </c>
      <c r="O252" s="10"/>
    </row>
    <row r="253" spans="1:15" x14ac:dyDescent="0.4">
      <c r="A253" s="3">
        <v>45863</v>
      </c>
      <c r="B253" s="32">
        <f>'NIFTY 50'!C251</f>
        <v>-9.0222680148949828E-3</v>
      </c>
      <c r="C253" s="33">
        <f>NTPC!D251</f>
        <v>-1.6962168320318008E-2</v>
      </c>
      <c r="D253" s="33">
        <f>'Dabur India'!D251</f>
        <v>-2.3439799773885676E-3</v>
      </c>
      <c r="E253" s="78">
        <f>'HDFC Life Insurance'!D251</f>
        <v>-3.0431485667061556E-2</v>
      </c>
      <c r="F253" s="33">
        <f>'Adani Enterprises'!D251</f>
        <v>-2.2604432449215839E-2</v>
      </c>
      <c r="G253" s="34">
        <f>'Hindalco Industries'!D251</f>
        <v>-3.095643377783779E-3</v>
      </c>
      <c r="H253" s="16"/>
      <c r="I253" s="16"/>
      <c r="J253" s="16"/>
      <c r="K253" s="16"/>
      <c r="L253" s="16"/>
      <c r="M253" s="16"/>
      <c r="N253" s="16"/>
      <c r="O253" s="17"/>
    </row>
  </sheetData>
  <mergeCells count="1">
    <mergeCell ref="A1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B80FD-1413-40B3-80E5-7E4BF6A52506}">
  <sheetPr>
    <tabColor theme="7" tint="0.59999389629810485"/>
  </sheetPr>
  <dimension ref="A1:M33"/>
  <sheetViews>
    <sheetView showGridLines="0" zoomScale="69" zoomScaleNormal="69" workbookViewId="0">
      <pane xSplit="13" ySplit="33" topLeftCell="N34" activePane="bottomRight" state="frozen"/>
      <selection pane="topRight" activeCell="N1" sqref="N1"/>
      <selection pane="bottomLeft" activeCell="A34" sqref="A34"/>
      <selection pane="bottomRight" activeCell="N1" activeCellId="1" sqref="A34:XFD1048576 N1:XFD33"/>
    </sheetView>
  </sheetViews>
  <sheetFormatPr defaultColWidth="8.73046875" defaultRowHeight="13.15" x14ac:dyDescent="0.45"/>
  <cols>
    <col min="1" max="1" width="35.33203125" style="121" bestFit="1" customWidth="1"/>
    <col min="2" max="2" width="25.265625" style="121" bestFit="1" customWidth="1"/>
    <col min="3" max="3" width="38.73046875" style="121" bestFit="1" customWidth="1"/>
    <col min="4" max="4" width="13.265625" style="121" customWidth="1"/>
    <col min="5" max="6" width="8.73046875" style="121"/>
    <col min="7" max="7" width="21.46484375" style="121" customWidth="1"/>
    <col min="8" max="8" width="21.73046875" style="121" customWidth="1"/>
    <col min="9" max="9" width="14.06640625" style="121" customWidth="1"/>
    <col min="10" max="10" width="9.33203125" style="121" customWidth="1"/>
    <col min="11" max="11" width="19.265625" style="121" customWidth="1"/>
    <col min="12" max="12" width="9.9296875" style="121" customWidth="1"/>
    <col min="13" max="13" width="14.73046875" style="121" customWidth="1"/>
    <col min="14" max="16384" width="8.73046875" style="121"/>
  </cols>
  <sheetData>
    <row r="1" spans="1:13" x14ac:dyDescent="0.45">
      <c r="A1" s="92" t="s">
        <v>66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1:13" x14ac:dyDescent="0.45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spans="1:13" ht="25.5" x14ac:dyDescent="0.45">
      <c r="A3" s="53" t="s">
        <v>57</v>
      </c>
      <c r="B3" s="53" t="s">
        <v>96</v>
      </c>
      <c r="C3" s="53" t="s">
        <v>59</v>
      </c>
      <c r="D3" s="53" t="s">
        <v>60</v>
      </c>
      <c r="E3" s="50"/>
      <c r="F3" s="50"/>
      <c r="G3" s="46"/>
      <c r="H3" s="47" t="s">
        <v>8</v>
      </c>
      <c r="I3" s="47" t="s">
        <v>6</v>
      </c>
      <c r="J3" s="47" t="s">
        <v>44</v>
      </c>
      <c r="K3" s="47" t="s">
        <v>9</v>
      </c>
      <c r="L3" s="47" t="s">
        <v>10</v>
      </c>
      <c r="M3" s="47" t="s">
        <v>11</v>
      </c>
    </row>
    <row r="4" spans="1:13" x14ac:dyDescent="0.45">
      <c r="A4" s="49" t="s">
        <v>6</v>
      </c>
      <c r="B4" s="54">
        <f>NTPC!H4</f>
        <v>-0.17481601862293134</v>
      </c>
      <c r="C4" s="55">
        <f>NTPC!H5</f>
        <v>3.8849480794898021E-2</v>
      </c>
      <c r="D4" s="49">
        <f>1/5</f>
        <v>0.2</v>
      </c>
      <c r="E4" s="50"/>
      <c r="F4" s="50"/>
      <c r="G4" s="56" t="s">
        <v>8</v>
      </c>
      <c r="H4" s="57">
        <v>1</v>
      </c>
      <c r="I4" s="57"/>
      <c r="J4" s="57"/>
      <c r="K4" s="57"/>
      <c r="L4" s="57"/>
      <c r="M4" s="57"/>
    </row>
    <row r="5" spans="1:13" x14ac:dyDescent="0.45">
      <c r="A5" s="49" t="s">
        <v>44</v>
      </c>
      <c r="B5" s="54">
        <f>'Dabur India'!H4</f>
        <v>-0.2142472538722609</v>
      </c>
      <c r="C5" s="55">
        <f>'Dabur India'!H5</f>
        <v>3.3880841251092142E-2</v>
      </c>
      <c r="D5" s="49">
        <f t="shared" ref="D5:D8" si="0">1/5</f>
        <v>0.2</v>
      </c>
      <c r="E5" s="50"/>
      <c r="F5" s="50"/>
      <c r="G5" s="56" t="s">
        <v>6</v>
      </c>
      <c r="H5" s="57">
        <v>0.53467522383200505</v>
      </c>
      <c r="I5" s="57">
        <v>1</v>
      </c>
      <c r="J5" s="57"/>
      <c r="K5" s="57"/>
      <c r="L5" s="57"/>
      <c r="M5" s="57"/>
    </row>
    <row r="6" spans="1:13" x14ac:dyDescent="0.45">
      <c r="A6" s="49" t="s">
        <v>54</v>
      </c>
      <c r="B6" s="55">
        <f>'HDFC Life Insurance'!H4</f>
        <v>5.0520605130725926E-2</v>
      </c>
      <c r="C6" s="55">
        <f>'HDFC Life Insurance'!H5</f>
        <v>3.691611877384348E-2</v>
      </c>
      <c r="D6" s="49">
        <f t="shared" si="0"/>
        <v>0.2</v>
      </c>
      <c r="E6" s="50"/>
      <c r="F6" s="50"/>
      <c r="G6" s="56" t="s">
        <v>44</v>
      </c>
      <c r="H6" s="57">
        <v>0.41628687795054137</v>
      </c>
      <c r="I6" s="57">
        <v>0.75328724190289276</v>
      </c>
      <c r="J6" s="57">
        <v>1</v>
      </c>
      <c r="K6" s="57"/>
      <c r="L6" s="57"/>
      <c r="M6" s="57"/>
    </row>
    <row r="7" spans="1:13" x14ac:dyDescent="0.45">
      <c r="A7" s="58" t="s">
        <v>10</v>
      </c>
      <c r="B7" s="49">
        <f>'Adani Enterprises'!H5</f>
        <v>-0.19123596602798273</v>
      </c>
      <c r="C7" s="55">
        <f>'Adani Enterprises'!H6</f>
        <v>6.7060415831351264E-2</v>
      </c>
      <c r="D7" s="49">
        <f t="shared" si="0"/>
        <v>0.2</v>
      </c>
      <c r="E7" s="50"/>
      <c r="F7" s="50"/>
      <c r="G7" s="56" t="s">
        <v>9</v>
      </c>
      <c r="H7" s="57">
        <v>0.75538371952959094</v>
      </c>
      <c r="I7" s="57">
        <v>0.32294721243632013</v>
      </c>
      <c r="J7" s="57">
        <v>6.3422427314457297E-2</v>
      </c>
      <c r="K7" s="57">
        <v>1</v>
      </c>
      <c r="L7" s="57"/>
      <c r="M7" s="57"/>
    </row>
    <row r="8" spans="1:13" x14ac:dyDescent="0.45">
      <c r="A8" s="49" t="s">
        <v>11</v>
      </c>
      <c r="B8" s="55">
        <f>'Hindalco Industries'!H4</f>
        <v>3.8293866893182683E-2</v>
      </c>
      <c r="C8" s="55">
        <f>'Hindalco Industries'!H5</f>
        <v>4.6919461063556031E-2</v>
      </c>
      <c r="D8" s="49">
        <f t="shared" si="0"/>
        <v>0.2</v>
      </c>
      <c r="E8" s="50"/>
      <c r="F8" s="50"/>
      <c r="G8" s="56" t="s">
        <v>10</v>
      </c>
      <c r="H8" s="57">
        <v>0.65975557714482469</v>
      </c>
      <c r="I8" s="57">
        <v>0.88425693036814379</v>
      </c>
      <c r="J8" s="57">
        <v>0.7921457635455087</v>
      </c>
      <c r="K8" s="57">
        <v>0.42782349349798465</v>
      </c>
      <c r="L8" s="57">
        <v>1</v>
      </c>
      <c r="M8" s="57"/>
    </row>
    <row r="9" spans="1:13" x14ac:dyDescent="0.45">
      <c r="A9" s="58"/>
      <c r="B9" s="50"/>
      <c r="C9" s="50"/>
      <c r="D9" s="50"/>
      <c r="E9" s="50"/>
      <c r="F9" s="50"/>
      <c r="G9" s="56" t="s">
        <v>11</v>
      </c>
      <c r="H9" s="57">
        <v>0.57432851736783241</v>
      </c>
      <c r="I9" s="57">
        <v>0.62597245989182626</v>
      </c>
      <c r="J9" s="57">
        <v>0.35794411683644534</v>
      </c>
      <c r="K9" s="57">
        <v>0.48507367366011195</v>
      </c>
      <c r="L9" s="57">
        <v>0.54155770189436025</v>
      </c>
      <c r="M9" s="57">
        <v>1</v>
      </c>
    </row>
    <row r="10" spans="1:13" x14ac:dyDescent="0.45">
      <c r="A10" s="91" t="s">
        <v>61</v>
      </c>
      <c r="B10" s="59">
        <f>SUMPRODUCT(B4:B8,D4:D8)</f>
        <v>-9.8296953299853287E-2</v>
      </c>
      <c r="C10" s="57" t="s">
        <v>63</v>
      </c>
      <c r="D10" s="50"/>
      <c r="E10" s="50"/>
      <c r="F10" s="50"/>
      <c r="G10" s="50"/>
      <c r="H10" s="50"/>
      <c r="I10" s="50"/>
      <c r="J10" s="50"/>
      <c r="K10" s="50"/>
      <c r="L10" s="50"/>
      <c r="M10" s="60"/>
    </row>
    <row r="11" spans="1:13" x14ac:dyDescent="0.45">
      <c r="A11" s="91"/>
      <c r="B11" s="59">
        <f>(B4*D4)+(B5*D5)+(B6*D6)+(B7*D7)+(B8*D8)</f>
        <v>-9.8296953299853287E-2</v>
      </c>
      <c r="C11" s="57" t="s">
        <v>64</v>
      </c>
      <c r="D11" s="50"/>
      <c r="E11" s="50"/>
      <c r="F11" s="50"/>
      <c r="G11" s="61" t="s">
        <v>74</v>
      </c>
      <c r="H11" s="62"/>
      <c r="I11" s="50"/>
      <c r="J11" s="50"/>
      <c r="K11" s="50"/>
      <c r="L11" s="50"/>
      <c r="M11" s="60"/>
    </row>
    <row r="12" spans="1:13" x14ac:dyDescent="0.45">
      <c r="A12" s="58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60"/>
    </row>
    <row r="13" spans="1:13" x14ac:dyDescent="0.45">
      <c r="A13" s="56" t="s">
        <v>89</v>
      </c>
      <c r="B13" s="63">
        <f>SUM(I16:I20)+SUM(H23:H32)</f>
        <v>1.3048095705766221E-3</v>
      </c>
      <c r="C13" s="56" t="s">
        <v>88</v>
      </c>
      <c r="D13" s="64">
        <f>B13*10000</f>
        <v>13.048095705766221</v>
      </c>
      <c r="E13" s="50"/>
      <c r="F13" s="50"/>
      <c r="G13" s="50"/>
      <c r="H13" s="50"/>
      <c r="I13" s="50"/>
      <c r="J13" s="50"/>
      <c r="K13" s="50"/>
      <c r="L13" s="50"/>
      <c r="M13" s="60"/>
    </row>
    <row r="14" spans="1:13" x14ac:dyDescent="0.45">
      <c r="A14" s="58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60"/>
    </row>
    <row r="15" spans="1:13" x14ac:dyDescent="0.45">
      <c r="A15" s="56" t="s">
        <v>71</v>
      </c>
      <c r="B15" s="63">
        <f>SQRT(B13)</f>
        <v>3.6122147923076532E-2</v>
      </c>
      <c r="C15" s="57" t="s">
        <v>72</v>
      </c>
      <c r="D15" s="65">
        <f>SQRT(D13)</f>
        <v>3.6122147923076531</v>
      </c>
      <c r="E15" s="50"/>
      <c r="F15" s="50"/>
      <c r="G15" s="66" t="s">
        <v>73</v>
      </c>
      <c r="H15" s="66" t="s">
        <v>69</v>
      </c>
      <c r="I15" s="66" t="s">
        <v>70</v>
      </c>
      <c r="J15" s="50"/>
      <c r="K15" s="93" t="s">
        <v>75</v>
      </c>
      <c r="L15" s="94"/>
      <c r="M15" s="60"/>
    </row>
    <row r="16" spans="1:13" x14ac:dyDescent="0.45">
      <c r="A16" s="58"/>
      <c r="B16" s="50"/>
      <c r="C16" s="50"/>
      <c r="D16" s="50"/>
      <c r="E16" s="50"/>
      <c r="F16" s="50"/>
      <c r="G16" s="49" t="s">
        <v>6</v>
      </c>
      <c r="H16" s="67">
        <v>1</v>
      </c>
      <c r="I16" s="67">
        <f>(D4^2)*(C4^2)</f>
        <v>6.0371286321326019E-5</v>
      </c>
      <c r="J16" s="50"/>
      <c r="K16" s="49" t="s">
        <v>76</v>
      </c>
      <c r="L16" s="49">
        <f>I6</f>
        <v>0.75328724190289276</v>
      </c>
      <c r="M16" s="60"/>
    </row>
    <row r="17" spans="1:13" x14ac:dyDescent="0.45">
      <c r="A17" s="58"/>
      <c r="B17" s="50"/>
      <c r="C17" s="50"/>
      <c r="D17" s="50"/>
      <c r="E17" s="50"/>
      <c r="F17" s="50"/>
      <c r="G17" s="49" t="s">
        <v>44</v>
      </c>
      <c r="H17" s="67">
        <v>2</v>
      </c>
      <c r="I17" s="67">
        <f>(D5^2)*(C5^2)</f>
        <v>4.5916456155268281E-5</v>
      </c>
      <c r="J17" s="50"/>
      <c r="K17" s="49" t="s">
        <v>77</v>
      </c>
      <c r="L17" s="49">
        <f t="shared" ref="L17:L19" si="1">I7</f>
        <v>0.32294721243632013</v>
      </c>
      <c r="M17" s="60"/>
    </row>
    <row r="18" spans="1:13" x14ac:dyDescent="0.45">
      <c r="A18" s="68"/>
      <c r="B18" s="69"/>
      <c r="C18" s="70"/>
      <c r="D18" s="50"/>
      <c r="E18" s="50"/>
      <c r="F18" s="50"/>
      <c r="G18" s="49" t="s">
        <v>54</v>
      </c>
      <c r="H18" s="67">
        <v>3</v>
      </c>
      <c r="I18" s="67">
        <f>(D6^2)*(C6^2)</f>
        <v>5.451199301298077E-5</v>
      </c>
      <c r="J18" s="50"/>
      <c r="K18" s="49" t="s">
        <v>79</v>
      </c>
      <c r="L18" s="49">
        <f t="shared" si="1"/>
        <v>0.88425693036814379</v>
      </c>
      <c r="M18" s="60"/>
    </row>
    <row r="19" spans="1:13" x14ac:dyDescent="0.45">
      <c r="A19" s="58"/>
      <c r="B19" s="50"/>
      <c r="C19" s="60"/>
      <c r="D19" s="50"/>
      <c r="E19" s="50"/>
      <c r="F19" s="50"/>
      <c r="G19" s="49" t="s">
        <v>10</v>
      </c>
      <c r="H19" s="67">
        <v>4</v>
      </c>
      <c r="I19" s="67">
        <f>(D7^2)*(C7^2)</f>
        <v>1.798839748589499E-4</v>
      </c>
      <c r="J19" s="50"/>
      <c r="K19" s="49" t="s">
        <v>80</v>
      </c>
      <c r="L19" s="49">
        <f t="shared" si="1"/>
        <v>0.62597245989182626</v>
      </c>
      <c r="M19" s="60"/>
    </row>
    <row r="20" spans="1:13" x14ac:dyDescent="0.45">
      <c r="A20" s="58"/>
      <c r="B20" s="50"/>
      <c r="C20" s="60"/>
      <c r="D20" s="50"/>
      <c r="E20" s="50"/>
      <c r="F20" s="50"/>
      <c r="G20" s="49" t="s">
        <v>11</v>
      </c>
      <c r="H20" s="67">
        <v>5</v>
      </c>
      <c r="I20" s="67">
        <f>(D8^2)*(C8^2)</f>
        <v>8.8057433059782046E-5</v>
      </c>
      <c r="J20" s="50"/>
      <c r="K20" s="49" t="s">
        <v>78</v>
      </c>
      <c r="L20" s="49">
        <f>J7</f>
        <v>6.3422427314457297E-2</v>
      </c>
      <c r="M20" s="60"/>
    </row>
    <row r="21" spans="1:13" x14ac:dyDescent="0.45">
      <c r="A21" s="58"/>
      <c r="B21" s="50"/>
      <c r="C21" s="60"/>
      <c r="D21" s="50"/>
      <c r="E21" s="50"/>
      <c r="F21" s="50"/>
      <c r="G21" s="50"/>
      <c r="H21" s="50"/>
      <c r="I21" s="50"/>
      <c r="J21" s="50"/>
      <c r="K21" s="49" t="s">
        <v>81</v>
      </c>
      <c r="L21" s="49">
        <f t="shared" ref="L21:L22" si="2">J8</f>
        <v>0.7921457635455087</v>
      </c>
      <c r="M21" s="60"/>
    </row>
    <row r="22" spans="1:13" x14ac:dyDescent="0.45">
      <c r="A22" s="58"/>
      <c r="B22" s="50"/>
      <c r="C22" s="60"/>
      <c r="D22" s="50"/>
      <c r="E22" s="50"/>
      <c r="F22" s="50"/>
      <c r="G22" s="66" t="s">
        <v>86</v>
      </c>
      <c r="H22" s="66" t="s">
        <v>87</v>
      </c>
      <c r="I22" s="50"/>
      <c r="J22" s="50"/>
      <c r="K22" s="49" t="s">
        <v>82</v>
      </c>
      <c r="L22" s="49">
        <f t="shared" si="2"/>
        <v>0.35794411683644534</v>
      </c>
      <c r="M22" s="60"/>
    </row>
    <row r="23" spans="1:13" x14ac:dyDescent="0.45">
      <c r="A23" s="58"/>
      <c r="B23" s="50"/>
      <c r="C23" s="60"/>
      <c r="D23" s="50"/>
      <c r="E23" s="50"/>
      <c r="F23" s="50"/>
      <c r="G23" s="67" t="s">
        <v>76</v>
      </c>
      <c r="H23" s="71">
        <f>2*$D$4*D5*L16*$C$4*C5</f>
        <v>7.932133287533268E-5</v>
      </c>
      <c r="I23" s="50"/>
      <c r="J23" s="50"/>
      <c r="K23" s="49" t="s">
        <v>83</v>
      </c>
      <c r="L23" s="49">
        <f>K8</f>
        <v>0.42782349349798465</v>
      </c>
      <c r="M23" s="60"/>
    </row>
    <row r="24" spans="1:13" x14ac:dyDescent="0.45">
      <c r="A24" s="58"/>
      <c r="B24" s="50"/>
      <c r="C24" s="60"/>
      <c r="D24" s="50"/>
      <c r="E24" s="50"/>
      <c r="F24" s="50"/>
      <c r="G24" s="67" t="s">
        <v>77</v>
      </c>
      <c r="H24" s="71">
        <f>2*$D$4*D6*L17*$C$4*C6</f>
        <v>3.7052949187057428E-5</v>
      </c>
      <c r="I24" s="50"/>
      <c r="J24" s="50"/>
      <c r="K24" s="49" t="s">
        <v>84</v>
      </c>
      <c r="L24" s="49">
        <f>K9</f>
        <v>0.48507367366011195</v>
      </c>
      <c r="M24" s="60"/>
    </row>
    <row r="25" spans="1:13" x14ac:dyDescent="0.45">
      <c r="A25" s="58"/>
      <c r="B25" s="50"/>
      <c r="C25" s="60"/>
      <c r="D25" s="50"/>
      <c r="E25" s="50"/>
      <c r="F25" s="50"/>
      <c r="G25" s="67" t="s">
        <v>79</v>
      </c>
      <c r="H25" s="71">
        <f>2*$D$4*D7*L18*$C$4*C7</f>
        <v>1.8429770214915952E-4</v>
      </c>
      <c r="I25" s="50"/>
      <c r="J25" s="50"/>
      <c r="K25" s="49" t="s">
        <v>85</v>
      </c>
      <c r="L25" s="49">
        <f>L9</f>
        <v>0.54155770189436025</v>
      </c>
      <c r="M25" s="60"/>
    </row>
    <row r="26" spans="1:13" x14ac:dyDescent="0.45">
      <c r="A26" s="58"/>
      <c r="B26" s="50"/>
      <c r="C26" s="60"/>
      <c r="D26" s="50"/>
      <c r="E26" s="50"/>
      <c r="F26" s="50"/>
      <c r="G26" s="67" t="s">
        <v>80</v>
      </c>
      <c r="H26" s="71">
        <f>2*$D$4*D8*L19*$C$4*C8</f>
        <v>9.12816428094319E-5</v>
      </c>
      <c r="I26" s="50"/>
      <c r="J26" s="50"/>
      <c r="K26" s="50"/>
      <c r="L26" s="50"/>
      <c r="M26" s="60"/>
    </row>
    <row r="27" spans="1:13" x14ac:dyDescent="0.45">
      <c r="A27" s="58"/>
      <c r="B27" s="50"/>
      <c r="C27" s="60"/>
      <c r="D27" s="50"/>
      <c r="E27" s="50"/>
      <c r="F27" s="50"/>
      <c r="G27" s="67" t="s">
        <v>78</v>
      </c>
      <c r="H27" s="71">
        <f>2*$D$5*D6*L20*$C$5*C6</f>
        <v>6.3460438139967404E-6</v>
      </c>
      <c r="I27" s="50"/>
      <c r="J27" s="50"/>
      <c r="K27" s="50"/>
      <c r="L27" s="50"/>
      <c r="M27" s="60"/>
    </row>
    <row r="28" spans="1:13" x14ac:dyDescent="0.45">
      <c r="A28" s="58"/>
      <c r="B28" s="50"/>
      <c r="C28" s="60"/>
      <c r="D28" s="50"/>
      <c r="E28" s="50"/>
      <c r="F28" s="50"/>
      <c r="G28" s="67" t="s">
        <v>81</v>
      </c>
      <c r="H28" s="71">
        <f>2*$D$5*D7*L21*$C$5*C7</f>
        <v>1.4398442559919556E-4</v>
      </c>
      <c r="I28" s="50"/>
      <c r="J28" s="50"/>
      <c r="K28" s="49" t="s">
        <v>65</v>
      </c>
      <c r="L28" s="50"/>
      <c r="M28" s="60"/>
    </row>
    <row r="29" spans="1:13" x14ac:dyDescent="0.45">
      <c r="A29" s="58"/>
      <c r="B29" s="50"/>
      <c r="C29" s="60"/>
      <c r="D29" s="50"/>
      <c r="E29" s="50"/>
      <c r="F29" s="50"/>
      <c r="G29" s="67" t="s">
        <v>82</v>
      </c>
      <c r="H29" s="71">
        <f>2*$D$5*D8*L22*$C$5*C8</f>
        <v>4.5521065185557601E-5</v>
      </c>
      <c r="I29" s="50"/>
      <c r="J29" s="50"/>
      <c r="K29" s="49" t="s">
        <v>67</v>
      </c>
      <c r="L29" s="50"/>
      <c r="M29" s="60"/>
    </row>
    <row r="30" spans="1:13" x14ac:dyDescent="0.45">
      <c r="A30" s="93" t="s">
        <v>111</v>
      </c>
      <c r="B30" s="95"/>
      <c r="C30" s="94"/>
      <c r="D30" s="50"/>
      <c r="E30" s="50"/>
      <c r="F30" s="50"/>
      <c r="G30" s="67" t="s">
        <v>83</v>
      </c>
      <c r="H30" s="71">
        <f>2*$D$6*D7*L23*$C$6*C7</f>
        <v>8.4729938940412218E-5</v>
      </c>
      <c r="I30" s="50"/>
      <c r="J30" s="50"/>
      <c r="K30" s="49" t="s">
        <v>68</v>
      </c>
      <c r="L30" s="50"/>
      <c r="M30" s="60"/>
    </row>
    <row r="31" spans="1:13" x14ac:dyDescent="0.45">
      <c r="A31" s="58"/>
      <c r="B31" s="50"/>
      <c r="C31" s="50"/>
      <c r="D31" s="50"/>
      <c r="E31" s="50"/>
      <c r="F31" s="50"/>
      <c r="G31" s="67" t="s">
        <v>84</v>
      </c>
      <c r="H31" s="71">
        <f>2*$D$6*D8*L24*$C$6*C8</f>
        <v>6.7215083339940525E-5</v>
      </c>
      <c r="I31" s="50"/>
      <c r="J31" s="50"/>
      <c r="K31" s="50"/>
      <c r="L31" s="50"/>
      <c r="M31" s="60"/>
    </row>
    <row r="32" spans="1:13" x14ac:dyDescent="0.45">
      <c r="A32" s="58"/>
      <c r="B32" s="50"/>
      <c r="C32" s="50"/>
      <c r="D32" s="50"/>
      <c r="E32" s="50"/>
      <c r="F32" s="50"/>
      <c r="G32" s="67" t="s">
        <v>85</v>
      </c>
      <c r="H32" s="71">
        <f>2*D7*D8*L25*C7*C8</f>
        <v>1.3631824326823088E-4</v>
      </c>
      <c r="I32" s="50"/>
      <c r="J32" s="50"/>
      <c r="K32" s="50"/>
      <c r="L32" s="50"/>
      <c r="M32" s="60"/>
    </row>
    <row r="33" spans="1:13" x14ac:dyDescent="0.45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4"/>
    </row>
  </sheetData>
  <mergeCells count="4">
    <mergeCell ref="A10:A11"/>
    <mergeCell ref="A1:M2"/>
    <mergeCell ref="K15:L15"/>
    <mergeCell ref="A30:C30"/>
  </mergeCells>
  <phoneticPr fontId="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04E1-BC45-4D02-8C70-B94ABC861455}">
  <sheetPr>
    <tabColor theme="5" tint="0.59999389629810485"/>
  </sheetPr>
  <dimension ref="A1:K31"/>
  <sheetViews>
    <sheetView showGridLines="0" zoomScale="68" zoomScaleNormal="68" workbookViewId="0">
      <pane xSplit="11" ySplit="31" topLeftCell="L32" activePane="bottomRight" state="frozen"/>
      <selection pane="topRight" activeCell="L1" sqref="L1"/>
      <selection pane="bottomLeft" activeCell="A32" sqref="A32"/>
      <selection pane="bottomRight" activeCell="L9" sqref="L9"/>
    </sheetView>
  </sheetViews>
  <sheetFormatPr defaultColWidth="8.73046875" defaultRowHeight="13.15" x14ac:dyDescent="0.4"/>
  <cols>
    <col min="1" max="1" width="33.73046875" style="87" bestFit="1" customWidth="1"/>
    <col min="2" max="2" width="25.59765625" style="87" bestFit="1" customWidth="1"/>
    <col min="3" max="3" width="25.46484375" style="87" bestFit="1" customWidth="1"/>
    <col min="4" max="4" width="9.53125" style="87" bestFit="1" customWidth="1"/>
    <col min="5" max="5" width="21.9296875" style="87" bestFit="1" customWidth="1"/>
    <col min="6" max="6" width="18" style="87" bestFit="1" customWidth="1"/>
    <col min="7" max="7" width="26.59765625" style="87" bestFit="1" customWidth="1"/>
    <col min="8" max="8" width="13.53125" style="87" bestFit="1" customWidth="1"/>
    <col min="9" max="9" width="15.06640625" style="87" bestFit="1" customWidth="1"/>
    <col min="10" max="10" width="9.46484375" style="87" bestFit="1" customWidth="1"/>
    <col min="11" max="11" width="26.06640625" style="87" bestFit="1" customWidth="1"/>
    <col min="12" max="16384" width="8.73046875" style="87"/>
  </cols>
  <sheetData>
    <row r="1" spans="1:11" ht="13.05" customHeight="1" x14ac:dyDescent="0.4">
      <c r="A1" s="98" t="s">
        <v>90</v>
      </c>
      <c r="B1" s="99"/>
      <c r="C1" s="99"/>
      <c r="D1" s="99"/>
      <c r="E1" s="99"/>
      <c r="F1" s="99"/>
      <c r="G1" s="99"/>
      <c r="H1" s="99"/>
      <c r="I1" s="99"/>
      <c r="J1" s="99"/>
      <c r="K1" s="100"/>
    </row>
    <row r="2" spans="1:11" ht="13.05" customHeight="1" x14ac:dyDescent="0.4">
      <c r="A2" s="101"/>
      <c r="B2" s="102"/>
      <c r="C2" s="102"/>
      <c r="D2" s="102"/>
      <c r="E2" s="102"/>
      <c r="F2" s="102"/>
      <c r="G2" s="102"/>
      <c r="H2" s="102"/>
      <c r="I2" s="102"/>
      <c r="J2" s="102"/>
      <c r="K2" s="103"/>
    </row>
    <row r="3" spans="1:11" x14ac:dyDescent="0.4">
      <c r="A3" s="40" t="s">
        <v>73</v>
      </c>
      <c r="B3" s="40" t="s">
        <v>58</v>
      </c>
      <c r="C3" s="40" t="s">
        <v>59</v>
      </c>
      <c r="D3" s="40" t="s">
        <v>60</v>
      </c>
      <c r="E3" s="79" t="s">
        <v>94</v>
      </c>
      <c r="F3" s="40" t="s">
        <v>93</v>
      </c>
      <c r="G3" s="40" t="s">
        <v>95</v>
      </c>
      <c r="H3" s="40" t="s">
        <v>97</v>
      </c>
      <c r="I3" s="40" t="s">
        <v>98</v>
      </c>
      <c r="J3" s="40" t="s">
        <v>116</v>
      </c>
      <c r="K3" s="40" t="s">
        <v>117</v>
      </c>
    </row>
    <row r="4" spans="1:11" x14ac:dyDescent="0.4">
      <c r="A4" s="2" t="s">
        <v>6</v>
      </c>
      <c r="B4" s="31">
        <f>NTPC!H4</f>
        <v>-0.17481601862293134</v>
      </c>
      <c r="C4" s="45">
        <f>NTPC!H5</f>
        <v>3.8849480794898021E-2</v>
      </c>
      <c r="D4" s="2">
        <f>1/5</f>
        <v>0.2</v>
      </c>
      <c r="E4" s="2">
        <f>'Alpha - Beta Computation'!J4</f>
        <v>-6.9409930182060149E-4</v>
      </c>
      <c r="F4" s="2">
        <f>'Alpha - Beta Computation'!J5</f>
        <v>1.1116739240087403</v>
      </c>
      <c r="G4" s="2">
        <f>Regression!D13</f>
        <v>1.4927597521803649E-4</v>
      </c>
      <c r="H4" s="2">
        <f>D4*E4</f>
        <v>-1.3881986036412029E-4</v>
      </c>
      <c r="I4" s="2">
        <f>D4*F4</f>
        <v>0.22233478480174806</v>
      </c>
      <c r="J4" s="2">
        <f>D4^2</f>
        <v>4.0000000000000008E-2</v>
      </c>
      <c r="K4" s="2">
        <f>J4*G4</f>
        <v>5.9710390087214605E-6</v>
      </c>
    </row>
    <row r="5" spans="1:11" x14ac:dyDescent="0.4">
      <c r="A5" s="2" t="s">
        <v>44</v>
      </c>
      <c r="B5" s="31">
        <f>'Dabur India'!H4</f>
        <v>-0.2142472538722609</v>
      </c>
      <c r="C5" s="45">
        <f>'Dabur India'!H5</f>
        <v>3.3880841251092142E-2</v>
      </c>
      <c r="D5" s="2">
        <f t="shared" ref="D5:D8" si="0">1/5</f>
        <v>0.2</v>
      </c>
      <c r="E5" s="2">
        <f>'Alpha - Beta Computation'!K4</f>
        <v>-8.50396311064854E-4</v>
      </c>
      <c r="F5" s="2">
        <f>'Alpha - Beta Computation'!K5</f>
        <v>0.60298073382925155</v>
      </c>
      <c r="G5" s="2">
        <f>Regression!N13</f>
        <v>1.5520371732615046E-4</v>
      </c>
      <c r="H5" s="2">
        <f t="shared" ref="H5:H8" si="1">D5*E5</f>
        <v>-1.700792622129708E-4</v>
      </c>
      <c r="I5" s="2">
        <f t="shared" ref="I5:I8" si="2">D5*F5</f>
        <v>0.12059614676585032</v>
      </c>
      <c r="J5" s="2">
        <f t="shared" ref="J5:J8" si="3">D5^2</f>
        <v>4.0000000000000008E-2</v>
      </c>
      <c r="K5" s="2">
        <f t="shared" ref="K5:K8" si="4">J5*G5</f>
        <v>6.2081486930460195E-6</v>
      </c>
    </row>
    <row r="6" spans="1:11" x14ac:dyDescent="0.4">
      <c r="A6" s="2" t="s">
        <v>54</v>
      </c>
      <c r="B6" s="34">
        <f>'HDFC Life Insurance'!H4</f>
        <v>5.0520605130725926E-2</v>
      </c>
      <c r="C6" s="45">
        <f>'HDFC Life Insurance'!H5</f>
        <v>3.691611877384348E-2</v>
      </c>
      <c r="D6" s="2">
        <f t="shared" si="0"/>
        <v>0.2</v>
      </c>
      <c r="E6" s="2">
        <f>'Alpha - Beta Computation'!L4</f>
        <v>2.0020085795146472E-4</v>
      </c>
      <c r="F6" s="2">
        <f>'Alpha - Beta Computation'!L5</f>
        <v>0.80206706332623978</v>
      </c>
      <c r="G6" s="2">
        <f>Regression!D33</f>
        <v>1.6895457193814346E-4</v>
      </c>
      <c r="H6" s="2">
        <f t="shared" si="1"/>
        <v>4.0040171590292948E-5</v>
      </c>
      <c r="I6" s="2">
        <f t="shared" si="2"/>
        <v>0.16041341266524797</v>
      </c>
      <c r="J6" s="2">
        <f t="shared" si="3"/>
        <v>4.0000000000000008E-2</v>
      </c>
      <c r="K6" s="2">
        <f t="shared" si="4"/>
        <v>6.7581828775257394E-6</v>
      </c>
    </row>
    <row r="7" spans="1:11" x14ac:dyDescent="0.4">
      <c r="A7" s="11" t="s">
        <v>10</v>
      </c>
      <c r="B7" s="31">
        <f>'Adani Enterprises'!H5</f>
        <v>-0.19123596602798273</v>
      </c>
      <c r="C7" s="45">
        <f>'Adani Enterprises'!H6</f>
        <v>6.7060415831351264E-2</v>
      </c>
      <c r="D7" s="2">
        <f t="shared" si="0"/>
        <v>0.2</v>
      </c>
      <c r="E7" s="2">
        <f>'Alpha - Beta Computation'!M4</f>
        <v>-7.5638370909458851E-4</v>
      </c>
      <c r="F7" s="2">
        <f>'Alpha - Beta Computation'!M5</f>
        <v>1.5777152902252163</v>
      </c>
      <c r="G7" s="2">
        <f>Regression!N33</f>
        <v>5.2819439366717195E-4</v>
      </c>
      <c r="H7" s="2">
        <f t="shared" si="1"/>
        <v>-1.512767418189177E-4</v>
      </c>
      <c r="I7" s="2">
        <f t="shared" si="2"/>
        <v>0.31554305804504329</v>
      </c>
      <c r="J7" s="2">
        <f t="shared" si="3"/>
        <v>4.0000000000000008E-2</v>
      </c>
      <c r="K7" s="2">
        <f t="shared" si="4"/>
        <v>2.1127775746686881E-5</v>
      </c>
    </row>
    <row r="8" spans="1:11" x14ac:dyDescent="0.4">
      <c r="A8" s="2" t="s">
        <v>11</v>
      </c>
      <c r="B8" s="34">
        <f>'Hindalco Industries'!H4</f>
        <v>3.8293866893182683E-2</v>
      </c>
      <c r="C8" s="45">
        <f>'Hindalco Industries'!H5</f>
        <v>4.6919461063556031E-2</v>
      </c>
      <c r="D8" s="2">
        <f t="shared" si="0"/>
        <v>0.2</v>
      </c>
      <c r="E8" s="2">
        <f>'Alpha - Beta Computation'!N4</f>
        <v>1.5150523928082001E-4</v>
      </c>
      <c r="F8" s="2">
        <f>'Alpha - Beta Computation'!N5</f>
        <v>1.312694087367968</v>
      </c>
      <c r="G8" s="2">
        <f>Regression!D54</f>
        <v>2.234740353296964E-4</v>
      </c>
      <c r="H8" s="2">
        <f t="shared" si="1"/>
        <v>3.0301047856164002E-5</v>
      </c>
      <c r="I8" s="2">
        <f t="shared" si="2"/>
        <v>0.26253881747359359</v>
      </c>
      <c r="J8" s="2">
        <f t="shared" si="3"/>
        <v>4.0000000000000008E-2</v>
      </c>
      <c r="K8" s="2">
        <f t="shared" si="4"/>
        <v>8.9389614131878575E-6</v>
      </c>
    </row>
    <row r="9" spans="1:11" x14ac:dyDescent="0.4">
      <c r="A9" s="11"/>
      <c r="B9" s="1"/>
      <c r="C9" s="1"/>
      <c r="D9" s="1"/>
      <c r="E9" s="1"/>
      <c r="F9" s="1"/>
      <c r="G9" s="1"/>
      <c r="H9" s="1"/>
      <c r="I9" s="1"/>
      <c r="J9" s="1"/>
      <c r="K9" s="10"/>
    </row>
    <row r="10" spans="1:11" x14ac:dyDescent="0.4">
      <c r="A10" s="4" t="s">
        <v>92</v>
      </c>
      <c r="B10" s="52">
        <f>'NIFTY 50'!G4</f>
        <v>8.7260691975716393E-5</v>
      </c>
      <c r="C10" s="1"/>
      <c r="D10" s="1"/>
      <c r="E10" s="1"/>
      <c r="F10" s="1"/>
      <c r="G10" s="1"/>
      <c r="H10" s="1"/>
      <c r="I10" s="1"/>
      <c r="J10" s="1"/>
      <c r="K10" s="10"/>
    </row>
    <row r="11" spans="1:11" x14ac:dyDescent="0.4">
      <c r="A11" s="11"/>
      <c r="B11" s="1"/>
      <c r="C11" s="1"/>
      <c r="D11" s="1"/>
      <c r="E11" s="1"/>
      <c r="F11" s="1"/>
      <c r="G11" s="1"/>
      <c r="H11" s="1"/>
      <c r="I11" s="1"/>
      <c r="J11" s="1"/>
      <c r="K11" s="10"/>
    </row>
    <row r="12" spans="1:11" x14ac:dyDescent="0.4">
      <c r="A12" s="11"/>
      <c r="B12" s="1"/>
      <c r="C12" s="1"/>
      <c r="D12" s="1"/>
      <c r="E12" s="41"/>
      <c r="F12" s="42"/>
      <c r="G12" s="1"/>
      <c r="H12" s="41"/>
      <c r="I12" s="42"/>
      <c r="J12" s="1"/>
      <c r="K12" s="10"/>
    </row>
    <row r="13" spans="1:11" x14ac:dyDescent="0.4">
      <c r="A13" s="4" t="s">
        <v>102</v>
      </c>
      <c r="B13" s="2">
        <f>SUM(H4:H8)</f>
        <v>-3.8983464494955186E-4</v>
      </c>
      <c r="C13" s="2" t="s">
        <v>99</v>
      </c>
      <c r="D13" s="1"/>
      <c r="E13" s="11"/>
      <c r="F13" s="10"/>
      <c r="G13" s="1"/>
      <c r="H13" s="11"/>
      <c r="I13" s="10"/>
      <c r="J13" s="1"/>
      <c r="K13" s="10"/>
    </row>
    <row r="14" spans="1:11" x14ac:dyDescent="0.4">
      <c r="A14" s="4" t="s">
        <v>103</v>
      </c>
      <c r="B14" s="2">
        <f>SUM(I4:I8)</f>
        <v>1.0814262197514832</v>
      </c>
      <c r="C14" s="2" t="s">
        <v>100</v>
      </c>
      <c r="D14" s="1"/>
      <c r="E14" s="11"/>
      <c r="F14" s="10"/>
      <c r="G14" s="1"/>
      <c r="H14" s="11"/>
      <c r="I14" s="10"/>
      <c r="J14" s="1"/>
      <c r="K14" s="10"/>
    </row>
    <row r="15" spans="1:11" x14ac:dyDescent="0.4">
      <c r="A15" s="11"/>
      <c r="B15" s="1"/>
      <c r="C15" s="1"/>
      <c r="D15" s="1"/>
      <c r="E15" s="11"/>
      <c r="F15" s="10"/>
      <c r="G15" s="1"/>
      <c r="H15" s="11"/>
      <c r="I15" s="10"/>
      <c r="J15" s="1"/>
      <c r="K15" s="10"/>
    </row>
    <row r="16" spans="1:11" x14ac:dyDescent="0.4">
      <c r="A16" s="11"/>
      <c r="B16" s="1"/>
      <c r="C16" s="1"/>
      <c r="D16" s="1"/>
      <c r="E16" s="11"/>
      <c r="F16" s="10"/>
      <c r="G16" s="1"/>
      <c r="H16" s="11"/>
      <c r="I16" s="10"/>
      <c r="J16" s="1"/>
      <c r="K16" s="10"/>
    </row>
    <row r="17" spans="1:11" x14ac:dyDescent="0.4">
      <c r="A17" s="4" t="s">
        <v>101</v>
      </c>
      <c r="B17" s="31">
        <f>B13+(B14*B10)</f>
        <v>-2.9546864469335427E-4</v>
      </c>
      <c r="C17" s="2" t="s">
        <v>118</v>
      </c>
      <c r="D17" s="1"/>
      <c r="E17" s="11"/>
      <c r="F17" s="10"/>
      <c r="G17" s="1"/>
      <c r="H17" s="11"/>
      <c r="I17" s="10"/>
      <c r="J17" s="1"/>
      <c r="K17" s="10"/>
    </row>
    <row r="18" spans="1:11" x14ac:dyDescent="0.4">
      <c r="A18" s="11"/>
      <c r="B18" s="1"/>
      <c r="C18" s="1"/>
      <c r="D18" s="1"/>
      <c r="E18" s="96" t="s">
        <v>109</v>
      </c>
      <c r="F18" s="97"/>
      <c r="G18" s="1"/>
      <c r="H18" s="96" t="s">
        <v>110</v>
      </c>
      <c r="I18" s="97"/>
      <c r="J18" s="1"/>
      <c r="K18" s="10"/>
    </row>
    <row r="19" spans="1:11" x14ac:dyDescent="0.4">
      <c r="A19" s="4" t="s">
        <v>113</v>
      </c>
      <c r="B19" s="31">
        <f>((B14^2)*(B10^2)+SUM(K4:K8))</f>
        <v>4.9013012681172315E-5</v>
      </c>
      <c r="C19" s="2" t="s">
        <v>119</v>
      </c>
      <c r="D19" s="1"/>
      <c r="E19" s="1"/>
      <c r="F19" s="1"/>
      <c r="G19" s="1"/>
      <c r="H19" s="1"/>
      <c r="I19" s="1"/>
      <c r="J19" s="1"/>
      <c r="K19" s="10"/>
    </row>
    <row r="20" spans="1:11" x14ac:dyDescent="0.4">
      <c r="A20" s="11"/>
      <c r="B20" s="1"/>
      <c r="C20" s="1"/>
      <c r="D20" s="1"/>
      <c r="E20" s="1"/>
      <c r="F20" s="1"/>
      <c r="G20" s="1"/>
      <c r="H20" s="1"/>
      <c r="I20" s="1"/>
      <c r="J20" s="1"/>
      <c r="K20" s="10"/>
    </row>
    <row r="21" spans="1:11" x14ac:dyDescent="0.4">
      <c r="A21" s="4" t="s">
        <v>71</v>
      </c>
      <c r="B21" s="45">
        <f>SQRT(B19)</f>
        <v>7.0009294155256498E-3</v>
      </c>
      <c r="C21" s="2" t="s">
        <v>120</v>
      </c>
      <c r="D21" s="1"/>
      <c r="E21" s="1"/>
      <c r="F21" s="1"/>
      <c r="G21" s="1"/>
      <c r="H21" s="1"/>
      <c r="I21" s="1"/>
      <c r="J21" s="1"/>
      <c r="K21" s="10"/>
    </row>
    <row r="22" spans="1:11" x14ac:dyDescent="0.4">
      <c r="A22" s="11"/>
      <c r="B22" s="1"/>
      <c r="C22" s="1"/>
      <c r="D22" s="1"/>
      <c r="E22" s="1"/>
      <c r="F22" s="1"/>
      <c r="G22" s="1"/>
      <c r="H22" s="41"/>
      <c r="I22" s="42"/>
      <c r="J22" s="1"/>
      <c r="K22" s="10"/>
    </row>
    <row r="23" spans="1:11" x14ac:dyDescent="0.4">
      <c r="A23" s="1"/>
      <c r="B23" s="1"/>
      <c r="C23" s="1"/>
      <c r="D23" s="1"/>
      <c r="E23" s="41"/>
      <c r="F23" s="42"/>
      <c r="G23" s="1"/>
      <c r="H23" s="11"/>
      <c r="I23" s="10"/>
      <c r="J23" s="1"/>
      <c r="K23" s="10"/>
    </row>
    <row r="24" spans="1:11" x14ac:dyDescent="0.4">
      <c r="A24" s="1"/>
      <c r="B24" s="1"/>
      <c r="C24" s="1"/>
      <c r="D24" s="1"/>
      <c r="E24" s="11"/>
      <c r="F24" s="10"/>
      <c r="G24" s="1"/>
      <c r="H24" s="11"/>
      <c r="I24" s="10"/>
      <c r="J24" s="1"/>
      <c r="K24" s="10"/>
    </row>
    <row r="25" spans="1:11" x14ac:dyDescent="0.4">
      <c r="A25" s="1"/>
      <c r="B25" s="1"/>
      <c r="C25" s="1"/>
      <c r="D25" s="1"/>
      <c r="E25" s="11"/>
      <c r="F25" s="10"/>
      <c r="G25" s="1"/>
      <c r="H25" s="11"/>
      <c r="I25" s="10"/>
      <c r="J25" s="1"/>
      <c r="K25" s="10"/>
    </row>
    <row r="26" spans="1:11" x14ac:dyDescent="0.4">
      <c r="A26" s="1"/>
      <c r="B26" s="1"/>
      <c r="C26" s="1"/>
      <c r="D26" s="1"/>
      <c r="E26" s="11"/>
      <c r="F26" s="10"/>
      <c r="G26" s="1"/>
      <c r="H26" s="11"/>
      <c r="I26" s="10"/>
      <c r="J26" s="1"/>
      <c r="K26" s="10"/>
    </row>
    <row r="27" spans="1:11" x14ac:dyDescent="0.4">
      <c r="A27" s="1"/>
      <c r="B27" s="1"/>
      <c r="C27" s="1"/>
      <c r="D27" s="1"/>
      <c r="E27" s="11"/>
      <c r="F27" s="10"/>
      <c r="G27" s="1"/>
      <c r="H27" s="11"/>
      <c r="I27" s="10"/>
      <c r="J27" s="1"/>
      <c r="K27" s="10"/>
    </row>
    <row r="28" spans="1:11" x14ac:dyDescent="0.4">
      <c r="A28" s="1"/>
      <c r="B28" s="1"/>
      <c r="C28" s="1"/>
      <c r="D28" s="1"/>
      <c r="E28" s="11"/>
      <c r="F28" s="10"/>
      <c r="G28" s="1"/>
      <c r="H28" s="96" t="s">
        <v>108</v>
      </c>
      <c r="I28" s="97"/>
      <c r="J28" s="1"/>
      <c r="K28" s="10"/>
    </row>
    <row r="29" spans="1:11" x14ac:dyDescent="0.4">
      <c r="A29" s="1"/>
      <c r="B29" s="1"/>
      <c r="C29" s="1"/>
      <c r="D29" s="1"/>
      <c r="E29" s="96" t="s">
        <v>112</v>
      </c>
      <c r="F29" s="97"/>
      <c r="G29" s="1"/>
      <c r="H29" s="1"/>
      <c r="I29" s="1"/>
      <c r="J29" s="1"/>
      <c r="K29" s="10"/>
    </row>
    <row r="30" spans="1:11" x14ac:dyDescent="0.4">
      <c r="A30" s="11"/>
      <c r="B30" s="1"/>
      <c r="C30" s="1"/>
      <c r="D30" s="1"/>
      <c r="E30" s="1"/>
      <c r="F30" s="1"/>
      <c r="G30" s="1"/>
      <c r="H30" s="1"/>
      <c r="I30" s="1"/>
      <c r="J30" s="1"/>
      <c r="K30" s="10"/>
    </row>
    <row r="31" spans="1:11" x14ac:dyDescent="0.4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7"/>
    </row>
  </sheetData>
  <mergeCells count="5">
    <mergeCell ref="E18:F18"/>
    <mergeCell ref="H18:I18"/>
    <mergeCell ref="H28:I28"/>
    <mergeCell ref="E29:F29"/>
    <mergeCell ref="A1:K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DDA8-8724-4958-8928-4318DA54AA7B}">
  <dimension ref="A1:AE62"/>
  <sheetViews>
    <sheetView showGridLines="0" zoomScale="64" zoomScaleNormal="72" workbookViewId="0">
      <selection activeCell="N33" sqref="N33"/>
    </sheetView>
  </sheetViews>
  <sheetFormatPr defaultColWidth="8.73046875" defaultRowHeight="13.15" x14ac:dyDescent="0.4"/>
  <cols>
    <col min="1" max="1" width="14.46484375" style="1" bestFit="1" customWidth="1"/>
    <col min="2" max="2" width="11.46484375" style="1" bestFit="1" customWidth="1"/>
    <col min="3" max="3" width="12.73046875" style="1" bestFit="1" customWidth="1"/>
    <col min="4" max="4" width="11.46484375" style="1" bestFit="1" customWidth="1"/>
    <col min="5" max="5" width="11.06640625" style="1" bestFit="1" customWidth="1"/>
    <col min="6" max="6" width="12.06640625" style="1" bestFit="1" customWidth="1"/>
    <col min="7" max="9" width="11.46484375" style="1" bestFit="1" customWidth="1"/>
    <col min="10" max="10" width="8.73046875" style="1"/>
    <col min="11" max="11" width="14.46484375" style="1" bestFit="1" customWidth="1"/>
    <col min="12" max="12" width="11.46484375" style="1" bestFit="1" customWidth="1"/>
    <col min="13" max="13" width="12.73046875" style="1" bestFit="1" customWidth="1"/>
    <col min="14" max="14" width="11.46484375" style="1" bestFit="1" customWidth="1"/>
    <col min="15" max="15" width="11.06640625" style="1" bestFit="1" customWidth="1"/>
    <col min="16" max="16" width="12.06640625" style="1" bestFit="1" customWidth="1"/>
    <col min="17" max="19" width="11.46484375" style="1" bestFit="1" customWidth="1"/>
    <col min="20" max="16384" width="8.73046875" style="1"/>
  </cols>
  <sheetData>
    <row r="1" spans="1:19" x14ac:dyDescent="0.4">
      <c r="A1" s="104" t="s">
        <v>43</v>
      </c>
      <c r="B1" s="105"/>
      <c r="C1" s="105"/>
      <c r="D1" s="105"/>
      <c r="E1" s="105"/>
      <c r="F1" s="105"/>
      <c r="G1" s="105"/>
      <c r="H1" s="105"/>
      <c r="I1" s="106"/>
      <c r="K1" s="104" t="s">
        <v>45</v>
      </c>
      <c r="L1" s="105"/>
      <c r="M1" s="105"/>
      <c r="N1" s="105"/>
      <c r="O1" s="105"/>
      <c r="P1" s="105"/>
      <c r="Q1" s="105"/>
      <c r="R1" s="105"/>
      <c r="S1" s="106"/>
    </row>
    <row r="2" spans="1:19" x14ac:dyDescent="0.4">
      <c r="A2" s="107"/>
      <c r="B2" s="108"/>
      <c r="C2" s="108"/>
      <c r="D2" s="108"/>
      <c r="E2" s="108"/>
      <c r="F2" s="108"/>
      <c r="G2" s="108"/>
      <c r="H2" s="108"/>
      <c r="I2" s="109"/>
      <c r="K2" s="107"/>
      <c r="L2" s="108"/>
      <c r="M2" s="108"/>
      <c r="N2" s="108"/>
      <c r="O2" s="108"/>
      <c r="P2" s="108"/>
      <c r="Q2" s="108"/>
      <c r="R2" s="108"/>
      <c r="S2" s="109"/>
    </row>
    <row r="3" spans="1:19" x14ac:dyDescent="0.4">
      <c r="A3" s="18" t="s">
        <v>17</v>
      </c>
      <c r="B3" s="19"/>
      <c r="I3" s="10"/>
      <c r="K3" s="18" t="s">
        <v>17</v>
      </c>
      <c r="L3" s="19"/>
      <c r="S3" s="10"/>
    </row>
    <row r="4" spans="1:19" x14ac:dyDescent="0.4">
      <c r="A4" s="11" t="s">
        <v>18</v>
      </c>
      <c r="B4" s="1">
        <v>0.61191040909060102</v>
      </c>
      <c r="I4" s="10"/>
      <c r="K4" s="11" t="s">
        <v>18</v>
      </c>
      <c r="L4" s="1">
        <v>0.38057906255986185</v>
      </c>
      <c r="S4" s="10"/>
    </row>
    <row r="5" spans="1:19" x14ac:dyDescent="0.4">
      <c r="A5" s="11" t="s">
        <v>19</v>
      </c>
      <c r="B5" s="1">
        <v>0.37443434875342674</v>
      </c>
      <c r="I5" s="10"/>
      <c r="K5" s="11" t="s">
        <v>19</v>
      </c>
      <c r="L5" s="1">
        <v>0.14484042285894325</v>
      </c>
      <c r="S5" s="10"/>
    </row>
    <row r="6" spans="1:19" x14ac:dyDescent="0.4">
      <c r="A6" s="11" t="s">
        <v>20</v>
      </c>
      <c r="B6" s="1">
        <v>0.37191190661130347</v>
      </c>
      <c r="I6" s="10"/>
      <c r="K6" s="11" t="s">
        <v>20</v>
      </c>
      <c r="L6" s="1">
        <v>0.14139219875756803</v>
      </c>
      <c r="S6" s="10"/>
    </row>
    <row r="7" spans="1:19" x14ac:dyDescent="0.4">
      <c r="A7" s="11" t="s">
        <v>21</v>
      </c>
      <c r="B7" s="1">
        <v>1.2217854771523375E-2</v>
      </c>
      <c r="I7" s="10"/>
      <c r="K7" s="11" t="s">
        <v>21</v>
      </c>
      <c r="L7" s="1">
        <v>1.245807839621145E-2</v>
      </c>
      <c r="S7" s="10"/>
    </row>
    <row r="8" spans="1:19" ht="13.5" thickBot="1" x14ac:dyDescent="0.45">
      <c r="A8" s="12" t="s">
        <v>22</v>
      </c>
      <c r="B8" s="8">
        <v>250</v>
      </c>
      <c r="I8" s="10"/>
      <c r="K8" s="12" t="s">
        <v>22</v>
      </c>
      <c r="L8" s="8">
        <v>250</v>
      </c>
      <c r="S8" s="10"/>
    </row>
    <row r="9" spans="1:19" x14ac:dyDescent="0.4">
      <c r="A9" s="11"/>
      <c r="I9" s="10"/>
      <c r="K9" s="11"/>
      <c r="S9" s="10"/>
    </row>
    <row r="10" spans="1:19" ht="13.5" thickBot="1" x14ac:dyDescent="0.45">
      <c r="A10" s="11" t="s">
        <v>23</v>
      </c>
      <c r="I10" s="10"/>
      <c r="K10" s="11" t="s">
        <v>23</v>
      </c>
      <c r="S10" s="10"/>
    </row>
    <row r="11" spans="1:19" x14ac:dyDescent="0.4">
      <c r="A11" s="13"/>
      <c r="B11" s="9" t="s">
        <v>28</v>
      </c>
      <c r="C11" s="9" t="s">
        <v>29</v>
      </c>
      <c r="D11" s="9" t="s">
        <v>30</v>
      </c>
      <c r="E11" s="9" t="s">
        <v>31</v>
      </c>
      <c r="F11" s="9" t="s">
        <v>32</v>
      </c>
      <c r="I11" s="10"/>
      <c r="K11" s="13"/>
      <c r="L11" s="9" t="s">
        <v>28</v>
      </c>
      <c r="M11" s="9" t="s">
        <v>29</v>
      </c>
      <c r="N11" s="9" t="s">
        <v>30</v>
      </c>
      <c r="O11" s="9" t="s">
        <v>31</v>
      </c>
      <c r="P11" s="9" t="s">
        <v>32</v>
      </c>
      <c r="S11" s="10"/>
    </row>
    <row r="12" spans="1:19" x14ac:dyDescent="0.4">
      <c r="A12" s="11" t="s">
        <v>24</v>
      </c>
      <c r="B12" s="1">
        <v>1</v>
      </c>
      <c r="C12" s="1">
        <v>2.2158705498889673E-2</v>
      </c>
      <c r="D12" s="1">
        <v>2.2158705498889673E-2</v>
      </c>
      <c r="E12" s="1">
        <v>148.44120406196694</v>
      </c>
      <c r="F12" s="1">
        <v>4.4933652876724252E-27</v>
      </c>
      <c r="I12" s="10"/>
      <c r="K12" s="11" t="s">
        <v>24</v>
      </c>
      <c r="L12" s="1">
        <v>1</v>
      </c>
      <c r="M12" s="1">
        <v>6.5192317511597042E-3</v>
      </c>
      <c r="N12" s="1">
        <v>6.5192317511597042E-3</v>
      </c>
      <c r="O12" s="1">
        <v>42.004353139686501</v>
      </c>
      <c r="P12" s="1">
        <v>4.8748787633109768E-10</v>
      </c>
      <c r="S12" s="10"/>
    </row>
    <row r="13" spans="1:19" x14ac:dyDescent="0.4">
      <c r="A13" s="11" t="s">
        <v>25</v>
      </c>
      <c r="B13" s="1">
        <v>248</v>
      </c>
      <c r="C13" s="1">
        <v>3.702044185407305E-2</v>
      </c>
      <c r="D13" s="1">
        <v>1.4927597521803649E-4</v>
      </c>
      <c r="I13" s="10"/>
      <c r="K13" s="11" t="s">
        <v>25</v>
      </c>
      <c r="L13" s="1">
        <v>248</v>
      </c>
      <c r="M13" s="1">
        <v>3.8490521896885316E-2</v>
      </c>
      <c r="N13" s="1">
        <v>1.5520371732615046E-4</v>
      </c>
      <c r="S13" s="10"/>
    </row>
    <row r="14" spans="1:19" ht="13.5" thickBot="1" x14ac:dyDescent="0.45">
      <c r="A14" s="12" t="s">
        <v>26</v>
      </c>
      <c r="B14" s="8">
        <v>249</v>
      </c>
      <c r="C14" s="8">
        <v>5.9179147352962723E-2</v>
      </c>
      <c r="D14" s="8"/>
      <c r="E14" s="8"/>
      <c r="F14" s="8"/>
      <c r="I14" s="10"/>
      <c r="K14" s="12" t="s">
        <v>26</v>
      </c>
      <c r="L14" s="8">
        <v>249</v>
      </c>
      <c r="M14" s="8">
        <v>4.500975364804502E-2</v>
      </c>
      <c r="N14" s="8"/>
      <c r="O14" s="8"/>
      <c r="P14" s="8"/>
      <c r="S14" s="10"/>
    </row>
    <row r="15" spans="1:19" ht="13.5" thickBot="1" x14ac:dyDescent="0.45">
      <c r="A15" s="11"/>
      <c r="I15" s="10"/>
      <c r="K15" s="11"/>
      <c r="S15" s="10"/>
    </row>
    <row r="16" spans="1:19" x14ac:dyDescent="0.4">
      <c r="A16" s="13"/>
      <c r="B16" s="9" t="s">
        <v>33</v>
      </c>
      <c r="C16" s="9" t="s">
        <v>21</v>
      </c>
      <c r="D16" s="9" t="s">
        <v>34</v>
      </c>
      <c r="E16" s="9" t="s">
        <v>35</v>
      </c>
      <c r="F16" s="9" t="s">
        <v>36</v>
      </c>
      <c r="G16" s="9" t="s">
        <v>37</v>
      </c>
      <c r="H16" s="9" t="s">
        <v>38</v>
      </c>
      <c r="I16" s="14" t="s">
        <v>39</v>
      </c>
      <c r="K16" s="13"/>
      <c r="L16" s="9" t="s">
        <v>33</v>
      </c>
      <c r="M16" s="9" t="s">
        <v>21</v>
      </c>
      <c r="N16" s="9" t="s">
        <v>34</v>
      </c>
      <c r="O16" s="9" t="s">
        <v>35</v>
      </c>
      <c r="P16" s="9" t="s">
        <v>36</v>
      </c>
      <c r="Q16" s="9" t="s">
        <v>37</v>
      </c>
      <c r="R16" s="9" t="s">
        <v>38</v>
      </c>
      <c r="S16" s="14" t="s">
        <v>39</v>
      </c>
    </row>
    <row r="17" spans="1:31" x14ac:dyDescent="0.4">
      <c r="A17" s="11" t="s">
        <v>27</v>
      </c>
      <c r="B17" s="1">
        <v>-6.9409930182060149E-4</v>
      </c>
      <c r="C17" s="1">
        <v>7.727249846293245E-4</v>
      </c>
      <c r="D17" s="1">
        <v>-0.89824881507301113</v>
      </c>
      <c r="E17" s="1">
        <v>0.36992415201444273</v>
      </c>
      <c r="F17" s="1">
        <v>-2.2160396184951231E-3</v>
      </c>
      <c r="G17" s="1">
        <v>8.2784101485392002E-4</v>
      </c>
      <c r="H17" s="1">
        <v>-2.2160396184951231E-3</v>
      </c>
      <c r="I17" s="10">
        <v>8.2784101485392002E-4</v>
      </c>
      <c r="K17" s="11" t="s">
        <v>27</v>
      </c>
      <c r="L17" s="1">
        <v>-8.50396311064854E-4</v>
      </c>
      <c r="M17" s="1">
        <v>7.8791806067793986E-4</v>
      </c>
      <c r="N17" s="1">
        <v>-1.0792953652225672</v>
      </c>
      <c r="O17" s="1">
        <v>0.28150463980650348</v>
      </c>
      <c r="P17" s="1">
        <v>-2.402260540428418E-3</v>
      </c>
      <c r="Q17" s="1">
        <v>7.0146791829871018E-4</v>
      </c>
      <c r="R17" s="1">
        <v>-2.402260540428418E-3</v>
      </c>
      <c r="S17" s="10">
        <v>7.0146791829871018E-4</v>
      </c>
    </row>
    <row r="18" spans="1:31" x14ac:dyDescent="0.4">
      <c r="A18" s="15" t="s">
        <v>8</v>
      </c>
      <c r="B18" s="16">
        <v>1.1116739240087403</v>
      </c>
      <c r="C18" s="16">
        <v>9.1243132029956181E-2</v>
      </c>
      <c r="D18" s="16">
        <v>12.183644941558613</v>
      </c>
      <c r="E18" s="16">
        <v>4.4933652876726167E-27</v>
      </c>
      <c r="F18" s="16">
        <v>0.93196367260194668</v>
      </c>
      <c r="G18" s="16">
        <v>1.291384175415534</v>
      </c>
      <c r="H18" s="16">
        <v>0.93196367260194668</v>
      </c>
      <c r="I18" s="17">
        <v>1.291384175415534</v>
      </c>
      <c r="K18" s="15" t="s">
        <v>8</v>
      </c>
      <c r="L18" s="16">
        <v>0.60298073382925177</v>
      </c>
      <c r="M18" s="16">
        <v>9.3037125845893145E-2</v>
      </c>
      <c r="N18" s="16">
        <v>6.4810765417241081</v>
      </c>
      <c r="O18" s="16">
        <v>4.8748787633109055E-10</v>
      </c>
      <c r="P18" s="16">
        <v>0.41973707587983289</v>
      </c>
      <c r="Q18" s="16">
        <v>0.78622439177867065</v>
      </c>
      <c r="R18" s="16">
        <v>0.41973707587983289</v>
      </c>
      <c r="S18" s="17">
        <v>0.78622439177867065</v>
      </c>
    </row>
    <row r="19" spans="1:31" ht="14.25" x14ac:dyDescent="0.45">
      <c r="K19"/>
      <c r="L19"/>
      <c r="M19"/>
      <c r="N19"/>
      <c r="O19"/>
      <c r="P19"/>
      <c r="Q19"/>
      <c r="R19"/>
      <c r="S19"/>
      <c r="U19"/>
      <c r="V19"/>
      <c r="W19"/>
      <c r="X19"/>
      <c r="Y19"/>
      <c r="Z19"/>
      <c r="AA19"/>
      <c r="AB19"/>
      <c r="AC19"/>
      <c r="AD19"/>
      <c r="AE19"/>
    </row>
    <row r="20" spans="1:31" ht="14.25" x14ac:dyDescent="0.45">
      <c r="K20"/>
      <c r="L20"/>
      <c r="M20"/>
      <c r="N20"/>
      <c r="O20"/>
      <c r="P20"/>
      <c r="Q20"/>
      <c r="R20"/>
      <c r="S20"/>
      <c r="U20"/>
      <c r="V20"/>
      <c r="W20"/>
      <c r="X20"/>
      <c r="Y20"/>
      <c r="Z20"/>
      <c r="AA20"/>
      <c r="AB20"/>
      <c r="AC20"/>
      <c r="AD20"/>
      <c r="AE20"/>
    </row>
    <row r="21" spans="1:31" ht="14.25" x14ac:dyDescent="0.45">
      <c r="A21" s="104" t="s">
        <v>40</v>
      </c>
      <c r="B21" s="105"/>
      <c r="C21" s="105"/>
      <c r="D21" s="105"/>
      <c r="E21" s="105"/>
      <c r="F21" s="105"/>
      <c r="G21" s="105"/>
      <c r="H21" s="105"/>
      <c r="I21" s="106"/>
      <c r="K21" s="104" t="s">
        <v>42</v>
      </c>
      <c r="L21" s="105"/>
      <c r="M21" s="105"/>
      <c r="N21" s="105"/>
      <c r="O21" s="105"/>
      <c r="P21" s="105"/>
      <c r="Q21" s="105"/>
      <c r="R21" s="105"/>
      <c r="S21" s="106"/>
      <c r="AD21"/>
      <c r="AE21"/>
    </row>
    <row r="22" spans="1:31" x14ac:dyDescent="0.4">
      <c r="A22" s="107"/>
      <c r="B22" s="108"/>
      <c r="C22" s="108"/>
      <c r="D22" s="108"/>
      <c r="E22" s="108"/>
      <c r="F22" s="108"/>
      <c r="G22" s="108"/>
      <c r="H22" s="108"/>
      <c r="I22" s="109"/>
      <c r="K22" s="107"/>
      <c r="L22" s="108"/>
      <c r="M22" s="108"/>
      <c r="N22" s="108"/>
      <c r="O22" s="108"/>
      <c r="P22" s="108"/>
      <c r="Q22" s="108"/>
      <c r="R22" s="108"/>
      <c r="S22" s="109"/>
    </row>
    <row r="23" spans="1:31" x14ac:dyDescent="0.4">
      <c r="A23" s="18" t="s">
        <v>17</v>
      </c>
      <c r="B23" s="19"/>
      <c r="I23" s="10"/>
      <c r="K23" s="18" t="s">
        <v>17</v>
      </c>
      <c r="L23" s="19"/>
      <c r="S23" s="10"/>
    </row>
    <row r="24" spans="1:31" x14ac:dyDescent="0.4">
      <c r="A24" s="11" t="s">
        <v>18</v>
      </c>
      <c r="B24" s="1">
        <v>0.46461185726569637</v>
      </c>
      <c r="I24" s="10"/>
      <c r="K24" s="11" t="s">
        <v>18</v>
      </c>
      <c r="L24" s="1">
        <v>0.50411678461058096</v>
      </c>
      <c r="S24" s="10"/>
    </row>
    <row r="25" spans="1:31" x14ac:dyDescent="0.4">
      <c r="A25" s="11" t="s">
        <v>19</v>
      </c>
      <c r="B25" s="1">
        <v>0.21586417791187981</v>
      </c>
      <c r="I25" s="10"/>
      <c r="K25" s="11" t="s">
        <v>19</v>
      </c>
      <c r="L25" s="1">
        <v>0.25413373252611082</v>
      </c>
      <c r="S25" s="10"/>
    </row>
    <row r="26" spans="1:31" x14ac:dyDescent="0.4">
      <c r="A26" s="11" t="s">
        <v>20</v>
      </c>
      <c r="B26" s="1">
        <v>0.21270233991958901</v>
      </c>
      <c r="I26" s="10"/>
      <c r="K26" s="11" t="s">
        <v>20</v>
      </c>
      <c r="L26" s="1">
        <v>0.25112620725403867</v>
      </c>
      <c r="S26" s="10"/>
    </row>
    <row r="27" spans="1:31" x14ac:dyDescent="0.4">
      <c r="A27" s="11" t="s">
        <v>21</v>
      </c>
      <c r="B27" s="1">
        <v>1.2998252649419593E-2</v>
      </c>
      <c r="I27" s="10"/>
      <c r="K27" s="11" t="s">
        <v>21</v>
      </c>
      <c r="L27" s="1">
        <v>2.2982480146128092E-2</v>
      </c>
      <c r="S27" s="10"/>
    </row>
    <row r="28" spans="1:31" ht="13.5" thickBot="1" x14ac:dyDescent="0.45">
      <c r="A28" s="12" t="s">
        <v>22</v>
      </c>
      <c r="B28" s="8">
        <v>250</v>
      </c>
      <c r="I28" s="10"/>
      <c r="K28" s="12" t="s">
        <v>22</v>
      </c>
      <c r="L28" s="8">
        <v>250</v>
      </c>
      <c r="S28" s="10"/>
    </row>
    <row r="29" spans="1:31" x14ac:dyDescent="0.4">
      <c r="A29" s="11"/>
      <c r="I29" s="10"/>
      <c r="K29" s="11"/>
      <c r="S29" s="10"/>
    </row>
    <row r="30" spans="1:31" ht="13.5" thickBot="1" x14ac:dyDescent="0.45">
      <c r="A30" s="11" t="s">
        <v>23</v>
      </c>
      <c r="I30" s="10"/>
      <c r="K30" s="11" t="s">
        <v>23</v>
      </c>
      <c r="S30" s="10"/>
    </row>
    <row r="31" spans="1:31" x14ac:dyDescent="0.4">
      <c r="A31" s="13"/>
      <c r="B31" s="9" t="s">
        <v>28</v>
      </c>
      <c r="C31" s="9" t="s">
        <v>29</v>
      </c>
      <c r="D31" s="9" t="s">
        <v>30</v>
      </c>
      <c r="E31" s="9" t="s">
        <v>31</v>
      </c>
      <c r="F31" s="9" t="s">
        <v>32</v>
      </c>
      <c r="I31" s="10"/>
      <c r="K31" s="13"/>
      <c r="L31" s="9" t="s">
        <v>28</v>
      </c>
      <c r="M31" s="9" t="s">
        <v>29</v>
      </c>
      <c r="N31" s="9" t="s">
        <v>30</v>
      </c>
      <c r="O31" s="9" t="s">
        <v>31</v>
      </c>
      <c r="P31" s="9" t="s">
        <v>32</v>
      </c>
      <c r="S31" s="10"/>
    </row>
    <row r="32" spans="1:31" x14ac:dyDescent="0.4">
      <c r="A32" s="11" t="s">
        <v>24</v>
      </c>
      <c r="B32" s="1">
        <v>1</v>
      </c>
      <c r="C32" s="1">
        <v>1.153482242442689E-2</v>
      </c>
      <c r="D32" s="1">
        <v>1.153482242442689E-2</v>
      </c>
      <c r="E32" s="1">
        <v>68.271738918375902</v>
      </c>
      <c r="F32" s="1">
        <v>8.6220147378028068E-15</v>
      </c>
      <c r="I32" s="10"/>
      <c r="K32" s="11" t="s">
        <v>24</v>
      </c>
      <c r="L32" s="1">
        <v>1</v>
      </c>
      <c r="M32" s="1">
        <v>4.4632048152174225E-2</v>
      </c>
      <c r="N32" s="1">
        <v>4.4632048152174225E-2</v>
      </c>
      <c r="O32" s="1">
        <v>84.499284141016375</v>
      </c>
      <c r="P32" s="1">
        <v>1.6097075300835676E-17</v>
      </c>
      <c r="S32" s="10"/>
    </row>
    <row r="33" spans="1:29" x14ac:dyDescent="0.4">
      <c r="A33" s="11" t="s">
        <v>25</v>
      </c>
      <c r="B33" s="1">
        <v>248</v>
      </c>
      <c r="C33" s="1">
        <v>4.1900733840659579E-2</v>
      </c>
      <c r="D33" s="1">
        <v>1.6895457193814346E-4</v>
      </c>
      <c r="I33" s="10"/>
      <c r="K33" s="11" t="s">
        <v>25</v>
      </c>
      <c r="L33" s="1">
        <v>248</v>
      </c>
      <c r="M33" s="1">
        <v>0.13099220962945865</v>
      </c>
      <c r="N33" s="1">
        <v>5.2819439366717195E-4</v>
      </c>
      <c r="S33" s="10"/>
    </row>
    <row r="34" spans="1:29" ht="13.5" thickBot="1" x14ac:dyDescent="0.45">
      <c r="A34" s="12" t="s">
        <v>26</v>
      </c>
      <c r="B34" s="8">
        <v>249</v>
      </c>
      <c r="C34" s="8">
        <v>5.3435556265086469E-2</v>
      </c>
      <c r="D34" s="8"/>
      <c r="E34" s="8"/>
      <c r="F34" s="8"/>
      <c r="I34" s="10"/>
      <c r="K34" s="12" t="s">
        <v>26</v>
      </c>
      <c r="L34" s="8">
        <v>249</v>
      </c>
      <c r="M34" s="8">
        <v>0.17562425778163288</v>
      </c>
      <c r="N34" s="8"/>
      <c r="O34" s="8"/>
      <c r="P34" s="8"/>
      <c r="S34" s="10"/>
    </row>
    <row r="35" spans="1:29" ht="13.5" thickBot="1" x14ac:dyDescent="0.45">
      <c r="A35" s="11"/>
      <c r="I35" s="10"/>
      <c r="K35" s="11"/>
      <c r="S35" s="10"/>
    </row>
    <row r="36" spans="1:29" x14ac:dyDescent="0.4">
      <c r="A36" s="13"/>
      <c r="B36" s="9" t="s">
        <v>33</v>
      </c>
      <c r="C36" s="9" t="s">
        <v>21</v>
      </c>
      <c r="D36" s="9" t="s">
        <v>34</v>
      </c>
      <c r="E36" s="9" t="s">
        <v>35</v>
      </c>
      <c r="F36" s="9" t="s">
        <v>36</v>
      </c>
      <c r="G36" s="9" t="s">
        <v>37</v>
      </c>
      <c r="H36" s="9" t="s">
        <v>38</v>
      </c>
      <c r="I36" s="14" t="s">
        <v>39</v>
      </c>
      <c r="K36" s="13"/>
      <c r="L36" s="9" t="s">
        <v>33</v>
      </c>
      <c r="M36" s="9" t="s">
        <v>21</v>
      </c>
      <c r="N36" s="9" t="s">
        <v>34</v>
      </c>
      <c r="O36" s="9" t="s">
        <v>35</v>
      </c>
      <c r="P36" s="9" t="s">
        <v>36</v>
      </c>
      <c r="Q36" s="9" t="s">
        <v>37</v>
      </c>
      <c r="R36" s="9" t="s">
        <v>38</v>
      </c>
      <c r="S36" s="14" t="s">
        <v>39</v>
      </c>
    </row>
    <row r="37" spans="1:29" x14ac:dyDescent="0.4">
      <c r="A37" s="11" t="s">
        <v>27</v>
      </c>
      <c r="B37" s="1">
        <v>2.0020085795146472E-4</v>
      </c>
      <c r="C37" s="1">
        <v>8.2208168017686232E-4</v>
      </c>
      <c r="D37" s="1">
        <v>0.24352915626144786</v>
      </c>
      <c r="E37" s="1">
        <v>0.80779682417628951</v>
      </c>
      <c r="F37" s="1">
        <v>-1.4189512046169233E-3</v>
      </c>
      <c r="G37" s="1">
        <v>1.8193529205198526E-3</v>
      </c>
      <c r="H37" s="1">
        <v>-1.4189512046169233E-3</v>
      </c>
      <c r="I37" s="10">
        <v>1.8193529205198526E-3</v>
      </c>
      <c r="K37" s="11" t="s">
        <v>27</v>
      </c>
      <c r="L37" s="1">
        <v>-7.5638370909458851E-4</v>
      </c>
      <c r="M37" s="1">
        <v>1.4535396720423038E-3</v>
      </c>
      <c r="N37" s="1">
        <v>-0.52037362560034395</v>
      </c>
      <c r="O37" s="1">
        <v>0.60326742512500897</v>
      </c>
      <c r="P37" s="1">
        <v>-3.6192400587287789E-3</v>
      </c>
      <c r="Q37" s="1">
        <v>2.1064726405396021E-3</v>
      </c>
      <c r="R37" s="1">
        <v>-3.6192400587287789E-3</v>
      </c>
      <c r="S37" s="10">
        <v>2.1064726405396021E-3</v>
      </c>
    </row>
    <row r="38" spans="1:29" x14ac:dyDescent="0.4">
      <c r="A38" s="15" t="s">
        <v>8</v>
      </c>
      <c r="B38" s="16">
        <v>0.80206706332624012</v>
      </c>
      <c r="C38" s="16">
        <v>9.7071155683891297E-2</v>
      </c>
      <c r="D38" s="16">
        <v>8.2626714153702103</v>
      </c>
      <c r="E38" s="16">
        <v>8.6220147378026538E-15</v>
      </c>
      <c r="F38" s="16">
        <v>0.61087807842189878</v>
      </c>
      <c r="G38" s="16">
        <v>0.99325604823058145</v>
      </c>
      <c r="H38" s="16">
        <v>0.61087807842189878</v>
      </c>
      <c r="I38" s="17">
        <v>0.99325604823058145</v>
      </c>
      <c r="K38" s="15" t="s">
        <v>8</v>
      </c>
      <c r="L38" s="16">
        <v>1.5777152902252156</v>
      </c>
      <c r="M38" s="16">
        <v>0.1716335240157344</v>
      </c>
      <c r="N38" s="16">
        <v>9.1923492177471076</v>
      </c>
      <c r="O38" s="16">
        <v>1.6097075300838582E-17</v>
      </c>
      <c r="P38" s="16">
        <v>1.2396700799777742</v>
      </c>
      <c r="Q38" s="16">
        <v>1.915760500472657</v>
      </c>
      <c r="R38" s="16">
        <v>1.2396700799777742</v>
      </c>
      <c r="S38" s="17">
        <v>1.915760500472657</v>
      </c>
    </row>
    <row r="39" spans="1:29" ht="14.25" x14ac:dyDescent="0.45">
      <c r="A39"/>
      <c r="B39"/>
      <c r="C39"/>
      <c r="D39"/>
      <c r="E39"/>
      <c r="F39"/>
      <c r="G39"/>
      <c r="H39"/>
      <c r="I39"/>
      <c r="K39"/>
      <c r="L39"/>
      <c r="M39"/>
      <c r="N39"/>
      <c r="O39"/>
      <c r="P39"/>
      <c r="Q39"/>
      <c r="R39"/>
      <c r="S39"/>
      <c r="U39"/>
      <c r="V39"/>
      <c r="W39"/>
      <c r="X39"/>
      <c r="Y39"/>
      <c r="Z39"/>
      <c r="AA39"/>
      <c r="AB39"/>
      <c r="AC39"/>
    </row>
    <row r="40" spans="1:29" ht="14.25" x14ac:dyDescent="0.45">
      <c r="A40"/>
      <c r="B40"/>
      <c r="C40"/>
      <c r="D40"/>
      <c r="E40"/>
      <c r="F40"/>
      <c r="G40"/>
      <c r="H40"/>
      <c r="I40"/>
      <c r="K40"/>
      <c r="L40"/>
      <c r="M40"/>
      <c r="N40"/>
      <c r="O40"/>
      <c r="P40"/>
      <c r="Q40"/>
      <c r="R40"/>
      <c r="S40"/>
      <c r="U40"/>
      <c r="V40"/>
      <c r="W40"/>
      <c r="X40"/>
      <c r="Y40"/>
      <c r="Z40"/>
      <c r="AA40"/>
      <c r="AB40"/>
      <c r="AC40"/>
    </row>
    <row r="41" spans="1:29" ht="14.25" x14ac:dyDescent="0.45">
      <c r="A41"/>
      <c r="B41"/>
      <c r="C41"/>
      <c r="D41"/>
      <c r="E41"/>
      <c r="F41"/>
      <c r="G41"/>
      <c r="H41"/>
      <c r="I41"/>
      <c r="K41"/>
      <c r="L41"/>
      <c r="M41"/>
      <c r="N41"/>
      <c r="O41"/>
      <c r="P41"/>
      <c r="Q41"/>
      <c r="R41"/>
      <c r="S41"/>
      <c r="U41"/>
      <c r="V41"/>
      <c r="W41"/>
      <c r="X41"/>
      <c r="Y41"/>
      <c r="Z41"/>
      <c r="AA41"/>
      <c r="AB41"/>
      <c r="AC41"/>
    </row>
    <row r="42" spans="1:29" x14ac:dyDescent="0.4">
      <c r="A42" s="104" t="s">
        <v>41</v>
      </c>
      <c r="B42" s="105"/>
      <c r="C42" s="105"/>
      <c r="D42" s="105"/>
      <c r="E42" s="105"/>
      <c r="F42" s="105"/>
      <c r="G42" s="105"/>
      <c r="H42" s="105"/>
      <c r="I42" s="106"/>
    </row>
    <row r="43" spans="1:29" x14ac:dyDescent="0.4">
      <c r="A43" s="107"/>
      <c r="B43" s="108"/>
      <c r="C43" s="108"/>
      <c r="D43" s="108"/>
      <c r="E43" s="108"/>
      <c r="F43" s="108"/>
      <c r="G43" s="108"/>
      <c r="H43" s="108"/>
      <c r="I43" s="109"/>
    </row>
    <row r="44" spans="1:29" x14ac:dyDescent="0.4">
      <c r="A44" s="18" t="s">
        <v>17</v>
      </c>
      <c r="B44" s="19"/>
      <c r="I44" s="10"/>
    </row>
    <row r="45" spans="1:29" x14ac:dyDescent="0.4">
      <c r="A45" s="11" t="s">
        <v>18</v>
      </c>
      <c r="B45" s="1">
        <v>0.59828230110037406</v>
      </c>
      <c r="I45" s="10"/>
    </row>
    <row r="46" spans="1:29" x14ac:dyDescent="0.4">
      <c r="A46" s="11" t="s">
        <v>19</v>
      </c>
      <c r="B46" s="1">
        <v>0.35794171180995871</v>
      </c>
      <c r="I46" s="10"/>
    </row>
    <row r="47" spans="1:29" x14ac:dyDescent="0.4">
      <c r="A47" s="11" t="s">
        <v>20</v>
      </c>
      <c r="B47" s="1">
        <v>0.35535276709951497</v>
      </c>
      <c r="I47" s="10"/>
    </row>
    <row r="48" spans="1:29" x14ac:dyDescent="0.4">
      <c r="A48" s="11" t="s">
        <v>21</v>
      </c>
      <c r="B48" s="1">
        <v>1.4949047974024847E-2</v>
      </c>
      <c r="I48" s="10"/>
    </row>
    <row r="49" spans="1:19" ht="13.5" thickBot="1" x14ac:dyDescent="0.45">
      <c r="A49" s="12" t="s">
        <v>22</v>
      </c>
      <c r="B49" s="8">
        <v>250</v>
      </c>
      <c r="I49" s="10"/>
    </row>
    <row r="50" spans="1:19" x14ac:dyDescent="0.4">
      <c r="A50" s="11"/>
      <c r="I50" s="10"/>
    </row>
    <row r="51" spans="1:19" ht="13.5" thickBot="1" x14ac:dyDescent="0.45">
      <c r="A51" s="11" t="s">
        <v>23</v>
      </c>
      <c r="I51" s="10"/>
    </row>
    <row r="52" spans="1:19" x14ac:dyDescent="0.4">
      <c r="A52" s="13"/>
      <c r="B52" s="9" t="s">
        <v>28</v>
      </c>
      <c r="C52" s="9" t="s">
        <v>29</v>
      </c>
      <c r="D52" s="9" t="s">
        <v>30</v>
      </c>
      <c r="E52" s="9" t="s">
        <v>31</v>
      </c>
      <c r="F52" s="9" t="s">
        <v>32</v>
      </c>
      <c r="I52" s="10"/>
    </row>
    <row r="53" spans="1:19" x14ac:dyDescent="0.4">
      <c r="A53" s="11" t="s">
        <v>24</v>
      </c>
      <c r="B53" s="1">
        <v>1</v>
      </c>
      <c r="C53" s="1">
        <v>3.0897020870438462E-2</v>
      </c>
      <c r="D53" s="1">
        <v>3.0897020870438462E-2</v>
      </c>
      <c r="E53" s="1">
        <v>138.25776594070703</v>
      </c>
      <c r="F53" s="1">
        <v>1.1575515634012933E-25</v>
      </c>
      <c r="I53" s="10"/>
    </row>
    <row r="54" spans="1:19" x14ac:dyDescent="0.4">
      <c r="A54" s="11" t="s">
        <v>25</v>
      </c>
      <c r="B54" s="1">
        <v>248</v>
      </c>
      <c r="C54" s="1">
        <v>5.5421560761764709E-2</v>
      </c>
      <c r="D54" s="1">
        <v>2.234740353296964E-4</v>
      </c>
      <c r="I54" s="10"/>
    </row>
    <row r="55" spans="1:19" ht="13.5" thickBot="1" x14ac:dyDescent="0.45">
      <c r="A55" s="12" t="s">
        <v>26</v>
      </c>
      <c r="B55" s="8">
        <v>249</v>
      </c>
      <c r="C55" s="8">
        <v>8.631858163220317E-2</v>
      </c>
      <c r="D55" s="8"/>
      <c r="E55" s="8"/>
      <c r="F55" s="8"/>
      <c r="I55" s="10"/>
    </row>
    <row r="56" spans="1:19" ht="13.5" thickBot="1" x14ac:dyDescent="0.45">
      <c r="A56" s="11"/>
      <c r="I56" s="10"/>
    </row>
    <row r="57" spans="1:19" x14ac:dyDescent="0.4">
      <c r="A57" s="13"/>
      <c r="B57" s="9" t="s">
        <v>33</v>
      </c>
      <c r="C57" s="9" t="s">
        <v>21</v>
      </c>
      <c r="D57" s="9" t="s">
        <v>34</v>
      </c>
      <c r="E57" s="9" t="s">
        <v>35</v>
      </c>
      <c r="F57" s="9" t="s">
        <v>36</v>
      </c>
      <c r="G57" s="9" t="s">
        <v>37</v>
      </c>
      <c r="H57" s="9" t="s">
        <v>38</v>
      </c>
      <c r="I57" s="14" t="s">
        <v>39</v>
      </c>
    </row>
    <row r="58" spans="1:19" x14ac:dyDescent="0.4">
      <c r="A58" s="11" t="s">
        <v>27</v>
      </c>
      <c r="B58" s="1">
        <v>1.5150523928082001E-4</v>
      </c>
      <c r="C58" s="1">
        <v>9.4546080977119787E-4</v>
      </c>
      <c r="D58" s="1">
        <v>0.16024486442487698</v>
      </c>
      <c r="E58" s="1">
        <v>0.87281863317978292</v>
      </c>
      <c r="F58" s="1">
        <v>-1.7106513531021509E-3</v>
      </c>
      <c r="G58" s="1">
        <v>2.0136618316637911E-3</v>
      </c>
      <c r="H58" s="1">
        <v>-1.7106513531021509E-3</v>
      </c>
      <c r="I58" s="10">
        <v>2.0136618316637911E-3</v>
      </c>
    </row>
    <row r="59" spans="1:19" x14ac:dyDescent="0.4">
      <c r="A59" s="15" t="s">
        <v>8</v>
      </c>
      <c r="B59" s="16">
        <v>1.3126940873679682</v>
      </c>
      <c r="C59" s="16">
        <v>0.11163972591941597</v>
      </c>
      <c r="D59" s="16">
        <v>11.758306253058162</v>
      </c>
      <c r="E59" s="16">
        <v>1.1575515634014092E-25</v>
      </c>
      <c r="F59" s="16">
        <v>1.0928112012195956</v>
      </c>
      <c r="G59" s="16">
        <v>1.5325769735163408</v>
      </c>
      <c r="H59" s="16">
        <v>1.0928112012195956</v>
      </c>
      <c r="I59" s="17">
        <v>1.5325769735163408</v>
      </c>
    </row>
    <row r="60" spans="1:19" ht="14.25" x14ac:dyDescent="0.45">
      <c r="A60"/>
      <c r="B60"/>
      <c r="C60"/>
      <c r="D60"/>
      <c r="E60"/>
      <c r="F60"/>
      <c r="G60"/>
      <c r="H60"/>
      <c r="I60"/>
      <c r="K60"/>
      <c r="L60"/>
      <c r="M60"/>
      <c r="N60"/>
      <c r="O60"/>
      <c r="P60"/>
      <c r="Q60"/>
      <c r="R60"/>
      <c r="S60"/>
    </row>
    <row r="61" spans="1:19" ht="14.25" x14ac:dyDescent="0.45">
      <c r="A61"/>
      <c r="B61"/>
      <c r="C61"/>
      <c r="D61"/>
      <c r="E61"/>
      <c r="F61"/>
      <c r="G61"/>
      <c r="H61"/>
      <c r="I61"/>
      <c r="K61"/>
      <c r="L61"/>
      <c r="M61"/>
      <c r="N61"/>
      <c r="O61"/>
      <c r="P61"/>
      <c r="Q61"/>
      <c r="R61"/>
      <c r="S61"/>
    </row>
    <row r="62" spans="1:19" ht="14.25" x14ac:dyDescent="0.45">
      <c r="A62"/>
      <c r="B62"/>
      <c r="C62"/>
      <c r="D62"/>
      <c r="E62"/>
      <c r="F62"/>
      <c r="G62"/>
      <c r="H62"/>
      <c r="I62"/>
      <c r="K62"/>
      <c r="L62"/>
      <c r="M62"/>
      <c r="N62"/>
      <c r="O62"/>
      <c r="P62"/>
      <c r="Q62"/>
      <c r="R62"/>
      <c r="S62"/>
    </row>
  </sheetData>
  <mergeCells count="5">
    <mergeCell ref="A42:I43"/>
    <mergeCell ref="A1:I2"/>
    <mergeCell ref="K1:S2"/>
    <mergeCell ref="A21:I22"/>
    <mergeCell ref="K21:S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A137-8262-4A99-9C15-0B9577638F52}">
  <dimension ref="A1:J251"/>
  <sheetViews>
    <sheetView showGridLines="0" workbookViewId="0">
      <pane ySplit="1" topLeftCell="A2" activePane="bottomLeft" state="frozen"/>
      <selection pane="bottomLeft" activeCell="G13" sqref="G13"/>
    </sheetView>
  </sheetViews>
  <sheetFormatPr defaultColWidth="8.73046875" defaultRowHeight="13.15" x14ac:dyDescent="0.4"/>
  <cols>
    <col min="1" max="1" width="8.9296875" style="1" bestFit="1" customWidth="1"/>
    <col min="2" max="2" width="8" style="1" bestFit="1" customWidth="1"/>
    <col min="3" max="3" width="7.33203125" style="1" bestFit="1" customWidth="1"/>
    <col min="4" max="4" width="22.265625" style="1" customWidth="1"/>
    <col min="5" max="5" width="24.06640625" style="1" bestFit="1" customWidth="1"/>
    <col min="6" max="6" width="8.73046875" style="1"/>
    <col min="7" max="7" width="20.06640625" style="1" customWidth="1"/>
    <col min="8" max="8" width="16.59765625" style="1" customWidth="1"/>
    <col min="9" max="16384" width="8.73046875" style="1"/>
  </cols>
  <sheetData>
    <row r="1" spans="1:10" x14ac:dyDescent="0.4">
      <c r="A1" s="4" t="s">
        <v>0</v>
      </c>
      <c r="B1" s="4" t="s">
        <v>1</v>
      </c>
      <c r="C1" s="4" t="s">
        <v>2</v>
      </c>
      <c r="D1" s="21" t="s">
        <v>46</v>
      </c>
      <c r="E1" s="21" t="s">
        <v>47</v>
      </c>
    </row>
    <row r="2" spans="1:10" x14ac:dyDescent="0.4">
      <c r="A2" s="3">
        <v>45499</v>
      </c>
      <c r="B2" s="2" t="s">
        <v>3</v>
      </c>
      <c r="C2" s="2">
        <v>396.3</v>
      </c>
      <c r="D2" s="26">
        <v>0</v>
      </c>
      <c r="E2" s="27">
        <f>D2*252</f>
        <v>0</v>
      </c>
    </row>
    <row r="3" spans="1:10" x14ac:dyDescent="0.4">
      <c r="A3" s="3">
        <v>45502</v>
      </c>
      <c r="B3" s="2" t="s">
        <v>3</v>
      </c>
      <c r="C3" s="2">
        <v>393.9</v>
      </c>
      <c r="D3" s="26">
        <f t="shared" ref="D3:D67" si="0">LN(C3/C2)</f>
        <v>-6.0744302195291948E-3</v>
      </c>
      <c r="E3" s="27">
        <f t="shared" ref="E3:E66" si="1">D3*252</f>
        <v>-1.5307564153213571</v>
      </c>
      <c r="G3" s="110" t="s">
        <v>49</v>
      </c>
      <c r="H3" s="110"/>
    </row>
    <row r="4" spans="1:10" x14ac:dyDescent="0.4">
      <c r="A4" s="3">
        <v>45503</v>
      </c>
      <c r="B4" s="2" t="s">
        <v>3</v>
      </c>
      <c r="C4" s="2">
        <v>406.95</v>
      </c>
      <c r="D4" s="26">
        <f t="shared" si="0"/>
        <v>3.2593257796190343E-2</v>
      </c>
      <c r="E4" s="27">
        <f t="shared" si="1"/>
        <v>8.2135009646399659</v>
      </c>
      <c r="G4" s="28" t="s">
        <v>48</v>
      </c>
      <c r="H4" s="29">
        <f>AVERAGE(E2:E251)</f>
        <v>-0.17481601862293134</v>
      </c>
      <c r="J4" s="1" t="s">
        <v>51</v>
      </c>
    </row>
    <row r="5" spans="1:10" x14ac:dyDescent="0.4">
      <c r="A5" s="3">
        <v>45504</v>
      </c>
      <c r="B5" s="2" t="s">
        <v>3</v>
      </c>
      <c r="C5" s="2">
        <v>416</v>
      </c>
      <c r="D5" s="26">
        <f t="shared" si="0"/>
        <v>2.1994932488212778E-2</v>
      </c>
      <c r="E5" s="27">
        <f t="shared" si="1"/>
        <v>5.5427229870296202</v>
      </c>
      <c r="G5" s="28" t="s">
        <v>50</v>
      </c>
      <c r="H5" s="44">
        <f>_xlfn.STDEV.S(E2:E251)/100</f>
        <v>3.8849480794898021E-2</v>
      </c>
      <c r="J5" s="1" t="s">
        <v>52</v>
      </c>
    </row>
    <row r="6" spans="1:10" x14ac:dyDescent="0.4">
      <c r="A6" s="3">
        <v>45505</v>
      </c>
      <c r="B6" s="2" t="s">
        <v>3</v>
      </c>
      <c r="C6" s="2">
        <v>423.45</v>
      </c>
      <c r="D6" s="26">
        <f t="shared" si="0"/>
        <v>1.7750183106344814E-2</v>
      </c>
      <c r="E6" s="27">
        <f t="shared" si="1"/>
        <v>4.4730461427988928</v>
      </c>
    </row>
    <row r="7" spans="1:10" x14ac:dyDescent="0.4">
      <c r="A7" s="3">
        <v>45506</v>
      </c>
      <c r="B7" s="2" t="s">
        <v>3</v>
      </c>
      <c r="C7" s="2">
        <v>419.7</v>
      </c>
      <c r="D7" s="26">
        <f t="shared" si="0"/>
        <v>-8.8952730280628702E-3</v>
      </c>
      <c r="E7" s="27">
        <f t="shared" si="1"/>
        <v>-2.2416088030718431</v>
      </c>
    </row>
    <row r="8" spans="1:10" x14ac:dyDescent="0.4">
      <c r="A8" s="3">
        <v>45509</v>
      </c>
      <c r="B8" s="2" t="s">
        <v>3</v>
      </c>
      <c r="C8" s="2">
        <v>413.25</v>
      </c>
      <c r="D8" s="26">
        <f t="shared" si="0"/>
        <v>-1.5487433638411551E-2</v>
      </c>
      <c r="E8" s="27">
        <f t="shared" si="1"/>
        <v>-3.9028332768797109</v>
      </c>
      <c r="G8" s="80" t="s">
        <v>104</v>
      </c>
      <c r="H8" s="81"/>
    </row>
    <row r="9" spans="1:10" x14ac:dyDescent="0.4">
      <c r="A9" s="3">
        <v>45510</v>
      </c>
      <c r="B9" s="2" t="s">
        <v>3</v>
      </c>
      <c r="C9" s="2">
        <v>415</v>
      </c>
      <c r="D9" s="26">
        <f t="shared" si="0"/>
        <v>4.2257835295647968E-3</v>
      </c>
      <c r="E9" s="27">
        <f t="shared" si="1"/>
        <v>1.0648974494503287</v>
      </c>
      <c r="G9" s="82" t="s">
        <v>105</v>
      </c>
      <c r="H9" s="83"/>
    </row>
    <row r="10" spans="1:10" x14ac:dyDescent="0.4">
      <c r="A10" s="3">
        <v>45511</v>
      </c>
      <c r="B10" s="2" t="s">
        <v>3</v>
      </c>
      <c r="C10" s="2">
        <v>416.3</v>
      </c>
      <c r="D10" s="26">
        <f t="shared" si="0"/>
        <v>3.1276339702313968E-3</v>
      </c>
      <c r="E10" s="27">
        <f t="shared" si="1"/>
        <v>0.78816376049831205</v>
      </c>
      <c r="G10" s="82"/>
      <c r="H10" s="83"/>
    </row>
    <row r="11" spans="1:10" x14ac:dyDescent="0.4">
      <c r="A11" s="3">
        <v>45512</v>
      </c>
      <c r="B11" s="2" t="s">
        <v>3</v>
      </c>
      <c r="C11" s="2">
        <v>407.7</v>
      </c>
      <c r="D11" s="26">
        <f t="shared" si="0"/>
        <v>-2.0874544375722035E-2</v>
      </c>
      <c r="E11" s="27">
        <f t="shared" si="1"/>
        <v>-5.2603851826819525</v>
      </c>
      <c r="G11" s="84" t="s">
        <v>106</v>
      </c>
      <c r="H11" s="85"/>
    </row>
    <row r="12" spans="1:10" x14ac:dyDescent="0.4">
      <c r="A12" s="3">
        <v>45513</v>
      </c>
      <c r="B12" s="2" t="s">
        <v>3</v>
      </c>
      <c r="C12" s="2">
        <v>410.65</v>
      </c>
      <c r="D12" s="26">
        <f t="shared" si="0"/>
        <v>7.2096603609934857E-3</v>
      </c>
      <c r="E12" s="27">
        <f t="shared" si="1"/>
        <v>1.8168344109703585</v>
      </c>
    </row>
    <row r="13" spans="1:10" x14ac:dyDescent="0.4">
      <c r="A13" s="3">
        <v>45516</v>
      </c>
      <c r="B13" s="2" t="s">
        <v>3</v>
      </c>
      <c r="C13" s="2">
        <v>400.85</v>
      </c>
      <c r="D13" s="26">
        <f t="shared" si="0"/>
        <v>-2.4153977697240512E-2</v>
      </c>
      <c r="E13" s="27">
        <f t="shared" si="1"/>
        <v>-6.0868023797046087</v>
      </c>
    </row>
    <row r="14" spans="1:10" x14ac:dyDescent="0.4">
      <c r="A14" s="3">
        <v>45517</v>
      </c>
      <c r="B14" s="2" t="s">
        <v>3</v>
      </c>
      <c r="C14" s="2">
        <v>396.2</v>
      </c>
      <c r="D14" s="26">
        <f t="shared" si="0"/>
        <v>-1.1668158224510115E-2</v>
      </c>
      <c r="E14" s="27">
        <f t="shared" si="1"/>
        <v>-2.9403758725765492</v>
      </c>
      <c r="G14" s="86"/>
    </row>
    <row r="15" spans="1:10" x14ac:dyDescent="0.4">
      <c r="A15" s="3">
        <v>45518</v>
      </c>
      <c r="B15" s="2" t="s">
        <v>3</v>
      </c>
      <c r="C15" s="2">
        <v>396.35</v>
      </c>
      <c r="D15" s="26">
        <f t="shared" si="0"/>
        <v>3.785250187143803E-4</v>
      </c>
      <c r="E15" s="27">
        <f t="shared" si="1"/>
        <v>9.5388304716023831E-2</v>
      </c>
    </row>
    <row r="16" spans="1:10" x14ac:dyDescent="0.4">
      <c r="A16" s="3">
        <v>45520</v>
      </c>
      <c r="B16" s="2" t="s">
        <v>3</v>
      </c>
      <c r="C16" s="2">
        <v>398.05</v>
      </c>
      <c r="D16" s="26">
        <f t="shared" si="0"/>
        <v>4.2799662514223071E-3</v>
      </c>
      <c r="E16" s="27">
        <f t="shared" si="1"/>
        <v>1.0785514953584214</v>
      </c>
    </row>
    <row r="17" spans="1:5" x14ac:dyDescent="0.4">
      <c r="A17" s="3">
        <v>45523</v>
      </c>
      <c r="B17" s="2" t="s">
        <v>3</v>
      </c>
      <c r="C17" s="2">
        <v>403.1</v>
      </c>
      <c r="D17" s="26">
        <f t="shared" si="0"/>
        <v>1.2607044588533031E-2</v>
      </c>
      <c r="E17" s="27">
        <f t="shared" si="1"/>
        <v>3.1769752363103239</v>
      </c>
    </row>
    <row r="18" spans="1:5" x14ac:dyDescent="0.4">
      <c r="A18" s="3">
        <v>45524</v>
      </c>
      <c r="B18" s="2" t="s">
        <v>3</v>
      </c>
      <c r="C18" s="2">
        <v>406.25</v>
      </c>
      <c r="D18" s="26">
        <f t="shared" si="0"/>
        <v>7.7840635208269934E-3</v>
      </c>
      <c r="E18" s="27">
        <f t="shared" si="1"/>
        <v>1.9615840072484023</v>
      </c>
    </row>
    <row r="19" spans="1:5" x14ac:dyDescent="0.4">
      <c r="A19" s="3">
        <v>45525</v>
      </c>
      <c r="B19" s="2" t="s">
        <v>3</v>
      </c>
      <c r="C19" s="2">
        <v>408.95</v>
      </c>
      <c r="D19" s="26">
        <f t="shared" si="0"/>
        <v>6.6241655370357661E-3</v>
      </c>
      <c r="E19" s="27">
        <f t="shared" si="1"/>
        <v>1.6692897153330131</v>
      </c>
    </row>
    <row r="20" spans="1:5" x14ac:dyDescent="0.4">
      <c r="A20" s="3">
        <v>45526</v>
      </c>
      <c r="B20" s="2" t="s">
        <v>3</v>
      </c>
      <c r="C20" s="2">
        <v>403.35</v>
      </c>
      <c r="D20" s="26">
        <f t="shared" si="0"/>
        <v>-1.3788227797999602E-2</v>
      </c>
      <c r="E20" s="27">
        <f t="shared" si="1"/>
        <v>-3.4746334050958998</v>
      </c>
    </row>
    <row r="21" spans="1:5" x14ac:dyDescent="0.4">
      <c r="A21" s="3">
        <v>45527</v>
      </c>
      <c r="B21" s="2" t="s">
        <v>3</v>
      </c>
      <c r="C21" s="2">
        <v>401.95</v>
      </c>
      <c r="D21" s="26">
        <f t="shared" si="0"/>
        <v>-3.4769686090135865E-3</v>
      </c>
      <c r="E21" s="27">
        <f t="shared" si="1"/>
        <v>-0.8761960894714238</v>
      </c>
    </row>
    <row r="22" spans="1:5" x14ac:dyDescent="0.4">
      <c r="A22" s="3">
        <v>45530</v>
      </c>
      <c r="B22" s="2" t="s">
        <v>3</v>
      </c>
      <c r="C22" s="2">
        <v>414.85</v>
      </c>
      <c r="D22" s="26">
        <f t="shared" si="0"/>
        <v>3.1589306336324605E-2</v>
      </c>
      <c r="E22" s="27">
        <f t="shared" si="1"/>
        <v>7.9605051967538003</v>
      </c>
    </row>
    <row r="23" spans="1:5" x14ac:dyDescent="0.4">
      <c r="A23" s="3">
        <v>45531</v>
      </c>
      <c r="B23" s="2" t="s">
        <v>3</v>
      </c>
      <c r="C23" s="2">
        <v>409.65</v>
      </c>
      <c r="D23" s="26">
        <f t="shared" si="0"/>
        <v>-1.2613872522470667E-2</v>
      </c>
      <c r="E23" s="27">
        <f t="shared" si="1"/>
        <v>-3.178695875662608</v>
      </c>
    </row>
    <row r="24" spans="1:5" x14ac:dyDescent="0.4">
      <c r="A24" s="3">
        <v>45532</v>
      </c>
      <c r="B24" s="2" t="s">
        <v>3</v>
      </c>
      <c r="C24" s="2">
        <v>409.05</v>
      </c>
      <c r="D24" s="26">
        <f t="shared" si="0"/>
        <v>-1.4657386281163719E-3</v>
      </c>
      <c r="E24" s="27">
        <f t="shared" si="1"/>
        <v>-0.36936613428532572</v>
      </c>
    </row>
    <row r="25" spans="1:5" x14ac:dyDescent="0.4">
      <c r="A25" s="3">
        <v>45533</v>
      </c>
      <c r="B25" s="2" t="s">
        <v>3</v>
      </c>
      <c r="C25" s="2">
        <v>409.9</v>
      </c>
      <c r="D25" s="26">
        <f t="shared" si="0"/>
        <v>2.0758295505845597E-3</v>
      </c>
      <c r="E25" s="27">
        <f t="shared" si="1"/>
        <v>0.52310904674730907</v>
      </c>
    </row>
    <row r="26" spans="1:5" x14ac:dyDescent="0.4">
      <c r="A26" s="3">
        <v>45534</v>
      </c>
      <c r="B26" s="2" t="s">
        <v>3</v>
      </c>
      <c r="C26" s="2">
        <v>416.2</v>
      </c>
      <c r="D26" s="26">
        <f t="shared" si="0"/>
        <v>1.5252686449242192E-2</v>
      </c>
      <c r="E26" s="27">
        <f t="shared" si="1"/>
        <v>3.8436769852090324</v>
      </c>
    </row>
    <row r="27" spans="1:5" x14ac:dyDescent="0.4">
      <c r="A27" s="3">
        <v>45537</v>
      </c>
      <c r="B27" s="2" t="s">
        <v>3</v>
      </c>
      <c r="C27" s="2">
        <v>410</v>
      </c>
      <c r="D27" s="26">
        <f t="shared" si="0"/>
        <v>-1.500875426118058E-2</v>
      </c>
      <c r="E27" s="27">
        <f t="shared" si="1"/>
        <v>-3.7822060738175063</v>
      </c>
    </row>
    <row r="28" spans="1:5" x14ac:dyDescent="0.4">
      <c r="A28" s="3">
        <v>45538</v>
      </c>
      <c r="B28" s="2" t="s">
        <v>3</v>
      </c>
      <c r="C28" s="2">
        <v>406.4</v>
      </c>
      <c r="D28" s="26">
        <f t="shared" si="0"/>
        <v>-8.8192634340813602E-3</v>
      </c>
      <c r="E28" s="27">
        <f t="shared" si="1"/>
        <v>-2.2224543853885028</v>
      </c>
    </row>
    <row r="29" spans="1:5" x14ac:dyDescent="0.4">
      <c r="A29" s="3">
        <v>45539</v>
      </c>
      <c r="B29" s="2" t="s">
        <v>3</v>
      </c>
      <c r="C29" s="2">
        <v>405.1</v>
      </c>
      <c r="D29" s="26">
        <f t="shared" si="0"/>
        <v>-3.2039460556272012E-3</v>
      </c>
      <c r="E29" s="27">
        <f t="shared" si="1"/>
        <v>-0.80739440601805468</v>
      </c>
    </row>
    <row r="30" spans="1:5" x14ac:dyDescent="0.4">
      <c r="A30" s="3">
        <v>45540</v>
      </c>
      <c r="B30" s="2" t="s">
        <v>3</v>
      </c>
      <c r="C30" s="2">
        <v>403.25</v>
      </c>
      <c r="D30" s="26">
        <f t="shared" si="0"/>
        <v>-4.5772332033267383E-3</v>
      </c>
      <c r="E30" s="27">
        <f t="shared" si="1"/>
        <v>-1.153462767238338</v>
      </c>
    </row>
    <row r="31" spans="1:5" x14ac:dyDescent="0.4">
      <c r="A31" s="3">
        <v>45541</v>
      </c>
      <c r="B31" s="2" t="s">
        <v>3</v>
      </c>
      <c r="C31" s="2">
        <v>394.8</v>
      </c>
      <c r="D31" s="26">
        <f t="shared" si="0"/>
        <v>-2.117740944599172E-2</v>
      </c>
      <c r="E31" s="27">
        <f t="shared" si="1"/>
        <v>-5.3367071803899133</v>
      </c>
    </row>
    <row r="32" spans="1:5" x14ac:dyDescent="0.4">
      <c r="A32" s="3">
        <v>45544</v>
      </c>
      <c r="B32" s="2" t="s">
        <v>3</v>
      </c>
      <c r="C32" s="2">
        <v>389.85</v>
      </c>
      <c r="D32" s="26">
        <f t="shared" si="0"/>
        <v>-1.2617257803717573E-2</v>
      </c>
      <c r="E32" s="27">
        <f t="shared" si="1"/>
        <v>-3.1795489665368284</v>
      </c>
    </row>
    <row r="33" spans="1:5" x14ac:dyDescent="0.4">
      <c r="A33" s="3">
        <v>45545</v>
      </c>
      <c r="B33" s="2" t="s">
        <v>3</v>
      </c>
      <c r="C33" s="2">
        <v>396.3</v>
      </c>
      <c r="D33" s="26">
        <f t="shared" si="0"/>
        <v>1.6409450440780252E-2</v>
      </c>
      <c r="E33" s="27">
        <f t="shared" si="1"/>
        <v>4.135181511076623</v>
      </c>
    </row>
    <row r="34" spans="1:5" x14ac:dyDescent="0.4">
      <c r="A34" s="3">
        <v>45546</v>
      </c>
      <c r="B34" s="2" t="s">
        <v>3</v>
      </c>
      <c r="C34" s="2">
        <v>389.65</v>
      </c>
      <c r="D34" s="26">
        <f t="shared" si="0"/>
        <v>-1.6922599906819498E-2</v>
      </c>
      <c r="E34" s="27">
        <f t="shared" si="1"/>
        <v>-4.2644951765185137</v>
      </c>
    </row>
    <row r="35" spans="1:5" x14ac:dyDescent="0.4">
      <c r="A35" s="3">
        <v>45547</v>
      </c>
      <c r="B35" s="2" t="s">
        <v>3</v>
      </c>
      <c r="C35" s="2">
        <v>404.85</v>
      </c>
      <c r="D35" s="26">
        <f t="shared" si="0"/>
        <v>3.8267727842553514E-2</v>
      </c>
      <c r="E35" s="27">
        <f t="shared" si="1"/>
        <v>9.6434674163234853</v>
      </c>
    </row>
    <row r="36" spans="1:5" x14ac:dyDescent="0.4">
      <c r="A36" s="3">
        <v>45548</v>
      </c>
      <c r="B36" s="2" t="s">
        <v>3</v>
      </c>
      <c r="C36" s="2">
        <v>401.4</v>
      </c>
      <c r="D36" s="26">
        <f t="shared" si="0"/>
        <v>-8.5581917698856463E-3</v>
      </c>
      <c r="E36" s="27">
        <f t="shared" si="1"/>
        <v>-2.1566643260111831</v>
      </c>
    </row>
    <row r="37" spans="1:5" x14ac:dyDescent="0.4">
      <c r="A37" s="3">
        <v>45551</v>
      </c>
      <c r="B37" s="2" t="s">
        <v>3</v>
      </c>
      <c r="C37" s="2">
        <v>411.1</v>
      </c>
      <c r="D37" s="26">
        <f t="shared" si="0"/>
        <v>2.3878057541595114E-2</v>
      </c>
      <c r="E37" s="27">
        <f t="shared" si="1"/>
        <v>6.0172705004819687</v>
      </c>
    </row>
    <row r="38" spans="1:5" x14ac:dyDescent="0.4">
      <c r="A38" s="3">
        <v>45552</v>
      </c>
      <c r="B38" s="2" t="s">
        <v>3</v>
      </c>
      <c r="C38" s="2">
        <v>416.3</v>
      </c>
      <c r="D38" s="26">
        <f t="shared" si="0"/>
        <v>1.2569660297097097E-2</v>
      </c>
      <c r="E38" s="27">
        <f t="shared" si="1"/>
        <v>3.1675543948684686</v>
      </c>
    </row>
    <row r="39" spans="1:5" x14ac:dyDescent="0.4">
      <c r="A39" s="3">
        <v>45553</v>
      </c>
      <c r="B39" s="2" t="s">
        <v>3</v>
      </c>
      <c r="C39" s="2">
        <v>414.15</v>
      </c>
      <c r="D39" s="26">
        <f t="shared" si="0"/>
        <v>-5.1779271566566535E-3</v>
      </c>
      <c r="E39" s="27">
        <f t="shared" si="1"/>
        <v>-1.3048376434774767</v>
      </c>
    </row>
    <row r="40" spans="1:5" x14ac:dyDescent="0.4">
      <c r="A40" s="3">
        <v>45554</v>
      </c>
      <c r="B40" s="2" t="s">
        <v>3</v>
      </c>
      <c r="C40" s="2">
        <v>423.95</v>
      </c>
      <c r="D40" s="26">
        <f t="shared" si="0"/>
        <v>2.3387296705738865E-2</v>
      </c>
      <c r="E40" s="27">
        <f t="shared" si="1"/>
        <v>5.8935987698461938</v>
      </c>
    </row>
    <row r="41" spans="1:5" x14ac:dyDescent="0.4">
      <c r="A41" s="3">
        <v>45555</v>
      </c>
      <c r="B41" s="2" t="s">
        <v>3</v>
      </c>
      <c r="C41" s="2">
        <v>423.95</v>
      </c>
      <c r="D41" s="26">
        <f t="shared" si="0"/>
        <v>0</v>
      </c>
      <c r="E41" s="27">
        <f t="shared" si="1"/>
        <v>0</v>
      </c>
    </row>
    <row r="42" spans="1:5" x14ac:dyDescent="0.4">
      <c r="A42" s="3">
        <v>45558</v>
      </c>
      <c r="B42" s="2" t="s">
        <v>3</v>
      </c>
      <c r="C42" s="2">
        <v>428.35</v>
      </c>
      <c r="D42" s="26">
        <f t="shared" si="0"/>
        <v>1.0325094660041088E-2</v>
      </c>
      <c r="E42" s="27">
        <f t="shared" si="1"/>
        <v>2.6019238543303542</v>
      </c>
    </row>
    <row r="43" spans="1:5" x14ac:dyDescent="0.4">
      <c r="A43" s="3">
        <v>45559</v>
      </c>
      <c r="B43" s="2" t="s">
        <v>3</v>
      </c>
      <c r="C43" s="2">
        <v>428.1</v>
      </c>
      <c r="D43" s="26">
        <f t="shared" si="0"/>
        <v>-5.8380525915249413E-4</v>
      </c>
      <c r="E43" s="27">
        <f t="shared" si="1"/>
        <v>-0.14711892530642853</v>
      </c>
    </row>
    <row r="44" spans="1:5" x14ac:dyDescent="0.4">
      <c r="A44" s="3">
        <v>45560</v>
      </c>
      <c r="B44" s="2" t="s">
        <v>3</v>
      </c>
      <c r="C44" s="2">
        <v>436.1</v>
      </c>
      <c r="D44" s="26">
        <f t="shared" si="0"/>
        <v>1.8514761697820303E-2</v>
      </c>
      <c r="E44" s="27">
        <f t="shared" si="1"/>
        <v>4.6657199478507163</v>
      </c>
    </row>
    <row r="45" spans="1:5" x14ac:dyDescent="0.4">
      <c r="A45" s="3">
        <v>45561</v>
      </c>
      <c r="B45" s="2" t="s">
        <v>3</v>
      </c>
      <c r="C45" s="2">
        <v>434.6</v>
      </c>
      <c r="D45" s="26">
        <f t="shared" si="0"/>
        <v>-3.4455070263915552E-3</v>
      </c>
      <c r="E45" s="27">
        <f t="shared" si="1"/>
        <v>-0.86826777065067196</v>
      </c>
    </row>
    <row r="46" spans="1:5" x14ac:dyDescent="0.4">
      <c r="A46" s="3">
        <v>45562</v>
      </c>
      <c r="B46" s="2" t="s">
        <v>3</v>
      </c>
      <c r="C46" s="2">
        <v>436.9</v>
      </c>
      <c r="D46" s="26">
        <f t="shared" si="0"/>
        <v>5.2782681350607439E-3</v>
      </c>
      <c r="E46" s="27">
        <f t="shared" si="1"/>
        <v>1.3301235700353073</v>
      </c>
    </row>
    <row r="47" spans="1:5" x14ac:dyDescent="0.4">
      <c r="A47" s="3">
        <v>45565</v>
      </c>
      <c r="B47" s="2" t="s">
        <v>3</v>
      </c>
      <c r="C47" s="2">
        <v>443.2</v>
      </c>
      <c r="D47" s="26">
        <f t="shared" si="0"/>
        <v>1.4316799475683808E-2</v>
      </c>
      <c r="E47" s="27">
        <f t="shared" si="1"/>
        <v>3.6078334678723198</v>
      </c>
    </row>
    <row r="48" spans="1:5" x14ac:dyDescent="0.4">
      <c r="A48" s="3">
        <v>45566</v>
      </c>
      <c r="B48" s="2" t="s">
        <v>3</v>
      </c>
      <c r="C48" s="2">
        <v>440.1</v>
      </c>
      <c r="D48" s="26">
        <f t="shared" si="0"/>
        <v>-7.0191616160282062E-3</v>
      </c>
      <c r="E48" s="27">
        <f t="shared" si="1"/>
        <v>-1.7688287272391079</v>
      </c>
    </row>
    <row r="49" spans="1:5" x14ac:dyDescent="0.4">
      <c r="A49" s="3">
        <v>45568</v>
      </c>
      <c r="B49" s="2" t="s">
        <v>3</v>
      </c>
      <c r="C49" s="2">
        <v>435.35</v>
      </c>
      <c r="D49" s="26">
        <f t="shared" si="0"/>
        <v>-1.0851668542421153E-2</v>
      </c>
      <c r="E49" s="27">
        <f t="shared" si="1"/>
        <v>-2.7346204726901306</v>
      </c>
    </row>
    <row r="50" spans="1:5" x14ac:dyDescent="0.4">
      <c r="A50" s="3">
        <v>45569</v>
      </c>
      <c r="B50" s="2" t="s">
        <v>3</v>
      </c>
      <c r="C50" s="2">
        <v>430.45</v>
      </c>
      <c r="D50" s="26">
        <f t="shared" si="0"/>
        <v>-1.1319132170661042E-2</v>
      </c>
      <c r="E50" s="27">
        <f t="shared" si="1"/>
        <v>-2.8524213070065825</v>
      </c>
    </row>
    <row r="51" spans="1:5" x14ac:dyDescent="0.4">
      <c r="A51" s="3">
        <v>45572</v>
      </c>
      <c r="B51" s="2" t="s">
        <v>3</v>
      </c>
      <c r="C51" s="2">
        <v>415.45</v>
      </c>
      <c r="D51" s="26">
        <f t="shared" si="0"/>
        <v>-3.5468902992973242E-2</v>
      </c>
      <c r="E51" s="27">
        <f t="shared" si="1"/>
        <v>-8.9381635542292575</v>
      </c>
    </row>
    <row r="52" spans="1:5" x14ac:dyDescent="0.4">
      <c r="A52" s="3">
        <v>45573</v>
      </c>
      <c r="B52" s="2" t="s">
        <v>3</v>
      </c>
      <c r="C52" s="2">
        <v>420.95</v>
      </c>
      <c r="D52" s="26">
        <f t="shared" si="0"/>
        <v>1.315179167268265E-2</v>
      </c>
      <c r="E52" s="27">
        <f t="shared" si="1"/>
        <v>3.3142515015160279</v>
      </c>
    </row>
    <row r="53" spans="1:5" x14ac:dyDescent="0.4">
      <c r="A53" s="3">
        <v>45574</v>
      </c>
      <c r="B53" s="2" t="s">
        <v>3</v>
      </c>
      <c r="C53" s="2">
        <v>418.45</v>
      </c>
      <c r="D53" s="26">
        <f t="shared" si="0"/>
        <v>-5.9566533047899451E-3</v>
      </c>
      <c r="E53" s="27">
        <f t="shared" si="1"/>
        <v>-1.5010766328070662</v>
      </c>
    </row>
    <row r="54" spans="1:5" x14ac:dyDescent="0.4">
      <c r="A54" s="3">
        <v>45575</v>
      </c>
      <c r="B54" s="2" t="s">
        <v>3</v>
      </c>
      <c r="C54" s="2">
        <v>422.7</v>
      </c>
      <c r="D54" s="26">
        <f t="shared" si="0"/>
        <v>1.0105299093861245E-2</v>
      </c>
      <c r="E54" s="27">
        <f t="shared" si="1"/>
        <v>2.5465353716530337</v>
      </c>
    </row>
    <row r="55" spans="1:5" x14ac:dyDescent="0.4">
      <c r="A55" s="3">
        <v>45576</v>
      </c>
      <c r="B55" s="2" t="s">
        <v>3</v>
      </c>
      <c r="C55" s="2">
        <v>422.5</v>
      </c>
      <c r="D55" s="26">
        <f t="shared" si="0"/>
        <v>-4.7326077551567092E-4</v>
      </c>
      <c r="E55" s="27">
        <f t="shared" si="1"/>
        <v>-0.11926171542994907</v>
      </c>
    </row>
    <row r="56" spans="1:5" x14ac:dyDescent="0.4">
      <c r="A56" s="3">
        <v>45579</v>
      </c>
      <c r="B56" s="2" t="s">
        <v>3</v>
      </c>
      <c r="C56" s="2">
        <v>424.5</v>
      </c>
      <c r="D56" s="26">
        <f t="shared" si="0"/>
        <v>4.7225589541735379E-3</v>
      </c>
      <c r="E56" s="27">
        <f t="shared" si="1"/>
        <v>1.1900848564517315</v>
      </c>
    </row>
    <row r="57" spans="1:5" x14ac:dyDescent="0.4">
      <c r="A57" s="3">
        <v>45580</v>
      </c>
      <c r="B57" s="2" t="s">
        <v>3</v>
      </c>
      <c r="C57" s="2">
        <v>426.6</v>
      </c>
      <c r="D57" s="26">
        <f t="shared" si="0"/>
        <v>4.9348002858481338E-3</v>
      </c>
      <c r="E57" s="27">
        <f t="shared" si="1"/>
        <v>1.2435696720337297</v>
      </c>
    </row>
    <row r="58" spans="1:5" x14ac:dyDescent="0.4">
      <c r="A58" s="3">
        <v>45581</v>
      </c>
      <c r="B58" s="2" t="s">
        <v>3</v>
      </c>
      <c r="C58" s="2">
        <v>424.25</v>
      </c>
      <c r="D58" s="26">
        <f t="shared" si="0"/>
        <v>-5.5239019229144978E-3</v>
      </c>
      <c r="E58" s="27">
        <f t="shared" si="1"/>
        <v>-1.3920232845744533</v>
      </c>
    </row>
    <row r="59" spans="1:5" x14ac:dyDescent="0.4">
      <c r="A59" s="3">
        <v>45582</v>
      </c>
      <c r="B59" s="2" t="s">
        <v>3</v>
      </c>
      <c r="C59" s="2">
        <v>417.75</v>
      </c>
      <c r="D59" s="26">
        <f t="shared" si="0"/>
        <v>-1.5439736638832595E-2</v>
      </c>
      <c r="E59" s="27">
        <f t="shared" si="1"/>
        <v>-3.8908136329858141</v>
      </c>
    </row>
    <row r="60" spans="1:5" x14ac:dyDescent="0.4">
      <c r="A60" s="3">
        <v>45583</v>
      </c>
      <c r="B60" s="2" t="s">
        <v>3</v>
      </c>
      <c r="C60" s="2">
        <v>424.95</v>
      </c>
      <c r="D60" s="26">
        <f t="shared" si="0"/>
        <v>1.7088347469132095E-2</v>
      </c>
      <c r="E60" s="27">
        <f t="shared" si="1"/>
        <v>4.3062635622212877</v>
      </c>
    </row>
    <row r="61" spans="1:5" x14ac:dyDescent="0.4">
      <c r="A61" s="3">
        <v>45586</v>
      </c>
      <c r="B61" s="2" t="s">
        <v>3</v>
      </c>
      <c r="C61" s="2">
        <v>425</v>
      </c>
      <c r="D61" s="26">
        <f t="shared" si="0"/>
        <v>1.1765397978158856E-4</v>
      </c>
      <c r="E61" s="27">
        <f t="shared" si="1"/>
        <v>2.9648802904960317E-2</v>
      </c>
    </row>
    <row r="62" spans="1:5" x14ac:dyDescent="0.4">
      <c r="A62" s="3">
        <v>45587</v>
      </c>
      <c r="B62" s="2" t="s">
        <v>3</v>
      </c>
      <c r="C62" s="2">
        <v>415.75</v>
      </c>
      <c r="D62" s="26">
        <f t="shared" si="0"/>
        <v>-2.2005050851379739E-2</v>
      </c>
      <c r="E62" s="27">
        <f t="shared" si="1"/>
        <v>-5.5452728145476939</v>
      </c>
    </row>
    <row r="63" spans="1:5" x14ac:dyDescent="0.4">
      <c r="A63" s="3">
        <v>45588</v>
      </c>
      <c r="B63" s="2" t="s">
        <v>3</v>
      </c>
      <c r="C63" s="2">
        <v>408.3</v>
      </c>
      <c r="D63" s="26">
        <f t="shared" si="0"/>
        <v>-1.8081919747506982E-2</v>
      </c>
      <c r="E63" s="27">
        <f t="shared" si="1"/>
        <v>-4.5566437763717591</v>
      </c>
    </row>
    <row r="64" spans="1:5" x14ac:dyDescent="0.4">
      <c r="A64" s="3">
        <v>45589</v>
      </c>
      <c r="B64" s="2" t="s">
        <v>3</v>
      </c>
      <c r="C64" s="2">
        <v>411.9</v>
      </c>
      <c r="D64" s="26">
        <f t="shared" si="0"/>
        <v>8.7784031165049382E-3</v>
      </c>
      <c r="E64" s="27">
        <f t="shared" si="1"/>
        <v>2.2121575853592446</v>
      </c>
    </row>
    <row r="65" spans="1:5" x14ac:dyDescent="0.4">
      <c r="A65" s="3">
        <v>45590</v>
      </c>
      <c r="B65" s="2" t="s">
        <v>3</v>
      </c>
      <c r="C65" s="2">
        <v>398.9</v>
      </c>
      <c r="D65" s="26">
        <f t="shared" si="0"/>
        <v>-3.2069842530674172E-2</v>
      </c>
      <c r="E65" s="27">
        <f t="shared" si="1"/>
        <v>-8.0816003177298921</v>
      </c>
    </row>
    <row r="66" spans="1:5" x14ac:dyDescent="0.4">
      <c r="A66" s="3">
        <v>45593</v>
      </c>
      <c r="B66" s="2" t="s">
        <v>3</v>
      </c>
      <c r="C66" s="2">
        <v>403.9</v>
      </c>
      <c r="D66" s="26">
        <f t="shared" si="0"/>
        <v>1.2456563658006289E-2</v>
      </c>
      <c r="E66" s="27">
        <f t="shared" si="1"/>
        <v>3.1390540418175847</v>
      </c>
    </row>
    <row r="67" spans="1:5" x14ac:dyDescent="0.4">
      <c r="A67" s="3">
        <v>45594</v>
      </c>
      <c r="B67" s="2" t="s">
        <v>3</v>
      </c>
      <c r="C67" s="2">
        <v>412.15</v>
      </c>
      <c r="D67" s="26">
        <f t="shared" si="0"/>
        <v>2.0220038189869265E-2</v>
      </c>
      <c r="E67" s="27">
        <f t="shared" ref="E67:E130" si="2">D67*252</f>
        <v>5.0954496238470552</v>
      </c>
    </row>
    <row r="68" spans="1:5" x14ac:dyDescent="0.4">
      <c r="A68" s="3">
        <v>45595</v>
      </c>
      <c r="B68" s="2" t="s">
        <v>3</v>
      </c>
      <c r="C68" s="2">
        <v>408.5</v>
      </c>
      <c r="D68" s="26">
        <f t="shared" ref="D68:D131" si="3">LN(C68/C67)</f>
        <v>-8.8954464591789253E-3</v>
      </c>
      <c r="E68" s="27">
        <f t="shared" si="2"/>
        <v>-2.2416525077130891</v>
      </c>
    </row>
    <row r="69" spans="1:5" x14ac:dyDescent="0.4">
      <c r="A69" s="3">
        <v>45596</v>
      </c>
      <c r="B69" s="2" t="s">
        <v>3</v>
      </c>
      <c r="C69" s="2">
        <v>408.15</v>
      </c>
      <c r="D69" s="26">
        <f t="shared" si="3"/>
        <v>-8.5716040269264641E-4</v>
      </c>
      <c r="E69" s="27">
        <f t="shared" si="2"/>
        <v>-0.2160044214785469</v>
      </c>
    </row>
    <row r="70" spans="1:5" x14ac:dyDescent="0.4">
      <c r="A70" s="3">
        <v>45597</v>
      </c>
      <c r="B70" s="2" t="s">
        <v>3</v>
      </c>
      <c r="C70" s="2">
        <v>411.35</v>
      </c>
      <c r="D70" s="26">
        <f t="shared" si="3"/>
        <v>7.8096797175744833E-3</v>
      </c>
      <c r="E70" s="27">
        <f t="shared" si="2"/>
        <v>1.9680392888287699</v>
      </c>
    </row>
    <row r="71" spans="1:5" x14ac:dyDescent="0.4">
      <c r="A71" s="3">
        <v>45600</v>
      </c>
      <c r="B71" s="2" t="s">
        <v>3</v>
      </c>
      <c r="C71" s="2">
        <v>400.95</v>
      </c>
      <c r="D71" s="26">
        <f t="shared" si="3"/>
        <v>-2.5607702361901682E-2</v>
      </c>
      <c r="E71" s="27">
        <f t="shared" si="2"/>
        <v>-6.4531409951992238</v>
      </c>
    </row>
    <row r="72" spans="1:5" x14ac:dyDescent="0.4">
      <c r="A72" s="3">
        <v>45601</v>
      </c>
      <c r="B72" s="2" t="s">
        <v>3</v>
      </c>
      <c r="C72" s="2">
        <v>403.1</v>
      </c>
      <c r="D72" s="26">
        <f t="shared" si="3"/>
        <v>5.3479388700824141E-3</v>
      </c>
      <c r="E72" s="27">
        <f t="shared" si="2"/>
        <v>1.3476805952607684</v>
      </c>
    </row>
    <row r="73" spans="1:5" x14ac:dyDescent="0.4">
      <c r="A73" s="3">
        <v>45602</v>
      </c>
      <c r="B73" s="2" t="s">
        <v>3</v>
      </c>
      <c r="C73" s="2">
        <v>408.9</v>
      </c>
      <c r="D73" s="26">
        <f t="shared" si="3"/>
        <v>1.4285957247476434E-2</v>
      </c>
      <c r="E73" s="27">
        <f t="shared" si="2"/>
        <v>3.6000612263640615</v>
      </c>
    </row>
    <row r="74" spans="1:5" x14ac:dyDescent="0.4">
      <c r="A74" s="3">
        <v>45603</v>
      </c>
      <c r="B74" s="2" t="s">
        <v>3</v>
      </c>
      <c r="C74" s="2">
        <v>403.8</v>
      </c>
      <c r="D74" s="26">
        <f t="shared" si="3"/>
        <v>-1.2550921491859468E-2</v>
      </c>
      <c r="E74" s="27">
        <f t="shared" si="2"/>
        <v>-3.162832215948586</v>
      </c>
    </row>
    <row r="75" spans="1:5" x14ac:dyDescent="0.4">
      <c r="A75" s="3">
        <v>45604</v>
      </c>
      <c r="B75" s="2" t="s">
        <v>3</v>
      </c>
      <c r="C75" s="2">
        <v>397.65</v>
      </c>
      <c r="D75" s="26">
        <f t="shared" si="3"/>
        <v>-1.5347484475592942E-2</v>
      </c>
      <c r="E75" s="27">
        <f t="shared" si="2"/>
        <v>-3.8675660878494211</v>
      </c>
    </row>
    <row r="76" spans="1:5" x14ac:dyDescent="0.4">
      <c r="A76" s="3">
        <v>45607</v>
      </c>
      <c r="B76" s="2" t="s">
        <v>3</v>
      </c>
      <c r="C76" s="2">
        <v>392.55</v>
      </c>
      <c r="D76" s="26">
        <f t="shared" si="3"/>
        <v>-1.2908303758879615E-2</v>
      </c>
      <c r="E76" s="27">
        <f t="shared" si="2"/>
        <v>-3.2528925472376629</v>
      </c>
    </row>
    <row r="77" spans="1:5" x14ac:dyDescent="0.4">
      <c r="A77" s="3">
        <v>45608</v>
      </c>
      <c r="B77" s="2" t="s">
        <v>3</v>
      </c>
      <c r="C77" s="2">
        <v>380.3</v>
      </c>
      <c r="D77" s="26">
        <f t="shared" si="3"/>
        <v>-3.1703502710050561E-2</v>
      </c>
      <c r="E77" s="27">
        <f t="shared" si="2"/>
        <v>-7.9892826829327417</v>
      </c>
    </row>
    <row r="78" spans="1:5" x14ac:dyDescent="0.4">
      <c r="A78" s="3">
        <v>45609</v>
      </c>
      <c r="B78" s="2" t="s">
        <v>3</v>
      </c>
      <c r="C78" s="2">
        <v>381.35</v>
      </c>
      <c r="D78" s="26">
        <f t="shared" si="3"/>
        <v>2.7571736760337051E-3</v>
      </c>
      <c r="E78" s="27">
        <f t="shared" si="2"/>
        <v>0.69480776636049368</v>
      </c>
    </row>
    <row r="79" spans="1:5" x14ac:dyDescent="0.4">
      <c r="A79" s="3">
        <v>45610</v>
      </c>
      <c r="B79" s="2" t="s">
        <v>3</v>
      </c>
      <c r="C79" s="2">
        <v>372.5</v>
      </c>
      <c r="D79" s="26">
        <f t="shared" si="3"/>
        <v>-2.3480550790633405E-2</v>
      </c>
      <c r="E79" s="27">
        <f t="shared" si="2"/>
        <v>-5.9170987992396178</v>
      </c>
    </row>
    <row r="80" spans="1:5" x14ac:dyDescent="0.4">
      <c r="A80" s="3">
        <v>45614</v>
      </c>
      <c r="B80" s="2" t="s">
        <v>3</v>
      </c>
      <c r="C80" s="2">
        <v>366.7</v>
      </c>
      <c r="D80" s="26">
        <f t="shared" si="3"/>
        <v>-1.5692962742333887E-2</v>
      </c>
      <c r="E80" s="27">
        <f t="shared" si="2"/>
        <v>-3.9546266110681394</v>
      </c>
    </row>
    <row r="81" spans="1:5" x14ac:dyDescent="0.4">
      <c r="A81" s="3">
        <v>45615</v>
      </c>
      <c r="B81" s="2" t="s">
        <v>3</v>
      </c>
      <c r="C81" s="2">
        <v>366.7</v>
      </c>
      <c r="D81" s="26">
        <f t="shared" si="3"/>
        <v>0</v>
      </c>
      <c r="E81" s="27">
        <f t="shared" si="2"/>
        <v>0</v>
      </c>
    </row>
    <row r="82" spans="1:5" x14ac:dyDescent="0.4">
      <c r="A82" s="3">
        <v>45617</v>
      </c>
      <c r="B82" s="2" t="s">
        <v>3</v>
      </c>
      <c r="C82" s="2">
        <v>356.15</v>
      </c>
      <c r="D82" s="26">
        <f t="shared" si="3"/>
        <v>-2.9192084652917533E-2</v>
      </c>
      <c r="E82" s="27">
        <f t="shared" si="2"/>
        <v>-7.3564053325352186</v>
      </c>
    </row>
    <row r="83" spans="1:5" x14ac:dyDescent="0.4">
      <c r="A83" s="3">
        <v>45618</v>
      </c>
      <c r="B83" s="2" t="s">
        <v>3</v>
      </c>
      <c r="C83" s="2">
        <v>365.45</v>
      </c>
      <c r="D83" s="26">
        <f t="shared" si="3"/>
        <v>2.5777480502038031E-2</v>
      </c>
      <c r="E83" s="27">
        <f t="shared" si="2"/>
        <v>6.4959250865135836</v>
      </c>
    </row>
    <row r="84" spans="1:5" x14ac:dyDescent="0.4">
      <c r="A84" s="3">
        <v>45621</v>
      </c>
      <c r="B84" s="2" t="s">
        <v>3</v>
      </c>
      <c r="C84" s="2">
        <v>368.4</v>
      </c>
      <c r="D84" s="26">
        <f t="shared" si="3"/>
        <v>8.0398334547510334E-3</v>
      </c>
      <c r="E84" s="27">
        <f t="shared" si="2"/>
        <v>2.0260380305972605</v>
      </c>
    </row>
    <row r="85" spans="1:5" x14ac:dyDescent="0.4">
      <c r="A85" s="3">
        <v>45622</v>
      </c>
      <c r="B85" s="2" t="s">
        <v>3</v>
      </c>
      <c r="C85" s="2">
        <v>361.65</v>
      </c>
      <c r="D85" s="26">
        <f t="shared" si="3"/>
        <v>-1.8492411085861984E-2</v>
      </c>
      <c r="E85" s="27">
        <f t="shared" si="2"/>
        <v>-4.6600875936372201</v>
      </c>
    </row>
    <row r="86" spans="1:5" x14ac:dyDescent="0.4">
      <c r="A86" s="3">
        <v>45623</v>
      </c>
      <c r="B86" s="2" t="s">
        <v>3</v>
      </c>
      <c r="C86" s="2">
        <v>369.3</v>
      </c>
      <c r="D86" s="26">
        <f t="shared" si="3"/>
        <v>2.0932428563227783E-2</v>
      </c>
      <c r="E86" s="27">
        <f t="shared" si="2"/>
        <v>5.2749719979334015</v>
      </c>
    </row>
    <row r="87" spans="1:5" x14ac:dyDescent="0.4">
      <c r="A87" s="3">
        <v>45624</v>
      </c>
      <c r="B87" s="2" t="s">
        <v>3</v>
      </c>
      <c r="C87" s="2">
        <v>362.05</v>
      </c>
      <c r="D87" s="26">
        <f t="shared" si="3"/>
        <v>-1.9826998023687779E-2</v>
      </c>
      <c r="E87" s="27">
        <f t="shared" si="2"/>
        <v>-4.9964035019693203</v>
      </c>
    </row>
    <row r="88" spans="1:5" x14ac:dyDescent="0.4">
      <c r="A88" s="3">
        <v>45625</v>
      </c>
      <c r="B88" s="2" t="s">
        <v>3</v>
      </c>
      <c r="C88" s="2">
        <v>363.65</v>
      </c>
      <c r="D88" s="26">
        <f t="shared" si="3"/>
        <v>4.4095427657198337E-3</v>
      </c>
      <c r="E88" s="27">
        <f t="shared" si="2"/>
        <v>1.1112047769613982</v>
      </c>
    </row>
    <row r="89" spans="1:5" x14ac:dyDescent="0.4">
      <c r="A89" s="3">
        <v>45628</v>
      </c>
      <c r="B89" s="2" t="s">
        <v>3</v>
      </c>
      <c r="C89" s="2">
        <v>358.2</v>
      </c>
      <c r="D89" s="26">
        <f t="shared" si="3"/>
        <v>-1.5100376973938229E-2</v>
      </c>
      <c r="E89" s="27">
        <f t="shared" si="2"/>
        <v>-3.8052949974324339</v>
      </c>
    </row>
    <row r="90" spans="1:5" x14ac:dyDescent="0.4">
      <c r="A90" s="3">
        <v>45629</v>
      </c>
      <c r="B90" s="2" t="s">
        <v>3</v>
      </c>
      <c r="C90" s="2">
        <v>367.45</v>
      </c>
      <c r="D90" s="26">
        <f t="shared" si="3"/>
        <v>2.5495765348268799E-2</v>
      </c>
      <c r="E90" s="27">
        <f t="shared" si="2"/>
        <v>6.4249328677637374</v>
      </c>
    </row>
    <row r="91" spans="1:5" x14ac:dyDescent="0.4">
      <c r="A91" s="3">
        <v>45630</v>
      </c>
      <c r="B91" s="2" t="s">
        <v>3</v>
      </c>
      <c r="C91" s="2">
        <v>372.75</v>
      </c>
      <c r="D91" s="26">
        <f t="shared" si="3"/>
        <v>1.4320698669967571E-2</v>
      </c>
      <c r="E91" s="27">
        <f t="shared" si="2"/>
        <v>3.6088160648318279</v>
      </c>
    </row>
    <row r="92" spans="1:5" x14ac:dyDescent="0.4">
      <c r="A92" s="3">
        <v>45631</v>
      </c>
      <c r="B92" s="2" t="s">
        <v>3</v>
      </c>
      <c r="C92" s="2">
        <v>369.15</v>
      </c>
      <c r="D92" s="26">
        <f t="shared" si="3"/>
        <v>-9.7048881396732557E-3</v>
      </c>
      <c r="E92" s="27">
        <f t="shared" si="2"/>
        <v>-2.4456318111976603</v>
      </c>
    </row>
    <row r="93" spans="1:5" x14ac:dyDescent="0.4">
      <c r="A93" s="3">
        <v>45632</v>
      </c>
      <c r="B93" s="2" t="s">
        <v>3</v>
      </c>
      <c r="C93" s="2">
        <v>369.5</v>
      </c>
      <c r="D93" s="26">
        <f t="shared" si="3"/>
        <v>9.4767488308191729E-4</v>
      </c>
      <c r="E93" s="27">
        <f t="shared" si="2"/>
        <v>0.23881407053664316</v>
      </c>
    </row>
    <row r="94" spans="1:5" x14ac:dyDescent="0.4">
      <c r="A94" s="3">
        <v>45635</v>
      </c>
      <c r="B94" s="2" t="s">
        <v>3</v>
      </c>
      <c r="C94" s="2">
        <v>369.85</v>
      </c>
      <c r="D94" s="26">
        <f t="shared" si="3"/>
        <v>9.4677764562017353E-4</v>
      </c>
      <c r="E94" s="27">
        <f t="shared" si="2"/>
        <v>0.23858796669628374</v>
      </c>
    </row>
    <row r="95" spans="1:5" x14ac:dyDescent="0.4">
      <c r="A95" s="3">
        <v>45636</v>
      </c>
      <c r="B95" s="2" t="s">
        <v>3</v>
      </c>
      <c r="C95" s="2">
        <v>369.15</v>
      </c>
      <c r="D95" s="26">
        <f t="shared" si="3"/>
        <v>-1.8944525287022161E-3</v>
      </c>
      <c r="E95" s="27">
        <f t="shared" si="2"/>
        <v>-0.47740203723295849</v>
      </c>
    </row>
    <row r="96" spans="1:5" x14ac:dyDescent="0.4">
      <c r="A96" s="3">
        <v>45637</v>
      </c>
      <c r="B96" s="2" t="s">
        <v>3</v>
      </c>
      <c r="C96" s="2">
        <v>365.5</v>
      </c>
      <c r="D96" s="26">
        <f t="shared" si="3"/>
        <v>-9.9367863153412804E-3</v>
      </c>
      <c r="E96" s="27">
        <f t="shared" si="2"/>
        <v>-2.5040701514660029</v>
      </c>
    </row>
    <row r="97" spans="1:5" x14ac:dyDescent="0.4">
      <c r="A97" s="3">
        <v>45638</v>
      </c>
      <c r="B97" s="2" t="s">
        <v>3</v>
      </c>
      <c r="C97" s="2">
        <v>355.6</v>
      </c>
      <c r="D97" s="26">
        <f t="shared" si="3"/>
        <v>-2.7459775550083637E-2</v>
      </c>
      <c r="E97" s="27">
        <f t="shared" si="2"/>
        <v>-6.9198634386210767</v>
      </c>
    </row>
    <row r="98" spans="1:5" x14ac:dyDescent="0.4">
      <c r="A98" s="3">
        <v>45639</v>
      </c>
      <c r="B98" s="2" t="s">
        <v>3</v>
      </c>
      <c r="C98" s="2">
        <v>357.15</v>
      </c>
      <c r="D98" s="26">
        <f t="shared" si="3"/>
        <v>4.3493579612318631E-3</v>
      </c>
      <c r="E98" s="27">
        <f t="shared" si="2"/>
        <v>1.0960382062304295</v>
      </c>
    </row>
    <row r="99" spans="1:5" x14ac:dyDescent="0.4">
      <c r="A99" s="3">
        <v>45642</v>
      </c>
      <c r="B99" s="2" t="s">
        <v>3</v>
      </c>
      <c r="C99" s="2">
        <v>352.9</v>
      </c>
      <c r="D99" s="26">
        <f t="shared" si="3"/>
        <v>-1.1971130919757142E-2</v>
      </c>
      <c r="E99" s="27">
        <f t="shared" si="2"/>
        <v>-3.0167249917787999</v>
      </c>
    </row>
    <row r="100" spans="1:5" x14ac:dyDescent="0.4">
      <c r="A100" s="3">
        <v>45643</v>
      </c>
      <c r="B100" s="2" t="s">
        <v>3</v>
      </c>
      <c r="C100" s="2">
        <v>349.05</v>
      </c>
      <c r="D100" s="26">
        <f t="shared" si="3"/>
        <v>-1.096955226481388E-2</v>
      </c>
      <c r="E100" s="27">
        <f t="shared" si="2"/>
        <v>-2.7643271707330976</v>
      </c>
    </row>
    <row r="101" spans="1:5" x14ac:dyDescent="0.4">
      <c r="A101" s="3">
        <v>45644</v>
      </c>
      <c r="B101" s="2" t="s">
        <v>3</v>
      </c>
      <c r="C101" s="2">
        <v>341.75</v>
      </c>
      <c r="D101" s="26">
        <f t="shared" si="3"/>
        <v>-2.1135702812351474E-2</v>
      </c>
      <c r="E101" s="27">
        <f t="shared" si="2"/>
        <v>-5.326197108712571</v>
      </c>
    </row>
    <row r="102" spans="1:5" x14ac:dyDescent="0.4">
      <c r="A102" s="3">
        <v>45645</v>
      </c>
      <c r="B102" s="2" t="s">
        <v>3</v>
      </c>
      <c r="C102" s="2">
        <v>337.4</v>
      </c>
      <c r="D102" s="26">
        <f t="shared" si="3"/>
        <v>-1.2810305492191131E-2</v>
      </c>
      <c r="E102" s="27">
        <f t="shared" si="2"/>
        <v>-3.2281969840321652</v>
      </c>
    </row>
    <row r="103" spans="1:5" x14ac:dyDescent="0.4">
      <c r="A103" s="3">
        <v>45646</v>
      </c>
      <c r="B103" s="2" t="s">
        <v>3</v>
      </c>
      <c r="C103" s="2">
        <v>333.25</v>
      </c>
      <c r="D103" s="26">
        <f t="shared" si="3"/>
        <v>-1.2376211053049832E-2</v>
      </c>
      <c r="E103" s="27">
        <f t="shared" si="2"/>
        <v>-3.1188051853685574</v>
      </c>
    </row>
    <row r="104" spans="1:5" x14ac:dyDescent="0.4">
      <c r="A104" s="3">
        <v>45649</v>
      </c>
      <c r="B104" s="2" t="s">
        <v>3</v>
      </c>
      <c r="C104" s="2">
        <v>333.65</v>
      </c>
      <c r="D104" s="26">
        <f t="shared" si="3"/>
        <v>1.1995802907974512E-3</v>
      </c>
      <c r="E104" s="27">
        <f t="shared" si="2"/>
        <v>0.30229423328095772</v>
      </c>
    </row>
    <row r="105" spans="1:5" x14ac:dyDescent="0.4">
      <c r="A105" s="3">
        <v>45650</v>
      </c>
      <c r="B105" s="2" t="s">
        <v>3</v>
      </c>
      <c r="C105" s="2">
        <v>335.3</v>
      </c>
      <c r="D105" s="26">
        <f t="shared" si="3"/>
        <v>4.9331141225674186E-3</v>
      </c>
      <c r="E105" s="27">
        <f t="shared" si="2"/>
        <v>1.2431447588869895</v>
      </c>
    </row>
    <row r="106" spans="1:5" x14ac:dyDescent="0.4">
      <c r="A106" s="3">
        <v>45652</v>
      </c>
      <c r="B106" s="2" t="s">
        <v>3</v>
      </c>
      <c r="C106" s="2">
        <v>334.65</v>
      </c>
      <c r="D106" s="26">
        <f t="shared" si="3"/>
        <v>-1.9404439255317092E-3</v>
      </c>
      <c r="E106" s="27">
        <f t="shared" si="2"/>
        <v>-0.48899186923399074</v>
      </c>
    </row>
    <row r="107" spans="1:5" x14ac:dyDescent="0.4">
      <c r="A107" s="3">
        <v>45653</v>
      </c>
      <c r="B107" s="2" t="s">
        <v>3</v>
      </c>
      <c r="C107" s="2">
        <v>335</v>
      </c>
      <c r="D107" s="26">
        <f t="shared" si="3"/>
        <v>1.0453222784152485E-3</v>
      </c>
      <c r="E107" s="27">
        <f t="shared" si="2"/>
        <v>0.26342121416064262</v>
      </c>
    </row>
    <row r="108" spans="1:5" x14ac:dyDescent="0.4">
      <c r="A108" s="3">
        <v>45656</v>
      </c>
      <c r="B108" s="2" t="s">
        <v>3</v>
      </c>
      <c r="C108" s="2">
        <v>331.4</v>
      </c>
      <c r="D108" s="26">
        <f t="shared" si="3"/>
        <v>-1.0804426832603941E-2</v>
      </c>
      <c r="E108" s="27">
        <f t="shared" si="2"/>
        <v>-2.7227155618161931</v>
      </c>
    </row>
    <row r="109" spans="1:5" x14ac:dyDescent="0.4">
      <c r="A109" s="3">
        <v>45657</v>
      </c>
      <c r="B109" s="2" t="s">
        <v>3</v>
      </c>
      <c r="C109" s="2">
        <v>333.35</v>
      </c>
      <c r="D109" s="26">
        <f t="shared" si="3"/>
        <v>5.8668840716065715E-3</v>
      </c>
      <c r="E109" s="27">
        <f t="shared" si="2"/>
        <v>1.478454786044856</v>
      </c>
    </row>
    <row r="110" spans="1:5" x14ac:dyDescent="0.4">
      <c r="A110" s="3">
        <v>45658</v>
      </c>
      <c r="B110" s="2" t="s">
        <v>3</v>
      </c>
      <c r="C110" s="2">
        <v>333.65</v>
      </c>
      <c r="D110" s="26">
        <f t="shared" si="3"/>
        <v>8.995502855463505E-4</v>
      </c>
      <c r="E110" s="27">
        <f t="shared" si="2"/>
        <v>0.22668667195768033</v>
      </c>
    </row>
    <row r="111" spans="1:5" x14ac:dyDescent="0.4">
      <c r="A111" s="3">
        <v>45659</v>
      </c>
      <c r="B111" s="2" t="s">
        <v>3</v>
      </c>
      <c r="C111" s="2">
        <v>338</v>
      </c>
      <c r="D111" s="26">
        <f t="shared" si="3"/>
        <v>1.2953356133403355E-2</v>
      </c>
      <c r="E111" s="27">
        <f t="shared" si="2"/>
        <v>3.2642457456176457</v>
      </c>
    </row>
    <row r="112" spans="1:5" x14ac:dyDescent="0.4">
      <c r="A112" s="3">
        <v>45660</v>
      </c>
      <c r="B112" s="2" t="s">
        <v>3</v>
      </c>
      <c r="C112" s="2">
        <v>339.85</v>
      </c>
      <c r="D112" s="26">
        <f t="shared" si="3"/>
        <v>5.458448309628541E-3</v>
      </c>
      <c r="E112" s="27">
        <f t="shared" si="2"/>
        <v>1.3755289740263923</v>
      </c>
    </row>
    <row r="113" spans="1:5" x14ac:dyDescent="0.4">
      <c r="A113" s="3">
        <v>45663</v>
      </c>
      <c r="B113" s="2" t="s">
        <v>3</v>
      </c>
      <c r="C113" s="2">
        <v>327.5</v>
      </c>
      <c r="D113" s="26">
        <f t="shared" si="3"/>
        <v>-3.7016288717340654E-2</v>
      </c>
      <c r="E113" s="27">
        <f t="shared" si="2"/>
        <v>-9.3281047567698447</v>
      </c>
    </row>
    <row r="114" spans="1:5" x14ac:dyDescent="0.4">
      <c r="A114" s="3">
        <v>45664</v>
      </c>
      <c r="B114" s="2" t="s">
        <v>3</v>
      </c>
      <c r="C114" s="2">
        <v>328.6</v>
      </c>
      <c r="D114" s="26">
        <f t="shared" si="3"/>
        <v>3.3531505278612478E-3</v>
      </c>
      <c r="E114" s="27">
        <f t="shared" si="2"/>
        <v>0.84499393302103443</v>
      </c>
    </row>
    <row r="115" spans="1:5" x14ac:dyDescent="0.4">
      <c r="A115" s="3">
        <v>45665</v>
      </c>
      <c r="B115" s="2" t="s">
        <v>3</v>
      </c>
      <c r="C115" s="2">
        <v>325.39999999999998</v>
      </c>
      <c r="D115" s="26">
        <f t="shared" si="3"/>
        <v>-9.7860108182304673E-3</v>
      </c>
      <c r="E115" s="27">
        <f t="shared" si="2"/>
        <v>-2.4660747261940776</v>
      </c>
    </row>
    <row r="116" spans="1:5" x14ac:dyDescent="0.4">
      <c r="A116" s="3">
        <v>45666</v>
      </c>
      <c r="B116" s="2" t="s">
        <v>3</v>
      </c>
      <c r="C116" s="2">
        <v>320.35000000000002</v>
      </c>
      <c r="D116" s="26">
        <f t="shared" si="3"/>
        <v>-1.5641046699906708E-2</v>
      </c>
      <c r="E116" s="27">
        <f t="shared" si="2"/>
        <v>-3.9415437683764902</v>
      </c>
    </row>
    <row r="117" spans="1:5" x14ac:dyDescent="0.4">
      <c r="A117" s="3">
        <v>45667</v>
      </c>
      <c r="B117" s="2" t="s">
        <v>3</v>
      </c>
      <c r="C117" s="2">
        <v>308.25</v>
      </c>
      <c r="D117" s="26">
        <f t="shared" si="3"/>
        <v>-3.8503006040576937E-2</v>
      </c>
      <c r="E117" s="27">
        <f t="shared" si="2"/>
        <v>-9.7027575222253883</v>
      </c>
    </row>
    <row r="118" spans="1:5" x14ac:dyDescent="0.4">
      <c r="A118" s="3">
        <v>45670</v>
      </c>
      <c r="B118" s="2" t="s">
        <v>3</v>
      </c>
      <c r="C118" s="2">
        <v>298.2</v>
      </c>
      <c r="D118" s="26">
        <f t="shared" si="3"/>
        <v>-3.3146739713815661E-2</v>
      </c>
      <c r="E118" s="27">
        <f t="shared" si="2"/>
        <v>-8.3529784078815457</v>
      </c>
    </row>
    <row r="119" spans="1:5" x14ac:dyDescent="0.4">
      <c r="A119" s="3">
        <v>45671</v>
      </c>
      <c r="B119" s="2" t="s">
        <v>3</v>
      </c>
      <c r="C119" s="2">
        <v>310.39999999999998</v>
      </c>
      <c r="D119" s="26">
        <f t="shared" si="3"/>
        <v>4.0097385978425507E-2</v>
      </c>
      <c r="E119" s="27">
        <f t="shared" si="2"/>
        <v>10.104541266563228</v>
      </c>
    </row>
    <row r="120" spans="1:5" x14ac:dyDescent="0.4">
      <c r="A120" s="3">
        <v>45672</v>
      </c>
      <c r="B120" s="2" t="s">
        <v>3</v>
      </c>
      <c r="C120" s="2">
        <v>321.35000000000002</v>
      </c>
      <c r="D120" s="26">
        <f t="shared" si="3"/>
        <v>3.466908350823155E-2</v>
      </c>
      <c r="E120" s="27">
        <f t="shared" si="2"/>
        <v>8.7366090440743509</v>
      </c>
    </row>
    <row r="121" spans="1:5" x14ac:dyDescent="0.4">
      <c r="A121" s="3">
        <v>45673</v>
      </c>
      <c r="B121" s="2" t="s">
        <v>3</v>
      </c>
      <c r="C121" s="2">
        <v>325.5</v>
      </c>
      <c r="D121" s="26">
        <f t="shared" si="3"/>
        <v>1.283158983132876E-2</v>
      </c>
      <c r="E121" s="27">
        <f t="shared" si="2"/>
        <v>3.2335606374948478</v>
      </c>
    </row>
    <row r="122" spans="1:5" x14ac:dyDescent="0.4">
      <c r="A122" s="3">
        <v>45674</v>
      </c>
      <c r="B122" s="2" t="s">
        <v>3</v>
      </c>
      <c r="C122" s="2">
        <v>326.14999999999998</v>
      </c>
      <c r="D122" s="26">
        <f t="shared" si="3"/>
        <v>1.9949365934809988E-3</v>
      </c>
      <c r="E122" s="27">
        <f t="shared" si="2"/>
        <v>0.50272402155721174</v>
      </c>
    </row>
    <row r="123" spans="1:5" x14ac:dyDescent="0.4">
      <c r="A123" s="3">
        <v>45677</v>
      </c>
      <c r="B123" s="2" t="s">
        <v>3</v>
      </c>
      <c r="C123" s="2">
        <v>336.05</v>
      </c>
      <c r="D123" s="26">
        <f t="shared" si="3"/>
        <v>2.990256017387E-2</v>
      </c>
      <c r="E123" s="27">
        <f t="shared" si="2"/>
        <v>7.5354451638152398</v>
      </c>
    </row>
    <row r="124" spans="1:5" x14ac:dyDescent="0.4">
      <c r="A124" s="3">
        <v>45678</v>
      </c>
      <c r="B124" s="2" t="s">
        <v>3</v>
      </c>
      <c r="C124" s="2">
        <v>324.3</v>
      </c>
      <c r="D124" s="26">
        <f t="shared" si="3"/>
        <v>-3.559094510270263E-2</v>
      </c>
      <c r="E124" s="27">
        <f t="shared" si="2"/>
        <v>-8.9689181658810622</v>
      </c>
    </row>
    <row r="125" spans="1:5" x14ac:dyDescent="0.4">
      <c r="A125" s="3">
        <v>45679</v>
      </c>
      <c r="B125" s="2" t="s">
        <v>3</v>
      </c>
      <c r="C125" s="2">
        <v>322.39999999999998</v>
      </c>
      <c r="D125" s="26">
        <f t="shared" si="3"/>
        <v>-5.8760026807991158E-3</v>
      </c>
      <c r="E125" s="27">
        <f t="shared" si="2"/>
        <v>-1.4807526755613771</v>
      </c>
    </row>
    <row r="126" spans="1:5" x14ac:dyDescent="0.4">
      <c r="A126" s="3">
        <v>45680</v>
      </c>
      <c r="B126" s="2" t="s">
        <v>3</v>
      </c>
      <c r="C126" s="2">
        <v>323.64999999999998</v>
      </c>
      <c r="D126" s="26">
        <f t="shared" si="3"/>
        <v>3.8696743590460113E-3</v>
      </c>
      <c r="E126" s="27">
        <f t="shared" si="2"/>
        <v>0.97515793847959487</v>
      </c>
    </row>
    <row r="127" spans="1:5" x14ac:dyDescent="0.4">
      <c r="A127" s="3">
        <v>45681</v>
      </c>
      <c r="B127" s="2" t="s">
        <v>3</v>
      </c>
      <c r="C127" s="2">
        <v>323.64999999999998</v>
      </c>
      <c r="D127" s="26">
        <f t="shared" si="3"/>
        <v>0</v>
      </c>
      <c r="E127" s="27">
        <f t="shared" si="2"/>
        <v>0</v>
      </c>
    </row>
    <row r="128" spans="1:5" x14ac:dyDescent="0.4">
      <c r="A128" s="3">
        <v>45684</v>
      </c>
      <c r="B128" s="2" t="s">
        <v>3</v>
      </c>
      <c r="C128" s="2">
        <v>322.2</v>
      </c>
      <c r="D128" s="26">
        <f t="shared" si="3"/>
        <v>-4.4902142486451411E-3</v>
      </c>
      <c r="E128" s="27">
        <f t="shared" si="2"/>
        <v>-1.1315339906585755</v>
      </c>
    </row>
    <row r="129" spans="1:5" x14ac:dyDescent="0.4">
      <c r="A129" s="3">
        <v>45685</v>
      </c>
      <c r="B129" s="2" t="s">
        <v>3</v>
      </c>
      <c r="C129" s="2">
        <v>318.25</v>
      </c>
      <c r="D129" s="26">
        <f t="shared" si="3"/>
        <v>-1.2335233305358077E-2</v>
      </c>
      <c r="E129" s="27">
        <f t="shared" si="2"/>
        <v>-3.1084787929502351</v>
      </c>
    </row>
    <row r="130" spans="1:5" x14ac:dyDescent="0.4">
      <c r="A130" s="3">
        <v>45686</v>
      </c>
      <c r="B130" s="2" t="s">
        <v>3</v>
      </c>
      <c r="C130" s="2">
        <v>321.25</v>
      </c>
      <c r="D130" s="26">
        <f t="shared" si="3"/>
        <v>9.3823987719137379E-3</v>
      </c>
      <c r="E130" s="27">
        <f t="shared" si="2"/>
        <v>2.3643644905222621</v>
      </c>
    </row>
    <row r="131" spans="1:5" x14ac:dyDescent="0.4">
      <c r="A131" s="3">
        <v>45687</v>
      </c>
      <c r="B131" s="2" t="s">
        <v>3</v>
      </c>
      <c r="C131" s="2">
        <v>323</v>
      </c>
      <c r="D131" s="26">
        <f t="shared" si="3"/>
        <v>5.4326870132269667E-3</v>
      </c>
      <c r="E131" s="27">
        <f t="shared" ref="E131:E194" si="4">D131*252</f>
        <v>1.3690371273331956</v>
      </c>
    </row>
    <row r="132" spans="1:5" x14ac:dyDescent="0.4">
      <c r="A132" s="3">
        <v>45688</v>
      </c>
      <c r="B132" s="2" t="s">
        <v>3</v>
      </c>
      <c r="C132" s="2">
        <v>324</v>
      </c>
      <c r="D132" s="26">
        <f t="shared" ref="D132:D195" si="5">LN(C132/C131)</f>
        <v>3.0911925696728796E-3</v>
      </c>
      <c r="E132" s="27">
        <f t="shared" si="4"/>
        <v>0.77898052755756564</v>
      </c>
    </row>
    <row r="133" spans="1:5" x14ac:dyDescent="0.4">
      <c r="A133" s="3">
        <v>45689</v>
      </c>
      <c r="B133" s="2" t="s">
        <v>3</v>
      </c>
      <c r="C133" s="2">
        <v>317.7</v>
      </c>
      <c r="D133" s="26">
        <f t="shared" si="5"/>
        <v>-1.9635974516858962E-2</v>
      </c>
      <c r="E133" s="27">
        <f t="shared" si="4"/>
        <v>-4.9482655782484581</v>
      </c>
    </row>
    <row r="134" spans="1:5" x14ac:dyDescent="0.4">
      <c r="A134" s="3">
        <v>45691</v>
      </c>
      <c r="B134" s="2" t="s">
        <v>3</v>
      </c>
      <c r="C134" s="2">
        <v>311.25</v>
      </c>
      <c r="D134" s="26">
        <f t="shared" si="5"/>
        <v>-2.0511093496553102E-2</v>
      </c>
      <c r="E134" s="27">
        <f t="shared" si="4"/>
        <v>-5.1687955611313816</v>
      </c>
    </row>
    <row r="135" spans="1:5" x14ac:dyDescent="0.4">
      <c r="A135" s="3">
        <v>45692</v>
      </c>
      <c r="B135" s="2" t="s">
        <v>3</v>
      </c>
      <c r="C135" s="2">
        <v>319.10000000000002</v>
      </c>
      <c r="D135" s="26">
        <f t="shared" si="5"/>
        <v>2.4908085505280449E-2</v>
      </c>
      <c r="E135" s="27">
        <f t="shared" si="4"/>
        <v>6.2768375473306737</v>
      </c>
    </row>
    <row r="136" spans="1:5" x14ac:dyDescent="0.4">
      <c r="A136" s="3">
        <v>45693</v>
      </c>
      <c r="B136" s="2" t="s">
        <v>3</v>
      </c>
      <c r="C136" s="2">
        <v>319.60000000000002</v>
      </c>
      <c r="D136" s="26">
        <f t="shared" si="5"/>
        <v>1.5656806079218598E-3</v>
      </c>
      <c r="E136" s="27">
        <f t="shared" si="4"/>
        <v>0.39455151319630866</v>
      </c>
    </row>
    <row r="137" spans="1:5" x14ac:dyDescent="0.4">
      <c r="A137" s="3">
        <v>45694</v>
      </c>
      <c r="B137" s="2" t="s">
        <v>3</v>
      </c>
      <c r="C137" s="2">
        <v>312.8</v>
      </c>
      <c r="D137" s="26">
        <f t="shared" si="5"/>
        <v>-2.1506205220963619E-2</v>
      </c>
      <c r="E137" s="27">
        <f t="shared" si="4"/>
        <v>-5.4195637156828322</v>
      </c>
    </row>
    <row r="138" spans="1:5" x14ac:dyDescent="0.4">
      <c r="A138" s="3">
        <v>45695</v>
      </c>
      <c r="B138" s="2" t="s">
        <v>3</v>
      </c>
      <c r="C138" s="2">
        <v>316.95</v>
      </c>
      <c r="D138" s="26">
        <f t="shared" si="5"/>
        <v>1.3180024059019231E-2</v>
      </c>
      <c r="E138" s="27">
        <f t="shared" si="4"/>
        <v>3.3213660628728463</v>
      </c>
    </row>
    <row r="139" spans="1:5" x14ac:dyDescent="0.4">
      <c r="A139" s="3">
        <v>45698</v>
      </c>
      <c r="B139" s="2" t="s">
        <v>3</v>
      </c>
      <c r="C139" s="2">
        <v>310.5</v>
      </c>
      <c r="D139" s="26">
        <f t="shared" si="5"/>
        <v>-2.0560131356641895E-2</v>
      </c>
      <c r="E139" s="27">
        <f t="shared" si="4"/>
        <v>-5.1811531018737575</v>
      </c>
    </row>
    <row r="140" spans="1:5" x14ac:dyDescent="0.4">
      <c r="A140" s="3">
        <v>45699</v>
      </c>
      <c r="B140" s="2" t="s">
        <v>3</v>
      </c>
      <c r="C140" s="2">
        <v>305.60000000000002</v>
      </c>
      <c r="D140" s="26">
        <f t="shared" si="5"/>
        <v>-1.5906844081167919E-2</v>
      </c>
      <c r="E140" s="27">
        <f t="shared" si="4"/>
        <v>-4.0085247084543161</v>
      </c>
    </row>
    <row r="141" spans="1:5" x14ac:dyDescent="0.4">
      <c r="A141" s="3">
        <v>45700</v>
      </c>
      <c r="B141" s="2" t="s">
        <v>3</v>
      </c>
      <c r="C141" s="2">
        <v>306.25</v>
      </c>
      <c r="D141" s="26">
        <f t="shared" si="5"/>
        <v>2.12470456657119E-3</v>
      </c>
      <c r="E141" s="27">
        <f t="shared" si="4"/>
        <v>0.5354255507759399</v>
      </c>
    </row>
    <row r="142" spans="1:5" x14ac:dyDescent="0.4">
      <c r="A142" s="3">
        <v>45701</v>
      </c>
      <c r="B142" s="2" t="s">
        <v>3</v>
      </c>
      <c r="C142" s="2">
        <v>306.7</v>
      </c>
      <c r="D142" s="26">
        <f t="shared" si="5"/>
        <v>1.4683092612690384E-3</v>
      </c>
      <c r="E142" s="27">
        <f t="shared" si="4"/>
        <v>0.37001393383979769</v>
      </c>
    </row>
    <row r="143" spans="1:5" x14ac:dyDescent="0.4">
      <c r="A143" s="3">
        <v>45702</v>
      </c>
      <c r="B143" s="2" t="s">
        <v>3</v>
      </c>
      <c r="C143" s="2">
        <v>300.35000000000002</v>
      </c>
      <c r="D143" s="26">
        <f t="shared" si="5"/>
        <v>-2.0921609824035282E-2</v>
      </c>
      <c r="E143" s="27">
        <f t="shared" si="4"/>
        <v>-5.2722456756568912</v>
      </c>
    </row>
    <row r="144" spans="1:5" x14ac:dyDescent="0.4">
      <c r="A144" s="3">
        <v>45705</v>
      </c>
      <c r="B144" s="2" t="s">
        <v>3</v>
      </c>
      <c r="C144" s="2">
        <v>302.35000000000002</v>
      </c>
      <c r="D144" s="26">
        <f t="shared" si="5"/>
        <v>6.6368254230515303E-3</v>
      </c>
      <c r="E144" s="27">
        <f t="shared" si="4"/>
        <v>1.6724800066089855</v>
      </c>
    </row>
    <row r="145" spans="1:5" x14ac:dyDescent="0.4">
      <c r="A145" s="3">
        <v>45706</v>
      </c>
      <c r="B145" s="2" t="s">
        <v>3</v>
      </c>
      <c r="C145" s="2">
        <v>311.2</v>
      </c>
      <c r="D145" s="26">
        <f t="shared" si="5"/>
        <v>2.8850505585014549E-2</v>
      </c>
      <c r="E145" s="27">
        <f t="shared" si="4"/>
        <v>7.2703274074236663</v>
      </c>
    </row>
    <row r="146" spans="1:5" x14ac:dyDescent="0.4">
      <c r="A146" s="3">
        <v>45707</v>
      </c>
      <c r="B146" s="2" t="s">
        <v>3</v>
      </c>
      <c r="C146" s="2">
        <v>314.8</v>
      </c>
      <c r="D146" s="26">
        <f t="shared" si="5"/>
        <v>1.1501724239011683E-2</v>
      </c>
      <c r="E146" s="27">
        <f t="shared" si="4"/>
        <v>2.8984345082309444</v>
      </c>
    </row>
    <row r="147" spans="1:5" x14ac:dyDescent="0.4">
      <c r="A147" s="3">
        <v>45708</v>
      </c>
      <c r="B147" s="2" t="s">
        <v>3</v>
      </c>
      <c r="C147" s="2">
        <v>325.14999999999998</v>
      </c>
      <c r="D147" s="26">
        <f t="shared" si="5"/>
        <v>3.2349097771912638E-2</v>
      </c>
      <c r="E147" s="27">
        <f t="shared" si="4"/>
        <v>8.1519726385219844</v>
      </c>
    </row>
    <row r="148" spans="1:5" x14ac:dyDescent="0.4">
      <c r="A148" s="3">
        <v>45709</v>
      </c>
      <c r="B148" s="2" t="s">
        <v>3</v>
      </c>
      <c r="C148" s="2">
        <v>326.25</v>
      </c>
      <c r="D148" s="26">
        <f t="shared" si="5"/>
        <v>3.3773443217424504E-3</v>
      </c>
      <c r="E148" s="27">
        <f t="shared" si="4"/>
        <v>0.85109076907909753</v>
      </c>
    </row>
    <row r="149" spans="1:5" x14ac:dyDescent="0.4">
      <c r="A149" s="3">
        <v>45712</v>
      </c>
      <c r="B149" s="2" t="s">
        <v>3</v>
      </c>
      <c r="C149" s="2">
        <v>320.10000000000002</v>
      </c>
      <c r="D149" s="26">
        <f t="shared" si="5"/>
        <v>-1.9030511661085731E-2</v>
      </c>
      <c r="E149" s="27">
        <f t="shared" si="4"/>
        <v>-4.7956889385936039</v>
      </c>
    </row>
    <row r="150" spans="1:5" x14ac:dyDescent="0.4">
      <c r="A150" s="3">
        <v>45713</v>
      </c>
      <c r="B150" s="2" t="s">
        <v>3</v>
      </c>
      <c r="C150" s="2">
        <v>318.7</v>
      </c>
      <c r="D150" s="26">
        <f t="shared" si="5"/>
        <v>-4.383225552526732E-3</v>
      </c>
      <c r="E150" s="27">
        <f t="shared" si="4"/>
        <v>-1.1045728392367364</v>
      </c>
    </row>
    <row r="151" spans="1:5" x14ac:dyDescent="0.4">
      <c r="A151" s="3">
        <v>45715</v>
      </c>
      <c r="B151" s="2" t="s">
        <v>3</v>
      </c>
      <c r="C151" s="2">
        <v>315.7</v>
      </c>
      <c r="D151" s="26">
        <f t="shared" si="5"/>
        <v>-9.4578258593447373E-3</v>
      </c>
      <c r="E151" s="27">
        <f t="shared" si="4"/>
        <v>-2.3833721165548738</v>
      </c>
    </row>
    <row r="152" spans="1:5" x14ac:dyDescent="0.4">
      <c r="A152" s="3">
        <v>45716</v>
      </c>
      <c r="B152" s="2" t="s">
        <v>3</v>
      </c>
      <c r="C152" s="2">
        <v>311.45</v>
      </c>
      <c r="D152" s="26">
        <f t="shared" si="5"/>
        <v>-1.3553583863791439E-2</v>
      </c>
      <c r="E152" s="27">
        <f t="shared" si="4"/>
        <v>-3.4155031336754424</v>
      </c>
    </row>
    <row r="153" spans="1:5" x14ac:dyDescent="0.4">
      <c r="A153" s="3">
        <v>45719</v>
      </c>
      <c r="B153" s="2" t="s">
        <v>3</v>
      </c>
      <c r="C153" s="2">
        <v>314.39999999999998</v>
      </c>
      <c r="D153" s="26">
        <f t="shared" si="5"/>
        <v>9.4272488548968556E-3</v>
      </c>
      <c r="E153" s="27">
        <f t="shared" si="4"/>
        <v>2.3756667114340075</v>
      </c>
    </row>
    <row r="154" spans="1:5" x14ac:dyDescent="0.4">
      <c r="A154" s="3">
        <v>45720</v>
      </c>
      <c r="B154" s="2" t="s">
        <v>3</v>
      </c>
      <c r="C154" s="2">
        <v>313.75</v>
      </c>
      <c r="D154" s="26">
        <f t="shared" si="5"/>
        <v>-2.0695701090577279E-3</v>
      </c>
      <c r="E154" s="27">
        <f t="shared" si="4"/>
        <v>-0.52153166748254742</v>
      </c>
    </row>
    <row r="155" spans="1:5" x14ac:dyDescent="0.4">
      <c r="A155" s="3">
        <v>45721</v>
      </c>
      <c r="B155" s="2" t="s">
        <v>3</v>
      </c>
      <c r="C155" s="2">
        <v>326.2</v>
      </c>
      <c r="D155" s="26">
        <f t="shared" si="5"/>
        <v>3.8914199740919753E-2</v>
      </c>
      <c r="E155" s="27">
        <f t="shared" si="4"/>
        <v>9.806378334711777</v>
      </c>
    </row>
    <row r="156" spans="1:5" x14ac:dyDescent="0.4">
      <c r="A156" s="3">
        <v>45722</v>
      </c>
      <c r="B156" s="2" t="s">
        <v>3</v>
      </c>
      <c r="C156" s="2">
        <v>337.9</v>
      </c>
      <c r="D156" s="26">
        <f t="shared" si="5"/>
        <v>3.5239303533330747E-2</v>
      </c>
      <c r="E156" s="27">
        <f t="shared" si="4"/>
        <v>8.8803044903993484</v>
      </c>
    </row>
    <row r="157" spans="1:5" x14ac:dyDescent="0.4">
      <c r="A157" s="3">
        <v>45723</v>
      </c>
      <c r="B157" s="2" t="s">
        <v>3</v>
      </c>
      <c r="C157" s="2">
        <v>329.55</v>
      </c>
      <c r="D157" s="26">
        <f t="shared" si="5"/>
        <v>-2.5021906221515296E-2</v>
      </c>
      <c r="E157" s="27">
        <f t="shared" si="4"/>
        <v>-6.3055203678218543</v>
      </c>
    </row>
    <row r="158" spans="1:5" x14ac:dyDescent="0.4">
      <c r="A158" s="3">
        <v>45726</v>
      </c>
      <c r="B158" s="2" t="s">
        <v>3</v>
      </c>
      <c r="C158" s="2">
        <v>329.4</v>
      </c>
      <c r="D158" s="26">
        <f t="shared" si="5"/>
        <v>-4.5526975518901138E-4</v>
      </c>
      <c r="E158" s="27">
        <f t="shared" si="4"/>
        <v>-0.11472797830763087</v>
      </c>
    </row>
    <row r="159" spans="1:5" x14ac:dyDescent="0.4">
      <c r="A159" s="3">
        <v>45727</v>
      </c>
      <c r="B159" s="2" t="s">
        <v>3</v>
      </c>
      <c r="C159" s="2">
        <v>330.3</v>
      </c>
      <c r="D159" s="26">
        <f t="shared" si="5"/>
        <v>2.7285146532041358E-3</v>
      </c>
      <c r="E159" s="27">
        <f t="shared" si="4"/>
        <v>0.68758569260744218</v>
      </c>
    </row>
    <row r="160" spans="1:5" x14ac:dyDescent="0.4">
      <c r="A160" s="3">
        <v>45728</v>
      </c>
      <c r="B160" s="2" t="s">
        <v>3</v>
      </c>
      <c r="C160" s="2">
        <v>330.15</v>
      </c>
      <c r="D160" s="26">
        <f t="shared" si="5"/>
        <v>-4.5423575616366742E-4</v>
      </c>
      <c r="E160" s="27">
        <f t="shared" si="4"/>
        <v>-0.11446741055324419</v>
      </c>
    </row>
    <row r="161" spans="1:5" x14ac:dyDescent="0.4">
      <c r="A161" s="3">
        <v>45729</v>
      </c>
      <c r="B161" s="2" t="s">
        <v>3</v>
      </c>
      <c r="C161" s="2">
        <v>331.9</v>
      </c>
      <c r="D161" s="26">
        <f t="shared" si="5"/>
        <v>5.2866220853484682E-3</v>
      </c>
      <c r="E161" s="27">
        <f t="shared" si="4"/>
        <v>1.332228765507814</v>
      </c>
    </row>
    <row r="162" spans="1:5" x14ac:dyDescent="0.4">
      <c r="A162" s="3">
        <v>45733</v>
      </c>
      <c r="B162" s="2" t="s">
        <v>3</v>
      </c>
      <c r="C162" s="2">
        <v>331.65</v>
      </c>
      <c r="D162" s="26">
        <f t="shared" si="5"/>
        <v>-7.5352275436393456E-4</v>
      </c>
      <c r="E162" s="27">
        <f t="shared" si="4"/>
        <v>-0.18988773409971152</v>
      </c>
    </row>
    <row r="163" spans="1:5" x14ac:dyDescent="0.4">
      <c r="A163" s="3">
        <v>45734</v>
      </c>
      <c r="B163" s="2" t="s">
        <v>3</v>
      </c>
      <c r="C163" s="2">
        <v>337.35</v>
      </c>
      <c r="D163" s="26">
        <f t="shared" si="5"/>
        <v>1.704077110186953E-2</v>
      </c>
      <c r="E163" s="27">
        <f t="shared" si="4"/>
        <v>4.2942743176711211</v>
      </c>
    </row>
    <row r="164" spans="1:5" x14ac:dyDescent="0.4">
      <c r="A164" s="3">
        <v>45735</v>
      </c>
      <c r="B164" s="2" t="s">
        <v>3</v>
      </c>
      <c r="C164" s="2">
        <v>341.3</v>
      </c>
      <c r="D164" s="26">
        <f t="shared" si="5"/>
        <v>1.1640888839226947E-2</v>
      </c>
      <c r="E164" s="27">
        <f t="shared" si="4"/>
        <v>2.9335039874851905</v>
      </c>
    </row>
    <row r="165" spans="1:5" x14ac:dyDescent="0.4">
      <c r="A165" s="3">
        <v>45736</v>
      </c>
      <c r="B165" s="2" t="s">
        <v>3</v>
      </c>
      <c r="C165" s="2">
        <v>341.75</v>
      </c>
      <c r="D165" s="26">
        <f t="shared" si="5"/>
        <v>1.3176196913975858E-3</v>
      </c>
      <c r="E165" s="27">
        <f t="shared" si="4"/>
        <v>0.33204016223219163</v>
      </c>
    </row>
    <row r="166" spans="1:5" x14ac:dyDescent="0.4">
      <c r="A166" s="3">
        <v>45737</v>
      </c>
      <c r="B166" s="2" t="s">
        <v>3</v>
      </c>
      <c r="C166" s="2">
        <v>351.3</v>
      </c>
      <c r="D166" s="26">
        <f t="shared" si="5"/>
        <v>2.7561083667722398E-2</v>
      </c>
      <c r="E166" s="27">
        <f t="shared" si="4"/>
        <v>6.9453930842660441</v>
      </c>
    </row>
    <row r="167" spans="1:5" x14ac:dyDescent="0.4">
      <c r="A167" s="3">
        <v>45740</v>
      </c>
      <c r="B167" s="2" t="s">
        <v>3</v>
      </c>
      <c r="C167" s="2">
        <v>366.95</v>
      </c>
      <c r="D167" s="26">
        <f t="shared" si="5"/>
        <v>4.3585039719290383E-2</v>
      </c>
      <c r="E167" s="27">
        <f t="shared" si="4"/>
        <v>10.983430009261177</v>
      </c>
    </row>
    <row r="168" spans="1:5" x14ac:dyDescent="0.4">
      <c r="A168" s="3">
        <v>45741</v>
      </c>
      <c r="B168" s="2" t="s">
        <v>3</v>
      </c>
      <c r="C168" s="2">
        <v>366.95</v>
      </c>
      <c r="D168" s="26">
        <f t="shared" si="5"/>
        <v>0</v>
      </c>
      <c r="E168" s="27">
        <f t="shared" si="4"/>
        <v>0</v>
      </c>
    </row>
    <row r="169" spans="1:5" x14ac:dyDescent="0.4">
      <c r="A169" s="3">
        <v>45742</v>
      </c>
      <c r="B169" s="2" t="s">
        <v>3</v>
      </c>
      <c r="C169" s="2">
        <v>354.65</v>
      </c>
      <c r="D169" s="26">
        <f t="shared" si="5"/>
        <v>-3.4094211342976126E-2</v>
      </c>
      <c r="E169" s="27">
        <f t="shared" si="4"/>
        <v>-8.5917412584299839</v>
      </c>
    </row>
    <row r="170" spans="1:5" x14ac:dyDescent="0.4">
      <c r="A170" s="3">
        <v>45743</v>
      </c>
      <c r="B170" s="2" t="s">
        <v>3</v>
      </c>
      <c r="C170" s="2">
        <v>360.65</v>
      </c>
      <c r="D170" s="26">
        <f t="shared" si="5"/>
        <v>1.6776571301585951E-2</v>
      </c>
      <c r="E170" s="27">
        <f t="shared" si="4"/>
        <v>4.2276959679996597</v>
      </c>
    </row>
    <row r="171" spans="1:5" x14ac:dyDescent="0.4">
      <c r="A171" s="3">
        <v>45744</v>
      </c>
      <c r="B171" s="2" t="s">
        <v>3</v>
      </c>
      <c r="C171" s="2">
        <v>357.6</v>
      </c>
      <c r="D171" s="26">
        <f t="shared" si="5"/>
        <v>-8.492915650322409E-3</v>
      </c>
      <c r="E171" s="27">
        <f t="shared" si="4"/>
        <v>-2.1402147438812471</v>
      </c>
    </row>
    <row r="172" spans="1:5" x14ac:dyDescent="0.4">
      <c r="A172" s="3">
        <v>45748</v>
      </c>
      <c r="B172" s="2" t="s">
        <v>3</v>
      </c>
      <c r="C172" s="2">
        <v>352.15</v>
      </c>
      <c r="D172" s="26">
        <f t="shared" si="5"/>
        <v>-1.53578221079399E-2</v>
      </c>
      <c r="E172" s="27">
        <f t="shared" si="4"/>
        <v>-3.8701711712008549</v>
      </c>
    </row>
    <row r="173" spans="1:5" x14ac:dyDescent="0.4">
      <c r="A173" s="3">
        <v>45749</v>
      </c>
      <c r="B173" s="2" t="s">
        <v>3</v>
      </c>
      <c r="C173" s="2">
        <v>351.75</v>
      </c>
      <c r="D173" s="26">
        <f t="shared" si="5"/>
        <v>-1.1365251969208186E-3</v>
      </c>
      <c r="E173" s="27">
        <f t="shared" si="4"/>
        <v>-0.28640434962404632</v>
      </c>
    </row>
    <row r="174" spans="1:5" x14ac:dyDescent="0.4">
      <c r="A174" s="3">
        <v>45750</v>
      </c>
      <c r="B174" s="2" t="s">
        <v>3</v>
      </c>
      <c r="C174" s="2">
        <v>358.9</v>
      </c>
      <c r="D174" s="26">
        <f t="shared" si="5"/>
        <v>2.0123102159063044E-2</v>
      </c>
      <c r="E174" s="27">
        <f t="shared" si="4"/>
        <v>5.071021744083887</v>
      </c>
    </row>
    <row r="175" spans="1:5" x14ac:dyDescent="0.4">
      <c r="A175" s="3">
        <v>45751</v>
      </c>
      <c r="B175" s="2" t="s">
        <v>3</v>
      </c>
      <c r="C175" s="2">
        <v>350.4</v>
      </c>
      <c r="D175" s="26">
        <f t="shared" si="5"/>
        <v>-2.3968439091325202E-2</v>
      </c>
      <c r="E175" s="27">
        <f t="shared" si="4"/>
        <v>-6.0400466510139506</v>
      </c>
    </row>
    <row r="176" spans="1:5" x14ac:dyDescent="0.4">
      <c r="A176" s="3">
        <v>45754</v>
      </c>
      <c r="B176" s="2" t="s">
        <v>3</v>
      </c>
      <c r="C176" s="2">
        <v>349.8</v>
      </c>
      <c r="D176" s="26">
        <f t="shared" si="5"/>
        <v>-1.7137964777346304E-3</v>
      </c>
      <c r="E176" s="27">
        <f t="shared" si="4"/>
        <v>-0.43187671238912684</v>
      </c>
    </row>
    <row r="177" spans="1:5" x14ac:dyDescent="0.4">
      <c r="A177" s="3">
        <v>45755</v>
      </c>
      <c r="B177" s="2" t="s">
        <v>3</v>
      </c>
      <c r="C177" s="2">
        <v>352.95</v>
      </c>
      <c r="D177" s="26">
        <f t="shared" si="5"/>
        <v>8.9648412569794493E-3</v>
      </c>
      <c r="E177" s="27">
        <f t="shared" si="4"/>
        <v>2.259139996758821</v>
      </c>
    </row>
    <row r="178" spans="1:5" x14ac:dyDescent="0.4">
      <c r="A178" s="3">
        <v>45756</v>
      </c>
      <c r="B178" s="2" t="s">
        <v>3</v>
      </c>
      <c r="C178" s="2">
        <v>349.35</v>
      </c>
      <c r="D178" s="26">
        <f t="shared" si="5"/>
        <v>-1.0252118843021418E-2</v>
      </c>
      <c r="E178" s="27">
        <f t="shared" si="4"/>
        <v>-2.5835339484413971</v>
      </c>
    </row>
    <row r="179" spans="1:5" x14ac:dyDescent="0.4">
      <c r="A179" s="3">
        <v>45758</v>
      </c>
      <c r="B179" s="2" t="s">
        <v>3</v>
      </c>
      <c r="C179" s="2">
        <v>360.1</v>
      </c>
      <c r="D179" s="26">
        <f t="shared" si="5"/>
        <v>3.0307485656369766E-2</v>
      </c>
      <c r="E179" s="27">
        <f t="shared" si="4"/>
        <v>7.6374863854051807</v>
      </c>
    </row>
    <row r="180" spans="1:5" x14ac:dyDescent="0.4">
      <c r="A180" s="3">
        <v>45762</v>
      </c>
      <c r="B180" s="2" t="s">
        <v>3</v>
      </c>
      <c r="C180" s="2">
        <v>362.5</v>
      </c>
      <c r="D180" s="26">
        <f t="shared" si="5"/>
        <v>6.6427036398998057E-3</v>
      </c>
      <c r="E180" s="27">
        <f t="shared" si="4"/>
        <v>1.6739613172547509</v>
      </c>
    </row>
    <row r="181" spans="1:5" x14ac:dyDescent="0.4">
      <c r="A181" s="3">
        <v>45763</v>
      </c>
      <c r="B181" s="2" t="s">
        <v>3</v>
      </c>
      <c r="C181" s="2">
        <v>359.3</v>
      </c>
      <c r="D181" s="26">
        <f t="shared" si="5"/>
        <v>-8.8667801752563662E-3</v>
      </c>
      <c r="E181" s="27">
        <f t="shared" si="4"/>
        <v>-2.2344286041646044</v>
      </c>
    </row>
    <row r="182" spans="1:5" x14ac:dyDescent="0.4">
      <c r="A182" s="3">
        <v>45764</v>
      </c>
      <c r="B182" s="2" t="s">
        <v>3</v>
      </c>
      <c r="C182" s="2">
        <v>364</v>
      </c>
      <c r="D182" s="26">
        <f t="shared" si="5"/>
        <v>1.2996173517267616E-2</v>
      </c>
      <c r="E182" s="27">
        <f t="shared" si="4"/>
        <v>3.2750357263514394</v>
      </c>
    </row>
    <row r="183" spans="1:5" x14ac:dyDescent="0.4">
      <c r="A183" s="3">
        <v>45768</v>
      </c>
      <c r="B183" s="2" t="s">
        <v>3</v>
      </c>
      <c r="C183" s="2">
        <v>364.55</v>
      </c>
      <c r="D183" s="26">
        <f t="shared" si="5"/>
        <v>1.5098486156986462E-3</v>
      </c>
      <c r="E183" s="27">
        <f t="shared" si="4"/>
        <v>0.38048185115605881</v>
      </c>
    </row>
    <row r="184" spans="1:5" x14ac:dyDescent="0.4">
      <c r="A184" s="3">
        <v>45769</v>
      </c>
      <c r="B184" s="2" t="s">
        <v>3</v>
      </c>
      <c r="C184" s="2">
        <v>360.25</v>
      </c>
      <c r="D184" s="26">
        <f t="shared" si="5"/>
        <v>-1.1865481372807836E-2</v>
      </c>
      <c r="E184" s="27">
        <f t="shared" si="4"/>
        <v>-2.9901013059475745</v>
      </c>
    </row>
    <row r="185" spans="1:5" x14ac:dyDescent="0.4">
      <c r="A185" s="3">
        <v>45770</v>
      </c>
      <c r="B185" s="2" t="s">
        <v>3</v>
      </c>
      <c r="C185" s="2">
        <v>363.8</v>
      </c>
      <c r="D185" s="26">
        <f t="shared" si="5"/>
        <v>9.8060312043903915E-3</v>
      </c>
      <c r="E185" s="27">
        <f t="shared" si="4"/>
        <v>2.4711198635063787</v>
      </c>
    </row>
    <row r="186" spans="1:5" x14ac:dyDescent="0.4">
      <c r="A186" s="3">
        <v>45771</v>
      </c>
      <c r="B186" s="2" t="s">
        <v>3</v>
      </c>
      <c r="C186" s="2">
        <v>363.2</v>
      </c>
      <c r="D186" s="26">
        <f t="shared" si="5"/>
        <v>-1.6506193568836766E-3</v>
      </c>
      <c r="E186" s="27">
        <f t="shared" si="4"/>
        <v>-0.41595607793468647</v>
      </c>
    </row>
    <row r="187" spans="1:5" x14ac:dyDescent="0.4">
      <c r="A187" s="3">
        <v>45772</v>
      </c>
      <c r="B187" s="2" t="s">
        <v>3</v>
      </c>
      <c r="C187" s="2">
        <v>356.45</v>
      </c>
      <c r="D187" s="26">
        <f t="shared" si="5"/>
        <v>-1.8759669163500744E-2</v>
      </c>
      <c r="E187" s="27">
        <f t="shared" si="4"/>
        <v>-4.7274366292021872</v>
      </c>
    </row>
    <row r="188" spans="1:5" x14ac:dyDescent="0.4">
      <c r="A188" s="3">
        <v>45775</v>
      </c>
      <c r="B188" s="2" t="s">
        <v>3</v>
      </c>
      <c r="C188" s="2">
        <v>361.5</v>
      </c>
      <c r="D188" s="26">
        <f t="shared" si="5"/>
        <v>1.4068064035181925E-2</v>
      </c>
      <c r="E188" s="27">
        <f t="shared" si="4"/>
        <v>3.5451521368658452</v>
      </c>
    </row>
    <row r="189" spans="1:5" x14ac:dyDescent="0.4">
      <c r="A189" s="3">
        <v>45776</v>
      </c>
      <c r="B189" s="2" t="s">
        <v>3</v>
      </c>
      <c r="C189" s="2">
        <v>356.95</v>
      </c>
      <c r="D189" s="26">
        <f t="shared" si="5"/>
        <v>-1.26663256503499E-2</v>
      </c>
      <c r="E189" s="27">
        <f t="shared" si="4"/>
        <v>-3.1919140638881749</v>
      </c>
    </row>
    <row r="190" spans="1:5" x14ac:dyDescent="0.4">
      <c r="A190" s="3">
        <v>45777</v>
      </c>
      <c r="B190" s="2" t="s">
        <v>3</v>
      </c>
      <c r="C190" s="2">
        <v>354.55</v>
      </c>
      <c r="D190" s="26">
        <f t="shared" si="5"/>
        <v>-6.7463361984637892E-3</v>
      </c>
      <c r="E190" s="27">
        <f t="shared" si="4"/>
        <v>-1.700076722012875</v>
      </c>
    </row>
    <row r="191" spans="1:5" x14ac:dyDescent="0.4">
      <c r="A191" s="3">
        <v>45779</v>
      </c>
      <c r="B191" s="2" t="s">
        <v>3</v>
      </c>
      <c r="C191" s="2">
        <v>348.45</v>
      </c>
      <c r="D191" s="26">
        <f t="shared" si="5"/>
        <v>-1.7354631865477907E-2</v>
      </c>
      <c r="E191" s="27">
        <f t="shared" si="4"/>
        <v>-4.3733672301004329</v>
      </c>
    </row>
    <row r="192" spans="1:5" x14ac:dyDescent="0.4">
      <c r="A192" s="3">
        <v>45782</v>
      </c>
      <c r="B192" s="2" t="s">
        <v>3</v>
      </c>
      <c r="C192" s="2">
        <v>348.6</v>
      </c>
      <c r="D192" s="26">
        <f t="shared" si="5"/>
        <v>4.3038520139282189E-4</v>
      </c>
      <c r="E192" s="27">
        <f t="shared" si="4"/>
        <v>0.10845707075099112</v>
      </c>
    </row>
    <row r="193" spans="1:5" x14ac:dyDescent="0.4">
      <c r="A193" s="3">
        <v>45783</v>
      </c>
      <c r="B193" s="2" t="s">
        <v>3</v>
      </c>
      <c r="C193" s="2">
        <v>341.8</v>
      </c>
      <c r="D193" s="26">
        <f t="shared" si="5"/>
        <v>-1.9699362404430067E-2</v>
      </c>
      <c r="E193" s="27">
        <f t="shared" si="4"/>
        <v>-4.9642393259163766</v>
      </c>
    </row>
    <row r="194" spans="1:5" x14ac:dyDescent="0.4">
      <c r="A194" s="3">
        <v>45784</v>
      </c>
      <c r="B194" s="2" t="s">
        <v>3</v>
      </c>
      <c r="C194" s="2">
        <v>342.05</v>
      </c>
      <c r="D194" s="26">
        <f t="shared" si="5"/>
        <v>7.3115452551649114E-4</v>
      </c>
      <c r="E194" s="27">
        <f t="shared" si="4"/>
        <v>0.18425094043015577</v>
      </c>
    </row>
    <row r="195" spans="1:5" x14ac:dyDescent="0.4">
      <c r="A195" s="3">
        <v>45785</v>
      </c>
      <c r="B195" s="2" t="s">
        <v>3</v>
      </c>
      <c r="C195" s="2">
        <v>340</v>
      </c>
      <c r="D195" s="26">
        <f t="shared" si="5"/>
        <v>-6.0113075968000239E-3</v>
      </c>
      <c r="E195" s="27">
        <f t="shared" ref="E195:E251" si="6">D195*252</f>
        <v>-1.514849514393606</v>
      </c>
    </row>
    <row r="196" spans="1:5" x14ac:dyDescent="0.4">
      <c r="A196" s="3">
        <v>45786</v>
      </c>
      <c r="B196" s="2" t="s">
        <v>3</v>
      </c>
      <c r="C196" s="2">
        <v>334.75</v>
      </c>
      <c r="D196" s="26">
        <f t="shared" ref="D196:D251" si="7">LN(C196/C195)</f>
        <v>-1.5561633038925131E-2</v>
      </c>
      <c r="E196" s="27">
        <f t="shared" si="6"/>
        <v>-3.921531525809133</v>
      </c>
    </row>
    <row r="197" spans="1:5" x14ac:dyDescent="0.4">
      <c r="A197" s="3">
        <v>45789</v>
      </c>
      <c r="B197" s="2" t="s">
        <v>3</v>
      </c>
      <c r="C197" s="2">
        <v>348.55</v>
      </c>
      <c r="D197" s="26">
        <f t="shared" si="7"/>
        <v>4.039770736112596E-2</v>
      </c>
      <c r="E197" s="27">
        <f t="shared" si="6"/>
        <v>10.180222255003741</v>
      </c>
    </row>
    <row r="198" spans="1:5" x14ac:dyDescent="0.4">
      <c r="A198" s="3">
        <v>45790</v>
      </c>
      <c r="B198" s="2" t="s">
        <v>3</v>
      </c>
      <c r="C198" s="2">
        <v>341.5</v>
      </c>
      <c r="D198" s="26">
        <f t="shared" si="7"/>
        <v>-2.0434012921562966E-2</v>
      </c>
      <c r="E198" s="27">
        <f t="shared" si="6"/>
        <v>-5.1493712562338674</v>
      </c>
    </row>
    <row r="199" spans="1:5" x14ac:dyDescent="0.4">
      <c r="A199" s="3">
        <v>45791</v>
      </c>
      <c r="B199" s="2" t="s">
        <v>3</v>
      </c>
      <c r="C199" s="2">
        <v>338.55</v>
      </c>
      <c r="D199" s="26">
        <f t="shared" si="7"/>
        <v>-8.6758870791903159E-3</v>
      </c>
      <c r="E199" s="27">
        <f t="shared" si="6"/>
        <v>-2.1863235439559596</v>
      </c>
    </row>
    <row r="200" spans="1:5" x14ac:dyDescent="0.4">
      <c r="A200" s="3">
        <v>45792</v>
      </c>
      <c r="B200" s="2" t="s">
        <v>3</v>
      </c>
      <c r="C200" s="2">
        <v>341.95</v>
      </c>
      <c r="D200" s="26">
        <f t="shared" si="7"/>
        <v>9.9927356124506431E-3</v>
      </c>
      <c r="E200" s="27">
        <f t="shared" si="6"/>
        <v>2.5181693743375622</v>
      </c>
    </row>
    <row r="201" spans="1:5" x14ac:dyDescent="0.4">
      <c r="A201" s="3">
        <v>45793</v>
      </c>
      <c r="B201" s="2" t="s">
        <v>3</v>
      </c>
      <c r="C201" s="2">
        <v>343.1</v>
      </c>
      <c r="D201" s="26">
        <f t="shared" si="7"/>
        <v>3.3574223202990365E-3</v>
      </c>
      <c r="E201" s="27">
        <f t="shared" si="6"/>
        <v>0.84607042471535721</v>
      </c>
    </row>
    <row r="202" spans="1:5" x14ac:dyDescent="0.4">
      <c r="A202" s="3">
        <v>45796</v>
      </c>
      <c r="B202" s="2" t="s">
        <v>3</v>
      </c>
      <c r="C202" s="2">
        <v>345.15</v>
      </c>
      <c r="D202" s="26">
        <f t="shared" si="7"/>
        <v>5.9571552850803235E-3</v>
      </c>
      <c r="E202" s="27">
        <f t="shared" si="6"/>
        <v>1.5012031318402415</v>
      </c>
    </row>
    <row r="203" spans="1:5" x14ac:dyDescent="0.4">
      <c r="A203" s="3">
        <v>45797</v>
      </c>
      <c r="B203" s="2" t="s">
        <v>3</v>
      </c>
      <c r="C203" s="2">
        <v>342.6</v>
      </c>
      <c r="D203" s="26">
        <f t="shared" si="7"/>
        <v>-7.4155192594649137E-3</v>
      </c>
      <c r="E203" s="27">
        <f t="shared" si="6"/>
        <v>-1.8687108533851582</v>
      </c>
    </row>
    <row r="204" spans="1:5" x14ac:dyDescent="0.4">
      <c r="A204" s="3">
        <v>45798</v>
      </c>
      <c r="B204" s="2" t="s">
        <v>3</v>
      </c>
      <c r="C204" s="2">
        <v>346.15</v>
      </c>
      <c r="D204" s="26">
        <f t="shared" si="7"/>
        <v>1.0308621234014688E-2</v>
      </c>
      <c r="E204" s="27">
        <f t="shared" si="6"/>
        <v>2.5977725509717016</v>
      </c>
    </row>
    <row r="205" spans="1:5" x14ac:dyDescent="0.4">
      <c r="A205" s="3">
        <v>45799</v>
      </c>
      <c r="B205" s="2" t="s">
        <v>3</v>
      </c>
      <c r="C205" s="2">
        <v>341.4</v>
      </c>
      <c r="D205" s="26">
        <f t="shared" si="7"/>
        <v>-1.3817396763694196E-2</v>
      </c>
      <c r="E205" s="27">
        <f t="shared" si="6"/>
        <v>-3.4819839844509373</v>
      </c>
    </row>
    <row r="206" spans="1:5" x14ac:dyDescent="0.4">
      <c r="A206" s="3">
        <v>45800</v>
      </c>
      <c r="B206" s="2" t="s">
        <v>3</v>
      </c>
      <c r="C206" s="2">
        <v>344.6</v>
      </c>
      <c r="D206" s="26">
        <f t="shared" si="7"/>
        <v>9.3295137334891629E-3</v>
      </c>
      <c r="E206" s="27">
        <f t="shared" si="6"/>
        <v>2.3510374608392692</v>
      </c>
    </row>
    <row r="207" spans="1:5" x14ac:dyDescent="0.4">
      <c r="A207" s="3">
        <v>45803</v>
      </c>
      <c r="B207" s="2" t="s">
        <v>3</v>
      </c>
      <c r="C207" s="2">
        <v>343.5</v>
      </c>
      <c r="D207" s="26">
        <f t="shared" si="7"/>
        <v>-3.1972124314252623E-3</v>
      </c>
      <c r="E207" s="27">
        <f t="shared" si="6"/>
        <v>-0.80569753271916611</v>
      </c>
    </row>
    <row r="208" spans="1:5" x14ac:dyDescent="0.4">
      <c r="A208" s="3">
        <v>45804</v>
      </c>
      <c r="B208" s="2" t="s">
        <v>3</v>
      </c>
      <c r="C208" s="2">
        <v>338.55</v>
      </c>
      <c r="D208" s="26">
        <f t="shared" si="7"/>
        <v>-1.451531973074955E-2</v>
      </c>
      <c r="E208" s="27">
        <f t="shared" si="6"/>
        <v>-3.6578605721488864</v>
      </c>
    </row>
    <row r="209" spans="1:5" x14ac:dyDescent="0.4">
      <c r="A209" s="3">
        <v>45805</v>
      </c>
      <c r="B209" s="2" t="s">
        <v>3</v>
      </c>
      <c r="C209" s="2">
        <v>340.05</v>
      </c>
      <c r="D209" s="26">
        <f t="shared" si="7"/>
        <v>4.4208736899932341E-3</v>
      </c>
      <c r="E209" s="27">
        <f t="shared" si="6"/>
        <v>1.114060169878295</v>
      </c>
    </row>
    <row r="210" spans="1:5" x14ac:dyDescent="0.4">
      <c r="A210" s="3">
        <v>45806</v>
      </c>
      <c r="B210" s="2" t="s">
        <v>3</v>
      </c>
      <c r="C210" s="2">
        <v>339.35</v>
      </c>
      <c r="D210" s="26">
        <f t="shared" si="7"/>
        <v>-2.0606424718803218E-3</v>
      </c>
      <c r="E210" s="27">
        <f t="shared" si="6"/>
        <v>-0.51928190291384113</v>
      </c>
    </row>
    <row r="211" spans="1:5" x14ac:dyDescent="0.4">
      <c r="A211" s="3">
        <v>45807</v>
      </c>
      <c r="B211" s="2" t="s">
        <v>3</v>
      </c>
      <c r="C211" s="2">
        <v>333.9</v>
      </c>
      <c r="D211" s="26">
        <f t="shared" si="7"/>
        <v>-1.6190476200158711E-2</v>
      </c>
      <c r="E211" s="27">
        <f t="shared" si="6"/>
        <v>-4.0800000024399949</v>
      </c>
    </row>
    <row r="212" spans="1:5" x14ac:dyDescent="0.4">
      <c r="A212" s="3">
        <v>45810</v>
      </c>
      <c r="B212" s="2" t="s">
        <v>3</v>
      </c>
      <c r="C212" s="2">
        <v>332.55</v>
      </c>
      <c r="D212" s="26">
        <f t="shared" si="7"/>
        <v>-4.0513222191785776E-3</v>
      </c>
      <c r="E212" s="27">
        <f t="shared" si="6"/>
        <v>-1.0209331992330015</v>
      </c>
    </row>
    <row r="213" spans="1:5" x14ac:dyDescent="0.4">
      <c r="A213" s="3">
        <v>45811</v>
      </c>
      <c r="B213" s="2" t="s">
        <v>3</v>
      </c>
      <c r="C213" s="2">
        <v>328.25</v>
      </c>
      <c r="D213" s="26">
        <f t="shared" si="7"/>
        <v>-1.3014711547524649E-2</v>
      </c>
      <c r="E213" s="27">
        <f t="shared" si="6"/>
        <v>-3.2797073099762115</v>
      </c>
    </row>
    <row r="214" spans="1:5" x14ac:dyDescent="0.4">
      <c r="A214" s="3">
        <v>45812</v>
      </c>
      <c r="B214" s="2" t="s">
        <v>3</v>
      </c>
      <c r="C214" s="2">
        <v>329.25</v>
      </c>
      <c r="D214" s="26">
        <f t="shared" si="7"/>
        <v>3.0418274404849423E-3</v>
      </c>
      <c r="E214" s="27">
        <f t="shared" si="6"/>
        <v>0.76654051500220544</v>
      </c>
    </row>
    <row r="215" spans="1:5" x14ac:dyDescent="0.4">
      <c r="A215" s="3">
        <v>45813</v>
      </c>
      <c r="B215" s="2" t="s">
        <v>3</v>
      </c>
      <c r="C215" s="2">
        <v>328.65</v>
      </c>
      <c r="D215" s="26">
        <f t="shared" si="7"/>
        <v>-1.8239859138052454E-3</v>
      </c>
      <c r="E215" s="27">
        <f t="shared" si="6"/>
        <v>-0.45964445027892187</v>
      </c>
    </row>
    <row r="216" spans="1:5" x14ac:dyDescent="0.4">
      <c r="A216" s="3">
        <v>45814</v>
      </c>
      <c r="B216" s="2" t="s">
        <v>3</v>
      </c>
      <c r="C216" s="2">
        <v>332.85</v>
      </c>
      <c r="D216" s="26">
        <f t="shared" si="7"/>
        <v>1.2698583337127561E-2</v>
      </c>
      <c r="E216" s="27">
        <f t="shared" si="6"/>
        <v>3.2000430009561454</v>
      </c>
    </row>
    <row r="217" spans="1:5" x14ac:dyDescent="0.4">
      <c r="A217" s="3">
        <v>45817</v>
      </c>
      <c r="B217" s="2" t="s">
        <v>3</v>
      </c>
      <c r="C217" s="2">
        <v>337.1</v>
      </c>
      <c r="D217" s="26">
        <f t="shared" si="7"/>
        <v>1.2687684193302408E-2</v>
      </c>
      <c r="E217" s="27">
        <f t="shared" si="6"/>
        <v>3.1972964167122067</v>
      </c>
    </row>
    <row r="218" spans="1:5" x14ac:dyDescent="0.4">
      <c r="A218" s="3">
        <v>45818</v>
      </c>
      <c r="B218" s="2" t="s">
        <v>3</v>
      </c>
      <c r="C218" s="2">
        <v>339.2</v>
      </c>
      <c r="D218" s="26">
        <f t="shared" si="7"/>
        <v>6.2102816777328453E-3</v>
      </c>
      <c r="E218" s="27">
        <f t="shared" si="6"/>
        <v>1.564990982788677</v>
      </c>
    </row>
    <row r="219" spans="1:5" x14ac:dyDescent="0.4">
      <c r="A219" s="3">
        <v>45819</v>
      </c>
      <c r="B219" s="2" t="s">
        <v>3</v>
      </c>
      <c r="C219" s="2">
        <v>338.1</v>
      </c>
      <c r="D219" s="26">
        <f t="shared" si="7"/>
        <v>-3.2481942039075825E-3</v>
      </c>
      <c r="E219" s="27">
        <f t="shared" si="6"/>
        <v>-0.81854493938471073</v>
      </c>
    </row>
    <row r="220" spans="1:5" x14ac:dyDescent="0.4">
      <c r="A220" s="3">
        <v>45820</v>
      </c>
      <c r="B220" s="2" t="s">
        <v>3</v>
      </c>
      <c r="C220" s="2">
        <v>333.7</v>
      </c>
      <c r="D220" s="26">
        <f t="shared" si="7"/>
        <v>-1.3099323956512116E-2</v>
      </c>
      <c r="E220" s="27">
        <f t="shared" si="6"/>
        <v>-3.301029637041053</v>
      </c>
    </row>
    <row r="221" spans="1:5" x14ac:dyDescent="0.4">
      <c r="A221" s="3">
        <v>45821</v>
      </c>
      <c r="B221" s="2" t="s">
        <v>3</v>
      </c>
      <c r="C221" s="2">
        <v>331.95</v>
      </c>
      <c r="D221" s="26">
        <f t="shared" si="7"/>
        <v>-5.2580305921599178E-3</v>
      </c>
      <c r="E221" s="27">
        <f t="shared" si="6"/>
        <v>-1.3250237092242994</v>
      </c>
    </row>
    <row r="222" spans="1:5" x14ac:dyDescent="0.4">
      <c r="A222" s="3">
        <v>45824</v>
      </c>
      <c r="B222" s="2" t="s">
        <v>3</v>
      </c>
      <c r="C222" s="2">
        <v>333.7</v>
      </c>
      <c r="D222" s="26">
        <f t="shared" si="7"/>
        <v>5.2580305921599594E-3</v>
      </c>
      <c r="E222" s="27">
        <f t="shared" si="6"/>
        <v>1.3250237092243098</v>
      </c>
    </row>
    <row r="223" spans="1:5" x14ac:dyDescent="0.4">
      <c r="A223" s="3">
        <v>45825</v>
      </c>
      <c r="B223" s="2" t="s">
        <v>3</v>
      </c>
      <c r="C223" s="2">
        <v>335.2</v>
      </c>
      <c r="D223" s="26">
        <f t="shared" si="7"/>
        <v>4.4849828505996404E-3</v>
      </c>
      <c r="E223" s="27">
        <f t="shared" si="6"/>
        <v>1.1302156783511095</v>
      </c>
    </row>
    <row r="224" spans="1:5" x14ac:dyDescent="0.4">
      <c r="A224" s="3">
        <v>45826</v>
      </c>
      <c r="B224" s="2" t="s">
        <v>3</v>
      </c>
      <c r="C224" s="2">
        <v>332.4</v>
      </c>
      <c r="D224" s="26">
        <f t="shared" si="7"/>
        <v>-8.3883056266348555E-3</v>
      </c>
      <c r="E224" s="27">
        <f t="shared" si="6"/>
        <v>-2.1138530179119837</v>
      </c>
    </row>
    <row r="225" spans="1:5" x14ac:dyDescent="0.4">
      <c r="A225" s="3">
        <v>45827</v>
      </c>
      <c r="B225" s="2" t="s">
        <v>3</v>
      </c>
      <c r="C225" s="2">
        <v>330.05</v>
      </c>
      <c r="D225" s="26">
        <f t="shared" si="7"/>
        <v>-7.0949048465132718E-3</v>
      </c>
      <c r="E225" s="27">
        <f t="shared" si="6"/>
        <v>-1.7879160213213445</v>
      </c>
    </row>
    <row r="226" spans="1:5" x14ac:dyDescent="0.4">
      <c r="A226" s="3">
        <v>45828</v>
      </c>
      <c r="B226" s="2" t="s">
        <v>3</v>
      </c>
      <c r="C226" s="2">
        <v>335.2</v>
      </c>
      <c r="D226" s="26">
        <f t="shared" si="7"/>
        <v>1.5483210473148148E-2</v>
      </c>
      <c r="E226" s="27">
        <f t="shared" si="6"/>
        <v>3.9017690392333333</v>
      </c>
    </row>
    <row r="227" spans="1:5" x14ac:dyDescent="0.4">
      <c r="A227" s="3">
        <v>45831</v>
      </c>
      <c r="B227" s="2" t="s">
        <v>3</v>
      </c>
      <c r="C227" s="2">
        <v>332.6</v>
      </c>
      <c r="D227" s="26">
        <f t="shared" si="7"/>
        <v>-7.7868018491005844E-3</v>
      </c>
      <c r="E227" s="27">
        <f t="shared" si="6"/>
        <v>-1.9622740659733473</v>
      </c>
    </row>
    <row r="228" spans="1:5" x14ac:dyDescent="0.4">
      <c r="A228" s="3">
        <v>45832</v>
      </c>
      <c r="B228" s="2" t="s">
        <v>3</v>
      </c>
      <c r="C228" s="2">
        <v>329.95</v>
      </c>
      <c r="D228" s="26">
        <f t="shared" si="7"/>
        <v>-7.9994389293967603E-3</v>
      </c>
      <c r="E228" s="27">
        <f t="shared" si="6"/>
        <v>-2.0158586102079834</v>
      </c>
    </row>
    <row r="229" spans="1:5" x14ac:dyDescent="0.4">
      <c r="A229" s="3">
        <v>45833</v>
      </c>
      <c r="B229" s="2" t="s">
        <v>3</v>
      </c>
      <c r="C229" s="2">
        <v>330.85</v>
      </c>
      <c r="D229" s="26">
        <f t="shared" si="7"/>
        <v>2.7239726286378816E-3</v>
      </c>
      <c r="E229" s="27">
        <f t="shared" si="6"/>
        <v>0.68644110241674616</v>
      </c>
    </row>
    <row r="230" spans="1:5" x14ac:dyDescent="0.4">
      <c r="A230" s="3">
        <v>45834</v>
      </c>
      <c r="B230" s="2" t="s">
        <v>3</v>
      </c>
      <c r="C230" s="2">
        <v>337.15</v>
      </c>
      <c r="D230" s="26">
        <f t="shared" si="7"/>
        <v>1.8862834722522235E-2</v>
      </c>
      <c r="E230" s="27">
        <f t="shared" si="6"/>
        <v>4.7534343500756036</v>
      </c>
    </row>
    <row r="231" spans="1:5" x14ac:dyDescent="0.4">
      <c r="A231" s="3">
        <v>45835</v>
      </c>
      <c r="B231" s="2" t="s">
        <v>3</v>
      </c>
      <c r="C231" s="2">
        <v>338.3</v>
      </c>
      <c r="D231" s="26">
        <f t="shared" si="7"/>
        <v>3.4051406060719275E-3</v>
      </c>
      <c r="E231" s="27">
        <f t="shared" si="6"/>
        <v>0.85809543273012578</v>
      </c>
    </row>
    <row r="232" spans="1:5" x14ac:dyDescent="0.4">
      <c r="A232" s="3">
        <v>45838</v>
      </c>
      <c r="B232" s="2" t="s">
        <v>3</v>
      </c>
      <c r="C232" s="2">
        <v>334.9</v>
      </c>
      <c r="D232" s="26">
        <f t="shared" si="7"/>
        <v>-1.0101095986504044E-2</v>
      </c>
      <c r="E232" s="27">
        <f t="shared" si="6"/>
        <v>-2.5454761885990194</v>
      </c>
    </row>
    <row r="233" spans="1:5" x14ac:dyDescent="0.4">
      <c r="A233" s="3">
        <v>45839</v>
      </c>
      <c r="B233" s="2" t="s">
        <v>3</v>
      </c>
      <c r="C233" s="2">
        <v>332.6</v>
      </c>
      <c r="D233" s="26">
        <f t="shared" si="7"/>
        <v>-6.8914130413314121E-3</v>
      </c>
      <c r="E233" s="27">
        <f t="shared" si="6"/>
        <v>-1.7366360864155159</v>
      </c>
    </row>
    <row r="234" spans="1:5" x14ac:dyDescent="0.4">
      <c r="A234" s="3">
        <v>45840</v>
      </c>
      <c r="B234" s="2" t="s">
        <v>3</v>
      </c>
      <c r="C234" s="2">
        <v>333.75</v>
      </c>
      <c r="D234" s="26">
        <f t="shared" si="7"/>
        <v>3.4516429556318202E-3</v>
      </c>
      <c r="E234" s="27">
        <f t="shared" si="6"/>
        <v>0.86981402481921866</v>
      </c>
    </row>
    <row r="235" spans="1:5" x14ac:dyDescent="0.4">
      <c r="A235" s="3">
        <v>45841</v>
      </c>
      <c r="B235" s="2" t="s">
        <v>3</v>
      </c>
      <c r="C235" s="2">
        <v>334.6</v>
      </c>
      <c r="D235" s="26">
        <f t="shared" si="7"/>
        <v>2.5435788382644777E-3</v>
      </c>
      <c r="E235" s="27">
        <f t="shared" si="6"/>
        <v>0.64098186724264838</v>
      </c>
    </row>
    <row r="236" spans="1:5" x14ac:dyDescent="0.4">
      <c r="A236" s="3">
        <v>45842</v>
      </c>
      <c r="B236" s="2" t="s">
        <v>3</v>
      </c>
      <c r="C236" s="2">
        <v>335.5</v>
      </c>
      <c r="D236" s="26">
        <f t="shared" si="7"/>
        <v>2.6861678590127626E-3</v>
      </c>
      <c r="E236" s="27">
        <f t="shared" si="6"/>
        <v>0.67691430047121615</v>
      </c>
    </row>
    <row r="237" spans="1:5" x14ac:dyDescent="0.4">
      <c r="A237" s="3">
        <v>45845</v>
      </c>
      <c r="B237" s="2" t="s">
        <v>3</v>
      </c>
      <c r="C237" s="2">
        <v>337.45</v>
      </c>
      <c r="D237" s="26">
        <f t="shared" si="7"/>
        <v>5.7953947776790051E-3</v>
      </c>
      <c r="E237" s="27">
        <f t="shared" si="6"/>
        <v>1.4604394839751094</v>
      </c>
    </row>
    <row r="238" spans="1:5" x14ac:dyDescent="0.4">
      <c r="A238" s="3">
        <v>45846</v>
      </c>
      <c r="B238" s="2" t="s">
        <v>3</v>
      </c>
      <c r="C238" s="2">
        <v>343.2</v>
      </c>
      <c r="D238" s="26">
        <f t="shared" si="7"/>
        <v>1.6896016424391765E-2</v>
      </c>
      <c r="E238" s="27">
        <f t="shared" si="6"/>
        <v>4.2577961389467243</v>
      </c>
    </row>
    <row r="239" spans="1:5" x14ac:dyDescent="0.4">
      <c r="A239" s="3">
        <v>45847</v>
      </c>
      <c r="B239" s="2" t="s">
        <v>3</v>
      </c>
      <c r="C239" s="2">
        <v>344</v>
      </c>
      <c r="D239" s="26">
        <f t="shared" si="7"/>
        <v>2.3282897595911681E-3</v>
      </c>
      <c r="E239" s="27">
        <f t="shared" si="6"/>
        <v>0.58672901941697431</v>
      </c>
    </row>
    <row r="240" spans="1:5" x14ac:dyDescent="0.4">
      <c r="A240" s="3">
        <v>45848</v>
      </c>
      <c r="B240" s="2" t="s">
        <v>3</v>
      </c>
      <c r="C240" s="2">
        <v>341.45</v>
      </c>
      <c r="D240" s="26">
        <f t="shared" si="7"/>
        <v>-7.4404019663000904E-3</v>
      </c>
      <c r="E240" s="27">
        <f t="shared" si="6"/>
        <v>-1.8749812955076228</v>
      </c>
    </row>
    <row r="241" spans="1:5" x14ac:dyDescent="0.4">
      <c r="A241" s="3">
        <v>45849</v>
      </c>
      <c r="B241" s="2" t="s">
        <v>3</v>
      </c>
      <c r="C241" s="2">
        <v>342.7</v>
      </c>
      <c r="D241" s="26">
        <f t="shared" si="7"/>
        <v>3.6541734734648699E-3</v>
      </c>
      <c r="E241" s="27">
        <f t="shared" si="6"/>
        <v>0.92085171531314725</v>
      </c>
    </row>
    <row r="242" spans="1:5" x14ac:dyDescent="0.4">
      <c r="A242" s="3">
        <v>45852</v>
      </c>
      <c r="B242" s="2" t="s">
        <v>3</v>
      </c>
      <c r="C242" s="2">
        <v>342.1</v>
      </c>
      <c r="D242" s="26">
        <f t="shared" si="7"/>
        <v>-1.7523368970040784E-3</v>
      </c>
      <c r="E242" s="27">
        <f t="shared" si="6"/>
        <v>-0.44158889804502777</v>
      </c>
    </row>
    <row r="243" spans="1:5" x14ac:dyDescent="0.4">
      <c r="A243" s="3">
        <v>45853</v>
      </c>
      <c r="B243" s="2" t="s">
        <v>3</v>
      </c>
      <c r="C243" s="2">
        <v>342</v>
      </c>
      <c r="D243" s="26">
        <f t="shared" si="7"/>
        <v>-2.9235492095392997E-4</v>
      </c>
      <c r="E243" s="27">
        <f t="shared" si="6"/>
        <v>-7.3673440080390354E-2</v>
      </c>
    </row>
    <row r="244" spans="1:5" x14ac:dyDescent="0.4">
      <c r="A244" s="3">
        <v>45854</v>
      </c>
      <c r="B244" s="2" t="s">
        <v>3</v>
      </c>
      <c r="C244" s="2">
        <v>342.45</v>
      </c>
      <c r="D244" s="26">
        <f t="shared" si="7"/>
        <v>1.3149245813090221E-3</v>
      </c>
      <c r="E244" s="27">
        <f t="shared" si="6"/>
        <v>0.33136099448987355</v>
      </c>
    </row>
    <row r="245" spans="1:5" x14ac:dyDescent="0.4">
      <c r="A245" s="3">
        <v>45855</v>
      </c>
      <c r="B245" s="2" t="s">
        <v>3</v>
      </c>
      <c r="C245" s="2">
        <v>342.65</v>
      </c>
      <c r="D245" s="26">
        <f t="shared" si="7"/>
        <v>5.8385638791839923E-4</v>
      </c>
      <c r="E245" s="27">
        <f t="shared" si="6"/>
        <v>0.1471318097554366</v>
      </c>
    </row>
    <row r="246" spans="1:5" x14ac:dyDescent="0.4">
      <c r="A246" s="3">
        <v>45856</v>
      </c>
      <c r="B246" s="2" t="s">
        <v>3</v>
      </c>
      <c r="C246" s="2">
        <v>342.1</v>
      </c>
      <c r="D246" s="26">
        <f t="shared" si="7"/>
        <v>-1.6064260482735768E-3</v>
      </c>
      <c r="E246" s="27">
        <f t="shared" si="6"/>
        <v>-0.40481936416494135</v>
      </c>
    </row>
    <row r="247" spans="1:5" x14ac:dyDescent="0.4">
      <c r="A247" s="3">
        <v>45859</v>
      </c>
      <c r="B247" s="2" t="s">
        <v>3</v>
      </c>
      <c r="C247" s="2">
        <v>341.55</v>
      </c>
      <c r="D247" s="26">
        <f t="shared" si="7"/>
        <v>-1.6090108057006626E-3</v>
      </c>
      <c r="E247" s="27">
        <f t="shared" si="6"/>
        <v>-0.40547072303656695</v>
      </c>
    </row>
    <row r="248" spans="1:5" x14ac:dyDescent="0.4">
      <c r="A248" s="3">
        <v>45860</v>
      </c>
      <c r="B248" s="2" t="s">
        <v>3</v>
      </c>
      <c r="C248" s="2">
        <v>340.85</v>
      </c>
      <c r="D248" s="26">
        <f t="shared" si="7"/>
        <v>-2.0515833690639609E-3</v>
      </c>
      <c r="E248" s="27">
        <f t="shared" si="6"/>
        <v>-0.5169990090041181</v>
      </c>
    </row>
    <row r="249" spans="1:5" x14ac:dyDescent="0.4">
      <c r="A249" s="3">
        <v>45861</v>
      </c>
      <c r="B249" s="2" t="s">
        <v>3</v>
      </c>
      <c r="C249" s="2">
        <v>343.05</v>
      </c>
      <c r="D249" s="26">
        <f t="shared" si="7"/>
        <v>6.4337113281056199E-3</v>
      </c>
      <c r="E249" s="27">
        <f t="shared" si="6"/>
        <v>1.6212952546826163</v>
      </c>
    </row>
    <row r="250" spans="1:5" x14ac:dyDescent="0.4">
      <c r="A250" s="3">
        <v>45862</v>
      </c>
      <c r="B250" s="2" t="s">
        <v>3</v>
      </c>
      <c r="C250" s="2">
        <v>338.9</v>
      </c>
      <c r="D250" s="26">
        <f t="shared" si="7"/>
        <v>-1.2171130523894231E-2</v>
      </c>
      <c r="E250" s="27">
        <f t="shared" si="6"/>
        <v>-3.0671248920213463</v>
      </c>
    </row>
    <row r="251" spans="1:5" x14ac:dyDescent="0.4">
      <c r="A251" s="3">
        <v>45863</v>
      </c>
      <c r="B251" s="2" t="s">
        <v>3</v>
      </c>
      <c r="C251" s="2">
        <v>333.2</v>
      </c>
      <c r="D251" s="26">
        <f t="shared" si="7"/>
        <v>-1.6962168320318008E-2</v>
      </c>
      <c r="E251" s="27">
        <f t="shared" si="6"/>
        <v>-4.2744664167201378</v>
      </c>
    </row>
  </sheetData>
  <autoFilter ref="A1:C251" xr:uid="{6790A137-8262-4A99-9C15-0B9577638F52}">
    <sortState xmlns:xlrd2="http://schemas.microsoft.com/office/spreadsheetml/2017/richdata2" ref="A2:C251">
      <sortCondition ref="A1:A251"/>
    </sortState>
  </autoFilter>
  <mergeCells count="1">
    <mergeCell ref="G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C2FD-6E6E-491D-87BF-A65A80B7118F}">
  <dimension ref="A1:J251"/>
  <sheetViews>
    <sheetView showGridLines="0" workbookViewId="0">
      <pane ySplit="1" topLeftCell="A2" activePane="bottomLeft" state="frozen"/>
      <selection pane="bottomLeft" activeCell="G13" sqref="G13"/>
    </sheetView>
  </sheetViews>
  <sheetFormatPr defaultColWidth="8.73046875" defaultRowHeight="13.15" x14ac:dyDescent="0.4"/>
  <cols>
    <col min="1" max="1" width="8.9296875" style="1" bestFit="1" customWidth="1"/>
    <col min="2" max="2" width="8" style="1" bestFit="1" customWidth="1"/>
    <col min="3" max="3" width="7.33203125" style="1" bestFit="1" customWidth="1"/>
    <col min="4" max="4" width="21.796875" style="1" bestFit="1" customWidth="1"/>
    <col min="5" max="5" width="21.59765625" style="1" customWidth="1"/>
    <col min="6" max="6" width="10.33203125" style="1" customWidth="1"/>
    <col min="7" max="8" width="19.9296875" style="1" bestFit="1" customWidth="1"/>
    <col min="9" max="9" width="10.796875" style="1" bestFit="1" customWidth="1"/>
    <col min="10" max="16384" width="8.73046875" style="1"/>
  </cols>
  <sheetData>
    <row r="1" spans="1:10" x14ac:dyDescent="0.4">
      <c r="A1" s="4" t="s">
        <v>0</v>
      </c>
      <c r="B1" s="4" t="s">
        <v>1</v>
      </c>
      <c r="C1" s="4" t="s">
        <v>2</v>
      </c>
      <c r="D1" s="21" t="s">
        <v>46</v>
      </c>
      <c r="E1" s="21" t="s">
        <v>47</v>
      </c>
    </row>
    <row r="2" spans="1:10" x14ac:dyDescent="0.4">
      <c r="A2" s="3">
        <v>45499</v>
      </c>
      <c r="B2" s="2" t="s">
        <v>3</v>
      </c>
      <c r="C2" s="2">
        <v>632.45000000000005</v>
      </c>
      <c r="D2" s="26">
        <v>0</v>
      </c>
      <c r="E2" s="27">
        <f>D2*252</f>
        <v>0</v>
      </c>
    </row>
    <row r="3" spans="1:10" x14ac:dyDescent="0.4">
      <c r="A3" s="3">
        <v>45502</v>
      </c>
      <c r="B3" s="2" t="s">
        <v>3</v>
      </c>
      <c r="C3" s="2">
        <v>641.1</v>
      </c>
      <c r="D3" s="26">
        <f>LN(C3/C2)</f>
        <v>1.3584284899660678E-2</v>
      </c>
      <c r="E3" s="27">
        <f t="shared" ref="E3:E66" si="0">D3*252</f>
        <v>3.4232397947144908</v>
      </c>
      <c r="G3" s="111" t="s">
        <v>53</v>
      </c>
      <c r="H3" s="112"/>
    </row>
    <row r="4" spans="1:10" x14ac:dyDescent="0.4">
      <c r="A4" s="3">
        <v>45503</v>
      </c>
      <c r="B4" s="2" t="s">
        <v>3</v>
      </c>
      <c r="C4" s="2">
        <v>633.9</v>
      </c>
      <c r="D4" s="26">
        <f t="shared" ref="D4:D67" si="1">LN(C4/C3)</f>
        <v>-1.129423770309095E-2</v>
      </c>
      <c r="E4" s="27">
        <f t="shared" si="0"/>
        <v>-2.8461479011789197</v>
      </c>
      <c r="G4" s="28" t="s">
        <v>48</v>
      </c>
      <c r="H4" s="29">
        <f>AVERAGE(E2:E251)</f>
        <v>-0.2142472538722609</v>
      </c>
      <c r="J4" s="1" t="s">
        <v>51</v>
      </c>
    </row>
    <row r="5" spans="1:10" x14ac:dyDescent="0.4">
      <c r="A5" s="3">
        <v>45504</v>
      </c>
      <c r="B5" s="2" t="s">
        <v>3</v>
      </c>
      <c r="C5" s="2">
        <v>635.70000000000005</v>
      </c>
      <c r="D5" s="26">
        <f t="shared" si="1"/>
        <v>2.8355406522424312E-3</v>
      </c>
      <c r="E5" s="27">
        <f t="shared" si="0"/>
        <v>0.71455624436509269</v>
      </c>
      <c r="G5" s="28" t="s">
        <v>50</v>
      </c>
      <c r="H5" s="44">
        <f>_xlfn.STDEV.S(E2:E251)/100</f>
        <v>3.3880841251092142E-2</v>
      </c>
      <c r="J5" s="1" t="s">
        <v>52</v>
      </c>
    </row>
    <row r="6" spans="1:10" x14ac:dyDescent="0.4">
      <c r="A6" s="3">
        <v>45505</v>
      </c>
      <c r="B6" s="2" t="s">
        <v>3</v>
      </c>
      <c r="C6" s="2">
        <v>643.5</v>
      </c>
      <c r="D6" s="26">
        <f t="shared" si="1"/>
        <v>1.2195273093818206E-2</v>
      </c>
      <c r="E6" s="27">
        <f t="shared" si="0"/>
        <v>3.0732088196421881</v>
      </c>
    </row>
    <row r="7" spans="1:10" x14ac:dyDescent="0.4">
      <c r="A7" s="3">
        <v>45506</v>
      </c>
      <c r="B7" s="2" t="s">
        <v>3</v>
      </c>
      <c r="C7" s="2">
        <v>627.54999999999995</v>
      </c>
      <c r="D7" s="26">
        <f t="shared" si="1"/>
        <v>-2.5098677929726188E-2</v>
      </c>
      <c r="E7" s="27">
        <f t="shared" si="0"/>
        <v>-6.3248668382909994</v>
      </c>
    </row>
    <row r="8" spans="1:10" x14ac:dyDescent="0.4">
      <c r="A8" s="3">
        <v>45509</v>
      </c>
      <c r="B8" s="2" t="s">
        <v>3</v>
      </c>
      <c r="C8" s="2">
        <v>634</v>
      </c>
      <c r="D8" s="26">
        <f t="shared" si="1"/>
        <v>1.0225605330770738E-2</v>
      </c>
      <c r="E8" s="27">
        <f t="shared" si="0"/>
        <v>2.5768525433542258</v>
      </c>
      <c r="G8" s="80" t="s">
        <v>104</v>
      </c>
      <c r="H8" s="81"/>
    </row>
    <row r="9" spans="1:10" x14ac:dyDescent="0.4">
      <c r="A9" s="3">
        <v>45510</v>
      </c>
      <c r="B9" s="2" t="s">
        <v>3</v>
      </c>
      <c r="C9" s="2">
        <v>629.15</v>
      </c>
      <c r="D9" s="26">
        <f t="shared" si="1"/>
        <v>-7.6792523992490315E-3</v>
      </c>
      <c r="E9" s="27">
        <f t="shared" si="0"/>
        <v>-1.9351716046107559</v>
      </c>
      <c r="G9" s="82" t="s">
        <v>105</v>
      </c>
      <c r="H9" s="83"/>
    </row>
    <row r="10" spans="1:10" x14ac:dyDescent="0.4">
      <c r="A10" s="3">
        <v>45511</v>
      </c>
      <c r="B10" s="2" t="s">
        <v>3</v>
      </c>
      <c r="C10" s="2">
        <v>639.25</v>
      </c>
      <c r="D10" s="26">
        <f t="shared" si="1"/>
        <v>1.5925912133319082E-2</v>
      </c>
      <c r="E10" s="27">
        <f t="shared" si="0"/>
        <v>4.0133298575964087</v>
      </c>
      <c r="G10" s="82"/>
      <c r="H10" s="83"/>
    </row>
    <row r="11" spans="1:10" x14ac:dyDescent="0.4">
      <c r="A11" s="3">
        <v>45512</v>
      </c>
      <c r="B11" s="2" t="s">
        <v>3</v>
      </c>
      <c r="C11" s="2">
        <v>637.45000000000005</v>
      </c>
      <c r="D11" s="26">
        <f t="shared" si="1"/>
        <v>-2.8197715871646793E-3</v>
      </c>
      <c r="E11" s="27">
        <f t="shared" si="0"/>
        <v>-0.71058243996549919</v>
      </c>
      <c r="G11" s="84" t="s">
        <v>106</v>
      </c>
      <c r="H11" s="85"/>
    </row>
    <row r="12" spans="1:10" x14ac:dyDescent="0.4">
      <c r="A12" s="3">
        <v>45513</v>
      </c>
      <c r="B12" s="2" t="s">
        <v>3</v>
      </c>
      <c r="C12" s="2">
        <v>623.95000000000005</v>
      </c>
      <c r="D12" s="26">
        <f t="shared" si="1"/>
        <v>-2.1405605630267971E-2</v>
      </c>
      <c r="E12" s="27">
        <f t="shared" si="0"/>
        <v>-5.3942126188275283</v>
      </c>
    </row>
    <row r="13" spans="1:10" x14ac:dyDescent="0.4">
      <c r="A13" s="3">
        <v>45516</v>
      </c>
      <c r="B13" s="2" t="s">
        <v>3</v>
      </c>
      <c r="C13" s="2">
        <v>620.35</v>
      </c>
      <c r="D13" s="26">
        <f t="shared" si="1"/>
        <v>-5.7864020649828433E-3</v>
      </c>
      <c r="E13" s="27">
        <f t="shared" si="0"/>
        <v>-1.4581733203756766</v>
      </c>
    </row>
    <row r="14" spans="1:10" x14ac:dyDescent="0.4">
      <c r="A14" s="3">
        <v>45517</v>
      </c>
      <c r="B14" s="2" t="s">
        <v>3</v>
      </c>
      <c r="C14" s="2">
        <v>605.85</v>
      </c>
      <c r="D14" s="26">
        <f t="shared" si="1"/>
        <v>-2.3651404211348946E-2</v>
      </c>
      <c r="E14" s="27">
        <f t="shared" si="0"/>
        <v>-5.9601538612599345</v>
      </c>
    </row>
    <row r="15" spans="1:10" x14ac:dyDescent="0.4">
      <c r="A15" s="3">
        <v>45518</v>
      </c>
      <c r="B15" s="2" t="s">
        <v>3</v>
      </c>
      <c r="C15" s="2">
        <v>604.4</v>
      </c>
      <c r="D15" s="26">
        <f t="shared" si="1"/>
        <v>-2.3962002789470931E-3</v>
      </c>
      <c r="E15" s="27">
        <f t="shared" si="0"/>
        <v>-0.60384247029466742</v>
      </c>
    </row>
    <row r="16" spans="1:10" x14ac:dyDescent="0.4">
      <c r="A16" s="3">
        <v>45520</v>
      </c>
      <c r="B16" s="2" t="s">
        <v>3</v>
      </c>
      <c r="C16" s="2">
        <v>617.6</v>
      </c>
      <c r="D16" s="26">
        <f t="shared" si="1"/>
        <v>2.1604768311981923E-2</v>
      </c>
      <c r="E16" s="27">
        <f t="shared" si="0"/>
        <v>5.4444016146194443</v>
      </c>
    </row>
    <row r="17" spans="1:5" x14ac:dyDescent="0.4">
      <c r="A17" s="3">
        <v>45523</v>
      </c>
      <c r="B17" s="2" t="s">
        <v>3</v>
      </c>
      <c r="C17" s="2">
        <v>621.29999999999995</v>
      </c>
      <c r="D17" s="26">
        <f t="shared" si="1"/>
        <v>5.9730583590816635E-3</v>
      </c>
      <c r="E17" s="27">
        <f t="shared" si="0"/>
        <v>1.5052107064885791</v>
      </c>
    </row>
    <row r="18" spans="1:5" x14ac:dyDescent="0.4">
      <c r="A18" s="3">
        <v>45524</v>
      </c>
      <c r="B18" s="2" t="s">
        <v>3</v>
      </c>
      <c r="C18" s="2">
        <v>623.1</v>
      </c>
      <c r="D18" s="26">
        <f t="shared" si="1"/>
        <v>2.8929624805281743E-3</v>
      </c>
      <c r="E18" s="27">
        <f t="shared" si="0"/>
        <v>0.72902654509309994</v>
      </c>
    </row>
    <row r="19" spans="1:5" x14ac:dyDescent="0.4">
      <c r="A19" s="3">
        <v>45525</v>
      </c>
      <c r="B19" s="2" t="s">
        <v>3</v>
      </c>
      <c r="C19" s="2">
        <v>634.35</v>
      </c>
      <c r="D19" s="26">
        <f t="shared" si="1"/>
        <v>1.7893833036430992E-2</v>
      </c>
      <c r="E19" s="27">
        <f t="shared" si="0"/>
        <v>4.5092459251806103</v>
      </c>
    </row>
    <row r="20" spans="1:5" x14ac:dyDescent="0.4">
      <c r="A20" s="3">
        <v>45526</v>
      </c>
      <c r="B20" s="2" t="s">
        <v>3</v>
      </c>
      <c r="C20" s="2">
        <v>646.15</v>
      </c>
      <c r="D20" s="26">
        <f t="shared" si="1"/>
        <v>1.8430822384593086E-2</v>
      </c>
      <c r="E20" s="27">
        <f t="shared" si="0"/>
        <v>4.6445672409174579</v>
      </c>
    </row>
    <row r="21" spans="1:5" x14ac:dyDescent="0.4">
      <c r="A21" s="3">
        <v>45527</v>
      </c>
      <c r="B21" s="2" t="s">
        <v>3</v>
      </c>
      <c r="C21" s="2">
        <v>643.25</v>
      </c>
      <c r="D21" s="26">
        <f t="shared" si="1"/>
        <v>-4.4982238093468447E-3</v>
      </c>
      <c r="E21" s="27">
        <f t="shared" si="0"/>
        <v>-1.1335523999554049</v>
      </c>
    </row>
    <row r="22" spans="1:5" x14ac:dyDescent="0.4">
      <c r="A22" s="3">
        <v>45530</v>
      </c>
      <c r="B22" s="2" t="s">
        <v>3</v>
      </c>
      <c r="C22" s="2">
        <v>654.54999999999995</v>
      </c>
      <c r="D22" s="26">
        <f t="shared" si="1"/>
        <v>1.7414525464254427E-2</v>
      </c>
      <c r="E22" s="27">
        <f t="shared" si="0"/>
        <v>4.3884604169921158</v>
      </c>
    </row>
    <row r="23" spans="1:5" x14ac:dyDescent="0.4">
      <c r="A23" s="3">
        <v>45531</v>
      </c>
      <c r="B23" s="2" t="s">
        <v>3</v>
      </c>
      <c r="C23" s="2">
        <v>643.4</v>
      </c>
      <c r="D23" s="26">
        <f t="shared" si="1"/>
        <v>-1.7181361821182021E-2</v>
      </c>
      <c r="E23" s="27">
        <f t="shared" si="0"/>
        <v>-4.3297031789378693</v>
      </c>
    </row>
    <row r="24" spans="1:5" x14ac:dyDescent="0.4">
      <c r="A24" s="3">
        <v>45532</v>
      </c>
      <c r="B24" s="2" t="s">
        <v>3</v>
      </c>
      <c r="C24" s="2">
        <v>644.4</v>
      </c>
      <c r="D24" s="26">
        <f t="shared" si="1"/>
        <v>1.5530364978932419E-3</v>
      </c>
      <c r="E24" s="27">
        <f t="shared" si="0"/>
        <v>0.39136519746909693</v>
      </c>
    </row>
    <row r="25" spans="1:5" x14ac:dyDescent="0.4">
      <c r="A25" s="3">
        <v>45533</v>
      </c>
      <c r="B25" s="2" t="s">
        <v>3</v>
      </c>
      <c r="C25" s="2">
        <v>644.15</v>
      </c>
      <c r="D25" s="26">
        <f t="shared" si="1"/>
        <v>-3.8803306528556008E-4</v>
      </c>
      <c r="E25" s="27">
        <f t="shared" si="0"/>
        <v>-9.7784332451961137E-2</v>
      </c>
    </row>
    <row r="26" spans="1:5" x14ac:dyDescent="0.4">
      <c r="A26" s="3">
        <v>45534</v>
      </c>
      <c r="B26" s="2" t="s">
        <v>3</v>
      </c>
      <c r="C26" s="2">
        <v>637.15</v>
      </c>
      <c r="D26" s="26">
        <f t="shared" si="1"/>
        <v>-1.0926511579245629E-2</v>
      </c>
      <c r="E26" s="27">
        <f t="shared" si="0"/>
        <v>-2.7534809179698985</v>
      </c>
    </row>
    <row r="27" spans="1:5" x14ac:dyDescent="0.4">
      <c r="A27" s="3">
        <v>45537</v>
      </c>
      <c r="B27" s="2" t="s">
        <v>3</v>
      </c>
      <c r="C27" s="2">
        <v>636.65</v>
      </c>
      <c r="D27" s="26">
        <f t="shared" si="1"/>
        <v>-7.8505263884363549E-4</v>
      </c>
      <c r="E27" s="27">
        <f t="shared" si="0"/>
        <v>-0.19783326498859616</v>
      </c>
    </row>
    <row r="28" spans="1:5" x14ac:dyDescent="0.4">
      <c r="A28" s="3">
        <v>45538</v>
      </c>
      <c r="B28" s="2" t="s">
        <v>3</v>
      </c>
      <c r="C28" s="2">
        <v>638.20000000000005</v>
      </c>
      <c r="D28" s="26">
        <f t="shared" si="1"/>
        <v>2.4316598246986766E-3</v>
      </c>
      <c r="E28" s="27">
        <f t="shared" si="0"/>
        <v>0.61277827582406652</v>
      </c>
    </row>
    <row r="29" spans="1:5" x14ac:dyDescent="0.4">
      <c r="A29" s="3">
        <v>45539</v>
      </c>
      <c r="B29" s="2" t="s">
        <v>3</v>
      </c>
      <c r="C29" s="2">
        <v>650.04999999999995</v>
      </c>
      <c r="D29" s="26">
        <f t="shared" si="1"/>
        <v>1.8397569164034535E-2</v>
      </c>
      <c r="E29" s="27">
        <f t="shared" si="0"/>
        <v>4.6361874293367027</v>
      </c>
    </row>
    <row r="30" spans="1:5" x14ac:dyDescent="0.4">
      <c r="A30" s="3">
        <v>45540</v>
      </c>
      <c r="B30" s="2" t="s">
        <v>3</v>
      </c>
      <c r="C30" s="2">
        <v>644.79999999999995</v>
      </c>
      <c r="D30" s="26">
        <f t="shared" si="1"/>
        <v>-8.1090918157591969E-3</v>
      </c>
      <c r="E30" s="27">
        <f t="shared" si="0"/>
        <v>-2.0434911375713174</v>
      </c>
    </row>
    <row r="31" spans="1:5" x14ac:dyDescent="0.4">
      <c r="A31" s="3">
        <v>45541</v>
      </c>
      <c r="B31" s="2" t="s">
        <v>3</v>
      </c>
      <c r="C31" s="2">
        <v>644.4</v>
      </c>
      <c r="D31" s="26">
        <f t="shared" si="1"/>
        <v>-6.2053988959914438E-4</v>
      </c>
      <c r="E31" s="27">
        <f t="shared" si="0"/>
        <v>-0.15637605217898437</v>
      </c>
    </row>
    <row r="32" spans="1:5" x14ac:dyDescent="0.4">
      <c r="A32" s="3">
        <v>45544</v>
      </c>
      <c r="B32" s="2" t="s">
        <v>3</v>
      </c>
      <c r="C32" s="2">
        <v>662.35</v>
      </c>
      <c r="D32" s="26">
        <f t="shared" si="1"/>
        <v>2.7474465827451316E-2</v>
      </c>
      <c r="E32" s="27">
        <f t="shared" si="0"/>
        <v>6.9235653885177317</v>
      </c>
    </row>
    <row r="33" spans="1:5" x14ac:dyDescent="0.4">
      <c r="A33" s="3">
        <v>45545</v>
      </c>
      <c r="B33" s="2" t="s">
        <v>3</v>
      </c>
      <c r="C33" s="2">
        <v>665.25</v>
      </c>
      <c r="D33" s="26">
        <f t="shared" si="1"/>
        <v>4.3687927275280159E-3</v>
      </c>
      <c r="E33" s="27">
        <f t="shared" si="0"/>
        <v>1.1009357673370601</v>
      </c>
    </row>
    <row r="34" spans="1:5" x14ac:dyDescent="0.4">
      <c r="A34" s="3">
        <v>45546</v>
      </c>
      <c r="B34" s="2" t="s">
        <v>3</v>
      </c>
      <c r="C34" s="2">
        <v>663.9</v>
      </c>
      <c r="D34" s="26">
        <f t="shared" si="1"/>
        <v>-2.0313741326849549E-3</v>
      </c>
      <c r="E34" s="27">
        <f t="shared" si="0"/>
        <v>-0.51190628143660866</v>
      </c>
    </row>
    <row r="35" spans="1:5" x14ac:dyDescent="0.4">
      <c r="A35" s="3">
        <v>45547</v>
      </c>
      <c r="B35" s="2" t="s">
        <v>3</v>
      </c>
      <c r="C35" s="2">
        <v>664.75</v>
      </c>
      <c r="D35" s="26">
        <f t="shared" si="1"/>
        <v>1.279494398015672E-3</v>
      </c>
      <c r="E35" s="27">
        <f t="shared" si="0"/>
        <v>0.32243258829994936</v>
      </c>
    </row>
    <row r="36" spans="1:5" x14ac:dyDescent="0.4">
      <c r="A36" s="3">
        <v>45548</v>
      </c>
      <c r="B36" s="2" t="s">
        <v>3</v>
      </c>
      <c r="C36" s="2">
        <v>660.9</v>
      </c>
      <c r="D36" s="26">
        <f t="shared" si="1"/>
        <v>-5.8084876467220659E-3</v>
      </c>
      <c r="E36" s="27">
        <f t="shared" si="0"/>
        <v>-1.4637388869739607</v>
      </c>
    </row>
    <row r="37" spans="1:5" x14ac:dyDescent="0.4">
      <c r="A37" s="3">
        <v>45551</v>
      </c>
      <c r="B37" s="2" t="s">
        <v>3</v>
      </c>
      <c r="C37" s="2">
        <v>661.35</v>
      </c>
      <c r="D37" s="26">
        <f t="shared" si="1"/>
        <v>6.806579956493609E-4</v>
      </c>
      <c r="E37" s="27">
        <f t="shared" si="0"/>
        <v>0.17152581490363894</v>
      </c>
    </row>
    <row r="38" spans="1:5" x14ac:dyDescent="0.4">
      <c r="A38" s="3">
        <v>45552</v>
      </c>
      <c r="B38" s="2" t="s">
        <v>3</v>
      </c>
      <c r="C38" s="2">
        <v>660.15</v>
      </c>
      <c r="D38" s="26">
        <f t="shared" si="1"/>
        <v>-1.8161185468463055E-3</v>
      </c>
      <c r="E38" s="27">
        <f t="shared" si="0"/>
        <v>-0.45766187380526896</v>
      </c>
    </row>
    <row r="39" spans="1:5" x14ac:dyDescent="0.4">
      <c r="A39" s="3">
        <v>45553</v>
      </c>
      <c r="B39" s="2" t="s">
        <v>3</v>
      </c>
      <c r="C39" s="2">
        <v>654.4</v>
      </c>
      <c r="D39" s="26">
        <f t="shared" si="1"/>
        <v>-8.7482966366728247E-3</v>
      </c>
      <c r="E39" s="27">
        <f t="shared" si="0"/>
        <v>-2.2045707524415517</v>
      </c>
    </row>
    <row r="40" spans="1:5" x14ac:dyDescent="0.4">
      <c r="A40" s="3">
        <v>45554</v>
      </c>
      <c r="B40" s="2" t="s">
        <v>3</v>
      </c>
      <c r="C40" s="2">
        <v>664.7</v>
      </c>
      <c r="D40" s="26">
        <f t="shared" si="1"/>
        <v>1.5617025758999004E-2</v>
      </c>
      <c r="E40" s="27">
        <f t="shared" si="0"/>
        <v>3.9354904912677489</v>
      </c>
    </row>
    <row r="41" spans="1:5" x14ac:dyDescent="0.4">
      <c r="A41" s="3">
        <v>45555</v>
      </c>
      <c r="B41" s="2" t="s">
        <v>3</v>
      </c>
      <c r="C41" s="2">
        <v>667.55</v>
      </c>
      <c r="D41" s="26">
        <f t="shared" si="1"/>
        <v>4.2784827885676549E-3</v>
      </c>
      <c r="E41" s="27">
        <f t="shared" si="0"/>
        <v>1.0781776627190491</v>
      </c>
    </row>
    <row r="42" spans="1:5" x14ac:dyDescent="0.4">
      <c r="A42" s="3">
        <v>45558</v>
      </c>
      <c r="B42" s="2" t="s">
        <v>3</v>
      </c>
      <c r="C42" s="2">
        <v>661.05</v>
      </c>
      <c r="D42" s="26">
        <f t="shared" si="1"/>
        <v>-9.7848138799982703E-3</v>
      </c>
      <c r="E42" s="27">
        <f t="shared" si="0"/>
        <v>-2.465773097759564</v>
      </c>
    </row>
    <row r="43" spans="1:5" x14ac:dyDescent="0.4">
      <c r="A43" s="3">
        <v>45559</v>
      </c>
      <c r="B43" s="2" t="s">
        <v>3</v>
      </c>
      <c r="C43" s="2">
        <v>655.85</v>
      </c>
      <c r="D43" s="26">
        <f t="shared" si="1"/>
        <v>-7.8973756949509196E-3</v>
      </c>
      <c r="E43" s="27">
        <f t="shared" si="0"/>
        <v>-1.9901386751276318</v>
      </c>
    </row>
    <row r="44" spans="1:5" x14ac:dyDescent="0.4">
      <c r="A44" s="3">
        <v>45560</v>
      </c>
      <c r="B44" s="2" t="s">
        <v>3</v>
      </c>
      <c r="C44" s="2">
        <v>627</v>
      </c>
      <c r="D44" s="26">
        <f t="shared" si="1"/>
        <v>-4.498556362823404E-2</v>
      </c>
      <c r="E44" s="27">
        <f t="shared" si="0"/>
        <v>-11.336362034314979</v>
      </c>
    </row>
    <row r="45" spans="1:5" x14ac:dyDescent="0.4">
      <c r="A45" s="3">
        <v>45561</v>
      </c>
      <c r="B45" s="2" t="s">
        <v>3</v>
      </c>
      <c r="C45" s="2">
        <v>625.75</v>
      </c>
      <c r="D45" s="26">
        <f t="shared" si="1"/>
        <v>-1.9956103210370456E-3</v>
      </c>
      <c r="E45" s="27">
        <f t="shared" si="0"/>
        <v>-0.50289380090133551</v>
      </c>
    </row>
    <row r="46" spans="1:5" x14ac:dyDescent="0.4">
      <c r="A46" s="3">
        <v>45562</v>
      </c>
      <c r="B46" s="2" t="s">
        <v>3</v>
      </c>
      <c r="C46" s="2">
        <v>633</v>
      </c>
      <c r="D46" s="26">
        <f t="shared" si="1"/>
        <v>1.1519491832292509E-2</v>
      </c>
      <c r="E46" s="27">
        <f t="shared" si="0"/>
        <v>2.9029119417377123</v>
      </c>
    </row>
    <row r="47" spans="1:5" x14ac:dyDescent="0.4">
      <c r="A47" s="3">
        <v>45565</v>
      </c>
      <c r="B47" s="2" t="s">
        <v>3</v>
      </c>
      <c r="C47" s="2">
        <v>625.20000000000005</v>
      </c>
      <c r="D47" s="26">
        <f t="shared" si="1"/>
        <v>-1.2398823596854546E-2</v>
      </c>
      <c r="E47" s="27">
        <f t="shared" si="0"/>
        <v>-3.1245035464073458</v>
      </c>
    </row>
    <row r="48" spans="1:5" x14ac:dyDescent="0.4">
      <c r="A48" s="3">
        <v>45566</v>
      </c>
      <c r="B48" s="2" t="s">
        <v>3</v>
      </c>
      <c r="C48" s="2">
        <v>619</v>
      </c>
      <c r="D48" s="26">
        <f t="shared" si="1"/>
        <v>-9.966325862725495E-3</v>
      </c>
      <c r="E48" s="27">
        <f t="shared" si="0"/>
        <v>-2.5115141174068247</v>
      </c>
    </row>
    <row r="49" spans="1:5" x14ac:dyDescent="0.4">
      <c r="A49" s="3">
        <v>45568</v>
      </c>
      <c r="B49" s="2" t="s">
        <v>3</v>
      </c>
      <c r="C49" s="2">
        <v>580.20000000000005</v>
      </c>
      <c r="D49" s="26">
        <f t="shared" si="1"/>
        <v>-6.4732400997292425E-2</v>
      </c>
      <c r="E49" s="27">
        <f t="shared" si="0"/>
        <v>-16.312565051317691</v>
      </c>
    </row>
    <row r="50" spans="1:5" x14ac:dyDescent="0.4">
      <c r="A50" s="3">
        <v>45569</v>
      </c>
      <c r="B50" s="2" t="s">
        <v>3</v>
      </c>
      <c r="C50" s="2">
        <v>572.45000000000005</v>
      </c>
      <c r="D50" s="26">
        <f t="shared" si="1"/>
        <v>-1.344747631748227E-2</v>
      </c>
      <c r="E50" s="27">
        <f t="shared" si="0"/>
        <v>-3.3887640320055321</v>
      </c>
    </row>
    <row r="51" spans="1:5" x14ac:dyDescent="0.4">
      <c r="A51" s="3">
        <v>45572</v>
      </c>
      <c r="B51" s="2" t="s">
        <v>3</v>
      </c>
      <c r="C51" s="2">
        <v>569.4</v>
      </c>
      <c r="D51" s="26">
        <f t="shared" si="1"/>
        <v>-5.3422205258843065E-3</v>
      </c>
      <c r="E51" s="27">
        <f t="shared" si="0"/>
        <v>-1.3462395725228453</v>
      </c>
    </row>
    <row r="52" spans="1:5" x14ac:dyDescent="0.4">
      <c r="A52" s="3">
        <v>45573</v>
      </c>
      <c r="B52" s="2" t="s">
        <v>3</v>
      </c>
      <c r="C52" s="2">
        <v>567.35</v>
      </c>
      <c r="D52" s="26">
        <f t="shared" si="1"/>
        <v>-3.606777606938668E-3</v>
      </c>
      <c r="E52" s="27">
        <f t="shared" si="0"/>
        <v>-0.90890795694854432</v>
      </c>
    </row>
    <row r="53" spans="1:5" x14ac:dyDescent="0.4">
      <c r="A53" s="3">
        <v>45574</v>
      </c>
      <c r="B53" s="2" t="s">
        <v>3</v>
      </c>
      <c r="C53" s="2">
        <v>565.04999999999995</v>
      </c>
      <c r="D53" s="26">
        <f t="shared" si="1"/>
        <v>-4.0621744308387189E-3</v>
      </c>
      <c r="E53" s="27">
        <f t="shared" si="0"/>
        <v>-1.0236679565713571</v>
      </c>
    </row>
    <row r="54" spans="1:5" x14ac:dyDescent="0.4">
      <c r="A54" s="3">
        <v>45575</v>
      </c>
      <c r="B54" s="2" t="s">
        <v>3</v>
      </c>
      <c r="C54" s="2">
        <v>571.70000000000005</v>
      </c>
      <c r="D54" s="26">
        <f t="shared" si="1"/>
        <v>1.1700155463765936E-2</v>
      </c>
      <c r="E54" s="27">
        <f t="shared" si="0"/>
        <v>2.9484391768690159</v>
      </c>
    </row>
    <row r="55" spans="1:5" x14ac:dyDescent="0.4">
      <c r="A55" s="3">
        <v>45576</v>
      </c>
      <c r="B55" s="2" t="s">
        <v>3</v>
      </c>
      <c r="C55" s="2">
        <v>570.85</v>
      </c>
      <c r="D55" s="26">
        <f t="shared" si="1"/>
        <v>-1.4879001475894813E-3</v>
      </c>
      <c r="E55" s="27">
        <f t="shared" si="0"/>
        <v>-0.37495083719254929</v>
      </c>
    </row>
    <row r="56" spans="1:5" x14ac:dyDescent="0.4">
      <c r="A56" s="3">
        <v>45579</v>
      </c>
      <c r="B56" s="2" t="s">
        <v>3</v>
      </c>
      <c r="C56" s="2">
        <v>567.29999999999995</v>
      </c>
      <c r="D56" s="26">
        <f t="shared" si="1"/>
        <v>-6.238213789814818E-3</v>
      </c>
      <c r="E56" s="27">
        <f t="shared" si="0"/>
        <v>-1.5720298750333341</v>
      </c>
    </row>
    <row r="57" spans="1:5" x14ac:dyDescent="0.4">
      <c r="A57" s="3">
        <v>45580</v>
      </c>
      <c r="B57" s="2" t="s">
        <v>3</v>
      </c>
      <c r="C57" s="2">
        <v>571</v>
      </c>
      <c r="D57" s="26">
        <f t="shared" si="1"/>
        <v>6.5009453234888496E-3</v>
      </c>
      <c r="E57" s="27">
        <f t="shared" si="0"/>
        <v>1.6382382215191902</v>
      </c>
    </row>
    <row r="58" spans="1:5" x14ac:dyDescent="0.4">
      <c r="A58" s="3">
        <v>45581</v>
      </c>
      <c r="B58" s="2" t="s">
        <v>3</v>
      </c>
      <c r="C58" s="2">
        <v>578.29999999999995</v>
      </c>
      <c r="D58" s="26">
        <f t="shared" si="1"/>
        <v>1.2703555508162262E-2</v>
      </c>
      <c r="E58" s="27">
        <f t="shared" si="0"/>
        <v>3.2012959880568901</v>
      </c>
    </row>
    <row r="59" spans="1:5" x14ac:dyDescent="0.4">
      <c r="A59" s="3">
        <v>45582</v>
      </c>
      <c r="B59" s="2" t="s">
        <v>3</v>
      </c>
      <c r="C59" s="2">
        <v>572.54999999999995</v>
      </c>
      <c r="D59" s="26">
        <f t="shared" si="1"/>
        <v>-9.9926973048240983E-3</v>
      </c>
      <c r="E59" s="27">
        <f t="shared" si="0"/>
        <v>-2.5181597208156727</v>
      </c>
    </row>
    <row r="60" spans="1:5" x14ac:dyDescent="0.4">
      <c r="A60" s="3">
        <v>45583</v>
      </c>
      <c r="B60" s="2" t="s">
        <v>3</v>
      </c>
      <c r="C60" s="2">
        <v>571.4</v>
      </c>
      <c r="D60" s="26">
        <f t="shared" si="1"/>
        <v>-2.0105780626757282E-3</v>
      </c>
      <c r="E60" s="27">
        <f t="shared" si="0"/>
        <v>-0.50666567179428346</v>
      </c>
    </row>
    <row r="61" spans="1:5" x14ac:dyDescent="0.4">
      <c r="A61" s="3">
        <v>45586</v>
      </c>
      <c r="B61" s="2" t="s">
        <v>3</v>
      </c>
      <c r="C61" s="2">
        <v>568.20000000000005</v>
      </c>
      <c r="D61" s="26">
        <f t="shared" si="1"/>
        <v>-5.6160203765850273E-3</v>
      </c>
      <c r="E61" s="27">
        <f t="shared" si="0"/>
        <v>-1.4152371348994268</v>
      </c>
    </row>
    <row r="62" spans="1:5" x14ac:dyDescent="0.4">
      <c r="A62" s="3">
        <v>45587</v>
      </c>
      <c r="B62" s="2" t="s">
        <v>3</v>
      </c>
      <c r="C62" s="2">
        <v>559.1</v>
      </c>
      <c r="D62" s="26">
        <f t="shared" si="1"/>
        <v>-1.6145121387487926E-2</v>
      </c>
      <c r="E62" s="27">
        <f t="shared" si="0"/>
        <v>-4.0685705896469573</v>
      </c>
    </row>
    <row r="63" spans="1:5" x14ac:dyDescent="0.4">
      <c r="A63" s="3">
        <v>45588</v>
      </c>
      <c r="B63" s="2" t="s">
        <v>3</v>
      </c>
      <c r="C63" s="2">
        <v>558.70000000000005</v>
      </c>
      <c r="D63" s="26">
        <f t="shared" si="1"/>
        <v>-7.156915674964414E-4</v>
      </c>
      <c r="E63" s="27">
        <f t="shared" si="0"/>
        <v>-0.18035427500910323</v>
      </c>
    </row>
    <row r="64" spans="1:5" x14ac:dyDescent="0.4">
      <c r="A64" s="3">
        <v>45589</v>
      </c>
      <c r="B64" s="2" t="s">
        <v>3</v>
      </c>
      <c r="C64" s="2">
        <v>541</v>
      </c>
      <c r="D64" s="26">
        <f t="shared" si="1"/>
        <v>-3.2193377618621614E-2</v>
      </c>
      <c r="E64" s="27">
        <f t="shared" si="0"/>
        <v>-8.1127311598926468</v>
      </c>
    </row>
    <row r="65" spans="1:5" x14ac:dyDescent="0.4">
      <c r="A65" s="3">
        <v>45590</v>
      </c>
      <c r="B65" s="2" t="s">
        <v>3</v>
      </c>
      <c r="C65" s="2">
        <v>538.70000000000005</v>
      </c>
      <c r="D65" s="26">
        <f t="shared" si="1"/>
        <v>-4.2604491599934156E-3</v>
      </c>
      <c r="E65" s="27">
        <f t="shared" si="0"/>
        <v>-1.0736331883183408</v>
      </c>
    </row>
    <row r="66" spans="1:5" x14ac:dyDescent="0.4">
      <c r="A66" s="3">
        <v>45593</v>
      </c>
      <c r="B66" s="2" t="s">
        <v>3</v>
      </c>
      <c r="C66" s="2">
        <v>553.70000000000005</v>
      </c>
      <c r="D66" s="26">
        <f t="shared" si="1"/>
        <v>2.7464194142433351E-2</v>
      </c>
      <c r="E66" s="27">
        <f t="shared" si="0"/>
        <v>6.9209769238932042</v>
      </c>
    </row>
    <row r="67" spans="1:5" x14ac:dyDescent="0.4">
      <c r="A67" s="3">
        <v>45594</v>
      </c>
      <c r="B67" s="2" t="s">
        <v>3</v>
      </c>
      <c r="C67" s="2">
        <v>535.85</v>
      </c>
      <c r="D67" s="26">
        <f t="shared" si="1"/>
        <v>-3.2768752669915413E-2</v>
      </c>
      <c r="E67" s="27">
        <f t="shared" ref="E67:E130" si="2">D67*252</f>
        <v>-8.2577256728186832</v>
      </c>
    </row>
    <row r="68" spans="1:5" x14ac:dyDescent="0.4">
      <c r="A68" s="3">
        <v>45595</v>
      </c>
      <c r="B68" s="2" t="s">
        <v>3</v>
      </c>
      <c r="C68" s="2">
        <v>546.65</v>
      </c>
      <c r="D68" s="26">
        <f t="shared" ref="D68:D131" si="3">LN(C68/C67)</f>
        <v>1.9954472721487555E-2</v>
      </c>
      <c r="E68" s="27">
        <f t="shared" si="2"/>
        <v>5.0285271258148638</v>
      </c>
    </row>
    <row r="69" spans="1:5" x14ac:dyDescent="0.4">
      <c r="A69" s="3">
        <v>45596</v>
      </c>
      <c r="B69" s="2" t="s">
        <v>3</v>
      </c>
      <c r="C69" s="2">
        <v>540</v>
      </c>
      <c r="D69" s="26">
        <f t="shared" si="3"/>
        <v>-1.2239604322173657E-2</v>
      </c>
      <c r="E69" s="27">
        <f t="shared" si="2"/>
        <v>-3.0843802891877616</v>
      </c>
    </row>
    <row r="70" spans="1:5" x14ac:dyDescent="0.4">
      <c r="A70" s="3">
        <v>45597</v>
      </c>
      <c r="B70" s="2" t="s">
        <v>3</v>
      </c>
      <c r="C70" s="2">
        <v>542.54999999999995</v>
      </c>
      <c r="D70" s="26">
        <f t="shared" si="3"/>
        <v>4.711107507896428E-3</v>
      </c>
      <c r="E70" s="27">
        <f t="shared" si="2"/>
        <v>1.1871990919898998</v>
      </c>
    </row>
    <row r="71" spans="1:5" x14ac:dyDescent="0.4">
      <c r="A71" s="3">
        <v>45600</v>
      </c>
      <c r="B71" s="2" t="s">
        <v>3</v>
      </c>
      <c r="C71" s="2">
        <v>534.95000000000005</v>
      </c>
      <c r="D71" s="26">
        <f t="shared" si="3"/>
        <v>-1.410696248160094E-2</v>
      </c>
      <c r="E71" s="27">
        <f t="shared" si="2"/>
        <v>-3.554954545363437</v>
      </c>
    </row>
    <row r="72" spans="1:5" x14ac:dyDescent="0.4">
      <c r="A72" s="3">
        <v>45601</v>
      </c>
      <c r="B72" s="2" t="s">
        <v>3</v>
      </c>
      <c r="C72" s="2">
        <v>534.85</v>
      </c>
      <c r="D72" s="26">
        <f t="shared" si="3"/>
        <v>-1.869508324757374E-4</v>
      </c>
      <c r="E72" s="27">
        <f t="shared" si="2"/>
        <v>-4.7111609783885823E-2</v>
      </c>
    </row>
    <row r="73" spans="1:5" x14ac:dyDescent="0.4">
      <c r="A73" s="3">
        <v>45602</v>
      </c>
      <c r="B73" s="2" t="s">
        <v>3</v>
      </c>
      <c r="C73" s="2">
        <v>539.6</v>
      </c>
      <c r="D73" s="26">
        <f t="shared" si="3"/>
        <v>8.8417905814610117E-3</v>
      </c>
      <c r="E73" s="27">
        <f t="shared" si="2"/>
        <v>2.2281312265281747</v>
      </c>
    </row>
    <row r="74" spans="1:5" x14ac:dyDescent="0.4">
      <c r="A74" s="3">
        <v>45603</v>
      </c>
      <c r="B74" s="2" t="s">
        <v>3</v>
      </c>
      <c r="C74" s="2">
        <v>534.5</v>
      </c>
      <c r="D74" s="26">
        <f t="shared" si="3"/>
        <v>-9.4963938685009575E-3</v>
      </c>
      <c r="E74" s="27">
        <f t="shared" si="2"/>
        <v>-2.3930912548622412</v>
      </c>
    </row>
    <row r="75" spans="1:5" x14ac:dyDescent="0.4">
      <c r="A75" s="3">
        <v>45604</v>
      </c>
      <c r="B75" s="2" t="s">
        <v>3</v>
      </c>
      <c r="C75" s="2">
        <v>531.5</v>
      </c>
      <c r="D75" s="26">
        <f t="shared" si="3"/>
        <v>-5.6285326830972735E-3</v>
      </c>
      <c r="E75" s="27">
        <f t="shared" si="2"/>
        <v>-1.418390236140513</v>
      </c>
    </row>
    <row r="76" spans="1:5" x14ac:dyDescent="0.4">
      <c r="A76" s="3">
        <v>45607</v>
      </c>
      <c r="B76" s="2" t="s">
        <v>3</v>
      </c>
      <c r="C76" s="2">
        <v>522.75</v>
      </c>
      <c r="D76" s="26">
        <f t="shared" si="3"/>
        <v>-1.659985947325968E-2</v>
      </c>
      <c r="E76" s="27">
        <f t="shared" si="2"/>
        <v>-4.1831645872614391</v>
      </c>
    </row>
    <row r="77" spans="1:5" x14ac:dyDescent="0.4">
      <c r="A77" s="3">
        <v>45608</v>
      </c>
      <c r="B77" s="2" t="s">
        <v>3</v>
      </c>
      <c r="C77" s="2">
        <v>510.5</v>
      </c>
      <c r="D77" s="26">
        <f t="shared" si="3"/>
        <v>-2.3712700704022715E-2</v>
      </c>
      <c r="E77" s="27">
        <f t="shared" si="2"/>
        <v>-5.975600577413724</v>
      </c>
    </row>
    <row r="78" spans="1:5" x14ac:dyDescent="0.4">
      <c r="A78" s="3">
        <v>45609</v>
      </c>
      <c r="B78" s="2" t="s">
        <v>3</v>
      </c>
      <c r="C78" s="2">
        <v>510.85</v>
      </c>
      <c r="D78" s="26">
        <f t="shared" si="3"/>
        <v>6.853674327125382E-4</v>
      </c>
      <c r="E78" s="27">
        <f t="shared" si="2"/>
        <v>0.17271259304355963</v>
      </c>
    </row>
    <row r="79" spans="1:5" x14ac:dyDescent="0.4">
      <c r="A79" s="3">
        <v>45610</v>
      </c>
      <c r="B79" s="2" t="s">
        <v>3</v>
      </c>
      <c r="C79" s="2">
        <v>508.1</v>
      </c>
      <c r="D79" s="26">
        <f t="shared" si="3"/>
        <v>-5.3977264377464583E-3</v>
      </c>
      <c r="E79" s="27">
        <f t="shared" si="2"/>
        <v>-1.3602270623121075</v>
      </c>
    </row>
    <row r="80" spans="1:5" x14ac:dyDescent="0.4">
      <c r="A80" s="3">
        <v>45614</v>
      </c>
      <c r="B80" s="2" t="s">
        <v>3</v>
      </c>
      <c r="C80" s="2">
        <v>508.5</v>
      </c>
      <c r="D80" s="26">
        <f t="shared" si="3"/>
        <v>7.8693688892837526E-4</v>
      </c>
      <c r="E80" s="27">
        <f t="shared" si="2"/>
        <v>0.19830809600995056</v>
      </c>
    </row>
    <row r="81" spans="1:5" x14ac:dyDescent="0.4">
      <c r="A81" s="3">
        <v>45615</v>
      </c>
      <c r="B81" s="2" t="s">
        <v>3</v>
      </c>
      <c r="C81" s="2">
        <v>508.2</v>
      </c>
      <c r="D81" s="26">
        <f t="shared" si="3"/>
        <v>-5.9014460255091804E-4</v>
      </c>
      <c r="E81" s="27">
        <f t="shared" si="2"/>
        <v>-0.14871643984283134</v>
      </c>
    </row>
    <row r="82" spans="1:5" x14ac:dyDescent="0.4">
      <c r="A82" s="3">
        <v>45617</v>
      </c>
      <c r="B82" s="2" t="s">
        <v>3</v>
      </c>
      <c r="C82" s="2">
        <v>505.75</v>
      </c>
      <c r="D82" s="26">
        <f t="shared" si="3"/>
        <v>-4.8325948382088287E-3</v>
      </c>
      <c r="E82" s="27">
        <f t="shared" si="2"/>
        <v>-1.2178138992286249</v>
      </c>
    </row>
    <row r="83" spans="1:5" x14ac:dyDescent="0.4">
      <c r="A83" s="3">
        <v>45618</v>
      </c>
      <c r="B83" s="2" t="s">
        <v>3</v>
      </c>
      <c r="C83" s="2">
        <v>513</v>
      </c>
      <c r="D83" s="26">
        <f t="shared" si="3"/>
        <v>1.4233369122914778E-2</v>
      </c>
      <c r="E83" s="27">
        <f t="shared" si="2"/>
        <v>3.5868090189745243</v>
      </c>
    </row>
    <row r="84" spans="1:5" x14ac:dyDescent="0.4">
      <c r="A84" s="3">
        <v>45621</v>
      </c>
      <c r="B84" s="2" t="s">
        <v>3</v>
      </c>
      <c r="C84" s="2">
        <v>521.5</v>
      </c>
      <c r="D84" s="26">
        <f t="shared" si="3"/>
        <v>1.6433429270057628E-2</v>
      </c>
      <c r="E84" s="27">
        <f t="shared" si="2"/>
        <v>4.1412241760545223</v>
      </c>
    </row>
    <row r="85" spans="1:5" x14ac:dyDescent="0.4">
      <c r="A85" s="3">
        <v>45622</v>
      </c>
      <c r="B85" s="2" t="s">
        <v>3</v>
      </c>
      <c r="C85" s="2">
        <v>525.35</v>
      </c>
      <c r="D85" s="26">
        <f t="shared" si="3"/>
        <v>7.3554326939571073E-3</v>
      </c>
      <c r="E85" s="27">
        <f t="shared" si="2"/>
        <v>1.853569038877191</v>
      </c>
    </row>
    <row r="86" spans="1:5" x14ac:dyDescent="0.4">
      <c r="A86" s="3">
        <v>45623</v>
      </c>
      <c r="B86" s="2" t="s">
        <v>3</v>
      </c>
      <c r="C86" s="2">
        <v>527.5</v>
      </c>
      <c r="D86" s="26">
        <f t="shared" si="3"/>
        <v>4.0841582154373416E-3</v>
      </c>
      <c r="E86" s="27">
        <f t="shared" si="2"/>
        <v>1.0292078702902101</v>
      </c>
    </row>
    <row r="87" spans="1:5" x14ac:dyDescent="0.4">
      <c r="A87" s="3">
        <v>45624</v>
      </c>
      <c r="B87" s="2" t="s">
        <v>3</v>
      </c>
      <c r="C87" s="2">
        <v>526</v>
      </c>
      <c r="D87" s="26">
        <f t="shared" si="3"/>
        <v>-2.8476526125117297E-3</v>
      </c>
      <c r="E87" s="27">
        <f t="shared" si="2"/>
        <v>-0.71760845835295584</v>
      </c>
    </row>
    <row r="88" spans="1:5" x14ac:dyDescent="0.4">
      <c r="A88" s="3">
        <v>45625</v>
      </c>
      <c r="B88" s="2" t="s">
        <v>3</v>
      </c>
      <c r="C88" s="2">
        <v>527.15</v>
      </c>
      <c r="D88" s="26">
        <f t="shared" si="3"/>
        <v>2.1839252852487415E-3</v>
      </c>
      <c r="E88" s="27">
        <f t="shared" si="2"/>
        <v>0.55034917188268284</v>
      </c>
    </row>
    <row r="89" spans="1:5" x14ac:dyDescent="0.4">
      <c r="A89" s="3">
        <v>45628</v>
      </c>
      <c r="B89" s="2" t="s">
        <v>3</v>
      </c>
      <c r="C89" s="2">
        <v>523.9</v>
      </c>
      <c r="D89" s="26">
        <f t="shared" si="3"/>
        <v>-6.1843116087846569E-3</v>
      </c>
      <c r="E89" s="27">
        <f t="shared" si="2"/>
        <v>-1.5584465254137336</v>
      </c>
    </row>
    <row r="90" spans="1:5" x14ac:dyDescent="0.4">
      <c r="A90" s="3">
        <v>45629</v>
      </c>
      <c r="B90" s="2" t="s">
        <v>3</v>
      </c>
      <c r="C90" s="2">
        <v>522.54999999999995</v>
      </c>
      <c r="D90" s="26">
        <f t="shared" si="3"/>
        <v>-2.5801533736614255E-3</v>
      </c>
      <c r="E90" s="27">
        <f t="shared" si="2"/>
        <v>-0.65019865016267919</v>
      </c>
    </row>
    <row r="91" spans="1:5" x14ac:dyDescent="0.4">
      <c r="A91" s="3">
        <v>45630</v>
      </c>
      <c r="B91" s="2" t="s">
        <v>3</v>
      </c>
      <c r="C91" s="2">
        <v>522.79999999999995</v>
      </c>
      <c r="D91" s="26">
        <f t="shared" si="3"/>
        <v>4.7830870955424342E-4</v>
      </c>
      <c r="E91" s="27">
        <f t="shared" si="2"/>
        <v>0.12053379480766935</v>
      </c>
    </row>
    <row r="92" spans="1:5" x14ac:dyDescent="0.4">
      <c r="A92" s="3">
        <v>45631</v>
      </c>
      <c r="B92" s="2" t="s">
        <v>3</v>
      </c>
      <c r="C92" s="2">
        <v>523.15</v>
      </c>
      <c r="D92" s="26">
        <f t="shared" si="3"/>
        <v>6.6924807698935955E-4</v>
      </c>
      <c r="E92" s="27">
        <f t="shared" si="2"/>
        <v>0.16865051540131862</v>
      </c>
    </row>
    <row r="93" spans="1:5" x14ac:dyDescent="0.4">
      <c r="A93" s="3">
        <v>45632</v>
      </c>
      <c r="B93" s="2" t="s">
        <v>3</v>
      </c>
      <c r="C93" s="2">
        <v>523.79999999999995</v>
      </c>
      <c r="D93" s="26">
        <f t="shared" si="3"/>
        <v>1.2417022465551308E-3</v>
      </c>
      <c r="E93" s="27">
        <f t="shared" si="2"/>
        <v>0.31290896613189295</v>
      </c>
    </row>
    <row r="94" spans="1:5" x14ac:dyDescent="0.4">
      <c r="A94" s="3">
        <v>45635</v>
      </c>
      <c r="B94" s="2" t="s">
        <v>3</v>
      </c>
      <c r="C94" s="2">
        <v>506.85</v>
      </c>
      <c r="D94" s="26">
        <f t="shared" si="3"/>
        <v>-3.2894830245202761E-2</v>
      </c>
      <c r="E94" s="27">
        <f t="shared" si="2"/>
        <v>-8.2894972217910965</v>
      </c>
    </row>
    <row r="95" spans="1:5" x14ac:dyDescent="0.4">
      <c r="A95" s="3">
        <v>45636</v>
      </c>
      <c r="B95" s="2" t="s">
        <v>3</v>
      </c>
      <c r="C95" s="2">
        <v>506.95</v>
      </c>
      <c r="D95" s="26">
        <f t="shared" si="3"/>
        <v>1.9727757018007697E-4</v>
      </c>
      <c r="E95" s="27">
        <f t="shared" si="2"/>
        <v>4.9713947685379394E-2</v>
      </c>
    </row>
    <row r="96" spans="1:5" x14ac:dyDescent="0.4">
      <c r="A96" s="3">
        <v>45637</v>
      </c>
      <c r="B96" s="2" t="s">
        <v>3</v>
      </c>
      <c r="C96" s="2">
        <v>508.35</v>
      </c>
      <c r="D96" s="26">
        <f t="shared" si="3"/>
        <v>2.7578073225812921E-3</v>
      </c>
      <c r="E96" s="27">
        <f t="shared" si="2"/>
        <v>0.6949674452904856</v>
      </c>
    </row>
    <row r="97" spans="1:5" x14ac:dyDescent="0.4">
      <c r="A97" s="3">
        <v>45638</v>
      </c>
      <c r="B97" s="2" t="s">
        <v>3</v>
      </c>
      <c r="C97" s="2">
        <v>506.65</v>
      </c>
      <c r="D97" s="26">
        <f t="shared" si="3"/>
        <v>-3.3497568268435625E-3</v>
      </c>
      <c r="E97" s="27">
        <f t="shared" si="2"/>
        <v>-0.84413872036457771</v>
      </c>
    </row>
    <row r="98" spans="1:5" x14ac:dyDescent="0.4">
      <c r="A98" s="3">
        <v>45639</v>
      </c>
      <c r="B98" s="2" t="s">
        <v>3</v>
      </c>
      <c r="C98" s="2">
        <v>512.79999999999995</v>
      </c>
      <c r="D98" s="26">
        <f t="shared" si="3"/>
        <v>1.2065475712133782E-2</v>
      </c>
      <c r="E98" s="27">
        <f t="shared" si="2"/>
        <v>3.0404998794577129</v>
      </c>
    </row>
    <row r="99" spans="1:5" x14ac:dyDescent="0.4">
      <c r="A99" s="3">
        <v>45642</v>
      </c>
      <c r="B99" s="2" t="s">
        <v>3</v>
      </c>
      <c r="C99" s="2">
        <v>509.95</v>
      </c>
      <c r="D99" s="26">
        <f t="shared" si="3"/>
        <v>-5.5732239099330711E-3</v>
      </c>
      <c r="E99" s="27">
        <f t="shared" si="2"/>
        <v>-1.4044524253031339</v>
      </c>
    </row>
    <row r="100" spans="1:5" x14ac:dyDescent="0.4">
      <c r="A100" s="3">
        <v>45643</v>
      </c>
      <c r="B100" s="2" t="s">
        <v>3</v>
      </c>
      <c r="C100" s="2">
        <v>505.4</v>
      </c>
      <c r="D100" s="26">
        <f t="shared" si="3"/>
        <v>-8.9624867424333496E-3</v>
      </c>
      <c r="E100" s="27">
        <f t="shared" si="2"/>
        <v>-2.258546659093204</v>
      </c>
    </row>
    <row r="101" spans="1:5" x14ac:dyDescent="0.4">
      <c r="A101" s="3">
        <v>45644</v>
      </c>
      <c r="B101" s="2" t="s">
        <v>3</v>
      </c>
      <c r="C101" s="2">
        <v>505.4</v>
      </c>
      <c r="D101" s="26">
        <f t="shared" si="3"/>
        <v>0</v>
      </c>
      <c r="E101" s="27">
        <f t="shared" si="2"/>
        <v>0</v>
      </c>
    </row>
    <row r="102" spans="1:5" x14ac:dyDescent="0.4">
      <c r="A102" s="3">
        <v>45645</v>
      </c>
      <c r="B102" s="2" t="s">
        <v>3</v>
      </c>
      <c r="C102" s="2">
        <v>503.95</v>
      </c>
      <c r="D102" s="26">
        <f t="shared" si="3"/>
        <v>-2.873138153206941E-3</v>
      </c>
      <c r="E102" s="27">
        <f t="shared" si="2"/>
        <v>-0.72403081460814911</v>
      </c>
    </row>
    <row r="103" spans="1:5" x14ac:dyDescent="0.4">
      <c r="A103" s="3">
        <v>45646</v>
      </c>
      <c r="B103" s="2" t="s">
        <v>3</v>
      </c>
      <c r="C103" s="2">
        <v>502.55</v>
      </c>
      <c r="D103" s="26">
        <f t="shared" si="3"/>
        <v>-2.7819193301380067E-3</v>
      </c>
      <c r="E103" s="27">
        <f t="shared" si="2"/>
        <v>-0.70104367119477773</v>
      </c>
    </row>
    <row r="104" spans="1:5" x14ac:dyDescent="0.4">
      <c r="A104" s="3">
        <v>45649</v>
      </c>
      <c r="B104" s="2" t="s">
        <v>3</v>
      </c>
      <c r="C104" s="2">
        <v>509.5</v>
      </c>
      <c r="D104" s="26">
        <f t="shared" si="3"/>
        <v>1.3734715192030579E-2</v>
      </c>
      <c r="E104" s="27">
        <f t="shared" si="2"/>
        <v>3.4611482283917057</v>
      </c>
    </row>
    <row r="105" spans="1:5" x14ac:dyDescent="0.4">
      <c r="A105" s="3">
        <v>45650</v>
      </c>
      <c r="B105" s="2" t="s">
        <v>3</v>
      </c>
      <c r="C105" s="2">
        <v>509.95</v>
      </c>
      <c r="D105" s="26">
        <f t="shared" si="3"/>
        <v>8.8282903374772013E-4</v>
      </c>
      <c r="E105" s="27">
        <f t="shared" si="2"/>
        <v>0.22247291650442547</v>
      </c>
    </row>
    <row r="106" spans="1:5" x14ac:dyDescent="0.4">
      <c r="A106" s="3">
        <v>45652</v>
      </c>
      <c r="B106" s="2" t="s">
        <v>3</v>
      </c>
      <c r="C106" s="2">
        <v>505.6</v>
      </c>
      <c r="D106" s="26">
        <f t="shared" si="3"/>
        <v>-8.5668388638793641E-3</v>
      </c>
      <c r="E106" s="27">
        <f t="shared" si="2"/>
        <v>-2.1588433936975999</v>
      </c>
    </row>
    <row r="107" spans="1:5" x14ac:dyDescent="0.4">
      <c r="A107" s="3">
        <v>45653</v>
      </c>
      <c r="B107" s="2" t="s">
        <v>3</v>
      </c>
      <c r="C107" s="2">
        <v>507.15</v>
      </c>
      <c r="D107" s="26">
        <f t="shared" si="3"/>
        <v>3.0609749893569984E-3</v>
      </c>
      <c r="E107" s="27">
        <f t="shared" si="2"/>
        <v>0.77136569731796356</v>
      </c>
    </row>
    <row r="108" spans="1:5" x14ac:dyDescent="0.4">
      <c r="A108" s="3">
        <v>45656</v>
      </c>
      <c r="B108" s="2" t="s">
        <v>3</v>
      </c>
      <c r="C108" s="2">
        <v>505.25</v>
      </c>
      <c r="D108" s="26">
        <f t="shared" si="3"/>
        <v>-3.7534615382742724E-3</v>
      </c>
      <c r="E108" s="27">
        <f t="shared" si="2"/>
        <v>-0.94587230764511665</v>
      </c>
    </row>
    <row r="109" spans="1:5" x14ac:dyDescent="0.4">
      <c r="A109" s="3">
        <v>45657</v>
      </c>
      <c r="B109" s="2" t="s">
        <v>3</v>
      </c>
      <c r="C109" s="2">
        <v>507</v>
      </c>
      <c r="D109" s="26">
        <f t="shared" si="3"/>
        <v>3.4576473074527077E-3</v>
      </c>
      <c r="E109" s="27">
        <f t="shared" si="2"/>
        <v>0.87132712147808233</v>
      </c>
    </row>
    <row r="110" spans="1:5" x14ac:dyDescent="0.4">
      <c r="A110" s="3">
        <v>45658</v>
      </c>
      <c r="B110" s="2" t="s">
        <v>3</v>
      </c>
      <c r="C110" s="2">
        <v>510.95</v>
      </c>
      <c r="D110" s="26">
        <f t="shared" si="3"/>
        <v>7.7607344670349108E-3</v>
      </c>
      <c r="E110" s="27">
        <f t="shared" si="2"/>
        <v>1.9557050856927976</v>
      </c>
    </row>
    <row r="111" spans="1:5" x14ac:dyDescent="0.4">
      <c r="A111" s="3">
        <v>45659</v>
      </c>
      <c r="B111" s="2" t="s">
        <v>3</v>
      </c>
      <c r="C111" s="2">
        <v>513.35</v>
      </c>
      <c r="D111" s="26">
        <f t="shared" si="3"/>
        <v>4.6861356867557375E-3</v>
      </c>
      <c r="E111" s="27">
        <f t="shared" si="2"/>
        <v>1.1809061930624458</v>
      </c>
    </row>
    <row r="112" spans="1:5" x14ac:dyDescent="0.4">
      <c r="A112" s="3">
        <v>45660</v>
      </c>
      <c r="B112" s="2" t="s">
        <v>3</v>
      </c>
      <c r="C112" s="2">
        <v>524.9</v>
      </c>
      <c r="D112" s="26">
        <f t="shared" si="3"/>
        <v>2.2249894513280209E-2</v>
      </c>
      <c r="E112" s="27">
        <f t="shared" si="2"/>
        <v>5.6069734173466124</v>
      </c>
    </row>
    <row r="113" spans="1:5" x14ac:dyDescent="0.4">
      <c r="A113" s="3">
        <v>45663</v>
      </c>
      <c r="B113" s="2" t="s">
        <v>3</v>
      </c>
      <c r="C113" s="2">
        <v>504.85</v>
      </c>
      <c r="D113" s="26">
        <f t="shared" si="3"/>
        <v>-3.8946412807923901E-2</v>
      </c>
      <c r="E113" s="27">
        <f t="shared" si="2"/>
        <v>-9.8144960275968227</v>
      </c>
    </row>
    <row r="114" spans="1:5" x14ac:dyDescent="0.4">
      <c r="A114" s="3">
        <v>45664</v>
      </c>
      <c r="B114" s="2" t="s">
        <v>3</v>
      </c>
      <c r="C114" s="2">
        <v>508.85</v>
      </c>
      <c r="D114" s="26">
        <f t="shared" si="3"/>
        <v>7.8919221876104177E-3</v>
      </c>
      <c r="E114" s="27">
        <f t="shared" si="2"/>
        <v>1.9887643912778252</v>
      </c>
    </row>
    <row r="115" spans="1:5" x14ac:dyDescent="0.4">
      <c r="A115" s="3">
        <v>45665</v>
      </c>
      <c r="B115" s="2" t="s">
        <v>3</v>
      </c>
      <c r="C115" s="2">
        <v>513.75</v>
      </c>
      <c r="D115" s="26">
        <f t="shared" si="3"/>
        <v>9.5834881725037641E-3</v>
      </c>
      <c r="E115" s="27">
        <f t="shared" si="2"/>
        <v>2.4150390194709486</v>
      </c>
    </row>
    <row r="116" spans="1:5" x14ac:dyDescent="0.4">
      <c r="A116" s="3">
        <v>45666</v>
      </c>
      <c r="B116" s="2" t="s">
        <v>3</v>
      </c>
      <c r="C116" s="2">
        <v>521.15</v>
      </c>
      <c r="D116" s="26">
        <f t="shared" si="3"/>
        <v>1.4301142374886881E-2</v>
      </c>
      <c r="E116" s="27">
        <f t="shared" si="2"/>
        <v>3.6038878784714941</v>
      </c>
    </row>
    <row r="117" spans="1:5" x14ac:dyDescent="0.4">
      <c r="A117" s="3">
        <v>45667</v>
      </c>
      <c r="B117" s="2" t="s">
        <v>3</v>
      </c>
      <c r="C117" s="2">
        <v>517.9</v>
      </c>
      <c r="D117" s="26">
        <f t="shared" si="3"/>
        <v>-6.2557347554854821E-3</v>
      </c>
      <c r="E117" s="27">
        <f t="shared" si="2"/>
        <v>-1.5764451583823416</v>
      </c>
    </row>
    <row r="118" spans="1:5" x14ac:dyDescent="0.4">
      <c r="A118" s="3">
        <v>45670</v>
      </c>
      <c r="B118" s="2" t="s">
        <v>3</v>
      </c>
      <c r="C118" s="2">
        <v>510.75</v>
      </c>
      <c r="D118" s="26">
        <f t="shared" si="3"/>
        <v>-1.3901939732114283E-2</v>
      </c>
      <c r="E118" s="27">
        <f t="shared" si="2"/>
        <v>-3.5032888124927992</v>
      </c>
    </row>
    <row r="119" spans="1:5" x14ac:dyDescent="0.4">
      <c r="A119" s="3">
        <v>45671</v>
      </c>
      <c r="B119" s="2" t="s">
        <v>3</v>
      </c>
      <c r="C119" s="2">
        <v>512.5</v>
      </c>
      <c r="D119" s="26">
        <f t="shared" si="3"/>
        <v>3.4204773148317573E-3</v>
      </c>
      <c r="E119" s="27">
        <f t="shared" si="2"/>
        <v>0.86196028333760288</v>
      </c>
    </row>
    <row r="120" spans="1:5" x14ac:dyDescent="0.4">
      <c r="A120" s="3">
        <v>45672</v>
      </c>
      <c r="B120" s="2" t="s">
        <v>3</v>
      </c>
      <c r="C120" s="2">
        <v>515.5</v>
      </c>
      <c r="D120" s="26">
        <f t="shared" si="3"/>
        <v>5.8365924444513774E-3</v>
      </c>
      <c r="E120" s="27">
        <f t="shared" si="2"/>
        <v>1.470821296001747</v>
      </c>
    </row>
    <row r="121" spans="1:5" x14ac:dyDescent="0.4">
      <c r="A121" s="3">
        <v>45673</v>
      </c>
      <c r="B121" s="2" t="s">
        <v>3</v>
      </c>
      <c r="C121" s="2">
        <v>522.4</v>
      </c>
      <c r="D121" s="26">
        <f t="shared" si="3"/>
        <v>1.3296274505206613E-2</v>
      </c>
      <c r="E121" s="27">
        <f t="shared" si="2"/>
        <v>3.3506611753120663</v>
      </c>
    </row>
    <row r="122" spans="1:5" x14ac:dyDescent="0.4">
      <c r="A122" s="3">
        <v>45674</v>
      </c>
      <c r="B122" s="2" t="s">
        <v>3</v>
      </c>
      <c r="C122" s="2">
        <v>526.04999999999995</v>
      </c>
      <c r="D122" s="26">
        <f t="shared" si="3"/>
        <v>6.9626872920754684E-3</v>
      </c>
      <c r="E122" s="27">
        <f t="shared" si="2"/>
        <v>1.7545971976030181</v>
      </c>
    </row>
    <row r="123" spans="1:5" x14ac:dyDescent="0.4">
      <c r="A123" s="3">
        <v>45677</v>
      </c>
      <c r="B123" s="2" t="s">
        <v>3</v>
      </c>
      <c r="C123" s="2">
        <v>521.6</v>
      </c>
      <c r="D123" s="26">
        <f t="shared" si="3"/>
        <v>-8.4952546418534305E-3</v>
      </c>
      <c r="E123" s="27">
        <f t="shared" si="2"/>
        <v>-2.1408041697470646</v>
      </c>
    </row>
    <row r="124" spans="1:5" x14ac:dyDescent="0.4">
      <c r="A124" s="3">
        <v>45678</v>
      </c>
      <c r="B124" s="2" t="s">
        <v>3</v>
      </c>
      <c r="C124" s="2">
        <v>521.25</v>
      </c>
      <c r="D124" s="26">
        <f t="shared" si="3"/>
        <v>-6.7123749943205136E-4</v>
      </c>
      <c r="E124" s="27">
        <f t="shared" si="2"/>
        <v>-0.16915184985687695</v>
      </c>
    </row>
    <row r="125" spans="1:5" x14ac:dyDescent="0.4">
      <c r="A125" s="3">
        <v>45679</v>
      </c>
      <c r="B125" s="2" t="s">
        <v>3</v>
      </c>
      <c r="C125" s="2">
        <v>520.5</v>
      </c>
      <c r="D125" s="26">
        <f t="shared" si="3"/>
        <v>-1.4398850579876432E-3</v>
      </c>
      <c r="E125" s="27">
        <f t="shared" si="2"/>
        <v>-0.36285103461288609</v>
      </c>
    </row>
    <row r="126" spans="1:5" x14ac:dyDescent="0.4">
      <c r="A126" s="3">
        <v>45680</v>
      </c>
      <c r="B126" s="2" t="s">
        <v>3</v>
      </c>
      <c r="C126" s="2">
        <v>524.6</v>
      </c>
      <c r="D126" s="26">
        <f t="shared" si="3"/>
        <v>7.8461793777497863E-3</v>
      </c>
      <c r="E126" s="27">
        <f t="shared" si="2"/>
        <v>1.9772372031929462</v>
      </c>
    </row>
    <row r="127" spans="1:5" x14ac:dyDescent="0.4">
      <c r="A127" s="3">
        <v>45681</v>
      </c>
      <c r="B127" s="2" t="s">
        <v>3</v>
      </c>
      <c r="C127" s="2">
        <v>521.65</v>
      </c>
      <c r="D127" s="26">
        <f t="shared" si="3"/>
        <v>-5.6392025187950697E-3</v>
      </c>
      <c r="E127" s="27">
        <f t="shared" si="2"/>
        <v>-1.4210790347363575</v>
      </c>
    </row>
    <row r="128" spans="1:5" x14ac:dyDescent="0.4">
      <c r="A128" s="3">
        <v>45684</v>
      </c>
      <c r="B128" s="2" t="s">
        <v>3</v>
      </c>
      <c r="C128" s="2">
        <v>523.85</v>
      </c>
      <c r="D128" s="26">
        <f t="shared" si="3"/>
        <v>4.2085188849956138E-3</v>
      </c>
      <c r="E128" s="27">
        <f t="shared" si="2"/>
        <v>1.0605467590188946</v>
      </c>
    </row>
    <row r="129" spans="1:5" x14ac:dyDescent="0.4">
      <c r="A129" s="3">
        <v>45685</v>
      </c>
      <c r="B129" s="2" t="s">
        <v>3</v>
      </c>
      <c r="C129" s="2">
        <v>525.35</v>
      </c>
      <c r="D129" s="26">
        <f t="shared" si="3"/>
        <v>2.8593233358102398E-3</v>
      </c>
      <c r="E129" s="27">
        <f t="shared" si="2"/>
        <v>0.72054948062418045</v>
      </c>
    </row>
    <row r="130" spans="1:5" x14ac:dyDescent="0.4">
      <c r="A130" s="3">
        <v>45686</v>
      </c>
      <c r="B130" s="2" t="s">
        <v>3</v>
      </c>
      <c r="C130" s="2">
        <v>518.1</v>
      </c>
      <c r="D130" s="26">
        <f t="shared" si="3"/>
        <v>-1.3896433314041615E-2</v>
      </c>
      <c r="E130" s="27">
        <f t="shared" si="2"/>
        <v>-3.5019011951384869</v>
      </c>
    </row>
    <row r="131" spans="1:5" x14ac:dyDescent="0.4">
      <c r="A131" s="3">
        <v>45687</v>
      </c>
      <c r="B131" s="2" t="s">
        <v>3</v>
      </c>
      <c r="C131" s="2">
        <v>533.70000000000005</v>
      </c>
      <c r="D131" s="26">
        <f t="shared" si="3"/>
        <v>2.9665609519156595E-2</v>
      </c>
      <c r="E131" s="27">
        <f t="shared" ref="E131:E194" si="4">D131*252</f>
        <v>7.4757335988274622</v>
      </c>
    </row>
    <row r="132" spans="1:5" x14ac:dyDescent="0.4">
      <c r="A132" s="3">
        <v>45688</v>
      </c>
      <c r="B132" s="2" t="s">
        <v>3</v>
      </c>
      <c r="C132" s="2">
        <v>529.85</v>
      </c>
      <c r="D132" s="26">
        <f t="shared" ref="D132:D195" si="5">LN(C132/C131)</f>
        <v>-7.2399357190542366E-3</v>
      </c>
      <c r="E132" s="27">
        <f t="shared" si="4"/>
        <v>-1.8244638012016676</v>
      </c>
    </row>
    <row r="133" spans="1:5" x14ac:dyDescent="0.4">
      <c r="A133" s="3">
        <v>45689</v>
      </c>
      <c r="B133" s="2" t="s">
        <v>3</v>
      </c>
      <c r="C133" s="2">
        <v>539.1</v>
      </c>
      <c r="D133" s="26">
        <f t="shared" si="5"/>
        <v>1.7307134836778034E-2</v>
      </c>
      <c r="E133" s="27">
        <f t="shared" si="4"/>
        <v>4.361397978868065</v>
      </c>
    </row>
    <row r="134" spans="1:5" x14ac:dyDescent="0.4">
      <c r="A134" s="3">
        <v>45691</v>
      </c>
      <c r="B134" s="2" t="s">
        <v>3</v>
      </c>
      <c r="C134" s="2">
        <v>534.54999999999995</v>
      </c>
      <c r="D134" s="26">
        <f t="shared" si="5"/>
        <v>-8.4758109981142825E-3</v>
      </c>
      <c r="E134" s="27">
        <f t="shared" si="4"/>
        <v>-2.1359043715247994</v>
      </c>
    </row>
    <row r="135" spans="1:5" x14ac:dyDescent="0.4">
      <c r="A135" s="3">
        <v>45692</v>
      </c>
      <c r="B135" s="2" t="s">
        <v>3</v>
      </c>
      <c r="C135" s="2">
        <v>541.04999999999995</v>
      </c>
      <c r="D135" s="26">
        <f t="shared" si="5"/>
        <v>1.2086424558148725E-2</v>
      </c>
      <c r="E135" s="27">
        <f t="shared" si="4"/>
        <v>3.045778988653479</v>
      </c>
    </row>
    <row r="136" spans="1:5" x14ac:dyDescent="0.4">
      <c r="A136" s="3">
        <v>45693</v>
      </c>
      <c r="B136" s="2" t="s">
        <v>3</v>
      </c>
      <c r="C136" s="2">
        <v>531.5</v>
      </c>
      <c r="D136" s="26">
        <f t="shared" si="5"/>
        <v>-1.7808498235654981E-2</v>
      </c>
      <c r="E136" s="27">
        <f t="shared" si="4"/>
        <v>-4.487741555385055</v>
      </c>
    </row>
    <row r="137" spans="1:5" x14ac:dyDescent="0.4">
      <c r="A137" s="3">
        <v>45694</v>
      </c>
      <c r="B137" s="2" t="s">
        <v>3</v>
      </c>
      <c r="C137" s="2">
        <v>526.20000000000005</v>
      </c>
      <c r="D137" s="26">
        <f t="shared" si="5"/>
        <v>-1.0021829175810223E-2</v>
      </c>
      <c r="E137" s="27">
        <f t="shared" si="4"/>
        <v>-2.5255009523041765</v>
      </c>
    </row>
    <row r="138" spans="1:5" x14ac:dyDescent="0.4">
      <c r="A138" s="3">
        <v>45695</v>
      </c>
      <c r="B138" s="2" t="s">
        <v>3</v>
      </c>
      <c r="C138" s="2">
        <v>527.1</v>
      </c>
      <c r="D138" s="26">
        <f t="shared" si="5"/>
        <v>1.7089152549687743E-3</v>
      </c>
      <c r="E138" s="27">
        <f t="shared" si="4"/>
        <v>0.43064664425213112</v>
      </c>
    </row>
    <row r="139" spans="1:5" x14ac:dyDescent="0.4">
      <c r="A139" s="3">
        <v>45698</v>
      </c>
      <c r="B139" s="2" t="s">
        <v>3</v>
      </c>
      <c r="C139" s="2">
        <v>528.1</v>
      </c>
      <c r="D139" s="26">
        <f t="shared" si="5"/>
        <v>1.8953758517262118E-3</v>
      </c>
      <c r="E139" s="27">
        <f t="shared" si="4"/>
        <v>0.4776347146350054</v>
      </c>
    </row>
    <row r="140" spans="1:5" x14ac:dyDescent="0.4">
      <c r="A140" s="3">
        <v>45699</v>
      </c>
      <c r="B140" s="2" t="s">
        <v>3</v>
      </c>
      <c r="C140" s="2">
        <v>517.70000000000005</v>
      </c>
      <c r="D140" s="26">
        <f t="shared" si="5"/>
        <v>-1.9889735805031727E-2</v>
      </c>
      <c r="E140" s="27">
        <f t="shared" si="4"/>
        <v>-5.0122134228679958</v>
      </c>
    </row>
    <row r="141" spans="1:5" x14ac:dyDescent="0.4">
      <c r="A141" s="3">
        <v>45700</v>
      </c>
      <c r="B141" s="2" t="s">
        <v>3</v>
      </c>
      <c r="C141" s="2">
        <v>525.75</v>
      </c>
      <c r="D141" s="26">
        <f t="shared" si="5"/>
        <v>1.5429890674953409E-2</v>
      </c>
      <c r="E141" s="27">
        <f t="shared" si="4"/>
        <v>3.8883324500882592</v>
      </c>
    </row>
    <row r="142" spans="1:5" x14ac:dyDescent="0.4">
      <c r="A142" s="3">
        <v>45701</v>
      </c>
      <c r="B142" s="2" t="s">
        <v>3</v>
      </c>
      <c r="C142" s="2">
        <v>519.85</v>
      </c>
      <c r="D142" s="26">
        <f t="shared" si="5"/>
        <v>-1.1285506158829884E-2</v>
      </c>
      <c r="E142" s="27">
        <f t="shared" si="4"/>
        <v>-2.8439475520251309</v>
      </c>
    </row>
    <row r="143" spans="1:5" x14ac:dyDescent="0.4">
      <c r="A143" s="3">
        <v>45702</v>
      </c>
      <c r="B143" s="2" t="s">
        <v>3</v>
      </c>
      <c r="C143" s="2">
        <v>519.9</v>
      </c>
      <c r="D143" s="26">
        <f t="shared" si="5"/>
        <v>9.6176965690705944E-5</v>
      </c>
      <c r="E143" s="27">
        <f t="shared" si="4"/>
        <v>2.4236595354057897E-2</v>
      </c>
    </row>
    <row r="144" spans="1:5" x14ac:dyDescent="0.4">
      <c r="A144" s="3">
        <v>45705</v>
      </c>
      <c r="B144" s="2" t="s">
        <v>3</v>
      </c>
      <c r="C144" s="2">
        <v>520.54999999999995</v>
      </c>
      <c r="D144" s="26">
        <f t="shared" si="5"/>
        <v>1.2494595310918223E-3</v>
      </c>
      <c r="E144" s="27">
        <f t="shared" si="4"/>
        <v>0.31486380183513923</v>
      </c>
    </row>
    <row r="145" spans="1:5" x14ac:dyDescent="0.4">
      <c r="A145" s="3">
        <v>45706</v>
      </c>
      <c r="B145" s="2" t="s">
        <v>3</v>
      </c>
      <c r="C145" s="2">
        <v>515.15</v>
      </c>
      <c r="D145" s="26">
        <f t="shared" si="5"/>
        <v>-1.0427824529684836E-2</v>
      </c>
      <c r="E145" s="27">
        <f t="shared" si="4"/>
        <v>-2.6278117814805788</v>
      </c>
    </row>
    <row r="146" spans="1:5" x14ac:dyDescent="0.4">
      <c r="A146" s="3">
        <v>45707</v>
      </c>
      <c r="B146" s="2" t="s">
        <v>3</v>
      </c>
      <c r="C146" s="2">
        <v>504.45</v>
      </c>
      <c r="D146" s="26">
        <f t="shared" si="5"/>
        <v>-2.0989393536688699E-2</v>
      </c>
      <c r="E146" s="27">
        <f t="shared" si="4"/>
        <v>-5.2893271712455521</v>
      </c>
    </row>
    <row r="147" spans="1:5" x14ac:dyDescent="0.4">
      <c r="A147" s="3">
        <v>45708</v>
      </c>
      <c r="B147" s="2" t="s">
        <v>3</v>
      </c>
      <c r="C147" s="2">
        <v>510.35</v>
      </c>
      <c r="D147" s="26">
        <f t="shared" si="5"/>
        <v>1.1628037995119214E-2</v>
      </c>
      <c r="E147" s="27">
        <f t="shared" si="4"/>
        <v>2.9302655747700417</v>
      </c>
    </row>
    <row r="148" spans="1:5" x14ac:dyDescent="0.4">
      <c r="A148" s="3">
        <v>45709</v>
      </c>
      <c r="B148" s="2" t="s">
        <v>3</v>
      </c>
      <c r="C148" s="2">
        <v>508.65</v>
      </c>
      <c r="D148" s="26">
        <f t="shared" si="5"/>
        <v>-3.3366076097501537E-3</v>
      </c>
      <c r="E148" s="27">
        <f t="shared" si="4"/>
        <v>-0.84082511765703871</v>
      </c>
    </row>
    <row r="149" spans="1:5" x14ac:dyDescent="0.4">
      <c r="A149" s="3">
        <v>45712</v>
      </c>
      <c r="B149" s="2" t="s">
        <v>3</v>
      </c>
      <c r="C149" s="2">
        <v>505.7</v>
      </c>
      <c r="D149" s="26">
        <f t="shared" si="5"/>
        <v>-5.8165491538199653E-3</v>
      </c>
      <c r="E149" s="27">
        <f t="shared" si="4"/>
        <v>-1.4657703867626313</v>
      </c>
    </row>
    <row r="150" spans="1:5" x14ac:dyDescent="0.4">
      <c r="A150" s="3">
        <v>45713</v>
      </c>
      <c r="B150" s="2" t="s">
        <v>3</v>
      </c>
      <c r="C150" s="2">
        <v>510.95</v>
      </c>
      <c r="D150" s="26">
        <f t="shared" si="5"/>
        <v>1.0328129972280787E-2</v>
      </c>
      <c r="E150" s="27">
        <f t="shared" si="4"/>
        <v>2.6026887530147582</v>
      </c>
    </row>
    <row r="151" spans="1:5" x14ac:dyDescent="0.4">
      <c r="A151" s="3">
        <v>45715</v>
      </c>
      <c r="B151" s="2" t="s">
        <v>3</v>
      </c>
      <c r="C151" s="2">
        <v>503.25</v>
      </c>
      <c r="D151" s="26">
        <f t="shared" si="5"/>
        <v>-1.5184673538317175E-2</v>
      </c>
      <c r="E151" s="27">
        <f t="shared" si="4"/>
        <v>-3.8265377316559279</v>
      </c>
    </row>
    <row r="152" spans="1:5" x14ac:dyDescent="0.4">
      <c r="A152" s="3">
        <v>45716</v>
      </c>
      <c r="B152" s="2" t="s">
        <v>3</v>
      </c>
      <c r="C152" s="2">
        <v>493.3</v>
      </c>
      <c r="D152" s="26">
        <f t="shared" si="5"/>
        <v>-1.9969556280208321E-2</v>
      </c>
      <c r="E152" s="27">
        <f t="shared" si="4"/>
        <v>-5.0323281826124973</v>
      </c>
    </row>
    <row r="153" spans="1:5" x14ac:dyDescent="0.4">
      <c r="A153" s="3">
        <v>45719</v>
      </c>
      <c r="B153" s="2" t="s">
        <v>3</v>
      </c>
      <c r="C153" s="2">
        <v>491.75</v>
      </c>
      <c r="D153" s="26">
        <f t="shared" si="5"/>
        <v>-3.1470509705241513E-3</v>
      </c>
      <c r="E153" s="27">
        <f t="shared" si="4"/>
        <v>-0.79305684457208614</v>
      </c>
    </row>
    <row r="154" spans="1:5" x14ac:dyDescent="0.4">
      <c r="A154" s="3">
        <v>45720</v>
      </c>
      <c r="B154" s="2" t="s">
        <v>3</v>
      </c>
      <c r="C154" s="2">
        <v>483.7</v>
      </c>
      <c r="D154" s="26">
        <f t="shared" si="5"/>
        <v>-1.6505577440230904E-2</v>
      </c>
      <c r="E154" s="27">
        <f t="shared" si="4"/>
        <v>-4.1594055149381877</v>
      </c>
    </row>
    <row r="155" spans="1:5" x14ac:dyDescent="0.4">
      <c r="A155" s="3">
        <v>45721</v>
      </c>
      <c r="B155" s="2" t="s">
        <v>3</v>
      </c>
      <c r="C155" s="2">
        <v>487.7</v>
      </c>
      <c r="D155" s="26">
        <f t="shared" si="5"/>
        <v>8.2355828870694283E-3</v>
      </c>
      <c r="E155" s="27">
        <f t="shared" si="4"/>
        <v>2.0753668875414961</v>
      </c>
    </row>
    <row r="156" spans="1:5" x14ac:dyDescent="0.4">
      <c r="A156" s="3">
        <v>45722</v>
      </c>
      <c r="B156" s="2" t="s">
        <v>3</v>
      </c>
      <c r="C156" s="2">
        <v>495</v>
      </c>
      <c r="D156" s="26">
        <f t="shared" si="5"/>
        <v>1.4857299852683466E-2</v>
      </c>
      <c r="E156" s="27">
        <f t="shared" si="4"/>
        <v>3.7440395628762335</v>
      </c>
    </row>
    <row r="157" spans="1:5" x14ac:dyDescent="0.4">
      <c r="A157" s="3">
        <v>45723</v>
      </c>
      <c r="B157" s="2" t="s">
        <v>3</v>
      </c>
      <c r="C157" s="2">
        <v>495.8</v>
      </c>
      <c r="D157" s="26">
        <f t="shared" si="5"/>
        <v>1.6148570323998384E-3</v>
      </c>
      <c r="E157" s="27">
        <f t="shared" si="4"/>
        <v>0.40694397216475925</v>
      </c>
    </row>
    <row r="158" spans="1:5" x14ac:dyDescent="0.4">
      <c r="A158" s="3">
        <v>45726</v>
      </c>
      <c r="B158" s="2" t="s">
        <v>3</v>
      </c>
      <c r="C158" s="2">
        <v>493.35</v>
      </c>
      <c r="D158" s="26">
        <f t="shared" si="5"/>
        <v>-4.9537582979144283E-3</v>
      </c>
      <c r="E158" s="27">
        <f t="shared" si="4"/>
        <v>-1.2483470910744359</v>
      </c>
    </row>
    <row r="159" spans="1:5" x14ac:dyDescent="0.4">
      <c r="A159" s="3">
        <v>45727</v>
      </c>
      <c r="B159" s="2" t="s">
        <v>3</v>
      </c>
      <c r="C159" s="2">
        <v>497.55</v>
      </c>
      <c r="D159" s="26">
        <f t="shared" si="5"/>
        <v>8.4771927579953832E-3</v>
      </c>
      <c r="E159" s="27">
        <f t="shared" si="4"/>
        <v>2.1362525750148365</v>
      </c>
    </row>
    <row r="160" spans="1:5" x14ac:dyDescent="0.4">
      <c r="A160" s="3">
        <v>45728</v>
      </c>
      <c r="B160" s="2" t="s">
        <v>3</v>
      </c>
      <c r="C160" s="2">
        <v>499.95</v>
      </c>
      <c r="D160" s="26">
        <f t="shared" si="5"/>
        <v>4.8120393606871682E-3</v>
      </c>
      <c r="E160" s="27">
        <f t="shared" si="4"/>
        <v>1.2126339188931663</v>
      </c>
    </row>
    <row r="161" spans="1:5" x14ac:dyDescent="0.4">
      <c r="A161" s="3">
        <v>45729</v>
      </c>
      <c r="B161" s="2" t="s">
        <v>3</v>
      </c>
      <c r="C161" s="2">
        <v>500.95</v>
      </c>
      <c r="D161" s="26">
        <f t="shared" si="5"/>
        <v>1.9982022834135076E-3</v>
      </c>
      <c r="E161" s="27">
        <f t="shared" si="4"/>
        <v>0.50354697542020388</v>
      </c>
    </row>
    <row r="162" spans="1:5" x14ac:dyDescent="0.4">
      <c r="A162" s="3">
        <v>45733</v>
      </c>
      <c r="B162" s="2" t="s">
        <v>3</v>
      </c>
      <c r="C162" s="2">
        <v>494.75</v>
      </c>
      <c r="D162" s="26">
        <f t="shared" si="5"/>
        <v>-1.2453711222596874E-2</v>
      </c>
      <c r="E162" s="27">
        <f t="shared" si="4"/>
        <v>-3.1383352280944123</v>
      </c>
    </row>
    <row r="163" spans="1:5" x14ac:dyDescent="0.4">
      <c r="A163" s="3">
        <v>45734</v>
      </c>
      <c r="B163" s="2" t="s">
        <v>3</v>
      </c>
      <c r="C163" s="2">
        <v>498.75</v>
      </c>
      <c r="D163" s="26">
        <f t="shared" si="5"/>
        <v>8.0523837213981164E-3</v>
      </c>
      <c r="E163" s="27">
        <f t="shared" si="4"/>
        <v>2.0292006977923251</v>
      </c>
    </row>
    <row r="164" spans="1:5" x14ac:dyDescent="0.4">
      <c r="A164" s="3">
        <v>45735</v>
      </c>
      <c r="B164" s="2" t="s">
        <v>3</v>
      </c>
      <c r="C164" s="2">
        <v>495.45</v>
      </c>
      <c r="D164" s="26">
        <f t="shared" si="5"/>
        <v>-6.6385276991649221E-3</v>
      </c>
      <c r="E164" s="27">
        <f t="shared" si="4"/>
        <v>-1.6729089801895605</v>
      </c>
    </row>
    <row r="165" spans="1:5" x14ac:dyDescent="0.4">
      <c r="A165" s="3">
        <v>45736</v>
      </c>
      <c r="B165" s="2" t="s">
        <v>3</v>
      </c>
      <c r="C165" s="2">
        <v>499</v>
      </c>
      <c r="D165" s="26">
        <f t="shared" si="5"/>
        <v>7.1396552466102834E-3</v>
      </c>
      <c r="E165" s="27">
        <f t="shared" si="4"/>
        <v>1.7991931221457913</v>
      </c>
    </row>
    <row r="166" spans="1:5" x14ac:dyDescent="0.4">
      <c r="A166" s="3">
        <v>45737</v>
      </c>
      <c r="B166" s="2" t="s">
        <v>3</v>
      </c>
      <c r="C166" s="2">
        <v>506.8</v>
      </c>
      <c r="D166" s="26">
        <f t="shared" si="5"/>
        <v>1.5510352695465315E-2</v>
      </c>
      <c r="E166" s="27">
        <f t="shared" si="4"/>
        <v>3.9086088792572595</v>
      </c>
    </row>
    <row r="167" spans="1:5" x14ac:dyDescent="0.4">
      <c r="A167" s="3">
        <v>45740</v>
      </c>
      <c r="B167" s="2" t="s">
        <v>3</v>
      </c>
      <c r="C167" s="2">
        <v>507.2</v>
      </c>
      <c r="D167" s="26">
        <f t="shared" si="5"/>
        <v>7.8895467603209979E-4</v>
      </c>
      <c r="E167" s="27">
        <f t="shared" si="4"/>
        <v>0.19881657836008915</v>
      </c>
    </row>
    <row r="168" spans="1:5" x14ac:dyDescent="0.4">
      <c r="A168" s="3">
        <v>45741</v>
      </c>
      <c r="B168" s="2" t="s">
        <v>3</v>
      </c>
      <c r="C168" s="2">
        <v>509.25</v>
      </c>
      <c r="D168" s="26">
        <f t="shared" si="5"/>
        <v>4.0336519838990899E-3</v>
      </c>
      <c r="E168" s="27">
        <f t="shared" si="4"/>
        <v>1.0164802999425706</v>
      </c>
    </row>
    <row r="169" spans="1:5" x14ac:dyDescent="0.4">
      <c r="A169" s="3">
        <v>45742</v>
      </c>
      <c r="B169" s="2" t="s">
        <v>3</v>
      </c>
      <c r="C169" s="2">
        <v>508.85</v>
      </c>
      <c r="D169" s="26">
        <f t="shared" si="5"/>
        <v>-7.8577746897463786E-4</v>
      </c>
      <c r="E169" s="27">
        <f t="shared" si="4"/>
        <v>-0.19801592218160874</v>
      </c>
    </row>
    <row r="170" spans="1:5" x14ac:dyDescent="0.4">
      <c r="A170" s="3">
        <v>45743</v>
      </c>
      <c r="B170" s="2" t="s">
        <v>3</v>
      </c>
      <c r="C170" s="2">
        <v>512.85</v>
      </c>
      <c r="D170" s="26">
        <f t="shared" si="5"/>
        <v>7.830127115479403E-3</v>
      </c>
      <c r="E170" s="27">
        <f t="shared" si="4"/>
        <v>1.9731920331008095</v>
      </c>
    </row>
    <row r="171" spans="1:5" x14ac:dyDescent="0.4">
      <c r="A171" s="3">
        <v>45744</v>
      </c>
      <c r="B171" s="2" t="s">
        <v>3</v>
      </c>
      <c r="C171" s="2">
        <v>506.5</v>
      </c>
      <c r="D171" s="26">
        <f t="shared" si="5"/>
        <v>-1.2459081064681998E-2</v>
      </c>
      <c r="E171" s="27">
        <f t="shared" si="4"/>
        <v>-3.1396884282998636</v>
      </c>
    </row>
    <row r="172" spans="1:5" x14ac:dyDescent="0.4">
      <c r="A172" s="3">
        <v>45748</v>
      </c>
      <c r="B172" s="2" t="s">
        <v>3</v>
      </c>
      <c r="C172" s="2">
        <v>497.5</v>
      </c>
      <c r="D172" s="26">
        <f t="shared" si="5"/>
        <v>-1.7928767090090642E-2</v>
      </c>
      <c r="E172" s="27">
        <f t="shared" si="4"/>
        <v>-4.5180493067028413</v>
      </c>
    </row>
    <row r="173" spans="1:5" x14ac:dyDescent="0.4">
      <c r="A173" s="3">
        <v>45749</v>
      </c>
      <c r="B173" s="2" t="s">
        <v>3</v>
      </c>
      <c r="C173" s="2">
        <v>495.75</v>
      </c>
      <c r="D173" s="26">
        <f t="shared" si="5"/>
        <v>-3.5237891987420842E-3</v>
      </c>
      <c r="E173" s="27">
        <f t="shared" si="4"/>
        <v>-0.88799487808300526</v>
      </c>
    </row>
    <row r="174" spans="1:5" x14ac:dyDescent="0.4">
      <c r="A174" s="3">
        <v>45750</v>
      </c>
      <c r="B174" s="2" t="s">
        <v>3</v>
      </c>
      <c r="C174" s="2">
        <v>465.4</v>
      </c>
      <c r="D174" s="26">
        <f t="shared" si="5"/>
        <v>-6.3174516531714048E-2</v>
      </c>
      <c r="E174" s="27">
        <f t="shared" si="4"/>
        <v>-15.919978165991941</v>
      </c>
    </row>
    <row r="175" spans="1:5" x14ac:dyDescent="0.4">
      <c r="A175" s="3">
        <v>45751</v>
      </c>
      <c r="B175" s="2" t="s">
        <v>3</v>
      </c>
      <c r="C175" s="2">
        <v>461.75</v>
      </c>
      <c r="D175" s="26">
        <f t="shared" si="5"/>
        <v>-7.873631788841982E-3</v>
      </c>
      <c r="E175" s="27">
        <f t="shared" si="4"/>
        <v>-1.9841552107881795</v>
      </c>
    </row>
    <row r="176" spans="1:5" x14ac:dyDescent="0.4">
      <c r="A176" s="3">
        <v>45754</v>
      </c>
      <c r="B176" s="2" t="s">
        <v>3</v>
      </c>
      <c r="C176" s="2">
        <v>451.4</v>
      </c>
      <c r="D176" s="26">
        <f t="shared" si="5"/>
        <v>-2.2669754695914045E-2</v>
      </c>
      <c r="E176" s="27">
        <f t="shared" si="4"/>
        <v>-5.7127781833703395</v>
      </c>
    </row>
    <row r="177" spans="1:5" x14ac:dyDescent="0.4">
      <c r="A177" s="3">
        <v>45755</v>
      </c>
      <c r="B177" s="2" t="s">
        <v>3</v>
      </c>
      <c r="C177" s="2">
        <v>459</v>
      </c>
      <c r="D177" s="26">
        <f t="shared" si="5"/>
        <v>1.6696345677109977E-2</v>
      </c>
      <c r="E177" s="27">
        <f t="shared" si="4"/>
        <v>4.2074791106317146</v>
      </c>
    </row>
    <row r="178" spans="1:5" x14ac:dyDescent="0.4">
      <c r="A178" s="3">
        <v>45756</v>
      </c>
      <c r="B178" s="2" t="s">
        <v>3</v>
      </c>
      <c r="C178" s="2">
        <v>465.25</v>
      </c>
      <c r="D178" s="26">
        <f t="shared" si="5"/>
        <v>1.3524685461815083E-2</v>
      </c>
      <c r="E178" s="27">
        <f t="shared" si="4"/>
        <v>3.4082207363774009</v>
      </c>
    </row>
    <row r="179" spans="1:5" x14ac:dyDescent="0.4">
      <c r="A179" s="3">
        <v>45758</v>
      </c>
      <c r="B179" s="2" t="s">
        <v>3</v>
      </c>
      <c r="C179" s="2">
        <v>461.3</v>
      </c>
      <c r="D179" s="26">
        <f t="shared" si="5"/>
        <v>-8.5263049585852253E-3</v>
      </c>
      <c r="E179" s="27">
        <f t="shared" si="4"/>
        <v>-2.1486288495634769</v>
      </c>
    </row>
    <row r="180" spans="1:5" x14ac:dyDescent="0.4">
      <c r="A180" s="3">
        <v>45762</v>
      </c>
      <c r="B180" s="2" t="s">
        <v>3</v>
      </c>
      <c r="C180" s="2">
        <v>473.75</v>
      </c>
      <c r="D180" s="26">
        <f t="shared" si="5"/>
        <v>2.6631165832861313E-2</v>
      </c>
      <c r="E180" s="27">
        <f t="shared" si="4"/>
        <v>6.7110537898810509</v>
      </c>
    </row>
    <row r="181" spans="1:5" x14ac:dyDescent="0.4">
      <c r="A181" s="3">
        <v>45763</v>
      </c>
      <c r="B181" s="2" t="s">
        <v>3</v>
      </c>
      <c r="C181" s="2">
        <v>481.35</v>
      </c>
      <c r="D181" s="26">
        <f t="shared" si="5"/>
        <v>1.5914899827339592E-2</v>
      </c>
      <c r="E181" s="27">
        <f t="shared" si="4"/>
        <v>4.0105547564895776</v>
      </c>
    </row>
    <row r="182" spans="1:5" x14ac:dyDescent="0.4">
      <c r="A182" s="3">
        <v>45764</v>
      </c>
      <c r="B182" s="2" t="s">
        <v>3</v>
      </c>
      <c r="C182" s="2">
        <v>479.3</v>
      </c>
      <c r="D182" s="26">
        <f t="shared" si="5"/>
        <v>-4.2679500583899859E-3</v>
      </c>
      <c r="E182" s="27">
        <f t="shared" si="4"/>
        <v>-1.0755234147142765</v>
      </c>
    </row>
    <row r="183" spans="1:5" x14ac:dyDescent="0.4">
      <c r="A183" s="3">
        <v>45768</v>
      </c>
      <c r="B183" s="2" t="s">
        <v>3</v>
      </c>
      <c r="C183" s="2">
        <v>475.55</v>
      </c>
      <c r="D183" s="26">
        <f t="shared" si="5"/>
        <v>-7.854677237191075E-3</v>
      </c>
      <c r="E183" s="27">
        <f t="shared" si="4"/>
        <v>-1.9793786637721509</v>
      </c>
    </row>
    <row r="184" spans="1:5" x14ac:dyDescent="0.4">
      <c r="A184" s="3">
        <v>45769</v>
      </c>
      <c r="B184" s="2" t="s">
        <v>3</v>
      </c>
      <c r="C184" s="2">
        <v>484.4</v>
      </c>
      <c r="D184" s="26">
        <f t="shared" si="5"/>
        <v>1.8438982750542669E-2</v>
      </c>
      <c r="E184" s="27">
        <f t="shared" si="4"/>
        <v>4.6466236531367526</v>
      </c>
    </row>
    <row r="185" spans="1:5" x14ac:dyDescent="0.4">
      <c r="A185" s="3">
        <v>45770</v>
      </c>
      <c r="B185" s="2" t="s">
        <v>3</v>
      </c>
      <c r="C185" s="2">
        <v>486.2</v>
      </c>
      <c r="D185" s="26">
        <f t="shared" si="5"/>
        <v>3.7090502030858482E-3</v>
      </c>
      <c r="E185" s="27">
        <f t="shared" si="4"/>
        <v>0.93468065117763377</v>
      </c>
    </row>
    <row r="186" spans="1:5" x14ac:dyDescent="0.4">
      <c r="A186" s="3">
        <v>45771</v>
      </c>
      <c r="B186" s="2" t="s">
        <v>3</v>
      </c>
      <c r="C186" s="2">
        <v>491.7</v>
      </c>
      <c r="D186" s="26">
        <f t="shared" si="5"/>
        <v>1.1248712535870667E-2</v>
      </c>
      <c r="E186" s="27">
        <f t="shared" si="4"/>
        <v>2.8346755590394079</v>
      </c>
    </row>
    <row r="187" spans="1:5" x14ac:dyDescent="0.4">
      <c r="A187" s="3">
        <v>45772</v>
      </c>
      <c r="B187" s="2" t="s">
        <v>3</v>
      </c>
      <c r="C187" s="2">
        <v>484.6</v>
      </c>
      <c r="D187" s="26">
        <f t="shared" si="5"/>
        <v>-1.454496603546826E-2</v>
      </c>
      <c r="E187" s="27">
        <f t="shared" si="4"/>
        <v>-3.6653314409380013</v>
      </c>
    </row>
    <row r="188" spans="1:5" x14ac:dyDescent="0.4">
      <c r="A188" s="3">
        <v>45775</v>
      </c>
      <c r="B188" s="2" t="s">
        <v>3</v>
      </c>
      <c r="C188" s="2">
        <v>482.2</v>
      </c>
      <c r="D188" s="26">
        <f t="shared" si="5"/>
        <v>-4.9648426353547798E-3</v>
      </c>
      <c r="E188" s="27">
        <f t="shared" si="4"/>
        <v>-1.2511403441094044</v>
      </c>
    </row>
    <row r="189" spans="1:5" x14ac:dyDescent="0.4">
      <c r="A189" s="3">
        <v>45776</v>
      </c>
      <c r="B189" s="2" t="s">
        <v>3</v>
      </c>
      <c r="C189" s="2">
        <v>483.65</v>
      </c>
      <c r="D189" s="26">
        <f t="shared" si="5"/>
        <v>3.0025388814854041E-3</v>
      </c>
      <c r="E189" s="27">
        <f t="shared" si="4"/>
        <v>0.75663979813432181</v>
      </c>
    </row>
    <row r="190" spans="1:5" x14ac:dyDescent="0.4">
      <c r="A190" s="3">
        <v>45777</v>
      </c>
      <c r="B190" s="2" t="s">
        <v>3</v>
      </c>
      <c r="C190" s="2">
        <v>487.75</v>
      </c>
      <c r="D190" s="26">
        <f t="shared" si="5"/>
        <v>8.4414748746647044E-3</v>
      </c>
      <c r="E190" s="27">
        <f t="shared" si="4"/>
        <v>2.1272516684155054</v>
      </c>
    </row>
    <row r="191" spans="1:5" x14ac:dyDescent="0.4">
      <c r="A191" s="3">
        <v>45779</v>
      </c>
      <c r="B191" s="2" t="s">
        <v>3</v>
      </c>
      <c r="C191" s="2">
        <v>480.5</v>
      </c>
      <c r="D191" s="26">
        <f t="shared" si="5"/>
        <v>-1.4975751092873368E-2</v>
      </c>
      <c r="E191" s="27">
        <f t="shared" si="4"/>
        <v>-3.7738892754040885</v>
      </c>
    </row>
    <row r="192" spans="1:5" x14ac:dyDescent="0.4">
      <c r="A192" s="3">
        <v>45782</v>
      </c>
      <c r="B192" s="2" t="s">
        <v>3</v>
      </c>
      <c r="C192" s="2">
        <v>481.85</v>
      </c>
      <c r="D192" s="26">
        <f t="shared" si="5"/>
        <v>2.8056338869492693E-3</v>
      </c>
      <c r="E192" s="27">
        <f t="shared" si="4"/>
        <v>0.70701973951121588</v>
      </c>
    </row>
    <row r="193" spans="1:5" x14ac:dyDescent="0.4">
      <c r="A193" s="3">
        <v>45783</v>
      </c>
      <c r="B193" s="2" t="s">
        <v>3</v>
      </c>
      <c r="C193" s="2">
        <v>480.6</v>
      </c>
      <c r="D193" s="26">
        <f t="shared" si="5"/>
        <v>-2.597538994927838E-3</v>
      </c>
      <c r="E193" s="27">
        <f t="shared" si="4"/>
        <v>-0.65457982672181514</v>
      </c>
    </row>
    <row r="194" spans="1:5" x14ac:dyDescent="0.4">
      <c r="A194" s="3">
        <v>45784</v>
      </c>
      <c r="B194" s="2" t="s">
        <v>3</v>
      </c>
      <c r="C194" s="2">
        <v>482.1</v>
      </c>
      <c r="D194" s="26">
        <f t="shared" si="5"/>
        <v>3.1162381092079529E-3</v>
      </c>
      <c r="E194" s="27">
        <f t="shared" si="4"/>
        <v>0.78529200352040418</v>
      </c>
    </row>
    <row r="195" spans="1:5" x14ac:dyDescent="0.4">
      <c r="A195" s="3">
        <v>45785</v>
      </c>
      <c r="B195" s="2" t="s">
        <v>3</v>
      </c>
      <c r="C195" s="2">
        <v>468.7</v>
      </c>
      <c r="D195" s="26">
        <f t="shared" si="5"/>
        <v>-2.8188656482916255E-2</v>
      </c>
      <c r="E195" s="27">
        <f t="shared" ref="E195:E251" si="6">D195*252</f>
        <v>-7.1035414336948959</v>
      </c>
    </row>
    <row r="196" spans="1:5" x14ac:dyDescent="0.4">
      <c r="A196" s="3">
        <v>45786</v>
      </c>
      <c r="B196" s="2" t="s">
        <v>3</v>
      </c>
      <c r="C196" s="2">
        <v>462.75</v>
      </c>
      <c r="D196" s="26">
        <f t="shared" ref="D196:D251" si="7">LN(C196/C195)</f>
        <v>-1.2775953475053578E-2</v>
      </c>
      <c r="E196" s="27">
        <f t="shared" si="6"/>
        <v>-3.2195402757135017</v>
      </c>
    </row>
    <row r="197" spans="1:5" x14ac:dyDescent="0.4">
      <c r="A197" s="3">
        <v>45789</v>
      </c>
      <c r="B197" s="2" t="s">
        <v>3</v>
      </c>
      <c r="C197" s="2">
        <v>475.05</v>
      </c>
      <c r="D197" s="26">
        <f t="shared" si="7"/>
        <v>2.6233110199151598E-2</v>
      </c>
      <c r="E197" s="27">
        <f t="shared" si="6"/>
        <v>6.6107437701862031</v>
      </c>
    </row>
    <row r="198" spans="1:5" x14ac:dyDescent="0.4">
      <c r="A198" s="3">
        <v>45790</v>
      </c>
      <c r="B198" s="2" t="s">
        <v>3</v>
      </c>
      <c r="C198" s="2">
        <v>473.75</v>
      </c>
      <c r="D198" s="26">
        <f t="shared" si="7"/>
        <v>-2.7403052561223596E-3</v>
      </c>
      <c r="E198" s="27">
        <f t="shared" si="6"/>
        <v>-0.69055692454283457</v>
      </c>
    </row>
    <row r="199" spans="1:5" x14ac:dyDescent="0.4">
      <c r="A199" s="3">
        <v>45791</v>
      </c>
      <c r="B199" s="2" t="s">
        <v>3</v>
      </c>
      <c r="C199" s="2">
        <v>468.95</v>
      </c>
      <c r="D199" s="26">
        <f t="shared" si="7"/>
        <v>-1.018360344168861E-2</v>
      </c>
      <c r="E199" s="27">
        <f t="shared" si="6"/>
        <v>-2.56626806730553</v>
      </c>
    </row>
    <row r="200" spans="1:5" x14ac:dyDescent="0.4">
      <c r="A200" s="3">
        <v>45792</v>
      </c>
      <c r="B200" s="2" t="s">
        <v>3</v>
      </c>
      <c r="C200" s="2">
        <v>469</v>
      </c>
      <c r="D200" s="26">
        <f t="shared" si="7"/>
        <v>1.0661549133192249E-4</v>
      </c>
      <c r="E200" s="27">
        <f t="shared" si="6"/>
        <v>2.6867103815644468E-2</v>
      </c>
    </row>
    <row r="201" spans="1:5" x14ac:dyDescent="0.4">
      <c r="A201" s="3">
        <v>45793</v>
      </c>
      <c r="B201" s="2" t="s">
        <v>3</v>
      </c>
      <c r="C201" s="2">
        <v>476.65</v>
      </c>
      <c r="D201" s="26">
        <f t="shared" si="7"/>
        <v>1.6179700493307848E-2</v>
      </c>
      <c r="E201" s="27">
        <f t="shared" si="6"/>
        <v>4.077284524313578</v>
      </c>
    </row>
    <row r="202" spans="1:5" x14ac:dyDescent="0.4">
      <c r="A202" s="3">
        <v>45796</v>
      </c>
      <c r="B202" s="2" t="s">
        <v>3</v>
      </c>
      <c r="C202" s="2">
        <v>483.45</v>
      </c>
      <c r="D202" s="26">
        <f t="shared" si="7"/>
        <v>1.4165427989969399E-2</v>
      </c>
      <c r="E202" s="27">
        <f t="shared" si="6"/>
        <v>3.5696878534722885</v>
      </c>
    </row>
    <row r="203" spans="1:5" x14ac:dyDescent="0.4">
      <c r="A203" s="3">
        <v>45797</v>
      </c>
      <c r="B203" s="2" t="s">
        <v>3</v>
      </c>
      <c r="C203" s="2">
        <v>475.65</v>
      </c>
      <c r="D203" s="26">
        <f t="shared" si="7"/>
        <v>-1.6265607277090522E-2</v>
      </c>
      <c r="E203" s="27">
        <f t="shared" si="6"/>
        <v>-4.0989330338268113</v>
      </c>
    </row>
    <row r="204" spans="1:5" x14ac:dyDescent="0.4">
      <c r="A204" s="3">
        <v>45798</v>
      </c>
      <c r="B204" s="2" t="s">
        <v>3</v>
      </c>
      <c r="C204" s="2">
        <v>481.75</v>
      </c>
      <c r="D204" s="26">
        <f t="shared" si="7"/>
        <v>1.2743017642009729E-2</v>
      </c>
      <c r="E204" s="27">
        <f t="shared" si="6"/>
        <v>3.2112404457864518</v>
      </c>
    </row>
    <row r="205" spans="1:5" x14ac:dyDescent="0.4">
      <c r="A205" s="3">
        <v>45799</v>
      </c>
      <c r="B205" s="2" t="s">
        <v>3</v>
      </c>
      <c r="C205" s="2">
        <v>477.05</v>
      </c>
      <c r="D205" s="26">
        <f t="shared" si="7"/>
        <v>-9.8040000966208556E-3</v>
      </c>
      <c r="E205" s="27">
        <f t="shared" si="6"/>
        <v>-2.4706080243484556</v>
      </c>
    </row>
    <row r="206" spans="1:5" x14ac:dyDescent="0.4">
      <c r="A206" s="3">
        <v>45800</v>
      </c>
      <c r="B206" s="2" t="s">
        <v>3</v>
      </c>
      <c r="C206" s="2">
        <v>481.95</v>
      </c>
      <c r="D206" s="26">
        <f t="shared" si="7"/>
        <v>1.0219067032122102E-2</v>
      </c>
      <c r="E206" s="27">
        <f t="shared" si="6"/>
        <v>2.5752048920947699</v>
      </c>
    </row>
    <row r="207" spans="1:5" x14ac:dyDescent="0.4">
      <c r="A207" s="3">
        <v>45803</v>
      </c>
      <c r="B207" s="2" t="s">
        <v>3</v>
      </c>
      <c r="C207" s="2">
        <v>480.3</v>
      </c>
      <c r="D207" s="26">
        <f t="shared" si="7"/>
        <v>-3.4294655591984146E-3</v>
      </c>
      <c r="E207" s="27">
        <f t="shared" si="6"/>
        <v>-0.86422532091800053</v>
      </c>
    </row>
    <row r="208" spans="1:5" x14ac:dyDescent="0.4">
      <c r="A208" s="3">
        <v>45804</v>
      </c>
      <c r="B208" s="2" t="s">
        <v>3</v>
      </c>
      <c r="C208" s="2">
        <v>484.1</v>
      </c>
      <c r="D208" s="26">
        <f t="shared" si="7"/>
        <v>7.8805882748701067E-3</v>
      </c>
      <c r="E208" s="27">
        <f t="shared" si="6"/>
        <v>1.9859082452672669</v>
      </c>
    </row>
    <row r="209" spans="1:5" x14ac:dyDescent="0.4">
      <c r="A209" s="3">
        <v>45805</v>
      </c>
      <c r="B209" s="2" t="s">
        <v>3</v>
      </c>
      <c r="C209" s="2">
        <v>484.7</v>
      </c>
      <c r="D209" s="26">
        <f t="shared" si="7"/>
        <v>1.2386459056815831E-3</v>
      </c>
      <c r="E209" s="27">
        <f t="shared" si="6"/>
        <v>0.31213876823175896</v>
      </c>
    </row>
    <row r="210" spans="1:5" x14ac:dyDescent="0.4">
      <c r="A210" s="3">
        <v>45806</v>
      </c>
      <c r="B210" s="2" t="s">
        <v>3</v>
      </c>
      <c r="C210" s="2">
        <v>482.1</v>
      </c>
      <c r="D210" s="26">
        <f t="shared" si="7"/>
        <v>-5.3785814397536687E-3</v>
      </c>
      <c r="E210" s="27">
        <f t="shared" si="6"/>
        <v>-1.3554025228179245</v>
      </c>
    </row>
    <row r="211" spans="1:5" x14ac:dyDescent="0.4">
      <c r="A211" s="3">
        <v>45807</v>
      </c>
      <c r="B211" s="2" t="s">
        <v>3</v>
      </c>
      <c r="C211" s="2">
        <v>482.95</v>
      </c>
      <c r="D211" s="26">
        <f t="shared" si="7"/>
        <v>1.7615672137281429E-3</v>
      </c>
      <c r="E211" s="27">
        <f t="shared" si="6"/>
        <v>0.44391493785949204</v>
      </c>
    </row>
    <row r="212" spans="1:5" x14ac:dyDescent="0.4">
      <c r="A212" s="3">
        <v>45810</v>
      </c>
      <c r="B212" s="2" t="s">
        <v>3</v>
      </c>
      <c r="C212" s="2">
        <v>484.45</v>
      </c>
      <c r="D212" s="26">
        <f t="shared" si="7"/>
        <v>3.1010982057082578E-3</v>
      </c>
      <c r="E212" s="27">
        <f t="shared" si="6"/>
        <v>0.78147674783848098</v>
      </c>
    </row>
    <row r="213" spans="1:5" x14ac:dyDescent="0.4">
      <c r="A213" s="3">
        <v>45811</v>
      </c>
      <c r="B213" s="2" t="s">
        <v>3</v>
      </c>
      <c r="C213" s="2">
        <v>485.65</v>
      </c>
      <c r="D213" s="26">
        <f t="shared" si="7"/>
        <v>2.4739730173264948E-3</v>
      </c>
      <c r="E213" s="27">
        <f t="shared" si="6"/>
        <v>0.6234412003662767</v>
      </c>
    </row>
    <row r="214" spans="1:5" x14ac:dyDescent="0.4">
      <c r="A214" s="3">
        <v>45812</v>
      </c>
      <c r="B214" s="2" t="s">
        <v>3</v>
      </c>
      <c r="C214" s="2">
        <v>491.85</v>
      </c>
      <c r="D214" s="26">
        <f t="shared" si="7"/>
        <v>1.2685592110427571E-2</v>
      </c>
      <c r="E214" s="27">
        <f t="shared" si="6"/>
        <v>3.196769211827748</v>
      </c>
    </row>
    <row r="215" spans="1:5" x14ac:dyDescent="0.4">
      <c r="A215" s="3">
        <v>45813</v>
      </c>
      <c r="B215" s="2" t="s">
        <v>3</v>
      </c>
      <c r="C215" s="2">
        <v>488.7</v>
      </c>
      <c r="D215" s="26">
        <f t="shared" si="7"/>
        <v>-6.424987682657886E-3</v>
      </c>
      <c r="E215" s="27">
        <f t="shared" si="6"/>
        <v>-1.6190968960297873</v>
      </c>
    </row>
    <row r="216" spans="1:5" x14ac:dyDescent="0.4">
      <c r="A216" s="3">
        <v>45814</v>
      </c>
      <c r="B216" s="2" t="s">
        <v>3</v>
      </c>
      <c r="C216" s="2">
        <v>481.25</v>
      </c>
      <c r="D216" s="26">
        <f t="shared" si="7"/>
        <v>-1.5361918674115099E-2</v>
      </c>
      <c r="E216" s="27">
        <f t="shared" si="6"/>
        <v>-3.8712035058770051</v>
      </c>
    </row>
    <row r="217" spans="1:5" x14ac:dyDescent="0.4">
      <c r="A217" s="3">
        <v>45817</v>
      </c>
      <c r="B217" s="2" t="s">
        <v>3</v>
      </c>
      <c r="C217" s="2">
        <v>485.6</v>
      </c>
      <c r="D217" s="26">
        <f t="shared" si="7"/>
        <v>8.9983541432946661E-3</v>
      </c>
      <c r="E217" s="27">
        <f t="shared" si="6"/>
        <v>2.267585244110256</v>
      </c>
    </row>
    <row r="218" spans="1:5" x14ac:dyDescent="0.4">
      <c r="A218" s="3">
        <v>45818</v>
      </c>
      <c r="B218" s="2" t="s">
        <v>3</v>
      </c>
      <c r="C218" s="2">
        <v>489.55</v>
      </c>
      <c r="D218" s="26">
        <f t="shared" si="7"/>
        <v>8.1013620547918906E-3</v>
      </c>
      <c r="E218" s="27">
        <f t="shared" si="6"/>
        <v>2.0415432378075566</v>
      </c>
    </row>
    <row r="219" spans="1:5" x14ac:dyDescent="0.4">
      <c r="A219" s="3">
        <v>45819</v>
      </c>
      <c r="B219" s="2" t="s">
        <v>3</v>
      </c>
      <c r="C219" s="2">
        <v>486.5</v>
      </c>
      <c r="D219" s="26">
        <f t="shared" si="7"/>
        <v>-6.24970017402059E-3</v>
      </c>
      <c r="E219" s="27">
        <f t="shared" si="6"/>
        <v>-1.5749244438531886</v>
      </c>
    </row>
    <row r="220" spans="1:5" x14ac:dyDescent="0.4">
      <c r="A220" s="3">
        <v>45820</v>
      </c>
      <c r="B220" s="2" t="s">
        <v>3</v>
      </c>
      <c r="C220" s="2">
        <v>472.95</v>
      </c>
      <c r="D220" s="26">
        <f t="shared" si="7"/>
        <v>-2.8247226966880298E-2</v>
      </c>
      <c r="E220" s="27">
        <f t="shared" si="6"/>
        <v>-7.1183011956538351</v>
      </c>
    </row>
    <row r="221" spans="1:5" x14ac:dyDescent="0.4">
      <c r="A221" s="3">
        <v>45821</v>
      </c>
      <c r="B221" s="2" t="s">
        <v>3</v>
      </c>
      <c r="C221" s="2">
        <v>466.5</v>
      </c>
      <c r="D221" s="26">
        <f t="shared" si="7"/>
        <v>-1.3731654371781013E-2</v>
      </c>
      <c r="E221" s="27">
        <f t="shared" si="6"/>
        <v>-3.4603769016888153</v>
      </c>
    </row>
    <row r="222" spans="1:5" x14ac:dyDescent="0.4">
      <c r="A222" s="3">
        <v>45824</v>
      </c>
      <c r="B222" s="2" t="s">
        <v>3</v>
      </c>
      <c r="C222" s="2">
        <v>471.7</v>
      </c>
      <c r="D222" s="26">
        <f t="shared" si="7"/>
        <v>1.1085170002817552E-2</v>
      </c>
      <c r="E222" s="27">
        <f t="shared" si="6"/>
        <v>2.7934628407100233</v>
      </c>
    </row>
    <row r="223" spans="1:5" x14ac:dyDescent="0.4">
      <c r="A223" s="3">
        <v>45825</v>
      </c>
      <c r="B223" s="2" t="s">
        <v>3</v>
      </c>
      <c r="C223" s="2">
        <v>472.05</v>
      </c>
      <c r="D223" s="26">
        <f t="shared" si="7"/>
        <v>7.4172188830964685E-4</v>
      </c>
      <c r="E223" s="27">
        <f t="shared" si="6"/>
        <v>0.186913915854031</v>
      </c>
    </row>
    <row r="224" spans="1:5" x14ac:dyDescent="0.4">
      <c r="A224" s="3">
        <v>45826</v>
      </c>
      <c r="B224" s="2" t="s">
        <v>3</v>
      </c>
      <c r="C224" s="2">
        <v>470.2</v>
      </c>
      <c r="D224" s="26">
        <f t="shared" si="7"/>
        <v>-3.9267760725564971E-3</v>
      </c>
      <c r="E224" s="27">
        <f t="shared" si="6"/>
        <v>-0.98954757028423723</v>
      </c>
    </row>
    <row r="225" spans="1:5" x14ac:dyDescent="0.4">
      <c r="A225" s="3">
        <v>45827</v>
      </c>
      <c r="B225" s="2" t="s">
        <v>3</v>
      </c>
      <c r="C225" s="2">
        <v>465.1</v>
      </c>
      <c r="D225" s="26">
        <f t="shared" si="7"/>
        <v>-1.0905699875917729E-2</v>
      </c>
      <c r="E225" s="27">
        <f t="shared" si="6"/>
        <v>-2.7482363687312676</v>
      </c>
    </row>
    <row r="226" spans="1:5" x14ac:dyDescent="0.4">
      <c r="A226" s="3">
        <v>45828</v>
      </c>
      <c r="B226" s="2" t="s">
        <v>3</v>
      </c>
      <c r="C226" s="2">
        <v>466.9</v>
      </c>
      <c r="D226" s="26">
        <f t="shared" si="7"/>
        <v>3.8626657468398911E-3</v>
      </c>
      <c r="E226" s="27">
        <f t="shared" si="6"/>
        <v>0.97339176820365259</v>
      </c>
    </row>
    <row r="227" spans="1:5" x14ac:dyDescent="0.4">
      <c r="A227" s="3">
        <v>45831</v>
      </c>
      <c r="B227" s="2" t="s">
        <v>3</v>
      </c>
      <c r="C227" s="2">
        <v>467.5</v>
      </c>
      <c r="D227" s="26">
        <f t="shared" si="7"/>
        <v>1.2842467518503682E-3</v>
      </c>
      <c r="E227" s="27">
        <f t="shared" si="6"/>
        <v>0.3236301814662928</v>
      </c>
    </row>
    <row r="228" spans="1:5" x14ac:dyDescent="0.4">
      <c r="A228" s="3">
        <v>45832</v>
      </c>
      <c r="B228" s="2" t="s">
        <v>3</v>
      </c>
      <c r="C228" s="2">
        <v>475.1</v>
      </c>
      <c r="D228" s="26">
        <f t="shared" si="7"/>
        <v>1.6125959464134042E-2</v>
      </c>
      <c r="E228" s="27">
        <f t="shared" si="6"/>
        <v>4.0637417849617785</v>
      </c>
    </row>
    <row r="229" spans="1:5" x14ac:dyDescent="0.4">
      <c r="A229" s="3">
        <v>45833</v>
      </c>
      <c r="B229" s="2" t="s">
        <v>3</v>
      </c>
      <c r="C229" s="2">
        <v>480.25</v>
      </c>
      <c r="D229" s="26">
        <f t="shared" si="7"/>
        <v>1.0781493455790355E-2</v>
      </c>
      <c r="E229" s="27">
        <f t="shared" si="6"/>
        <v>2.7169363508591693</v>
      </c>
    </row>
    <row r="230" spans="1:5" x14ac:dyDescent="0.4">
      <c r="A230" s="3">
        <v>45834</v>
      </c>
      <c r="B230" s="2" t="s">
        <v>3</v>
      </c>
      <c r="C230" s="2">
        <v>481.55</v>
      </c>
      <c r="D230" s="26">
        <f t="shared" si="7"/>
        <v>2.7032663582073034E-3</v>
      </c>
      <c r="E230" s="27">
        <f t="shared" si="6"/>
        <v>0.68122312226824044</v>
      </c>
    </row>
    <row r="231" spans="1:5" x14ac:dyDescent="0.4">
      <c r="A231" s="3">
        <v>45835</v>
      </c>
      <c r="B231" s="2" t="s">
        <v>3</v>
      </c>
      <c r="C231" s="2">
        <v>486.35</v>
      </c>
      <c r="D231" s="26">
        <f t="shared" si="7"/>
        <v>9.9184613085759807E-3</v>
      </c>
      <c r="E231" s="27">
        <f t="shared" si="6"/>
        <v>2.4994522497611471</v>
      </c>
    </row>
    <row r="232" spans="1:5" x14ac:dyDescent="0.4">
      <c r="A232" s="3">
        <v>45838</v>
      </c>
      <c r="B232" s="2" t="s">
        <v>3</v>
      </c>
      <c r="C232" s="2">
        <v>485.25</v>
      </c>
      <c r="D232" s="26">
        <f t="shared" si="7"/>
        <v>-2.2643072663297769E-3</v>
      </c>
      <c r="E232" s="27">
        <f t="shared" si="6"/>
        <v>-0.57060543111510376</v>
      </c>
    </row>
    <row r="233" spans="1:5" x14ac:dyDescent="0.4">
      <c r="A233" s="3">
        <v>45839</v>
      </c>
      <c r="B233" s="2" t="s">
        <v>3</v>
      </c>
      <c r="C233" s="2">
        <v>482.4</v>
      </c>
      <c r="D233" s="26">
        <f t="shared" si="7"/>
        <v>-5.8905766361440036E-3</v>
      </c>
      <c r="E233" s="27">
        <f t="shared" si="6"/>
        <v>-1.4844253123082889</v>
      </c>
    </row>
    <row r="234" spans="1:5" x14ac:dyDescent="0.4">
      <c r="A234" s="3">
        <v>45840</v>
      </c>
      <c r="B234" s="2" t="s">
        <v>3</v>
      </c>
      <c r="C234" s="2">
        <v>487.55</v>
      </c>
      <c r="D234" s="26">
        <f t="shared" si="7"/>
        <v>1.0619203868152367E-2</v>
      </c>
      <c r="E234" s="27">
        <f t="shared" si="6"/>
        <v>2.6760393747743962</v>
      </c>
    </row>
    <row r="235" spans="1:5" x14ac:dyDescent="0.4">
      <c r="A235" s="3">
        <v>45841</v>
      </c>
      <c r="B235" s="2" t="s">
        <v>3</v>
      </c>
      <c r="C235" s="2">
        <v>491.6</v>
      </c>
      <c r="D235" s="26">
        <f t="shared" si="7"/>
        <v>8.272528410751781E-3</v>
      </c>
      <c r="E235" s="27">
        <f t="shared" si="6"/>
        <v>2.0846771595094489</v>
      </c>
    </row>
    <row r="236" spans="1:5" x14ac:dyDescent="0.4">
      <c r="A236" s="3">
        <v>45842</v>
      </c>
      <c r="B236" s="2" t="s">
        <v>3</v>
      </c>
      <c r="C236" s="2">
        <v>495.1</v>
      </c>
      <c r="D236" s="26">
        <f t="shared" si="7"/>
        <v>7.0943846754976028E-3</v>
      </c>
      <c r="E236" s="27">
        <f t="shared" si="6"/>
        <v>1.7877849382253959</v>
      </c>
    </row>
    <row r="237" spans="1:5" x14ac:dyDescent="0.4">
      <c r="A237" s="3">
        <v>45845</v>
      </c>
      <c r="B237" s="2" t="s">
        <v>3</v>
      </c>
      <c r="C237" s="2">
        <v>512.75</v>
      </c>
      <c r="D237" s="26">
        <f t="shared" si="7"/>
        <v>3.502863458511267E-2</v>
      </c>
      <c r="E237" s="27">
        <f t="shared" si="6"/>
        <v>8.8272159154483933</v>
      </c>
    </row>
    <row r="238" spans="1:5" x14ac:dyDescent="0.4">
      <c r="A238" s="3">
        <v>45846</v>
      </c>
      <c r="B238" s="2" t="s">
        <v>3</v>
      </c>
      <c r="C238" s="2">
        <v>513.1</v>
      </c>
      <c r="D238" s="26">
        <f t="shared" si="7"/>
        <v>6.8236099542908694E-4</v>
      </c>
      <c r="E238" s="27">
        <f t="shared" si="6"/>
        <v>0.17195497084812991</v>
      </c>
    </row>
    <row r="239" spans="1:5" x14ac:dyDescent="0.4">
      <c r="A239" s="3">
        <v>45847</v>
      </c>
      <c r="B239" s="2" t="s">
        <v>3</v>
      </c>
      <c r="C239" s="2">
        <v>522.15</v>
      </c>
      <c r="D239" s="26">
        <f t="shared" si="7"/>
        <v>1.7484144977638377E-2</v>
      </c>
      <c r="E239" s="27">
        <f t="shared" si="6"/>
        <v>4.4060045343648708</v>
      </c>
    </row>
    <row r="240" spans="1:5" x14ac:dyDescent="0.4">
      <c r="A240" s="3">
        <v>45848</v>
      </c>
      <c r="B240" s="2" t="s">
        <v>3</v>
      </c>
      <c r="C240" s="2">
        <v>522.4</v>
      </c>
      <c r="D240" s="26">
        <f t="shared" si="7"/>
        <v>4.7867503666371148E-4</v>
      </c>
      <c r="E240" s="27">
        <f t="shared" si="6"/>
        <v>0.12062610923925529</v>
      </c>
    </row>
    <row r="241" spans="1:5" x14ac:dyDescent="0.4">
      <c r="A241" s="3">
        <v>45849</v>
      </c>
      <c r="B241" s="2" t="s">
        <v>3</v>
      </c>
      <c r="C241" s="2">
        <v>530.85</v>
      </c>
      <c r="D241" s="26">
        <f t="shared" si="7"/>
        <v>1.6045917497360791E-2</v>
      </c>
      <c r="E241" s="27">
        <f t="shared" si="6"/>
        <v>4.0435712093349192</v>
      </c>
    </row>
    <row r="242" spans="1:5" x14ac:dyDescent="0.4">
      <c r="A242" s="3">
        <v>45852</v>
      </c>
      <c r="B242" s="2" t="s">
        <v>3</v>
      </c>
      <c r="C242" s="2">
        <v>526.20000000000005</v>
      </c>
      <c r="D242" s="26">
        <f t="shared" si="7"/>
        <v>-8.7981268533897216E-3</v>
      </c>
      <c r="E242" s="27">
        <f t="shared" si="6"/>
        <v>-2.2171279670542097</v>
      </c>
    </row>
    <row r="243" spans="1:5" x14ac:dyDescent="0.4">
      <c r="A243" s="3">
        <v>45853</v>
      </c>
      <c r="B243" s="2" t="s">
        <v>3</v>
      </c>
      <c r="C243" s="2">
        <v>527</v>
      </c>
      <c r="D243" s="26">
        <f t="shared" si="7"/>
        <v>1.5191799351699092E-3</v>
      </c>
      <c r="E243" s="27">
        <f t="shared" si="6"/>
        <v>0.38283334366281713</v>
      </c>
    </row>
    <row r="244" spans="1:5" x14ac:dyDescent="0.4">
      <c r="A244" s="3">
        <v>45854</v>
      </c>
      <c r="B244" s="2" t="s">
        <v>3</v>
      </c>
      <c r="C244" s="2">
        <v>527.95000000000005</v>
      </c>
      <c r="D244" s="26">
        <f t="shared" si="7"/>
        <v>1.8010337111611934E-3</v>
      </c>
      <c r="E244" s="27">
        <f t="shared" si="6"/>
        <v>0.45386049521262073</v>
      </c>
    </row>
    <row r="245" spans="1:5" x14ac:dyDescent="0.4">
      <c r="A245" s="3">
        <v>45855</v>
      </c>
      <c r="B245" s="2" t="s">
        <v>3</v>
      </c>
      <c r="C245" s="2">
        <v>528.70000000000005</v>
      </c>
      <c r="D245" s="26">
        <f t="shared" si="7"/>
        <v>1.4195809888810746E-3</v>
      </c>
      <c r="E245" s="27">
        <f t="shared" si="6"/>
        <v>0.35773440919803079</v>
      </c>
    </row>
    <row r="246" spans="1:5" x14ac:dyDescent="0.4">
      <c r="A246" s="3">
        <v>45856</v>
      </c>
      <c r="B246" s="2" t="s">
        <v>3</v>
      </c>
      <c r="C246" s="2">
        <v>522.6</v>
      </c>
      <c r="D246" s="26">
        <f t="shared" si="7"/>
        <v>-1.1604810154892507E-2</v>
      </c>
      <c r="E246" s="27">
        <f t="shared" si="6"/>
        <v>-2.924412159032912</v>
      </c>
    </row>
    <row r="247" spans="1:5" x14ac:dyDescent="0.4">
      <c r="A247" s="3">
        <v>45859</v>
      </c>
      <c r="B247" s="2" t="s">
        <v>3</v>
      </c>
      <c r="C247" s="2">
        <v>514.54999999999995</v>
      </c>
      <c r="D247" s="26">
        <f t="shared" si="7"/>
        <v>-1.5523620804411572E-2</v>
      </c>
      <c r="E247" s="27">
        <f t="shared" si="6"/>
        <v>-3.911952442711716</v>
      </c>
    </row>
    <row r="248" spans="1:5" x14ac:dyDescent="0.4">
      <c r="A248" s="3">
        <v>45860</v>
      </c>
      <c r="B248" s="2" t="s">
        <v>3</v>
      </c>
      <c r="C248" s="2">
        <v>515.04999999999995</v>
      </c>
      <c r="D248" s="26">
        <f t="shared" si="7"/>
        <v>9.7125104760179047E-4</v>
      </c>
      <c r="E248" s="27">
        <f t="shared" si="6"/>
        <v>0.2447552639956512</v>
      </c>
    </row>
    <row r="249" spans="1:5" x14ac:dyDescent="0.4">
      <c r="A249" s="3">
        <v>45861</v>
      </c>
      <c r="B249" s="2" t="s">
        <v>3</v>
      </c>
      <c r="C249" s="2">
        <v>513.85</v>
      </c>
      <c r="D249" s="26">
        <f t="shared" si="7"/>
        <v>-2.3325892586202267E-3</v>
      </c>
      <c r="E249" s="27">
        <f t="shared" si="6"/>
        <v>-0.58781249317229711</v>
      </c>
    </row>
    <row r="250" spans="1:5" x14ac:dyDescent="0.4">
      <c r="A250" s="3">
        <v>45862</v>
      </c>
      <c r="B250" s="2" t="s">
        <v>3</v>
      </c>
      <c r="C250" s="2">
        <v>512.54999999999995</v>
      </c>
      <c r="D250" s="26">
        <f t="shared" si="7"/>
        <v>-2.5331268416717064E-3</v>
      </c>
      <c r="E250" s="27">
        <f t="shared" si="6"/>
        <v>-0.63834796410127004</v>
      </c>
    </row>
    <row r="251" spans="1:5" x14ac:dyDescent="0.4">
      <c r="A251" s="3">
        <v>45863</v>
      </c>
      <c r="B251" s="2" t="s">
        <v>3</v>
      </c>
      <c r="C251" s="2">
        <v>511.35</v>
      </c>
      <c r="D251" s="26">
        <f t="shared" si="7"/>
        <v>-2.3439799773885676E-3</v>
      </c>
      <c r="E251" s="27">
        <f t="shared" si="6"/>
        <v>-0.59068295430191908</v>
      </c>
    </row>
  </sheetData>
  <autoFilter ref="A1:C251" xr:uid="{4BAEC2FD-6E6E-491D-87BF-A65A80B7118F}">
    <sortState xmlns:xlrd2="http://schemas.microsoft.com/office/spreadsheetml/2017/richdata2" ref="A2:C251">
      <sortCondition ref="A1:A251"/>
    </sortState>
  </autoFilter>
  <mergeCells count="1">
    <mergeCell ref="G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A6B6-BA74-4C40-B702-79A06A01346D}">
  <dimension ref="A1:J251"/>
  <sheetViews>
    <sheetView showGridLines="0" workbookViewId="0">
      <selection activeCell="G13" sqref="G13"/>
    </sheetView>
  </sheetViews>
  <sheetFormatPr defaultColWidth="8.73046875" defaultRowHeight="13.15" x14ac:dyDescent="0.4"/>
  <cols>
    <col min="1" max="1" width="8.9296875" style="1" bestFit="1" customWidth="1"/>
    <col min="2" max="2" width="8" style="1" bestFit="1" customWidth="1"/>
    <col min="3" max="3" width="7.33203125" style="1" bestFit="1" customWidth="1"/>
    <col min="4" max="4" width="21.33203125" style="1" customWidth="1"/>
    <col min="5" max="5" width="19.33203125" style="1" customWidth="1"/>
    <col min="6" max="6" width="8.73046875" style="1"/>
    <col min="7" max="7" width="19.9296875" style="1" bestFit="1" customWidth="1"/>
    <col min="8" max="8" width="16.73046875" style="1" customWidth="1"/>
    <col min="9" max="16384" width="8.73046875" style="1"/>
  </cols>
  <sheetData>
    <row r="1" spans="1:10" x14ac:dyDescent="0.4">
      <c r="A1" s="4" t="s">
        <v>0</v>
      </c>
      <c r="B1" s="4" t="s">
        <v>1</v>
      </c>
      <c r="C1" s="4" t="s">
        <v>2</v>
      </c>
      <c r="D1" s="21" t="s">
        <v>46</v>
      </c>
      <c r="E1" s="21" t="s">
        <v>47</v>
      </c>
    </row>
    <row r="2" spans="1:10" x14ac:dyDescent="0.4">
      <c r="A2" s="3">
        <v>45499</v>
      </c>
      <c r="B2" s="2" t="s">
        <v>3</v>
      </c>
      <c r="C2" s="2">
        <v>703.35</v>
      </c>
      <c r="D2" s="26">
        <v>0</v>
      </c>
      <c r="E2" s="30">
        <f>D2*252</f>
        <v>0</v>
      </c>
    </row>
    <row r="3" spans="1:10" x14ac:dyDescent="0.4">
      <c r="A3" s="3">
        <v>45502</v>
      </c>
      <c r="B3" s="2" t="s">
        <v>3</v>
      </c>
      <c r="C3" s="2">
        <v>696.85</v>
      </c>
      <c r="D3" s="26">
        <f>LN(C3/C2)</f>
        <v>-9.2844546381864439E-3</v>
      </c>
      <c r="E3" s="30">
        <f t="shared" ref="E3:E66" si="0">D3*252</f>
        <v>-2.3396825688229841</v>
      </c>
      <c r="G3" s="111" t="s">
        <v>54</v>
      </c>
      <c r="H3" s="112"/>
    </row>
    <row r="4" spans="1:10" x14ac:dyDescent="0.4">
      <c r="A4" s="3">
        <v>45503</v>
      </c>
      <c r="B4" s="2" t="s">
        <v>3</v>
      </c>
      <c r="C4" s="2">
        <v>697.2</v>
      </c>
      <c r="D4" s="26">
        <f t="shared" ref="D4:D67" si="1">LN(C4/C3)</f>
        <v>5.0213408034728124E-4</v>
      </c>
      <c r="E4" s="30">
        <f t="shared" si="0"/>
        <v>0.12653778824751488</v>
      </c>
      <c r="G4" s="28" t="s">
        <v>48</v>
      </c>
      <c r="H4" s="29">
        <f>AVERAGE(E2:E251)</f>
        <v>5.0520605130725926E-2</v>
      </c>
      <c r="J4" s="1" t="s">
        <v>51</v>
      </c>
    </row>
    <row r="5" spans="1:10" x14ac:dyDescent="0.4">
      <c r="A5" s="3">
        <v>45504</v>
      </c>
      <c r="B5" s="2" t="s">
        <v>3</v>
      </c>
      <c r="C5" s="2">
        <v>715.5</v>
      </c>
      <c r="D5" s="26">
        <f t="shared" si="1"/>
        <v>2.5909285350639598E-2</v>
      </c>
      <c r="E5" s="30">
        <f t="shared" si="0"/>
        <v>6.529139908361179</v>
      </c>
      <c r="G5" s="28" t="s">
        <v>50</v>
      </c>
      <c r="H5" s="43">
        <f>_xlfn.STDEV.S(E2:E251)/100</f>
        <v>3.691611877384348E-2</v>
      </c>
      <c r="J5" s="1" t="s">
        <v>52</v>
      </c>
    </row>
    <row r="6" spans="1:10" x14ac:dyDescent="0.4">
      <c r="A6" s="3">
        <v>45505</v>
      </c>
      <c r="B6" s="2" t="s">
        <v>3</v>
      </c>
      <c r="C6" s="2">
        <v>713.6</v>
      </c>
      <c r="D6" s="26">
        <f t="shared" si="1"/>
        <v>-2.6590177307059641E-3</v>
      </c>
      <c r="E6" s="30">
        <f t="shared" si="0"/>
        <v>-0.670072468137903</v>
      </c>
    </row>
    <row r="7" spans="1:10" x14ac:dyDescent="0.4">
      <c r="A7" s="3">
        <v>45506</v>
      </c>
      <c r="B7" s="2" t="s">
        <v>3</v>
      </c>
      <c r="C7" s="2">
        <v>707.4</v>
      </c>
      <c r="D7" s="26">
        <f t="shared" si="1"/>
        <v>-8.7263044944194453E-3</v>
      </c>
      <c r="E7" s="30">
        <f t="shared" si="0"/>
        <v>-2.1990287325937001</v>
      </c>
    </row>
    <row r="8" spans="1:10" x14ac:dyDescent="0.4">
      <c r="A8" s="3">
        <v>45509</v>
      </c>
      <c r="B8" s="2" t="s">
        <v>3</v>
      </c>
      <c r="C8" s="2">
        <v>710.9</v>
      </c>
      <c r="D8" s="26">
        <f t="shared" si="1"/>
        <v>4.9354961640571344E-3</v>
      </c>
      <c r="E8" s="30">
        <f t="shared" si="0"/>
        <v>1.2437450333423978</v>
      </c>
    </row>
    <row r="9" spans="1:10" x14ac:dyDescent="0.4">
      <c r="A9" s="3">
        <v>45510</v>
      </c>
      <c r="B9" s="2" t="s">
        <v>3</v>
      </c>
      <c r="C9" s="2">
        <v>679.6</v>
      </c>
      <c r="D9" s="26">
        <f t="shared" si="1"/>
        <v>-4.5027383137660394E-2</v>
      </c>
      <c r="E9" s="30">
        <f t="shared" si="0"/>
        <v>-11.346900550690419</v>
      </c>
      <c r="G9" s="80" t="s">
        <v>104</v>
      </c>
      <c r="H9" s="81"/>
    </row>
    <row r="10" spans="1:10" x14ac:dyDescent="0.4">
      <c r="A10" s="3">
        <v>45511</v>
      </c>
      <c r="B10" s="2" t="s">
        <v>3</v>
      </c>
      <c r="C10" s="2">
        <v>696.25</v>
      </c>
      <c r="D10" s="26">
        <f t="shared" si="1"/>
        <v>2.4204401443716741E-2</v>
      </c>
      <c r="E10" s="30">
        <f t="shared" si="0"/>
        <v>6.0995091638166183</v>
      </c>
      <c r="G10" s="82" t="s">
        <v>105</v>
      </c>
      <c r="H10" s="83"/>
    </row>
    <row r="11" spans="1:10" x14ac:dyDescent="0.4">
      <c r="A11" s="3">
        <v>45512</v>
      </c>
      <c r="B11" s="2" t="s">
        <v>3</v>
      </c>
      <c r="C11" s="2">
        <v>710.35</v>
      </c>
      <c r="D11" s="26">
        <f t="shared" si="1"/>
        <v>2.0049015076592305E-2</v>
      </c>
      <c r="E11" s="30">
        <f t="shared" si="0"/>
        <v>5.0523517993012605</v>
      </c>
      <c r="G11" s="82"/>
      <c r="H11" s="83"/>
    </row>
    <row r="12" spans="1:10" x14ac:dyDescent="0.4">
      <c r="A12" s="3">
        <v>45513</v>
      </c>
      <c r="B12" s="2" t="s">
        <v>3</v>
      </c>
      <c r="C12" s="2">
        <v>702.4</v>
      </c>
      <c r="D12" s="26">
        <f t="shared" si="1"/>
        <v>-1.1254763997179307E-2</v>
      </c>
      <c r="E12" s="30">
        <f t="shared" si="0"/>
        <v>-2.8362005272891855</v>
      </c>
      <c r="G12" s="84" t="s">
        <v>106</v>
      </c>
      <c r="H12" s="85"/>
    </row>
    <row r="13" spans="1:10" x14ac:dyDescent="0.4">
      <c r="A13" s="3">
        <v>45516</v>
      </c>
      <c r="B13" s="2" t="s">
        <v>3</v>
      </c>
      <c r="C13" s="2">
        <v>702.45</v>
      </c>
      <c r="D13" s="26">
        <f t="shared" si="1"/>
        <v>7.1181976753545919E-5</v>
      </c>
      <c r="E13" s="30">
        <f t="shared" si="0"/>
        <v>1.7937858141893571E-2</v>
      </c>
    </row>
    <row r="14" spans="1:10" x14ac:dyDescent="0.4">
      <c r="A14" s="3">
        <v>45517</v>
      </c>
      <c r="B14" s="2" t="s">
        <v>3</v>
      </c>
      <c r="C14" s="2">
        <v>685</v>
      </c>
      <c r="D14" s="26">
        <f t="shared" si="1"/>
        <v>-2.5155386035435247E-2</v>
      </c>
      <c r="E14" s="30">
        <f t="shared" si="0"/>
        <v>-6.3391572809296823</v>
      </c>
    </row>
    <row r="15" spans="1:10" x14ac:dyDescent="0.4">
      <c r="A15" s="3">
        <v>45518</v>
      </c>
      <c r="B15" s="2" t="s">
        <v>3</v>
      </c>
      <c r="C15" s="2">
        <v>686.35</v>
      </c>
      <c r="D15" s="26">
        <f t="shared" si="1"/>
        <v>1.9688634354433523E-3</v>
      </c>
      <c r="E15" s="30">
        <f t="shared" si="0"/>
        <v>0.4961535857317248</v>
      </c>
    </row>
    <row r="16" spans="1:10" x14ac:dyDescent="0.4">
      <c r="A16" s="3">
        <v>45520</v>
      </c>
      <c r="B16" s="2" t="s">
        <v>3</v>
      </c>
      <c r="C16" s="2">
        <v>689.4</v>
      </c>
      <c r="D16" s="26">
        <f t="shared" si="1"/>
        <v>4.4339523850964284E-3</v>
      </c>
      <c r="E16" s="30">
        <f t="shared" si="0"/>
        <v>1.1173560010443</v>
      </c>
    </row>
    <row r="17" spans="1:5" x14ac:dyDescent="0.4">
      <c r="A17" s="3">
        <v>45523</v>
      </c>
      <c r="B17" s="2" t="s">
        <v>3</v>
      </c>
      <c r="C17" s="2">
        <v>685.7</v>
      </c>
      <c r="D17" s="26">
        <f t="shared" si="1"/>
        <v>-5.3814397924461512E-3</v>
      </c>
      <c r="E17" s="30">
        <f t="shared" si="0"/>
        <v>-1.3561228276964301</v>
      </c>
    </row>
    <row r="18" spans="1:5" x14ac:dyDescent="0.4">
      <c r="A18" s="3">
        <v>45524</v>
      </c>
      <c r="B18" s="2" t="s">
        <v>3</v>
      </c>
      <c r="C18" s="2">
        <v>710.6</v>
      </c>
      <c r="D18" s="26">
        <f t="shared" si="1"/>
        <v>3.5669469296607997E-2</v>
      </c>
      <c r="E18" s="30">
        <f t="shared" si="0"/>
        <v>8.9887062627452146</v>
      </c>
    </row>
    <row r="19" spans="1:5" x14ac:dyDescent="0.4">
      <c r="A19" s="3">
        <v>45525</v>
      </c>
      <c r="B19" s="2" t="s">
        <v>3</v>
      </c>
      <c r="C19" s="2">
        <v>724.55</v>
      </c>
      <c r="D19" s="26">
        <f t="shared" si="1"/>
        <v>1.9441088905006391E-2</v>
      </c>
      <c r="E19" s="30">
        <f t="shared" si="0"/>
        <v>4.8991544040616111</v>
      </c>
    </row>
    <row r="20" spans="1:5" x14ac:dyDescent="0.4">
      <c r="A20" s="3">
        <v>45526</v>
      </c>
      <c r="B20" s="2" t="s">
        <v>3</v>
      </c>
      <c r="C20" s="2">
        <v>726</v>
      </c>
      <c r="D20" s="26">
        <f t="shared" si="1"/>
        <v>1.9992423328629235E-3</v>
      </c>
      <c r="E20" s="30">
        <f t="shared" si="0"/>
        <v>0.50380906788145674</v>
      </c>
    </row>
    <row r="21" spans="1:5" x14ac:dyDescent="0.4">
      <c r="A21" s="3">
        <v>45527</v>
      </c>
      <c r="B21" s="2" t="s">
        <v>3</v>
      </c>
      <c r="C21" s="2">
        <v>729</v>
      </c>
      <c r="D21" s="26">
        <f t="shared" si="1"/>
        <v>4.1237171838621562E-3</v>
      </c>
      <c r="E21" s="30">
        <f t="shared" si="0"/>
        <v>1.0391767303332633</v>
      </c>
    </row>
    <row r="22" spans="1:5" x14ac:dyDescent="0.4">
      <c r="A22" s="3">
        <v>45530</v>
      </c>
      <c r="B22" s="2" t="s">
        <v>3</v>
      </c>
      <c r="C22" s="2">
        <v>725.65</v>
      </c>
      <c r="D22" s="26">
        <f t="shared" si="1"/>
        <v>-4.6059270922863488E-3</v>
      </c>
      <c r="E22" s="30">
        <f t="shared" si="0"/>
        <v>-1.1606936272561599</v>
      </c>
    </row>
    <row r="23" spans="1:5" x14ac:dyDescent="0.4">
      <c r="A23" s="3">
        <v>45531</v>
      </c>
      <c r="B23" s="2" t="s">
        <v>3</v>
      </c>
      <c r="C23" s="2">
        <v>739.55</v>
      </c>
      <c r="D23" s="26">
        <f t="shared" si="1"/>
        <v>1.8974088201007076E-2</v>
      </c>
      <c r="E23" s="30">
        <f t="shared" si="0"/>
        <v>4.7814702266537834</v>
      </c>
    </row>
    <row r="24" spans="1:5" x14ac:dyDescent="0.4">
      <c r="A24" s="3">
        <v>45532</v>
      </c>
      <c r="B24" s="2" t="s">
        <v>3</v>
      </c>
      <c r="C24" s="2">
        <v>742.1</v>
      </c>
      <c r="D24" s="26">
        <f t="shared" si="1"/>
        <v>3.4421118587089766E-3</v>
      </c>
      <c r="E24" s="30">
        <f t="shared" si="0"/>
        <v>0.86741218839466216</v>
      </c>
    </row>
    <row r="25" spans="1:5" x14ac:dyDescent="0.4">
      <c r="A25" s="3">
        <v>45533</v>
      </c>
      <c r="B25" s="2" t="s">
        <v>3</v>
      </c>
      <c r="C25" s="2">
        <v>736.9</v>
      </c>
      <c r="D25" s="26">
        <f t="shared" si="1"/>
        <v>-7.0318072031343645E-3</v>
      </c>
      <c r="E25" s="30">
        <f t="shared" si="0"/>
        <v>-1.7720154151898599</v>
      </c>
    </row>
    <row r="26" spans="1:5" x14ac:dyDescent="0.4">
      <c r="A26" s="3">
        <v>45534</v>
      </c>
      <c r="B26" s="2" t="s">
        <v>3</v>
      </c>
      <c r="C26" s="2">
        <v>738.7</v>
      </c>
      <c r="D26" s="26">
        <f t="shared" si="1"/>
        <v>2.4396867617384748E-3</v>
      </c>
      <c r="E26" s="30">
        <f t="shared" si="0"/>
        <v>0.61480106395809564</v>
      </c>
    </row>
    <row r="27" spans="1:5" x14ac:dyDescent="0.4">
      <c r="A27" s="3">
        <v>45537</v>
      </c>
      <c r="B27" s="2" t="s">
        <v>3</v>
      </c>
      <c r="C27" s="2">
        <v>745.3</v>
      </c>
      <c r="D27" s="26">
        <f t="shared" si="1"/>
        <v>8.8949373529558576E-3</v>
      </c>
      <c r="E27" s="30">
        <f t="shared" si="0"/>
        <v>2.241524212944876</v>
      </c>
    </row>
    <row r="28" spans="1:5" x14ac:dyDescent="0.4">
      <c r="A28" s="3">
        <v>45538</v>
      </c>
      <c r="B28" s="2" t="s">
        <v>3</v>
      </c>
      <c r="C28" s="2">
        <v>758.75</v>
      </c>
      <c r="D28" s="26">
        <f t="shared" si="1"/>
        <v>1.7885520486059844E-2</v>
      </c>
      <c r="E28" s="30">
        <f t="shared" si="0"/>
        <v>4.507151162487081</v>
      </c>
    </row>
    <row r="29" spans="1:5" x14ac:dyDescent="0.4">
      <c r="A29" s="3">
        <v>45539</v>
      </c>
      <c r="B29" s="2" t="s">
        <v>3</v>
      </c>
      <c r="C29" s="2">
        <v>758.8</v>
      </c>
      <c r="D29" s="26">
        <f t="shared" si="1"/>
        <v>6.589568715097E-5</v>
      </c>
      <c r="E29" s="30">
        <f t="shared" si="0"/>
        <v>1.6605713162044441E-2</v>
      </c>
    </row>
    <row r="30" spans="1:5" x14ac:dyDescent="0.4">
      <c r="A30" s="3">
        <v>45540</v>
      </c>
      <c r="B30" s="2" t="s">
        <v>3</v>
      </c>
      <c r="C30" s="2">
        <v>751.85</v>
      </c>
      <c r="D30" s="26">
        <f t="shared" si="1"/>
        <v>-9.2014020925299238E-3</v>
      </c>
      <c r="E30" s="30">
        <f t="shared" si="0"/>
        <v>-2.3187533273175407</v>
      </c>
    </row>
    <row r="31" spans="1:5" x14ac:dyDescent="0.4">
      <c r="A31" s="3">
        <v>45541</v>
      </c>
      <c r="B31" s="2" t="s">
        <v>3</v>
      </c>
      <c r="C31" s="2">
        <v>738.4</v>
      </c>
      <c r="D31" s="26">
        <f t="shared" si="1"/>
        <v>-1.8051152779686743E-2</v>
      </c>
      <c r="E31" s="30">
        <f t="shared" si="0"/>
        <v>-4.5488905004810594</v>
      </c>
    </row>
    <row r="32" spans="1:5" x14ac:dyDescent="0.4">
      <c r="A32" s="3">
        <v>45544</v>
      </c>
      <c r="B32" s="2" t="s">
        <v>3</v>
      </c>
      <c r="C32" s="2">
        <v>735.8</v>
      </c>
      <c r="D32" s="26">
        <f t="shared" si="1"/>
        <v>-3.5273405179684107E-3</v>
      </c>
      <c r="E32" s="30">
        <f t="shared" si="0"/>
        <v>-0.8888898105280395</v>
      </c>
    </row>
    <row r="33" spans="1:5" x14ac:dyDescent="0.4">
      <c r="A33" s="3">
        <v>45545</v>
      </c>
      <c r="B33" s="2" t="s">
        <v>3</v>
      </c>
      <c r="C33" s="2">
        <v>702.9</v>
      </c>
      <c r="D33" s="26">
        <f t="shared" si="1"/>
        <v>-4.5743708488814296E-2</v>
      </c>
      <c r="E33" s="30">
        <f t="shared" si="0"/>
        <v>-11.527414539181203</v>
      </c>
    </row>
    <row r="34" spans="1:5" x14ac:dyDescent="0.4">
      <c r="A34" s="3">
        <v>45546</v>
      </c>
      <c r="B34" s="2" t="s">
        <v>3</v>
      </c>
      <c r="C34" s="2">
        <v>700.15</v>
      </c>
      <c r="D34" s="26">
        <f t="shared" si="1"/>
        <v>-3.9200363800735395E-3</v>
      </c>
      <c r="E34" s="30">
        <f t="shared" si="0"/>
        <v>-0.98784916777853193</v>
      </c>
    </row>
    <row r="35" spans="1:5" x14ac:dyDescent="0.4">
      <c r="A35" s="3">
        <v>45547</v>
      </c>
      <c r="B35" s="2" t="s">
        <v>3</v>
      </c>
      <c r="C35" s="2">
        <v>714.55</v>
      </c>
      <c r="D35" s="26">
        <f t="shared" si="1"/>
        <v>2.0358376126017666E-2</v>
      </c>
      <c r="E35" s="30">
        <f t="shared" si="0"/>
        <v>5.1303107837564514</v>
      </c>
    </row>
    <row r="36" spans="1:5" x14ac:dyDescent="0.4">
      <c r="A36" s="3">
        <v>45548</v>
      </c>
      <c r="B36" s="2" t="s">
        <v>3</v>
      </c>
      <c r="C36" s="2">
        <v>705.4</v>
      </c>
      <c r="D36" s="26">
        <f t="shared" si="1"/>
        <v>-1.2887956125852109E-2</v>
      </c>
      <c r="E36" s="30">
        <f t="shared" si="0"/>
        <v>-3.2477649437147313</v>
      </c>
    </row>
    <row r="37" spans="1:5" x14ac:dyDescent="0.4">
      <c r="A37" s="3">
        <v>45551</v>
      </c>
      <c r="B37" s="2" t="s">
        <v>3</v>
      </c>
      <c r="C37" s="2">
        <v>701.35</v>
      </c>
      <c r="D37" s="26">
        <f t="shared" si="1"/>
        <v>-5.7579686362711421E-3</v>
      </c>
      <c r="E37" s="30">
        <f t="shared" si="0"/>
        <v>-1.4510080963403278</v>
      </c>
    </row>
    <row r="38" spans="1:5" x14ac:dyDescent="0.4">
      <c r="A38" s="3">
        <v>45552</v>
      </c>
      <c r="B38" s="2" t="s">
        <v>3</v>
      </c>
      <c r="C38" s="2">
        <v>698.9</v>
      </c>
      <c r="D38" s="26">
        <f t="shared" si="1"/>
        <v>-3.49937868259708E-3</v>
      </c>
      <c r="E38" s="30">
        <f t="shared" si="0"/>
        <v>-0.88184342801446414</v>
      </c>
    </row>
    <row r="39" spans="1:5" x14ac:dyDescent="0.4">
      <c r="A39" s="3">
        <v>45553</v>
      </c>
      <c r="B39" s="2" t="s">
        <v>3</v>
      </c>
      <c r="C39" s="2">
        <v>698.8</v>
      </c>
      <c r="D39" s="26">
        <f t="shared" si="1"/>
        <v>-1.4309222318188445E-4</v>
      </c>
      <c r="E39" s="30">
        <f t="shared" si="0"/>
        <v>-3.6059240241834885E-2</v>
      </c>
    </row>
    <row r="40" spans="1:5" x14ac:dyDescent="0.4">
      <c r="A40" s="3">
        <v>45554</v>
      </c>
      <c r="B40" s="2" t="s">
        <v>3</v>
      </c>
      <c r="C40" s="2">
        <v>701.5</v>
      </c>
      <c r="D40" s="26">
        <f t="shared" si="1"/>
        <v>3.8563212826141758E-3</v>
      </c>
      <c r="E40" s="30">
        <f t="shared" si="0"/>
        <v>0.97179296321877229</v>
      </c>
    </row>
    <row r="41" spans="1:5" x14ac:dyDescent="0.4">
      <c r="A41" s="3">
        <v>45555</v>
      </c>
      <c r="B41" s="2" t="s">
        <v>3</v>
      </c>
      <c r="C41" s="2">
        <v>711.1</v>
      </c>
      <c r="D41" s="26">
        <f t="shared" si="1"/>
        <v>1.359216734695665E-2</v>
      </c>
      <c r="E41" s="30">
        <f t="shared" si="0"/>
        <v>3.4252261714330756</v>
      </c>
    </row>
    <row r="42" spans="1:5" x14ac:dyDescent="0.4">
      <c r="A42" s="3">
        <v>45558</v>
      </c>
      <c r="B42" s="2" t="s">
        <v>3</v>
      </c>
      <c r="C42" s="2">
        <v>727.5</v>
      </c>
      <c r="D42" s="26">
        <f t="shared" si="1"/>
        <v>2.2800932156175204E-2</v>
      </c>
      <c r="E42" s="30">
        <f t="shared" si="0"/>
        <v>5.7458349033561511</v>
      </c>
    </row>
    <row r="43" spans="1:5" x14ac:dyDescent="0.4">
      <c r="A43" s="3">
        <v>45559</v>
      </c>
      <c r="B43" s="2" t="s">
        <v>3</v>
      </c>
      <c r="C43" s="2">
        <v>720.7</v>
      </c>
      <c r="D43" s="26">
        <f t="shared" si="1"/>
        <v>-9.3910371152521651E-3</v>
      </c>
      <c r="E43" s="30">
        <f t="shared" si="0"/>
        <v>-2.3665413530435457</v>
      </c>
    </row>
    <row r="44" spans="1:5" x14ac:dyDescent="0.4">
      <c r="A44" s="3">
        <v>45560</v>
      </c>
      <c r="B44" s="2" t="s">
        <v>3</v>
      </c>
      <c r="C44" s="2">
        <v>716.55</v>
      </c>
      <c r="D44" s="26">
        <f t="shared" si="1"/>
        <v>-5.7749334263148952E-3</v>
      </c>
      <c r="E44" s="30">
        <f t="shared" si="0"/>
        <v>-1.4552832234313535</v>
      </c>
    </row>
    <row r="45" spans="1:5" x14ac:dyDescent="0.4">
      <c r="A45" s="3">
        <v>45561</v>
      </c>
      <c r="B45" s="2" t="s">
        <v>3</v>
      </c>
      <c r="C45" s="2">
        <v>729.55</v>
      </c>
      <c r="D45" s="26">
        <f t="shared" si="1"/>
        <v>1.797987720595097E-2</v>
      </c>
      <c r="E45" s="30">
        <f t="shared" si="0"/>
        <v>4.5309290558996445</v>
      </c>
    </row>
    <row r="46" spans="1:5" x14ac:dyDescent="0.4">
      <c r="A46" s="3">
        <v>45562</v>
      </c>
      <c r="B46" s="2" t="s">
        <v>3</v>
      </c>
      <c r="C46" s="2">
        <v>730.2</v>
      </c>
      <c r="D46" s="26">
        <f t="shared" si="1"/>
        <v>8.9056351150510751E-4</v>
      </c>
      <c r="E46" s="30">
        <f t="shared" si="0"/>
        <v>0.2244220048992871</v>
      </c>
    </row>
    <row r="47" spans="1:5" x14ac:dyDescent="0.4">
      <c r="A47" s="3">
        <v>45565</v>
      </c>
      <c r="B47" s="2" t="s">
        <v>3</v>
      </c>
      <c r="C47" s="2">
        <v>718</v>
      </c>
      <c r="D47" s="26">
        <f t="shared" si="1"/>
        <v>-1.6848900173312316E-2</v>
      </c>
      <c r="E47" s="30">
        <f t="shared" si="0"/>
        <v>-4.2459228436747036</v>
      </c>
    </row>
    <row r="48" spans="1:5" x14ac:dyDescent="0.4">
      <c r="A48" s="3">
        <v>45566</v>
      </c>
      <c r="B48" s="2" t="s">
        <v>3</v>
      </c>
      <c r="C48" s="2">
        <v>710.2</v>
      </c>
      <c r="D48" s="26">
        <f t="shared" si="1"/>
        <v>-1.0922948539236655E-2</v>
      </c>
      <c r="E48" s="30">
        <f t="shared" si="0"/>
        <v>-2.752583031887637</v>
      </c>
    </row>
    <row r="49" spans="1:5" x14ac:dyDescent="0.4">
      <c r="A49" s="3">
        <v>45568</v>
      </c>
      <c r="B49" s="2" t="s">
        <v>3</v>
      </c>
      <c r="C49" s="2">
        <v>702.25</v>
      </c>
      <c r="D49" s="26">
        <f t="shared" si="1"/>
        <v>-1.1257154524634558E-2</v>
      </c>
      <c r="E49" s="30">
        <f t="shared" si="0"/>
        <v>-2.8368029402079085</v>
      </c>
    </row>
    <row r="50" spans="1:5" x14ac:dyDescent="0.4">
      <c r="A50" s="3">
        <v>45569</v>
      </c>
      <c r="B50" s="2" t="s">
        <v>3</v>
      </c>
      <c r="C50" s="2">
        <v>708.8</v>
      </c>
      <c r="D50" s="26">
        <f t="shared" si="1"/>
        <v>9.2839333065180534E-3</v>
      </c>
      <c r="E50" s="30">
        <f t="shared" si="0"/>
        <v>2.3395511932425497</v>
      </c>
    </row>
    <row r="51" spans="1:5" x14ac:dyDescent="0.4">
      <c r="A51" s="3">
        <v>45572</v>
      </c>
      <c r="B51" s="2" t="s">
        <v>3</v>
      </c>
      <c r="C51" s="2">
        <v>705.85</v>
      </c>
      <c r="D51" s="26">
        <f t="shared" si="1"/>
        <v>-4.170648960662519E-3</v>
      </c>
      <c r="E51" s="30">
        <f t="shared" si="0"/>
        <v>-1.0510035380869549</v>
      </c>
    </row>
    <row r="52" spans="1:5" x14ac:dyDescent="0.4">
      <c r="A52" s="3">
        <v>45573</v>
      </c>
      <c r="B52" s="2" t="s">
        <v>3</v>
      </c>
      <c r="C52" s="2">
        <v>710.1</v>
      </c>
      <c r="D52" s="26">
        <f t="shared" si="1"/>
        <v>6.0030548578392301E-3</v>
      </c>
      <c r="E52" s="30">
        <f t="shared" si="0"/>
        <v>1.5127698241754859</v>
      </c>
    </row>
    <row r="53" spans="1:5" x14ac:dyDescent="0.4">
      <c r="A53" s="3">
        <v>45574</v>
      </c>
      <c r="B53" s="2" t="s">
        <v>3</v>
      </c>
      <c r="C53" s="2">
        <v>717.3</v>
      </c>
      <c r="D53" s="26">
        <f t="shared" si="1"/>
        <v>1.0088357944340737E-2</v>
      </c>
      <c r="E53" s="30">
        <f t="shared" si="0"/>
        <v>2.5422662019738658</v>
      </c>
    </row>
    <row r="54" spans="1:5" x14ac:dyDescent="0.4">
      <c r="A54" s="3">
        <v>45575</v>
      </c>
      <c r="B54" s="2" t="s">
        <v>3</v>
      </c>
      <c r="C54" s="2">
        <v>723.65</v>
      </c>
      <c r="D54" s="26">
        <f t="shared" si="1"/>
        <v>8.8136869512249263E-3</v>
      </c>
      <c r="E54" s="30">
        <f t="shared" si="0"/>
        <v>2.2210491117086812</v>
      </c>
    </row>
    <row r="55" spans="1:5" x14ac:dyDescent="0.4">
      <c r="A55" s="3">
        <v>45576</v>
      </c>
      <c r="B55" s="2" t="s">
        <v>3</v>
      </c>
      <c r="C55" s="2">
        <v>723.85</v>
      </c>
      <c r="D55" s="26">
        <f t="shared" si="1"/>
        <v>2.7633851643912101E-4</v>
      </c>
      <c r="E55" s="30">
        <f t="shared" si="0"/>
        <v>6.9637306142658492E-2</v>
      </c>
    </row>
    <row r="56" spans="1:5" x14ac:dyDescent="0.4">
      <c r="A56" s="3">
        <v>45579</v>
      </c>
      <c r="B56" s="2" t="s">
        <v>3</v>
      </c>
      <c r="C56" s="2">
        <v>740.6</v>
      </c>
      <c r="D56" s="26">
        <f t="shared" si="1"/>
        <v>2.287647987945985E-2</v>
      </c>
      <c r="E56" s="30">
        <f t="shared" si="0"/>
        <v>5.7648729296238823</v>
      </c>
    </row>
    <row r="57" spans="1:5" x14ac:dyDescent="0.4">
      <c r="A57" s="3">
        <v>45580</v>
      </c>
      <c r="B57" s="2" t="s">
        <v>3</v>
      </c>
      <c r="C57" s="2">
        <v>714.25</v>
      </c>
      <c r="D57" s="26">
        <f t="shared" si="1"/>
        <v>-3.6227627368629937E-2</v>
      </c>
      <c r="E57" s="30">
        <f t="shared" si="0"/>
        <v>-9.1293620968947451</v>
      </c>
    </row>
    <row r="58" spans="1:5" x14ac:dyDescent="0.4">
      <c r="A58" s="3">
        <v>45581</v>
      </c>
      <c r="B58" s="2" t="s">
        <v>3</v>
      </c>
      <c r="C58" s="2">
        <v>726.8</v>
      </c>
      <c r="D58" s="26">
        <f t="shared" si="1"/>
        <v>1.7418295411133499E-2</v>
      </c>
      <c r="E58" s="30">
        <f t="shared" si="0"/>
        <v>4.3894104436056418</v>
      </c>
    </row>
    <row r="59" spans="1:5" x14ac:dyDescent="0.4">
      <c r="A59" s="3">
        <v>45582</v>
      </c>
      <c r="B59" s="2" t="s">
        <v>3</v>
      </c>
      <c r="C59" s="2">
        <v>726.1</v>
      </c>
      <c r="D59" s="26">
        <f t="shared" si="1"/>
        <v>-9.6359013581491938E-4</v>
      </c>
      <c r="E59" s="30">
        <f t="shared" si="0"/>
        <v>-0.24282471422535967</v>
      </c>
    </row>
    <row r="60" spans="1:5" x14ac:dyDescent="0.4">
      <c r="A60" s="3">
        <v>45583</v>
      </c>
      <c r="B60" s="2" t="s">
        <v>3</v>
      </c>
      <c r="C60" s="2">
        <v>742.45</v>
      </c>
      <c r="D60" s="26">
        <f t="shared" si="1"/>
        <v>2.226778195586936E-2</v>
      </c>
      <c r="E60" s="30">
        <f t="shared" si="0"/>
        <v>5.6114810528790784</v>
      </c>
    </row>
    <row r="61" spans="1:5" x14ac:dyDescent="0.4">
      <c r="A61" s="3">
        <v>45586</v>
      </c>
      <c r="B61" s="2" t="s">
        <v>3</v>
      </c>
      <c r="C61" s="2">
        <v>745.85</v>
      </c>
      <c r="D61" s="26">
        <f t="shared" si="1"/>
        <v>4.568979257868898E-3</v>
      </c>
      <c r="E61" s="30">
        <f t="shared" si="0"/>
        <v>1.1513827729829622</v>
      </c>
    </row>
    <row r="62" spans="1:5" x14ac:dyDescent="0.4">
      <c r="A62" s="3">
        <v>45587</v>
      </c>
      <c r="B62" s="2" t="s">
        <v>3</v>
      </c>
      <c r="C62" s="2">
        <v>728.2</v>
      </c>
      <c r="D62" s="26">
        <f t="shared" si="1"/>
        <v>-2.3948771858606364E-2</v>
      </c>
      <c r="E62" s="30">
        <f t="shared" si="0"/>
        <v>-6.0350905083688033</v>
      </c>
    </row>
    <row r="63" spans="1:5" x14ac:dyDescent="0.4">
      <c r="A63" s="3">
        <v>45588</v>
      </c>
      <c r="B63" s="2" t="s">
        <v>3</v>
      </c>
      <c r="C63" s="2">
        <v>723.75</v>
      </c>
      <c r="D63" s="26">
        <f t="shared" si="1"/>
        <v>-6.1297068541281341E-3</v>
      </c>
      <c r="E63" s="30">
        <f t="shared" si="0"/>
        <v>-1.5446861272402899</v>
      </c>
    </row>
    <row r="64" spans="1:5" x14ac:dyDescent="0.4">
      <c r="A64" s="3">
        <v>45589</v>
      </c>
      <c r="B64" s="2" t="s">
        <v>3</v>
      </c>
      <c r="C64" s="2">
        <v>714.85</v>
      </c>
      <c r="D64" s="26">
        <f t="shared" si="1"/>
        <v>-1.2373298412031783E-2</v>
      </c>
      <c r="E64" s="30">
        <f t="shared" si="0"/>
        <v>-3.1180711998320092</v>
      </c>
    </row>
    <row r="65" spans="1:5" x14ac:dyDescent="0.4">
      <c r="A65" s="3">
        <v>45590</v>
      </c>
      <c r="B65" s="2" t="s">
        <v>3</v>
      </c>
      <c r="C65" s="2">
        <v>709.45</v>
      </c>
      <c r="D65" s="26">
        <f t="shared" si="1"/>
        <v>-7.5827085218507185E-3</v>
      </c>
      <c r="E65" s="30">
        <f t="shared" si="0"/>
        <v>-1.9108425475063811</v>
      </c>
    </row>
    <row r="66" spans="1:5" x14ac:dyDescent="0.4">
      <c r="A66" s="3">
        <v>45593</v>
      </c>
      <c r="B66" s="2" t="s">
        <v>3</v>
      </c>
      <c r="C66" s="2">
        <v>718.25</v>
      </c>
      <c r="D66" s="26">
        <f t="shared" si="1"/>
        <v>1.2327675906076595E-2</v>
      </c>
      <c r="E66" s="30">
        <f t="shared" si="0"/>
        <v>3.1065743283313019</v>
      </c>
    </row>
    <row r="67" spans="1:5" x14ac:dyDescent="0.4">
      <c r="A67" s="3">
        <v>45594</v>
      </c>
      <c r="B67" s="2" t="s">
        <v>3</v>
      </c>
      <c r="C67" s="2">
        <v>742.4</v>
      </c>
      <c r="D67" s="26">
        <f t="shared" si="1"/>
        <v>3.3070483612591753E-2</v>
      </c>
      <c r="E67" s="30">
        <f t="shared" ref="E67:E130" si="2">D67*252</f>
        <v>8.333761870373122</v>
      </c>
    </row>
    <row r="68" spans="1:5" x14ac:dyDescent="0.4">
      <c r="A68" s="3">
        <v>45595</v>
      </c>
      <c r="B68" s="2" t="s">
        <v>3</v>
      </c>
      <c r="C68" s="2">
        <v>727.05</v>
      </c>
      <c r="D68" s="26">
        <f t="shared" ref="D68:D131" si="3">LN(C68/C67)</f>
        <v>-2.0892930512496171E-2</v>
      </c>
      <c r="E68" s="30">
        <f t="shared" si="2"/>
        <v>-5.2650184891490355</v>
      </c>
    </row>
    <row r="69" spans="1:5" x14ac:dyDescent="0.4">
      <c r="A69" s="3">
        <v>45596</v>
      </c>
      <c r="B69" s="2" t="s">
        <v>3</v>
      </c>
      <c r="C69" s="2">
        <v>720.15</v>
      </c>
      <c r="D69" s="26">
        <f t="shared" si="3"/>
        <v>-9.535727314435612E-3</v>
      </c>
      <c r="E69" s="30">
        <f t="shared" si="2"/>
        <v>-2.4030032832377741</v>
      </c>
    </row>
    <row r="70" spans="1:5" x14ac:dyDescent="0.4">
      <c r="A70" s="3">
        <v>45597</v>
      </c>
      <c r="B70" s="2" t="s">
        <v>3</v>
      </c>
      <c r="C70" s="2">
        <v>723.7</v>
      </c>
      <c r="D70" s="26">
        <f t="shared" si="3"/>
        <v>4.9174182270229558E-3</v>
      </c>
      <c r="E70" s="30">
        <f t="shared" si="2"/>
        <v>1.2391893932097848</v>
      </c>
    </row>
    <row r="71" spans="1:5" x14ac:dyDescent="0.4">
      <c r="A71" s="3">
        <v>45600</v>
      </c>
      <c r="B71" s="2" t="s">
        <v>3</v>
      </c>
      <c r="C71" s="2">
        <v>710.85</v>
      </c>
      <c r="D71" s="26">
        <f t="shared" si="3"/>
        <v>-1.7915504790375066E-2</v>
      </c>
      <c r="E71" s="30">
        <f t="shared" si="2"/>
        <v>-4.5147072071745171</v>
      </c>
    </row>
    <row r="72" spans="1:5" x14ac:dyDescent="0.4">
      <c r="A72" s="3">
        <v>45601</v>
      </c>
      <c r="B72" s="2" t="s">
        <v>3</v>
      </c>
      <c r="C72" s="2">
        <v>717.25</v>
      </c>
      <c r="D72" s="26">
        <f t="shared" si="3"/>
        <v>8.963017779767159E-3</v>
      </c>
      <c r="E72" s="30">
        <f t="shared" si="2"/>
        <v>2.2586804805013241</v>
      </c>
    </row>
    <row r="73" spans="1:5" x14ac:dyDescent="0.4">
      <c r="A73" s="3">
        <v>45602</v>
      </c>
      <c r="B73" s="2" t="s">
        <v>3</v>
      </c>
      <c r="C73" s="2">
        <v>708.7</v>
      </c>
      <c r="D73" s="26">
        <f t="shared" si="3"/>
        <v>-1.1992149045263757E-2</v>
      </c>
      <c r="E73" s="30">
        <f t="shared" si="2"/>
        <v>-3.0220215594064666</v>
      </c>
    </row>
    <row r="74" spans="1:5" x14ac:dyDescent="0.4">
      <c r="A74" s="3">
        <v>45603</v>
      </c>
      <c r="B74" s="2" t="s">
        <v>3</v>
      </c>
      <c r="C74" s="2">
        <v>711.7</v>
      </c>
      <c r="D74" s="26">
        <f t="shared" si="3"/>
        <v>4.2241684890150987E-3</v>
      </c>
      <c r="E74" s="30">
        <f t="shared" si="2"/>
        <v>1.064490459231805</v>
      </c>
    </row>
    <row r="75" spans="1:5" x14ac:dyDescent="0.4">
      <c r="A75" s="3">
        <v>45604</v>
      </c>
      <c r="B75" s="2" t="s">
        <v>3</v>
      </c>
      <c r="C75" s="2">
        <v>708.5</v>
      </c>
      <c r="D75" s="26">
        <f t="shared" si="3"/>
        <v>-4.5064151744904045E-3</v>
      </c>
      <c r="E75" s="30">
        <f t="shared" si="2"/>
        <v>-1.1356166239715819</v>
      </c>
    </row>
    <row r="76" spans="1:5" x14ac:dyDescent="0.4">
      <c r="A76" s="3">
        <v>45607</v>
      </c>
      <c r="B76" s="2" t="s">
        <v>3</v>
      </c>
      <c r="C76" s="2">
        <v>705.35</v>
      </c>
      <c r="D76" s="26">
        <f t="shared" si="3"/>
        <v>-4.4559256102237018E-3</v>
      </c>
      <c r="E76" s="30">
        <f t="shared" si="2"/>
        <v>-1.1228932537763729</v>
      </c>
    </row>
    <row r="77" spans="1:5" x14ac:dyDescent="0.4">
      <c r="A77" s="3">
        <v>45608</v>
      </c>
      <c r="B77" s="2" t="s">
        <v>3</v>
      </c>
      <c r="C77" s="2">
        <v>700</v>
      </c>
      <c r="D77" s="26">
        <f t="shared" si="3"/>
        <v>-7.6137984771066812E-3</v>
      </c>
      <c r="E77" s="30">
        <f t="shared" si="2"/>
        <v>-1.9186772162308836</v>
      </c>
    </row>
    <row r="78" spans="1:5" x14ac:dyDescent="0.4">
      <c r="A78" s="3">
        <v>45609</v>
      </c>
      <c r="B78" s="2" t="s">
        <v>3</v>
      </c>
      <c r="C78" s="2">
        <v>685.05</v>
      </c>
      <c r="D78" s="26">
        <f t="shared" si="3"/>
        <v>-2.1588506744287118E-2</v>
      </c>
      <c r="E78" s="30">
        <f t="shared" si="2"/>
        <v>-5.4403036995603538</v>
      </c>
    </row>
    <row r="79" spans="1:5" x14ac:dyDescent="0.4">
      <c r="A79" s="3">
        <v>45610</v>
      </c>
      <c r="B79" s="2" t="s">
        <v>3</v>
      </c>
      <c r="C79" s="2">
        <v>694</v>
      </c>
      <c r="D79" s="26">
        <f t="shared" si="3"/>
        <v>1.2980132207687007E-2</v>
      </c>
      <c r="E79" s="30">
        <f t="shared" si="2"/>
        <v>3.2709933163371256</v>
      </c>
    </row>
    <row r="80" spans="1:5" x14ac:dyDescent="0.4">
      <c r="A80" s="3">
        <v>45614</v>
      </c>
      <c r="B80" s="2" t="s">
        <v>3</v>
      </c>
      <c r="C80" s="2">
        <v>690.5</v>
      </c>
      <c r="D80" s="26">
        <f t="shared" si="3"/>
        <v>-5.0559876574577259E-3</v>
      </c>
      <c r="E80" s="30">
        <f t="shared" si="2"/>
        <v>-1.2741088896793469</v>
      </c>
    </row>
    <row r="81" spans="1:5" x14ac:dyDescent="0.4">
      <c r="A81" s="3">
        <v>45615</v>
      </c>
      <c r="B81" s="2" t="s">
        <v>3</v>
      </c>
      <c r="C81" s="2">
        <v>680.4</v>
      </c>
      <c r="D81" s="26">
        <f t="shared" si="3"/>
        <v>-1.4735112327640137E-2</v>
      </c>
      <c r="E81" s="30">
        <f t="shared" si="2"/>
        <v>-3.7132483065653146</v>
      </c>
    </row>
    <row r="82" spans="1:5" x14ac:dyDescent="0.4">
      <c r="A82" s="3">
        <v>45617</v>
      </c>
      <c r="B82" s="2" t="s">
        <v>3</v>
      </c>
      <c r="C82" s="2">
        <v>674.4</v>
      </c>
      <c r="D82" s="26">
        <f t="shared" si="3"/>
        <v>-8.8574538340610524E-3</v>
      </c>
      <c r="E82" s="30">
        <f t="shared" si="2"/>
        <v>-2.2320783661833854</v>
      </c>
    </row>
    <row r="83" spans="1:5" x14ac:dyDescent="0.4">
      <c r="A83" s="3">
        <v>45618</v>
      </c>
      <c r="B83" s="2" t="s">
        <v>3</v>
      </c>
      <c r="C83" s="2">
        <v>688.2</v>
      </c>
      <c r="D83" s="26">
        <f t="shared" si="3"/>
        <v>2.0256086675734322E-2</v>
      </c>
      <c r="E83" s="30">
        <f t="shared" si="2"/>
        <v>5.1045338422850488</v>
      </c>
    </row>
    <row r="84" spans="1:5" x14ac:dyDescent="0.4">
      <c r="A84" s="3">
        <v>45621</v>
      </c>
      <c r="B84" s="2" t="s">
        <v>3</v>
      </c>
      <c r="C84" s="2">
        <v>684.8</v>
      </c>
      <c r="D84" s="26">
        <f t="shared" si="3"/>
        <v>-4.9526685358477476E-3</v>
      </c>
      <c r="E84" s="30">
        <f t="shared" si="2"/>
        <v>-1.2480724710336324</v>
      </c>
    </row>
    <row r="85" spans="1:5" x14ac:dyDescent="0.4">
      <c r="A85" s="3">
        <v>45622</v>
      </c>
      <c r="B85" s="2" t="s">
        <v>3</v>
      </c>
      <c r="C85" s="2">
        <v>682.4</v>
      </c>
      <c r="D85" s="26">
        <f t="shared" si="3"/>
        <v>-3.5108286500629702E-3</v>
      </c>
      <c r="E85" s="30">
        <f t="shared" si="2"/>
        <v>-0.88472881981586848</v>
      </c>
    </row>
    <row r="86" spans="1:5" x14ac:dyDescent="0.4">
      <c r="A86" s="3">
        <v>45623</v>
      </c>
      <c r="B86" s="2" t="s">
        <v>3</v>
      </c>
      <c r="C86" s="2">
        <v>680.55</v>
      </c>
      <c r="D86" s="26">
        <f t="shared" si="3"/>
        <v>-2.714701399386794E-3</v>
      </c>
      <c r="E86" s="30">
        <f t="shared" si="2"/>
        <v>-0.6841047526454721</v>
      </c>
    </row>
    <row r="87" spans="1:5" x14ac:dyDescent="0.4">
      <c r="A87" s="3">
        <v>45624</v>
      </c>
      <c r="B87" s="2" t="s">
        <v>3</v>
      </c>
      <c r="C87" s="2">
        <v>657.7</v>
      </c>
      <c r="D87" s="26">
        <f t="shared" si="3"/>
        <v>-3.415239447077708E-2</v>
      </c>
      <c r="E87" s="30">
        <f t="shared" si="2"/>
        <v>-8.6064034066358239</v>
      </c>
    </row>
    <row r="88" spans="1:5" x14ac:dyDescent="0.4">
      <c r="A88" s="3">
        <v>45625</v>
      </c>
      <c r="B88" s="2" t="s">
        <v>3</v>
      </c>
      <c r="C88" s="2">
        <v>657.75</v>
      </c>
      <c r="D88" s="26">
        <f t="shared" si="3"/>
        <v>7.6019613096802376E-5</v>
      </c>
      <c r="E88" s="30">
        <f t="shared" si="2"/>
        <v>1.9156942500394198E-2</v>
      </c>
    </row>
    <row r="89" spans="1:5" x14ac:dyDescent="0.4">
      <c r="A89" s="3">
        <v>45628</v>
      </c>
      <c r="B89" s="2" t="s">
        <v>3</v>
      </c>
      <c r="C89" s="2">
        <v>640.20000000000005</v>
      </c>
      <c r="D89" s="26">
        <f t="shared" si="3"/>
        <v>-2.7044292384639349E-2</v>
      </c>
      <c r="E89" s="30">
        <f t="shared" si="2"/>
        <v>-6.8151616809291156</v>
      </c>
    </row>
    <row r="90" spans="1:5" x14ac:dyDescent="0.4">
      <c r="A90" s="3">
        <v>45629</v>
      </c>
      <c r="B90" s="2" t="s">
        <v>3</v>
      </c>
      <c r="C90" s="2">
        <v>634</v>
      </c>
      <c r="D90" s="26">
        <f t="shared" si="3"/>
        <v>-9.7316730985368069E-3</v>
      </c>
      <c r="E90" s="30">
        <f t="shared" si="2"/>
        <v>-2.4523816208312752</v>
      </c>
    </row>
    <row r="91" spans="1:5" x14ac:dyDescent="0.4">
      <c r="A91" s="3">
        <v>45630</v>
      </c>
      <c r="B91" s="2" t="s">
        <v>3</v>
      </c>
      <c r="C91" s="2">
        <v>650.25</v>
      </c>
      <c r="D91" s="26">
        <f t="shared" si="3"/>
        <v>2.5307949891534953E-2</v>
      </c>
      <c r="E91" s="30">
        <f t="shared" si="2"/>
        <v>6.3776033726668082</v>
      </c>
    </row>
    <row r="92" spans="1:5" x14ac:dyDescent="0.4">
      <c r="A92" s="3">
        <v>45631</v>
      </c>
      <c r="B92" s="2" t="s">
        <v>3</v>
      </c>
      <c r="C92" s="2">
        <v>643.15</v>
      </c>
      <c r="D92" s="26">
        <f t="shared" si="3"/>
        <v>-1.0978925804036472E-2</v>
      </c>
      <c r="E92" s="30">
        <f t="shared" si="2"/>
        <v>-2.7666893026171908</v>
      </c>
    </row>
    <row r="93" spans="1:5" x14ac:dyDescent="0.4">
      <c r="A93" s="3">
        <v>45632</v>
      </c>
      <c r="B93" s="2" t="s">
        <v>3</v>
      </c>
      <c r="C93" s="2">
        <v>636.5</v>
      </c>
      <c r="D93" s="26">
        <f t="shared" si="3"/>
        <v>-1.0393560527263195E-2</v>
      </c>
      <c r="E93" s="30">
        <f t="shared" si="2"/>
        <v>-2.6191772528703252</v>
      </c>
    </row>
    <row r="94" spans="1:5" x14ac:dyDescent="0.4">
      <c r="A94" s="3">
        <v>45635</v>
      </c>
      <c r="B94" s="2" t="s">
        <v>3</v>
      </c>
      <c r="C94" s="2">
        <v>641.79999999999995</v>
      </c>
      <c r="D94" s="26">
        <f t="shared" si="3"/>
        <v>8.2923106782952019E-3</v>
      </c>
      <c r="E94" s="30">
        <f t="shared" si="2"/>
        <v>2.089662290930391</v>
      </c>
    </row>
    <row r="95" spans="1:5" x14ac:dyDescent="0.4">
      <c r="A95" s="3">
        <v>45636</v>
      </c>
      <c r="B95" s="2" t="s">
        <v>3</v>
      </c>
      <c r="C95" s="2">
        <v>633.29999999999995</v>
      </c>
      <c r="D95" s="26">
        <f t="shared" si="3"/>
        <v>-1.3332485153371919E-2</v>
      </c>
      <c r="E95" s="30">
        <f t="shared" si="2"/>
        <v>-3.3597862586497236</v>
      </c>
    </row>
    <row r="96" spans="1:5" x14ac:dyDescent="0.4">
      <c r="A96" s="3">
        <v>45637</v>
      </c>
      <c r="B96" s="2" t="s">
        <v>3</v>
      </c>
      <c r="C96" s="2">
        <v>634.65</v>
      </c>
      <c r="D96" s="26">
        <f t="shared" si="3"/>
        <v>2.1294223118016589E-3</v>
      </c>
      <c r="E96" s="30">
        <f t="shared" si="2"/>
        <v>0.53661442257401804</v>
      </c>
    </row>
    <row r="97" spans="1:5" x14ac:dyDescent="0.4">
      <c r="A97" s="3">
        <v>45638</v>
      </c>
      <c r="B97" s="2" t="s">
        <v>3</v>
      </c>
      <c r="C97" s="2">
        <v>626.54999999999995</v>
      </c>
      <c r="D97" s="26">
        <f t="shared" si="3"/>
        <v>-1.284508622289213E-2</v>
      </c>
      <c r="E97" s="30">
        <f t="shared" si="2"/>
        <v>-3.2369617281688168</v>
      </c>
    </row>
    <row r="98" spans="1:5" x14ac:dyDescent="0.4">
      <c r="A98" s="3">
        <v>45639</v>
      </c>
      <c r="B98" s="2" t="s">
        <v>3</v>
      </c>
      <c r="C98" s="2">
        <v>632.54999999999995</v>
      </c>
      <c r="D98" s="26">
        <f t="shared" si="3"/>
        <v>9.5306892493844785E-3</v>
      </c>
      <c r="E98" s="30">
        <f t="shared" si="2"/>
        <v>2.4017336908448885</v>
      </c>
    </row>
    <row r="99" spans="1:5" x14ac:dyDescent="0.4">
      <c r="A99" s="3">
        <v>45642</v>
      </c>
      <c r="B99" s="2" t="s">
        <v>3</v>
      </c>
      <c r="C99" s="2">
        <v>634.95000000000005</v>
      </c>
      <c r="D99" s="26">
        <f t="shared" si="3"/>
        <v>3.7869867743639545E-3</v>
      </c>
      <c r="E99" s="30">
        <f t="shared" si="2"/>
        <v>0.95432066713971653</v>
      </c>
    </row>
    <row r="100" spans="1:5" x14ac:dyDescent="0.4">
      <c r="A100" s="3">
        <v>45643</v>
      </c>
      <c r="B100" s="2" t="s">
        <v>3</v>
      </c>
      <c r="C100" s="2">
        <v>626.75</v>
      </c>
      <c r="D100" s="26">
        <f t="shared" si="3"/>
        <v>-1.2998518596639691E-2</v>
      </c>
      <c r="E100" s="30">
        <f t="shared" si="2"/>
        <v>-3.2756266863532022</v>
      </c>
    </row>
    <row r="101" spans="1:5" x14ac:dyDescent="0.4">
      <c r="A101" s="3">
        <v>45644</v>
      </c>
      <c r="B101" s="2" t="s">
        <v>3</v>
      </c>
      <c r="C101" s="2">
        <v>624.54999999999995</v>
      </c>
      <c r="D101" s="26">
        <f t="shared" si="3"/>
        <v>-3.5163466264845362E-3</v>
      </c>
      <c r="E101" s="30">
        <f t="shared" si="2"/>
        <v>-0.88611934987410312</v>
      </c>
    </row>
    <row r="102" spans="1:5" x14ac:dyDescent="0.4">
      <c r="A102" s="3">
        <v>45645</v>
      </c>
      <c r="B102" s="2" t="s">
        <v>3</v>
      </c>
      <c r="C102" s="2">
        <v>623.54999999999995</v>
      </c>
      <c r="D102" s="26">
        <f t="shared" si="3"/>
        <v>-1.6024360451620972E-3</v>
      </c>
      <c r="E102" s="30">
        <f t="shared" si="2"/>
        <v>-0.4038138833808485</v>
      </c>
    </row>
    <row r="103" spans="1:5" x14ac:dyDescent="0.4">
      <c r="A103" s="3">
        <v>45646</v>
      </c>
      <c r="B103" s="2" t="s">
        <v>3</v>
      </c>
      <c r="C103" s="2">
        <v>623.79999999999995</v>
      </c>
      <c r="D103" s="26">
        <f t="shared" si="3"/>
        <v>4.0084980694664757E-4</v>
      </c>
      <c r="E103" s="30">
        <f t="shared" si="2"/>
        <v>0.10101415135055519</v>
      </c>
    </row>
    <row r="104" spans="1:5" x14ac:dyDescent="0.4">
      <c r="A104" s="3">
        <v>45649</v>
      </c>
      <c r="B104" s="2" t="s">
        <v>3</v>
      </c>
      <c r="C104" s="2">
        <v>622.54999999999995</v>
      </c>
      <c r="D104" s="26">
        <f t="shared" si="3"/>
        <v>-2.0058577752813424E-3</v>
      </c>
      <c r="E104" s="30">
        <f t="shared" si="2"/>
        <v>-0.50547615937089829</v>
      </c>
    </row>
    <row r="105" spans="1:5" x14ac:dyDescent="0.4">
      <c r="A105" s="3">
        <v>45650</v>
      </c>
      <c r="B105" s="2" t="s">
        <v>3</v>
      </c>
      <c r="C105" s="2">
        <v>622.5</v>
      </c>
      <c r="D105" s="26">
        <f t="shared" si="3"/>
        <v>-8.0318059558822744E-5</v>
      </c>
      <c r="E105" s="30">
        <f t="shared" si="2"/>
        <v>-2.0240151008823332E-2</v>
      </c>
    </row>
    <row r="106" spans="1:5" x14ac:dyDescent="0.4">
      <c r="A106" s="3">
        <v>45652</v>
      </c>
      <c r="B106" s="2" t="s">
        <v>3</v>
      </c>
      <c r="C106" s="2">
        <v>626.4</v>
      </c>
      <c r="D106" s="26">
        <f t="shared" si="3"/>
        <v>6.2455163377305488E-3</v>
      </c>
      <c r="E106" s="30">
        <f t="shared" si="2"/>
        <v>1.5738701171080982</v>
      </c>
    </row>
    <row r="107" spans="1:5" x14ac:dyDescent="0.4">
      <c r="A107" s="3">
        <v>45653</v>
      </c>
      <c r="B107" s="2" t="s">
        <v>3</v>
      </c>
      <c r="C107" s="2">
        <v>621.9</v>
      </c>
      <c r="D107" s="26">
        <f t="shared" si="3"/>
        <v>-7.2098365667497555E-3</v>
      </c>
      <c r="E107" s="30">
        <f t="shared" si="2"/>
        <v>-1.8168788148209383</v>
      </c>
    </row>
    <row r="108" spans="1:5" x14ac:dyDescent="0.4">
      <c r="A108" s="3">
        <v>45656</v>
      </c>
      <c r="B108" s="2" t="s">
        <v>3</v>
      </c>
      <c r="C108" s="2">
        <v>617.4</v>
      </c>
      <c r="D108" s="26">
        <f t="shared" si="3"/>
        <v>-7.2621960417846715E-3</v>
      </c>
      <c r="E108" s="30">
        <f t="shared" si="2"/>
        <v>-1.8300734025297372</v>
      </c>
    </row>
    <row r="109" spans="1:5" x14ac:dyDescent="0.4">
      <c r="A109" s="3">
        <v>45657</v>
      </c>
      <c r="B109" s="2" t="s">
        <v>3</v>
      </c>
      <c r="C109" s="2">
        <v>617.04999999999995</v>
      </c>
      <c r="D109" s="26">
        <f t="shared" si="3"/>
        <v>-5.6705416886636663E-4</v>
      </c>
      <c r="E109" s="30">
        <f t="shared" si="2"/>
        <v>-0.14289765055432438</v>
      </c>
    </row>
    <row r="110" spans="1:5" x14ac:dyDescent="0.4">
      <c r="A110" s="3">
        <v>45658</v>
      </c>
      <c r="B110" s="2" t="s">
        <v>3</v>
      </c>
      <c r="C110" s="2">
        <v>617.20000000000005</v>
      </c>
      <c r="D110" s="26">
        <f t="shared" si="3"/>
        <v>2.4306258981332613E-4</v>
      </c>
      <c r="E110" s="30">
        <f t="shared" si="2"/>
        <v>6.1251772632958189E-2</v>
      </c>
    </row>
    <row r="111" spans="1:5" x14ac:dyDescent="0.4">
      <c r="A111" s="3">
        <v>45659</v>
      </c>
      <c r="B111" s="2" t="s">
        <v>3</v>
      </c>
      <c r="C111" s="2">
        <v>620.15</v>
      </c>
      <c r="D111" s="26">
        <f t="shared" si="3"/>
        <v>4.7682637723325929E-3</v>
      </c>
      <c r="E111" s="30">
        <f t="shared" si="2"/>
        <v>1.2016024706278134</v>
      </c>
    </row>
    <row r="112" spans="1:5" x14ac:dyDescent="0.4">
      <c r="A112" s="3">
        <v>45660</v>
      </c>
      <c r="B112" s="2" t="s">
        <v>3</v>
      </c>
      <c r="C112" s="2">
        <v>623</v>
      </c>
      <c r="D112" s="26">
        <f t="shared" si="3"/>
        <v>4.5851345261145758E-3</v>
      </c>
      <c r="E112" s="30">
        <f t="shared" si="2"/>
        <v>1.1554539005808731</v>
      </c>
    </row>
    <row r="113" spans="1:5" x14ac:dyDescent="0.4">
      <c r="A113" s="3">
        <v>45663</v>
      </c>
      <c r="B113" s="2" t="s">
        <v>3</v>
      </c>
      <c r="C113" s="2">
        <v>605.95000000000005</v>
      </c>
      <c r="D113" s="26">
        <f t="shared" si="3"/>
        <v>-2.7749044372956673E-2</v>
      </c>
      <c r="E113" s="30">
        <f t="shared" si="2"/>
        <v>-6.9927591819850816</v>
      </c>
    </row>
    <row r="114" spans="1:5" x14ac:dyDescent="0.4">
      <c r="A114" s="3">
        <v>45664</v>
      </c>
      <c r="B114" s="2" t="s">
        <v>3</v>
      </c>
      <c r="C114" s="2">
        <v>619.85</v>
      </c>
      <c r="D114" s="26">
        <f t="shared" si="3"/>
        <v>2.2680038869659434E-2</v>
      </c>
      <c r="E114" s="30">
        <f t="shared" si="2"/>
        <v>5.7153697951541771</v>
      </c>
    </row>
    <row r="115" spans="1:5" x14ac:dyDescent="0.4">
      <c r="A115" s="3">
        <v>45665</v>
      </c>
      <c r="B115" s="2" t="s">
        <v>3</v>
      </c>
      <c r="C115" s="2">
        <v>618</v>
      </c>
      <c r="D115" s="26">
        <f t="shared" si="3"/>
        <v>-2.9890558264650743E-3</v>
      </c>
      <c r="E115" s="30">
        <f t="shared" si="2"/>
        <v>-0.75324206826919871</v>
      </c>
    </row>
    <row r="116" spans="1:5" x14ac:dyDescent="0.4">
      <c r="A116" s="3">
        <v>45666</v>
      </c>
      <c r="B116" s="2" t="s">
        <v>3</v>
      </c>
      <c r="C116" s="2">
        <v>612.20000000000005</v>
      </c>
      <c r="D116" s="26">
        <f t="shared" si="3"/>
        <v>-9.4294309463785839E-3</v>
      </c>
      <c r="E116" s="30">
        <f t="shared" si="2"/>
        <v>-2.3762165984874031</v>
      </c>
    </row>
    <row r="117" spans="1:5" x14ac:dyDescent="0.4">
      <c r="A117" s="3">
        <v>45667</v>
      </c>
      <c r="B117" s="2" t="s">
        <v>3</v>
      </c>
      <c r="C117" s="2">
        <v>608.65</v>
      </c>
      <c r="D117" s="26">
        <f t="shared" si="3"/>
        <v>-5.8156366557068576E-3</v>
      </c>
      <c r="E117" s="30">
        <f t="shared" si="2"/>
        <v>-1.4655404372381282</v>
      </c>
    </row>
    <row r="118" spans="1:5" x14ac:dyDescent="0.4">
      <c r="A118" s="3">
        <v>45670</v>
      </c>
      <c r="B118" s="2" t="s">
        <v>3</v>
      </c>
      <c r="C118" s="2">
        <v>599.75</v>
      </c>
      <c r="D118" s="26">
        <f t="shared" si="3"/>
        <v>-1.4730488135801337E-2</v>
      </c>
      <c r="E118" s="30">
        <f t="shared" si="2"/>
        <v>-3.7120830102219369</v>
      </c>
    </row>
    <row r="119" spans="1:5" x14ac:dyDescent="0.4">
      <c r="A119" s="3">
        <v>45671</v>
      </c>
      <c r="B119" s="2" t="s">
        <v>3</v>
      </c>
      <c r="C119" s="2">
        <v>600.45000000000005</v>
      </c>
      <c r="D119" s="26">
        <f t="shared" si="3"/>
        <v>1.1664723868883378E-3</v>
      </c>
      <c r="E119" s="30">
        <f t="shared" si="2"/>
        <v>0.2939510414958611</v>
      </c>
    </row>
    <row r="120" spans="1:5" x14ac:dyDescent="0.4">
      <c r="A120" s="3">
        <v>45672</v>
      </c>
      <c r="B120" s="2" t="s">
        <v>3</v>
      </c>
      <c r="C120" s="2">
        <v>594.20000000000005</v>
      </c>
      <c r="D120" s="26">
        <f t="shared" si="3"/>
        <v>-1.0463411078185042E-2</v>
      </c>
      <c r="E120" s="30">
        <f t="shared" si="2"/>
        <v>-2.6367795917026307</v>
      </c>
    </row>
    <row r="121" spans="1:5" x14ac:dyDescent="0.4">
      <c r="A121" s="3">
        <v>45673</v>
      </c>
      <c r="B121" s="2" t="s">
        <v>3</v>
      </c>
      <c r="C121" s="2">
        <v>641.4</v>
      </c>
      <c r="D121" s="26">
        <f t="shared" si="3"/>
        <v>7.643732423054718E-2</v>
      </c>
      <c r="E121" s="30">
        <f t="shared" si="2"/>
        <v>19.262205706097888</v>
      </c>
    </row>
    <row r="122" spans="1:5" x14ac:dyDescent="0.4">
      <c r="A122" s="3">
        <v>45674</v>
      </c>
      <c r="B122" s="2" t="s">
        <v>3</v>
      </c>
      <c r="C122" s="2">
        <v>642.20000000000005</v>
      </c>
      <c r="D122" s="26">
        <f t="shared" si="3"/>
        <v>1.2464943963591086E-3</v>
      </c>
      <c r="E122" s="30">
        <f t="shared" si="2"/>
        <v>0.31411658788249536</v>
      </c>
    </row>
    <row r="123" spans="1:5" x14ac:dyDescent="0.4">
      <c r="A123" s="3">
        <v>45677</v>
      </c>
      <c r="B123" s="2" t="s">
        <v>3</v>
      </c>
      <c r="C123" s="2">
        <v>634.04999999999995</v>
      </c>
      <c r="D123" s="26">
        <f t="shared" si="3"/>
        <v>-1.2771965974505079E-2</v>
      </c>
      <c r="E123" s="30">
        <f t="shared" si="2"/>
        <v>-3.2185354255752801</v>
      </c>
    </row>
    <row r="124" spans="1:5" x14ac:dyDescent="0.4">
      <c r="A124" s="3">
        <v>45678</v>
      </c>
      <c r="B124" s="2" t="s">
        <v>3</v>
      </c>
      <c r="C124" s="2">
        <v>624</v>
      </c>
      <c r="D124" s="26">
        <f t="shared" si="3"/>
        <v>-1.5977447311480902E-2</v>
      </c>
      <c r="E124" s="30">
        <f t="shared" si="2"/>
        <v>-4.0263167224931875</v>
      </c>
    </row>
    <row r="125" spans="1:5" x14ac:dyDescent="0.4">
      <c r="A125" s="3">
        <v>45679</v>
      </c>
      <c r="B125" s="2" t="s">
        <v>3</v>
      </c>
      <c r="C125" s="2">
        <v>618.20000000000005</v>
      </c>
      <c r="D125" s="26">
        <f t="shared" si="3"/>
        <v>-9.3383386714116969E-3</v>
      </c>
      <c r="E125" s="30">
        <f t="shared" si="2"/>
        <v>-2.3532613451957478</v>
      </c>
    </row>
    <row r="126" spans="1:5" x14ac:dyDescent="0.4">
      <c r="A126" s="3">
        <v>45680</v>
      </c>
      <c r="B126" s="2" t="s">
        <v>3</v>
      </c>
      <c r="C126" s="2">
        <v>621</v>
      </c>
      <c r="D126" s="26">
        <f t="shared" si="3"/>
        <v>4.519052235462756E-3</v>
      </c>
      <c r="E126" s="30">
        <f t="shared" si="2"/>
        <v>1.1388011633366144</v>
      </c>
    </row>
    <row r="127" spans="1:5" x14ac:dyDescent="0.4">
      <c r="A127" s="3">
        <v>45681</v>
      </c>
      <c r="B127" s="2" t="s">
        <v>3</v>
      </c>
      <c r="C127" s="2">
        <v>621.1</v>
      </c>
      <c r="D127" s="26">
        <f t="shared" si="3"/>
        <v>1.6101763177861885E-4</v>
      </c>
      <c r="E127" s="30">
        <f t="shared" si="2"/>
        <v>4.0576443208211951E-2</v>
      </c>
    </row>
    <row r="128" spans="1:5" x14ac:dyDescent="0.4">
      <c r="A128" s="3">
        <v>45684</v>
      </c>
      <c r="B128" s="2" t="s">
        <v>3</v>
      </c>
      <c r="C128" s="2">
        <v>610.20000000000005</v>
      </c>
      <c r="D128" s="26">
        <f t="shared" si="3"/>
        <v>-1.7705327282688019E-2</v>
      </c>
      <c r="E128" s="30">
        <f t="shared" si="2"/>
        <v>-4.4617424752373811</v>
      </c>
    </row>
    <row r="129" spans="1:5" x14ac:dyDescent="0.4">
      <c r="A129" s="3">
        <v>45685</v>
      </c>
      <c r="B129" s="2" t="s">
        <v>3</v>
      </c>
      <c r="C129" s="2">
        <v>611.54999999999995</v>
      </c>
      <c r="D129" s="26">
        <f t="shared" si="3"/>
        <v>2.2099456508026701E-3</v>
      </c>
      <c r="E129" s="30">
        <f t="shared" si="2"/>
        <v>0.55690630400227281</v>
      </c>
    </row>
    <row r="130" spans="1:5" x14ac:dyDescent="0.4">
      <c r="A130" s="3">
        <v>45686</v>
      </c>
      <c r="B130" s="2" t="s">
        <v>3</v>
      </c>
      <c r="C130" s="2">
        <v>628.35</v>
      </c>
      <c r="D130" s="26">
        <f t="shared" si="3"/>
        <v>2.7100618127781653E-2</v>
      </c>
      <c r="E130" s="30">
        <f t="shared" si="2"/>
        <v>6.8293557682009762</v>
      </c>
    </row>
    <row r="131" spans="1:5" x14ac:dyDescent="0.4">
      <c r="A131" s="3">
        <v>45687</v>
      </c>
      <c r="B131" s="2" t="s">
        <v>3</v>
      </c>
      <c r="C131" s="2">
        <v>634.15</v>
      </c>
      <c r="D131" s="26">
        <f t="shared" si="3"/>
        <v>9.1881834522849221E-3</v>
      </c>
      <c r="E131" s="30">
        <f t="shared" ref="E131:E194" si="4">D131*252</f>
        <v>2.3154222299758005</v>
      </c>
    </row>
    <row r="132" spans="1:5" x14ac:dyDescent="0.4">
      <c r="A132" s="3">
        <v>45688</v>
      </c>
      <c r="B132" s="2" t="s">
        <v>3</v>
      </c>
      <c r="C132" s="2">
        <v>638.04999999999995</v>
      </c>
      <c r="D132" s="26">
        <f t="shared" ref="D132:D195" si="5">LN(C132/C131)</f>
        <v>6.1311306665467E-3</v>
      </c>
      <c r="E132" s="30">
        <f t="shared" si="4"/>
        <v>1.5450449279697684</v>
      </c>
    </row>
    <row r="133" spans="1:5" x14ac:dyDescent="0.4">
      <c r="A133" s="3">
        <v>45689</v>
      </c>
      <c r="B133" s="2" t="s">
        <v>3</v>
      </c>
      <c r="C133" s="2">
        <v>625.5</v>
      </c>
      <c r="D133" s="26">
        <f t="shared" si="5"/>
        <v>-1.9865320273019491E-2</v>
      </c>
      <c r="E133" s="30">
        <f t="shared" si="4"/>
        <v>-5.0060607088009119</v>
      </c>
    </row>
    <row r="134" spans="1:5" x14ac:dyDescent="0.4">
      <c r="A134" s="3">
        <v>45691</v>
      </c>
      <c r="B134" s="2" t="s">
        <v>3</v>
      </c>
      <c r="C134" s="2">
        <v>621.4</v>
      </c>
      <c r="D134" s="26">
        <f t="shared" si="5"/>
        <v>-6.5763329480188135E-3</v>
      </c>
      <c r="E134" s="30">
        <f t="shared" si="4"/>
        <v>-1.6572359029007411</v>
      </c>
    </row>
    <row r="135" spans="1:5" x14ac:dyDescent="0.4">
      <c r="A135" s="3">
        <v>45692</v>
      </c>
      <c r="B135" s="2" t="s">
        <v>3</v>
      </c>
      <c r="C135" s="2">
        <v>625.9</v>
      </c>
      <c r="D135" s="26">
        <f t="shared" si="5"/>
        <v>7.2156169717086929E-3</v>
      </c>
      <c r="E135" s="30">
        <f t="shared" si="4"/>
        <v>1.8183354768705906</v>
      </c>
    </row>
    <row r="136" spans="1:5" x14ac:dyDescent="0.4">
      <c r="A136" s="3">
        <v>45693</v>
      </c>
      <c r="B136" s="2" t="s">
        <v>3</v>
      </c>
      <c r="C136" s="2">
        <v>627.85</v>
      </c>
      <c r="D136" s="26">
        <f t="shared" si="5"/>
        <v>3.1106705043171122E-3</v>
      </c>
      <c r="E136" s="30">
        <f t="shared" si="4"/>
        <v>0.78388896708791223</v>
      </c>
    </row>
    <row r="137" spans="1:5" x14ac:dyDescent="0.4">
      <c r="A137" s="3">
        <v>45694</v>
      </c>
      <c r="B137" s="2" t="s">
        <v>3</v>
      </c>
      <c r="C137" s="2">
        <v>631.95000000000005</v>
      </c>
      <c r="D137" s="26">
        <f t="shared" si="5"/>
        <v>6.508992658162481E-3</v>
      </c>
      <c r="E137" s="30">
        <f t="shared" si="4"/>
        <v>1.6402661498569453</v>
      </c>
    </row>
    <row r="138" spans="1:5" x14ac:dyDescent="0.4">
      <c r="A138" s="3">
        <v>45695</v>
      </c>
      <c r="B138" s="2" t="s">
        <v>3</v>
      </c>
      <c r="C138" s="2">
        <v>635.70000000000005</v>
      </c>
      <c r="D138" s="26">
        <f t="shared" si="5"/>
        <v>5.9164768492278447E-3</v>
      </c>
      <c r="E138" s="30">
        <f t="shared" si="4"/>
        <v>1.4909521660054168</v>
      </c>
    </row>
    <row r="139" spans="1:5" x14ac:dyDescent="0.4">
      <c r="A139" s="3">
        <v>45698</v>
      </c>
      <c r="B139" s="2" t="s">
        <v>3</v>
      </c>
      <c r="C139" s="2">
        <v>635.70000000000005</v>
      </c>
      <c r="D139" s="26">
        <f t="shared" si="5"/>
        <v>0</v>
      </c>
      <c r="E139" s="30">
        <f t="shared" si="4"/>
        <v>0</v>
      </c>
    </row>
    <row r="140" spans="1:5" x14ac:dyDescent="0.4">
      <c r="A140" s="3">
        <v>45699</v>
      </c>
      <c r="B140" s="2" t="s">
        <v>3</v>
      </c>
      <c r="C140" s="2">
        <v>618.6</v>
      </c>
      <c r="D140" s="26">
        <f t="shared" si="5"/>
        <v>-2.7267893691393832E-2</v>
      </c>
      <c r="E140" s="30">
        <f t="shared" si="4"/>
        <v>-6.8715092102312454</v>
      </c>
    </row>
    <row r="141" spans="1:5" x14ac:dyDescent="0.4">
      <c r="A141" s="3">
        <v>45700</v>
      </c>
      <c r="B141" s="2" t="s">
        <v>3</v>
      </c>
      <c r="C141" s="2">
        <v>629.15</v>
      </c>
      <c r="D141" s="26">
        <f t="shared" si="5"/>
        <v>1.6910841787007497E-2</v>
      </c>
      <c r="E141" s="30">
        <f t="shared" si="4"/>
        <v>4.2615321303258895</v>
      </c>
    </row>
    <row r="142" spans="1:5" x14ac:dyDescent="0.4">
      <c r="A142" s="3">
        <v>45701</v>
      </c>
      <c r="B142" s="2" t="s">
        <v>3</v>
      </c>
      <c r="C142" s="2">
        <v>629.6</v>
      </c>
      <c r="D142" s="26">
        <f t="shared" si="5"/>
        <v>7.1499506521666004E-4</v>
      </c>
      <c r="E142" s="30">
        <f t="shared" si="4"/>
        <v>0.18017875643459833</v>
      </c>
    </row>
    <row r="143" spans="1:5" x14ac:dyDescent="0.4">
      <c r="A143" s="3">
        <v>45702</v>
      </c>
      <c r="B143" s="2" t="s">
        <v>3</v>
      </c>
      <c r="C143" s="2">
        <v>626.20000000000005</v>
      </c>
      <c r="D143" s="26">
        <f t="shared" si="5"/>
        <v>-5.4148882108881469E-3</v>
      </c>
      <c r="E143" s="30">
        <f t="shared" si="4"/>
        <v>-1.364551829143813</v>
      </c>
    </row>
    <row r="144" spans="1:5" x14ac:dyDescent="0.4">
      <c r="A144" s="3">
        <v>45705</v>
      </c>
      <c r="B144" s="2" t="s">
        <v>3</v>
      </c>
      <c r="C144" s="2">
        <v>623.25</v>
      </c>
      <c r="D144" s="26">
        <f t="shared" si="5"/>
        <v>-4.7220864886381234E-3</v>
      </c>
      <c r="E144" s="30">
        <f t="shared" si="4"/>
        <v>-1.189965795136807</v>
      </c>
    </row>
    <row r="145" spans="1:5" x14ac:dyDescent="0.4">
      <c r="A145" s="3">
        <v>45706</v>
      </c>
      <c r="B145" s="2" t="s">
        <v>3</v>
      </c>
      <c r="C145" s="2">
        <v>618.95000000000005</v>
      </c>
      <c r="D145" s="26">
        <f t="shared" si="5"/>
        <v>-6.9232284258479663E-3</v>
      </c>
      <c r="E145" s="30">
        <f t="shared" si="4"/>
        <v>-1.7446535633136875</v>
      </c>
    </row>
    <row r="146" spans="1:5" x14ac:dyDescent="0.4">
      <c r="A146" s="3">
        <v>45707</v>
      </c>
      <c r="B146" s="2" t="s">
        <v>3</v>
      </c>
      <c r="C146" s="2">
        <v>622.85</v>
      </c>
      <c r="D146" s="26">
        <f t="shared" si="5"/>
        <v>6.2812253542823427E-3</v>
      </c>
      <c r="E146" s="30">
        <f t="shared" si="4"/>
        <v>1.5828687892791504</v>
      </c>
    </row>
    <row r="147" spans="1:5" x14ac:dyDescent="0.4">
      <c r="A147" s="3">
        <v>45708</v>
      </c>
      <c r="B147" s="2" t="s">
        <v>3</v>
      </c>
      <c r="C147" s="2">
        <v>620</v>
      </c>
      <c r="D147" s="26">
        <f t="shared" si="5"/>
        <v>-4.5862412929644379E-3</v>
      </c>
      <c r="E147" s="30">
        <f t="shared" si="4"/>
        <v>-1.1557328058270384</v>
      </c>
    </row>
    <row r="148" spans="1:5" x14ac:dyDescent="0.4">
      <c r="A148" s="3">
        <v>45709</v>
      </c>
      <c r="B148" s="2" t="s">
        <v>3</v>
      </c>
      <c r="C148" s="2">
        <v>622.85</v>
      </c>
      <c r="D148" s="26">
        <f t="shared" si="5"/>
        <v>4.5862412929644873E-3</v>
      </c>
      <c r="E148" s="30">
        <f t="shared" si="4"/>
        <v>1.1557328058270508</v>
      </c>
    </row>
    <row r="149" spans="1:5" x14ac:dyDescent="0.4">
      <c r="A149" s="3">
        <v>45712</v>
      </c>
      <c r="B149" s="2" t="s">
        <v>3</v>
      </c>
      <c r="C149" s="2">
        <v>617</v>
      </c>
      <c r="D149" s="26">
        <f t="shared" si="5"/>
        <v>-9.4366954267139213E-3</v>
      </c>
      <c r="E149" s="30">
        <f t="shared" si="4"/>
        <v>-2.3780472475319083</v>
      </c>
    </row>
    <row r="150" spans="1:5" x14ac:dyDescent="0.4">
      <c r="A150" s="3">
        <v>45713</v>
      </c>
      <c r="B150" s="2" t="s">
        <v>3</v>
      </c>
      <c r="C150" s="2">
        <v>622.15</v>
      </c>
      <c r="D150" s="26">
        <f t="shared" si="5"/>
        <v>8.3121973162523562E-3</v>
      </c>
      <c r="E150" s="30">
        <f t="shared" si="4"/>
        <v>2.0946737236955939</v>
      </c>
    </row>
    <row r="151" spans="1:5" x14ac:dyDescent="0.4">
      <c r="A151" s="3">
        <v>45715</v>
      </c>
      <c r="B151" s="2" t="s">
        <v>3</v>
      </c>
      <c r="C151" s="2">
        <v>618.4</v>
      </c>
      <c r="D151" s="26">
        <f t="shared" si="5"/>
        <v>-6.0457239484280221E-3</v>
      </c>
      <c r="E151" s="30">
        <f t="shared" si="4"/>
        <v>-1.5235224350038616</v>
      </c>
    </row>
    <row r="152" spans="1:5" x14ac:dyDescent="0.4">
      <c r="A152" s="3">
        <v>45716</v>
      </c>
      <c r="B152" s="2" t="s">
        <v>3</v>
      </c>
      <c r="C152" s="2">
        <v>608.5</v>
      </c>
      <c r="D152" s="26">
        <f t="shared" si="5"/>
        <v>-1.6138584845630334E-2</v>
      </c>
      <c r="E152" s="30">
        <f t="shared" si="4"/>
        <v>-4.0669233810988441</v>
      </c>
    </row>
    <row r="153" spans="1:5" x14ac:dyDescent="0.4">
      <c r="A153" s="3">
        <v>45719</v>
      </c>
      <c r="B153" s="2" t="s">
        <v>3</v>
      </c>
      <c r="C153" s="2">
        <v>618</v>
      </c>
      <c r="D153" s="26">
        <f t="shared" si="5"/>
        <v>1.5491545030108819E-2</v>
      </c>
      <c r="E153" s="30">
        <f t="shared" si="4"/>
        <v>3.9038693475874222</v>
      </c>
    </row>
    <row r="154" spans="1:5" x14ac:dyDescent="0.4">
      <c r="A154" s="3">
        <v>45720</v>
      </c>
      <c r="B154" s="2" t="s">
        <v>3</v>
      </c>
      <c r="C154" s="2">
        <v>616.5</v>
      </c>
      <c r="D154" s="26">
        <f t="shared" si="5"/>
        <v>-2.4301348532917819E-3</v>
      </c>
      <c r="E154" s="30">
        <f t="shared" si="4"/>
        <v>-0.61239398302952908</v>
      </c>
    </row>
    <row r="155" spans="1:5" x14ac:dyDescent="0.4">
      <c r="A155" s="3">
        <v>45721</v>
      </c>
      <c r="B155" s="2" t="s">
        <v>3</v>
      </c>
      <c r="C155" s="2">
        <v>621.20000000000005</v>
      </c>
      <c r="D155" s="26">
        <f t="shared" si="5"/>
        <v>7.5947686701331755E-3</v>
      </c>
      <c r="E155" s="30">
        <f t="shared" si="4"/>
        <v>1.9138817048735601</v>
      </c>
    </row>
    <row r="156" spans="1:5" x14ac:dyDescent="0.4">
      <c r="A156" s="3">
        <v>45722</v>
      </c>
      <c r="B156" s="2" t="s">
        <v>3</v>
      </c>
      <c r="C156" s="2">
        <v>618.25</v>
      </c>
      <c r="D156" s="26">
        <f t="shared" si="5"/>
        <v>-4.7601848730064447E-3</v>
      </c>
      <c r="E156" s="30">
        <f t="shared" si="4"/>
        <v>-1.1995665879976241</v>
      </c>
    </row>
    <row r="157" spans="1:5" x14ac:dyDescent="0.4">
      <c r="A157" s="3">
        <v>45723</v>
      </c>
      <c r="B157" s="2" t="s">
        <v>3</v>
      </c>
      <c r="C157" s="2">
        <v>625.20000000000005</v>
      </c>
      <c r="D157" s="26">
        <f t="shared" si="5"/>
        <v>1.1178692145796001E-2</v>
      </c>
      <c r="E157" s="30">
        <f t="shared" si="4"/>
        <v>2.8170304207405921</v>
      </c>
    </row>
    <row r="158" spans="1:5" x14ac:dyDescent="0.4">
      <c r="A158" s="3">
        <v>45726</v>
      </c>
      <c r="B158" s="2" t="s">
        <v>3</v>
      </c>
      <c r="C158" s="2">
        <v>625.9</v>
      </c>
      <c r="D158" s="26">
        <f t="shared" si="5"/>
        <v>1.1190153833342124E-3</v>
      </c>
      <c r="E158" s="30">
        <f t="shared" si="4"/>
        <v>0.28199187660022151</v>
      </c>
    </row>
    <row r="159" spans="1:5" x14ac:dyDescent="0.4">
      <c r="A159" s="3">
        <v>45727</v>
      </c>
      <c r="B159" s="2" t="s">
        <v>3</v>
      </c>
      <c r="C159" s="2">
        <v>636.95000000000005</v>
      </c>
      <c r="D159" s="26">
        <f t="shared" si="5"/>
        <v>1.7500545625140088E-2</v>
      </c>
      <c r="E159" s="30">
        <f t="shared" si="4"/>
        <v>4.4101374975353025</v>
      </c>
    </row>
    <row r="160" spans="1:5" x14ac:dyDescent="0.4">
      <c r="A160" s="3">
        <v>45728</v>
      </c>
      <c r="B160" s="2" t="s">
        <v>3</v>
      </c>
      <c r="C160" s="2">
        <v>632</v>
      </c>
      <c r="D160" s="26">
        <f t="shared" si="5"/>
        <v>-7.8017654089385206E-3</v>
      </c>
      <c r="E160" s="30">
        <f t="shared" si="4"/>
        <v>-1.9660448830525072</v>
      </c>
    </row>
    <row r="161" spans="1:5" x14ac:dyDescent="0.4">
      <c r="A161" s="3">
        <v>45729</v>
      </c>
      <c r="B161" s="2" t="s">
        <v>3</v>
      </c>
      <c r="C161" s="2">
        <v>622.4</v>
      </c>
      <c r="D161" s="26">
        <f t="shared" si="5"/>
        <v>-1.5306421282675658E-2</v>
      </c>
      <c r="E161" s="30">
        <f t="shared" si="4"/>
        <v>-3.8572181632342657</v>
      </c>
    </row>
    <row r="162" spans="1:5" x14ac:dyDescent="0.4">
      <c r="A162" s="3">
        <v>45733</v>
      </c>
      <c r="B162" s="2" t="s">
        <v>3</v>
      </c>
      <c r="C162" s="2">
        <v>629.79999999999995</v>
      </c>
      <c r="D162" s="26">
        <f t="shared" si="5"/>
        <v>1.1819335802742418E-2</v>
      </c>
      <c r="E162" s="30">
        <f t="shared" si="4"/>
        <v>2.9784726222910893</v>
      </c>
    </row>
    <row r="163" spans="1:5" x14ac:dyDescent="0.4">
      <c r="A163" s="3">
        <v>45734</v>
      </c>
      <c r="B163" s="2" t="s">
        <v>3</v>
      </c>
      <c r="C163" s="2">
        <v>640.54999999999995</v>
      </c>
      <c r="D163" s="26">
        <f t="shared" si="5"/>
        <v>1.6924873635518475E-2</v>
      </c>
      <c r="E163" s="30">
        <f t="shared" si="4"/>
        <v>4.2650681561506554</v>
      </c>
    </row>
    <row r="164" spans="1:5" x14ac:dyDescent="0.4">
      <c r="A164" s="3">
        <v>45735</v>
      </c>
      <c r="B164" s="2" t="s">
        <v>3</v>
      </c>
      <c r="C164" s="2">
        <v>664.55</v>
      </c>
      <c r="D164" s="26">
        <f t="shared" si="5"/>
        <v>3.6782937564898997E-2</v>
      </c>
      <c r="E164" s="30">
        <f t="shared" si="4"/>
        <v>9.2693002663545467</v>
      </c>
    </row>
    <row r="165" spans="1:5" x14ac:dyDescent="0.4">
      <c r="A165" s="3">
        <v>45736</v>
      </c>
      <c r="B165" s="2" t="s">
        <v>3</v>
      </c>
      <c r="C165" s="2">
        <v>674.35</v>
      </c>
      <c r="D165" s="26">
        <f t="shared" si="5"/>
        <v>1.4639144095524994E-2</v>
      </c>
      <c r="E165" s="30">
        <f t="shared" si="4"/>
        <v>3.6890643120722983</v>
      </c>
    </row>
    <row r="166" spans="1:5" x14ac:dyDescent="0.4">
      <c r="A166" s="3">
        <v>45737</v>
      </c>
      <c r="B166" s="2" t="s">
        <v>3</v>
      </c>
      <c r="C166" s="2">
        <v>679.6</v>
      </c>
      <c r="D166" s="26">
        <f t="shared" si="5"/>
        <v>7.7551258349103898E-3</v>
      </c>
      <c r="E166" s="30">
        <f t="shared" si="4"/>
        <v>1.9542917103974182</v>
      </c>
    </row>
    <row r="167" spans="1:5" x14ac:dyDescent="0.4">
      <c r="A167" s="3">
        <v>45740</v>
      </c>
      <c r="B167" s="2" t="s">
        <v>3</v>
      </c>
      <c r="C167" s="2">
        <v>679.9</v>
      </c>
      <c r="D167" s="26">
        <f t="shared" si="5"/>
        <v>4.4133873463688301E-4</v>
      </c>
      <c r="E167" s="30">
        <f t="shared" si="4"/>
        <v>0.11121736112849452</v>
      </c>
    </row>
    <row r="168" spans="1:5" x14ac:dyDescent="0.4">
      <c r="A168" s="3">
        <v>45741</v>
      </c>
      <c r="B168" s="2" t="s">
        <v>3</v>
      </c>
      <c r="C168" s="2">
        <v>673.1</v>
      </c>
      <c r="D168" s="26">
        <f t="shared" si="5"/>
        <v>-1.0051821515746517E-2</v>
      </c>
      <c r="E168" s="30">
        <f t="shared" si="4"/>
        <v>-2.5330590219681222</v>
      </c>
    </row>
    <row r="169" spans="1:5" x14ac:dyDescent="0.4">
      <c r="A169" s="3">
        <v>45742</v>
      </c>
      <c r="B169" s="2" t="s">
        <v>3</v>
      </c>
      <c r="C169" s="2">
        <v>668.4</v>
      </c>
      <c r="D169" s="26">
        <f t="shared" si="5"/>
        <v>-7.0071102954288658E-3</v>
      </c>
      <c r="E169" s="30">
        <f t="shared" si="4"/>
        <v>-1.7657917944480741</v>
      </c>
    </row>
    <row r="170" spans="1:5" x14ac:dyDescent="0.4">
      <c r="A170" s="3">
        <v>45743</v>
      </c>
      <c r="B170" s="2" t="s">
        <v>3</v>
      </c>
      <c r="C170" s="2">
        <v>681.9</v>
      </c>
      <c r="D170" s="26">
        <f t="shared" si="5"/>
        <v>1.9996222805368558E-2</v>
      </c>
      <c r="E170" s="30">
        <f t="shared" si="4"/>
        <v>5.0390481469528767</v>
      </c>
    </row>
    <row r="171" spans="1:5" x14ac:dyDescent="0.4">
      <c r="A171" s="3">
        <v>45744</v>
      </c>
      <c r="B171" s="2" t="s">
        <v>3</v>
      </c>
      <c r="C171" s="2">
        <v>685.7</v>
      </c>
      <c r="D171" s="26">
        <f t="shared" si="5"/>
        <v>5.5571947637116969E-3</v>
      </c>
      <c r="E171" s="30">
        <f t="shared" si="4"/>
        <v>1.4004130804553476</v>
      </c>
    </row>
    <row r="172" spans="1:5" x14ac:dyDescent="0.4">
      <c r="A172" s="3">
        <v>45748</v>
      </c>
      <c r="B172" s="2" t="s">
        <v>3</v>
      </c>
      <c r="C172" s="2">
        <v>692.9</v>
      </c>
      <c r="D172" s="26">
        <f t="shared" si="5"/>
        <v>1.0445474343016762E-2</v>
      </c>
      <c r="E172" s="30">
        <f t="shared" si="4"/>
        <v>2.632259534440224</v>
      </c>
    </row>
    <row r="173" spans="1:5" x14ac:dyDescent="0.4">
      <c r="A173" s="3">
        <v>45749</v>
      </c>
      <c r="B173" s="2" t="s">
        <v>3</v>
      </c>
      <c r="C173" s="2">
        <v>696.15</v>
      </c>
      <c r="D173" s="26">
        <f t="shared" si="5"/>
        <v>4.6794657219589404E-3</v>
      </c>
      <c r="E173" s="30">
        <f t="shared" si="4"/>
        <v>1.179225361933653</v>
      </c>
    </row>
    <row r="174" spans="1:5" x14ac:dyDescent="0.4">
      <c r="A174" s="3">
        <v>45750</v>
      </c>
      <c r="B174" s="2" t="s">
        <v>3</v>
      </c>
      <c r="C174" s="2">
        <v>692.9</v>
      </c>
      <c r="D174" s="26">
        <f t="shared" si="5"/>
        <v>-4.6794657219589022E-3</v>
      </c>
      <c r="E174" s="30">
        <f t="shared" si="4"/>
        <v>-1.1792253619336435</v>
      </c>
    </row>
    <row r="175" spans="1:5" x14ac:dyDescent="0.4">
      <c r="A175" s="3">
        <v>45751</v>
      </c>
      <c r="B175" s="2" t="s">
        <v>3</v>
      </c>
      <c r="C175" s="2">
        <v>689.05</v>
      </c>
      <c r="D175" s="26">
        <f t="shared" si="5"/>
        <v>-5.5718513121818134E-3</v>
      </c>
      <c r="E175" s="30">
        <f t="shared" si="4"/>
        <v>-1.4041065306698171</v>
      </c>
    </row>
    <row r="176" spans="1:5" x14ac:dyDescent="0.4">
      <c r="A176" s="3">
        <v>45754</v>
      </c>
      <c r="B176" s="2" t="s">
        <v>3</v>
      </c>
      <c r="C176" s="2">
        <v>665.95</v>
      </c>
      <c r="D176" s="26">
        <f t="shared" si="5"/>
        <v>-3.4099244674114203E-2</v>
      </c>
      <c r="E176" s="30">
        <f t="shared" si="4"/>
        <v>-8.5930096578767792</v>
      </c>
    </row>
    <row r="177" spans="1:5" x14ac:dyDescent="0.4">
      <c r="A177" s="3">
        <v>45755</v>
      </c>
      <c r="B177" s="2" t="s">
        <v>3</v>
      </c>
      <c r="C177" s="2">
        <v>685.75</v>
      </c>
      <c r="D177" s="26">
        <f t="shared" si="5"/>
        <v>2.9298537170673034E-2</v>
      </c>
      <c r="E177" s="30">
        <f t="shared" si="4"/>
        <v>7.3832313670096044</v>
      </c>
    </row>
    <row r="178" spans="1:5" x14ac:dyDescent="0.4">
      <c r="A178" s="3">
        <v>45756</v>
      </c>
      <c r="B178" s="2" t="s">
        <v>3</v>
      </c>
      <c r="C178" s="2">
        <v>684.8</v>
      </c>
      <c r="D178" s="26">
        <f t="shared" si="5"/>
        <v>-1.3863049901802985E-3</v>
      </c>
      <c r="E178" s="30">
        <f t="shared" si="4"/>
        <v>-0.34934885752543521</v>
      </c>
    </row>
    <row r="179" spans="1:5" x14ac:dyDescent="0.4">
      <c r="A179" s="3">
        <v>45758</v>
      </c>
      <c r="B179" s="2" t="s">
        <v>3</v>
      </c>
      <c r="C179" s="2">
        <v>685.55</v>
      </c>
      <c r="D179" s="26">
        <f t="shared" si="5"/>
        <v>1.0946109751316583E-3</v>
      </c>
      <c r="E179" s="30">
        <f t="shared" si="4"/>
        <v>0.27584196573317793</v>
      </c>
    </row>
    <row r="180" spans="1:5" x14ac:dyDescent="0.4">
      <c r="A180" s="3">
        <v>45762</v>
      </c>
      <c r="B180" s="2" t="s">
        <v>3</v>
      </c>
      <c r="C180" s="2">
        <v>704.7</v>
      </c>
      <c r="D180" s="26">
        <f t="shared" si="5"/>
        <v>2.7550744530312928E-2</v>
      </c>
      <c r="E180" s="30">
        <f t="shared" si="4"/>
        <v>6.9427876216388578</v>
      </c>
    </row>
    <row r="181" spans="1:5" x14ac:dyDescent="0.4">
      <c r="A181" s="3">
        <v>45763</v>
      </c>
      <c r="B181" s="2" t="s">
        <v>3</v>
      </c>
      <c r="C181" s="2">
        <v>716.05</v>
      </c>
      <c r="D181" s="26">
        <f t="shared" si="5"/>
        <v>1.5977816591734667E-2</v>
      </c>
      <c r="E181" s="30">
        <f t="shared" si="4"/>
        <v>4.0264097811171364</v>
      </c>
    </row>
    <row r="182" spans="1:5" x14ac:dyDescent="0.4">
      <c r="A182" s="3">
        <v>45764</v>
      </c>
      <c r="B182" s="2" t="s">
        <v>3</v>
      </c>
      <c r="C182" s="2">
        <v>720.05</v>
      </c>
      <c r="D182" s="26">
        <f t="shared" si="5"/>
        <v>5.5706571186801583E-3</v>
      </c>
      <c r="E182" s="30">
        <f t="shared" si="4"/>
        <v>1.4038055939073999</v>
      </c>
    </row>
    <row r="183" spans="1:5" x14ac:dyDescent="0.4">
      <c r="A183" s="3">
        <v>45768</v>
      </c>
      <c r="B183" s="2" t="s">
        <v>3</v>
      </c>
      <c r="C183" s="2">
        <v>712.2</v>
      </c>
      <c r="D183" s="26">
        <f t="shared" si="5"/>
        <v>-1.0961883199714124E-2</v>
      </c>
      <c r="E183" s="30">
        <f t="shared" si="4"/>
        <v>-2.7623945663279592</v>
      </c>
    </row>
    <row r="184" spans="1:5" x14ac:dyDescent="0.4">
      <c r="A184" s="3">
        <v>45769</v>
      </c>
      <c r="B184" s="2" t="s">
        <v>3</v>
      </c>
      <c r="C184" s="2">
        <v>712.55</v>
      </c>
      <c r="D184" s="26">
        <f t="shared" si="5"/>
        <v>4.9131427554376193E-4</v>
      </c>
      <c r="E184" s="30">
        <f t="shared" si="4"/>
        <v>0.12381119743702801</v>
      </c>
    </row>
    <row r="185" spans="1:5" x14ac:dyDescent="0.4">
      <c r="A185" s="3">
        <v>45770</v>
      </c>
      <c r="B185" s="2" t="s">
        <v>3</v>
      </c>
      <c r="C185" s="2">
        <v>709.1</v>
      </c>
      <c r="D185" s="26">
        <f t="shared" si="5"/>
        <v>-4.8535248092700612E-3</v>
      </c>
      <c r="E185" s="30">
        <f t="shared" si="4"/>
        <v>-1.2230882519360555</v>
      </c>
    </row>
    <row r="186" spans="1:5" x14ac:dyDescent="0.4">
      <c r="A186" s="3">
        <v>45771</v>
      </c>
      <c r="B186" s="2" t="s">
        <v>3</v>
      </c>
      <c r="C186" s="2">
        <v>708.4</v>
      </c>
      <c r="D186" s="26">
        <f t="shared" si="5"/>
        <v>-9.8765440127254094E-4</v>
      </c>
      <c r="E186" s="30">
        <f t="shared" si="4"/>
        <v>-0.24888890912068032</v>
      </c>
    </row>
    <row r="187" spans="1:5" x14ac:dyDescent="0.4">
      <c r="A187" s="3">
        <v>45772</v>
      </c>
      <c r="B187" s="2" t="s">
        <v>3</v>
      </c>
      <c r="C187" s="2">
        <v>704.55</v>
      </c>
      <c r="D187" s="26">
        <f t="shared" si="5"/>
        <v>-5.449604767564703E-3</v>
      </c>
      <c r="E187" s="30">
        <f t="shared" si="4"/>
        <v>-1.3733004014263051</v>
      </c>
    </row>
    <row r="188" spans="1:5" x14ac:dyDescent="0.4">
      <c r="A188" s="3">
        <v>45775</v>
      </c>
      <c r="B188" s="2" t="s">
        <v>3</v>
      </c>
      <c r="C188" s="2">
        <v>710.85</v>
      </c>
      <c r="D188" s="26">
        <f t="shared" si="5"/>
        <v>8.9021359405932511E-3</v>
      </c>
      <c r="E188" s="30">
        <f t="shared" si="4"/>
        <v>2.2433382570294991</v>
      </c>
    </row>
    <row r="189" spans="1:5" x14ac:dyDescent="0.4">
      <c r="A189" s="3">
        <v>45776</v>
      </c>
      <c r="B189" s="2" t="s">
        <v>3</v>
      </c>
      <c r="C189" s="2">
        <v>715.05</v>
      </c>
      <c r="D189" s="26">
        <f t="shared" si="5"/>
        <v>5.8910332372373421E-3</v>
      </c>
      <c r="E189" s="30">
        <f t="shared" si="4"/>
        <v>1.4845403757838103</v>
      </c>
    </row>
    <row r="190" spans="1:5" x14ac:dyDescent="0.4">
      <c r="A190" s="3">
        <v>45777</v>
      </c>
      <c r="B190" s="2" t="s">
        <v>3</v>
      </c>
      <c r="C190" s="2">
        <v>743.7</v>
      </c>
      <c r="D190" s="26">
        <f t="shared" si="5"/>
        <v>3.928525739031017E-2</v>
      </c>
      <c r="E190" s="30">
        <f t="shared" si="4"/>
        <v>9.8998848623581637</v>
      </c>
    </row>
    <row r="191" spans="1:5" x14ac:dyDescent="0.4">
      <c r="A191" s="3">
        <v>45779</v>
      </c>
      <c r="B191" s="2" t="s">
        <v>3</v>
      </c>
      <c r="C191" s="2">
        <v>727.75</v>
      </c>
      <c r="D191" s="26">
        <f t="shared" si="5"/>
        <v>-2.1680145083521923E-2</v>
      </c>
      <c r="E191" s="30">
        <f t="shared" si="4"/>
        <v>-5.4633965610475244</v>
      </c>
    </row>
    <row r="192" spans="1:5" x14ac:dyDescent="0.4">
      <c r="A192" s="3">
        <v>45782</v>
      </c>
      <c r="B192" s="2" t="s">
        <v>3</v>
      </c>
      <c r="C192" s="2">
        <v>738.9</v>
      </c>
      <c r="D192" s="26">
        <f t="shared" si="5"/>
        <v>1.5205011168869256E-2</v>
      </c>
      <c r="E192" s="30">
        <f t="shared" si="4"/>
        <v>3.8316628145550524</v>
      </c>
    </row>
    <row r="193" spans="1:5" x14ac:dyDescent="0.4">
      <c r="A193" s="3">
        <v>45783</v>
      </c>
      <c r="B193" s="2" t="s">
        <v>3</v>
      </c>
      <c r="C193" s="2">
        <v>722.6</v>
      </c>
      <c r="D193" s="26">
        <f t="shared" si="5"/>
        <v>-2.230677508106204E-2</v>
      </c>
      <c r="E193" s="30">
        <f t="shared" si="4"/>
        <v>-5.6213073204276345</v>
      </c>
    </row>
    <row r="194" spans="1:5" x14ac:dyDescent="0.4">
      <c r="A194" s="3">
        <v>45784</v>
      </c>
      <c r="B194" s="2" t="s">
        <v>3</v>
      </c>
      <c r="C194" s="2">
        <v>723.9</v>
      </c>
      <c r="D194" s="26">
        <f t="shared" si="5"/>
        <v>1.7974425855558328E-3</v>
      </c>
      <c r="E194" s="30">
        <f t="shared" si="4"/>
        <v>0.45295553156006985</v>
      </c>
    </row>
    <row r="195" spans="1:5" x14ac:dyDescent="0.4">
      <c r="A195" s="3">
        <v>45785</v>
      </c>
      <c r="B195" s="2" t="s">
        <v>3</v>
      </c>
      <c r="C195" s="2">
        <v>722.95</v>
      </c>
      <c r="D195" s="26">
        <f t="shared" si="5"/>
        <v>-1.313197824960361E-3</v>
      </c>
      <c r="E195" s="30">
        <f t="shared" ref="E195:E251" si="6">D195*252</f>
        <v>-0.33092585189001095</v>
      </c>
    </row>
    <row r="196" spans="1:5" x14ac:dyDescent="0.4">
      <c r="A196" s="3">
        <v>45786</v>
      </c>
      <c r="B196" s="2" t="s">
        <v>3</v>
      </c>
      <c r="C196" s="2">
        <v>713.6</v>
      </c>
      <c r="D196" s="26">
        <f t="shared" ref="D196:D251" si="7">LN(C196/C195)</f>
        <v>-1.3017482208335715E-2</v>
      </c>
      <c r="E196" s="30">
        <f t="shared" si="6"/>
        <v>-3.2804055165006001</v>
      </c>
    </row>
    <row r="197" spans="1:5" x14ac:dyDescent="0.4">
      <c r="A197" s="3">
        <v>45789</v>
      </c>
      <c r="B197" s="2" t="s">
        <v>3</v>
      </c>
      <c r="C197" s="2">
        <v>734.6</v>
      </c>
      <c r="D197" s="26">
        <f t="shared" si="7"/>
        <v>2.900355211976725E-2</v>
      </c>
      <c r="E197" s="30">
        <f t="shared" si="6"/>
        <v>7.3088951341813466</v>
      </c>
    </row>
    <row r="198" spans="1:5" x14ac:dyDescent="0.4">
      <c r="A198" s="3">
        <v>45790</v>
      </c>
      <c r="B198" s="2" t="s">
        <v>3</v>
      </c>
      <c r="C198" s="2">
        <v>735.05</v>
      </c>
      <c r="D198" s="26">
        <f t="shared" si="7"/>
        <v>6.1239072440814727E-4</v>
      </c>
      <c r="E198" s="30">
        <f t="shared" si="6"/>
        <v>0.15432246255085311</v>
      </c>
    </row>
    <row r="199" spans="1:5" x14ac:dyDescent="0.4">
      <c r="A199" s="3">
        <v>45791</v>
      </c>
      <c r="B199" s="2" t="s">
        <v>3</v>
      </c>
      <c r="C199" s="2">
        <v>741.7</v>
      </c>
      <c r="D199" s="26">
        <f t="shared" si="7"/>
        <v>9.0063246325372669E-3</v>
      </c>
      <c r="E199" s="30">
        <f t="shared" si="6"/>
        <v>2.2695938073993913</v>
      </c>
    </row>
    <row r="200" spans="1:5" x14ac:dyDescent="0.4">
      <c r="A200" s="3">
        <v>45792</v>
      </c>
      <c r="B200" s="2" t="s">
        <v>3</v>
      </c>
      <c r="C200" s="2">
        <v>751.2</v>
      </c>
      <c r="D200" s="26">
        <f t="shared" si="7"/>
        <v>1.272707915154078E-2</v>
      </c>
      <c r="E200" s="30">
        <f t="shared" si="6"/>
        <v>3.2072239461882766</v>
      </c>
    </row>
    <row r="201" spans="1:5" x14ac:dyDescent="0.4">
      <c r="A201" s="3">
        <v>45793</v>
      </c>
      <c r="B201" s="2" t="s">
        <v>3</v>
      </c>
      <c r="C201" s="2">
        <v>750.55</v>
      </c>
      <c r="D201" s="26">
        <f t="shared" si="7"/>
        <v>-8.6565678786819052E-4</v>
      </c>
      <c r="E201" s="30">
        <f t="shared" si="6"/>
        <v>-0.218145510542784</v>
      </c>
    </row>
    <row r="202" spans="1:5" x14ac:dyDescent="0.4">
      <c r="A202" s="3">
        <v>45796</v>
      </c>
      <c r="B202" s="2" t="s">
        <v>3</v>
      </c>
      <c r="C202" s="2">
        <v>750.95</v>
      </c>
      <c r="D202" s="26">
        <f t="shared" si="7"/>
        <v>5.3280054540475938E-4</v>
      </c>
      <c r="E202" s="30">
        <f t="shared" si="6"/>
        <v>0.13426573744199938</v>
      </c>
    </row>
    <row r="203" spans="1:5" x14ac:dyDescent="0.4">
      <c r="A203" s="3">
        <v>45797</v>
      </c>
      <c r="B203" s="2" t="s">
        <v>3</v>
      </c>
      <c r="C203" s="2">
        <v>747.05</v>
      </c>
      <c r="D203" s="26">
        <f t="shared" si="7"/>
        <v>-5.2069543544960477E-3</v>
      </c>
      <c r="E203" s="30">
        <f t="shared" si="6"/>
        <v>-1.3121524973330041</v>
      </c>
    </row>
    <row r="204" spans="1:5" x14ac:dyDescent="0.4">
      <c r="A204" s="3">
        <v>45798</v>
      </c>
      <c r="B204" s="2" t="s">
        <v>3</v>
      </c>
      <c r="C204" s="2">
        <v>759.7</v>
      </c>
      <c r="D204" s="26">
        <f t="shared" si="7"/>
        <v>1.6791501212082133E-2</v>
      </c>
      <c r="E204" s="30">
        <f t="shared" si="6"/>
        <v>4.2314583054446979</v>
      </c>
    </row>
    <row r="205" spans="1:5" x14ac:dyDescent="0.4">
      <c r="A205" s="3">
        <v>45799</v>
      </c>
      <c r="B205" s="2" t="s">
        <v>3</v>
      </c>
      <c r="C205" s="2">
        <v>755.85</v>
      </c>
      <c r="D205" s="26">
        <f t="shared" si="7"/>
        <v>-5.0806747144591666E-3</v>
      </c>
      <c r="E205" s="30">
        <f t="shared" si="6"/>
        <v>-1.28033002804371</v>
      </c>
    </row>
    <row r="206" spans="1:5" x14ac:dyDescent="0.4">
      <c r="A206" s="3">
        <v>45800</v>
      </c>
      <c r="B206" s="2" t="s">
        <v>3</v>
      </c>
      <c r="C206" s="2">
        <v>780.4</v>
      </c>
      <c r="D206" s="26">
        <f t="shared" si="7"/>
        <v>3.1963664954239329E-2</v>
      </c>
      <c r="E206" s="30">
        <f t="shared" si="6"/>
        <v>8.0548435684683106</v>
      </c>
    </row>
    <row r="207" spans="1:5" x14ac:dyDescent="0.4">
      <c r="A207" s="3">
        <v>45803</v>
      </c>
      <c r="B207" s="2" t="s">
        <v>3</v>
      </c>
      <c r="C207" s="2">
        <v>780</v>
      </c>
      <c r="D207" s="26">
        <f t="shared" si="7"/>
        <v>-5.126890653187235E-4</v>
      </c>
      <c r="E207" s="30">
        <f t="shared" si="6"/>
        <v>-0.12919764446031831</v>
      </c>
    </row>
    <row r="208" spans="1:5" x14ac:dyDescent="0.4">
      <c r="A208" s="3">
        <v>45804</v>
      </c>
      <c r="B208" s="2" t="s">
        <v>3</v>
      </c>
      <c r="C208" s="2">
        <v>775.8</v>
      </c>
      <c r="D208" s="26">
        <f t="shared" si="7"/>
        <v>-5.3991646777706726E-3</v>
      </c>
      <c r="E208" s="30">
        <f t="shared" si="6"/>
        <v>-1.3605894987982095</v>
      </c>
    </row>
    <row r="209" spans="1:5" x14ac:dyDescent="0.4">
      <c r="A209" s="3">
        <v>45805</v>
      </c>
      <c r="B209" s="2" t="s">
        <v>3</v>
      </c>
      <c r="C209" s="2">
        <v>789.45</v>
      </c>
      <c r="D209" s="26">
        <f t="shared" si="7"/>
        <v>1.7441745462031005E-2</v>
      </c>
      <c r="E209" s="30">
        <f t="shared" si="6"/>
        <v>4.3953198564318132</v>
      </c>
    </row>
    <row r="210" spans="1:5" x14ac:dyDescent="0.4">
      <c r="A210" s="3">
        <v>45806</v>
      </c>
      <c r="B210" s="2" t="s">
        <v>3</v>
      </c>
      <c r="C210" s="2">
        <v>780.9</v>
      </c>
      <c r="D210" s="26">
        <f t="shared" si="7"/>
        <v>-1.0889399799268319E-2</v>
      </c>
      <c r="E210" s="30">
        <f t="shared" si="6"/>
        <v>-2.7441287494156166</v>
      </c>
    </row>
    <row r="211" spans="1:5" x14ac:dyDescent="0.4">
      <c r="A211" s="3">
        <v>45807</v>
      </c>
      <c r="B211" s="2" t="s">
        <v>3</v>
      </c>
      <c r="C211" s="2">
        <v>776.85</v>
      </c>
      <c r="D211" s="26">
        <f t="shared" si="7"/>
        <v>-5.199819130619167E-3</v>
      </c>
      <c r="E211" s="30">
        <f t="shared" si="6"/>
        <v>-1.31035442091603</v>
      </c>
    </row>
    <row r="212" spans="1:5" x14ac:dyDescent="0.4">
      <c r="A212" s="3">
        <v>45810</v>
      </c>
      <c r="B212" s="2" t="s">
        <v>3</v>
      </c>
      <c r="C212" s="2">
        <v>766.7</v>
      </c>
      <c r="D212" s="26">
        <f t="shared" si="7"/>
        <v>-1.3151690973161365E-2</v>
      </c>
      <c r="E212" s="30">
        <f t="shared" si="6"/>
        <v>-3.3142261252366638</v>
      </c>
    </row>
    <row r="213" spans="1:5" x14ac:dyDescent="0.4">
      <c r="A213" s="3">
        <v>45811</v>
      </c>
      <c r="B213" s="2" t="s">
        <v>3</v>
      </c>
      <c r="C213" s="2">
        <v>757.9</v>
      </c>
      <c r="D213" s="26">
        <f t="shared" si="7"/>
        <v>-1.1544139746865424E-2</v>
      </c>
      <c r="E213" s="30">
        <f t="shared" si="6"/>
        <v>-2.9091232162100868</v>
      </c>
    </row>
    <row r="214" spans="1:5" x14ac:dyDescent="0.4">
      <c r="A214" s="3">
        <v>45812</v>
      </c>
      <c r="B214" s="2" t="s">
        <v>3</v>
      </c>
      <c r="C214" s="2">
        <v>758.8</v>
      </c>
      <c r="D214" s="26">
        <f t="shared" si="7"/>
        <v>1.1867872428757218E-3</v>
      </c>
      <c r="E214" s="30">
        <f t="shared" si="6"/>
        <v>0.29907038520468188</v>
      </c>
    </row>
    <row r="215" spans="1:5" x14ac:dyDescent="0.4">
      <c r="A215" s="3">
        <v>45813</v>
      </c>
      <c r="B215" s="2" t="s">
        <v>3</v>
      </c>
      <c r="C215" s="2">
        <v>761.6</v>
      </c>
      <c r="D215" s="26">
        <f t="shared" si="7"/>
        <v>3.6832454162965891E-3</v>
      </c>
      <c r="E215" s="30">
        <f t="shared" si="6"/>
        <v>0.92817784490674049</v>
      </c>
    </row>
    <row r="216" spans="1:5" x14ac:dyDescent="0.4">
      <c r="A216" s="3">
        <v>45814</v>
      </c>
      <c r="B216" s="2" t="s">
        <v>3</v>
      </c>
      <c r="C216" s="2">
        <v>755.1</v>
      </c>
      <c r="D216" s="26">
        <f t="shared" si="7"/>
        <v>-8.5712926677757074E-3</v>
      </c>
      <c r="E216" s="30">
        <f t="shared" si="6"/>
        <v>-2.1599657522794784</v>
      </c>
    </row>
    <row r="217" spans="1:5" x14ac:dyDescent="0.4">
      <c r="A217" s="3">
        <v>45817</v>
      </c>
      <c r="B217" s="2" t="s">
        <v>3</v>
      </c>
      <c r="C217" s="2">
        <v>760.4</v>
      </c>
      <c r="D217" s="26">
        <f t="shared" si="7"/>
        <v>6.9944198048942025E-3</v>
      </c>
      <c r="E217" s="30">
        <f t="shared" si="6"/>
        <v>1.7625937908333391</v>
      </c>
    </row>
    <row r="218" spans="1:5" x14ac:dyDescent="0.4">
      <c r="A218" s="3">
        <v>45818</v>
      </c>
      <c r="B218" s="2" t="s">
        <v>3</v>
      </c>
      <c r="C218" s="2">
        <v>762.45</v>
      </c>
      <c r="D218" s="26">
        <f t="shared" si="7"/>
        <v>2.692321946747284E-3</v>
      </c>
      <c r="E218" s="30">
        <f t="shared" si="6"/>
        <v>0.67846513058031555</v>
      </c>
    </row>
    <row r="219" spans="1:5" x14ac:dyDescent="0.4">
      <c r="A219" s="3">
        <v>45819</v>
      </c>
      <c r="B219" s="2" t="s">
        <v>3</v>
      </c>
      <c r="C219" s="2">
        <v>764.2</v>
      </c>
      <c r="D219" s="26">
        <f t="shared" si="7"/>
        <v>2.2926024517784301E-3</v>
      </c>
      <c r="E219" s="30">
        <f t="shared" si="6"/>
        <v>0.57773581784816441</v>
      </c>
    </row>
    <row r="220" spans="1:5" x14ac:dyDescent="0.4">
      <c r="A220" s="3">
        <v>45820</v>
      </c>
      <c r="B220" s="2" t="s">
        <v>3</v>
      </c>
      <c r="C220" s="2">
        <v>754.5</v>
      </c>
      <c r="D220" s="26">
        <f t="shared" si="7"/>
        <v>-1.2774256804896028E-2</v>
      </c>
      <c r="E220" s="30">
        <f t="shared" si="6"/>
        <v>-3.2191127148337988</v>
      </c>
    </row>
    <row r="221" spans="1:5" x14ac:dyDescent="0.4">
      <c r="A221" s="3">
        <v>45821</v>
      </c>
      <c r="B221" s="2" t="s">
        <v>3</v>
      </c>
      <c r="C221" s="2">
        <v>752.85</v>
      </c>
      <c r="D221" s="26">
        <f t="shared" si="7"/>
        <v>-2.1892734388511549E-3</v>
      </c>
      <c r="E221" s="30">
        <f t="shared" si="6"/>
        <v>-0.55169690659049109</v>
      </c>
    </row>
    <row r="222" spans="1:5" x14ac:dyDescent="0.4">
      <c r="A222" s="3">
        <v>45824</v>
      </c>
      <c r="B222" s="2" t="s">
        <v>3</v>
      </c>
      <c r="C222" s="2">
        <v>770.55</v>
      </c>
      <c r="D222" s="26">
        <f t="shared" si="7"/>
        <v>2.3238540812334049E-2</v>
      </c>
      <c r="E222" s="30">
        <f t="shared" si="6"/>
        <v>5.8561122847081801</v>
      </c>
    </row>
    <row r="223" spans="1:5" x14ac:dyDescent="0.4">
      <c r="A223" s="3">
        <v>45825</v>
      </c>
      <c r="B223" s="2" t="s">
        <v>3</v>
      </c>
      <c r="C223" s="2">
        <v>773.95</v>
      </c>
      <c r="D223" s="26">
        <f t="shared" si="7"/>
        <v>4.4027264384999681E-3</v>
      </c>
      <c r="E223" s="30">
        <f t="shared" si="6"/>
        <v>1.1094870625019919</v>
      </c>
    </row>
    <row r="224" spans="1:5" x14ac:dyDescent="0.4">
      <c r="A224" s="3">
        <v>45826</v>
      </c>
      <c r="B224" s="2" t="s">
        <v>3</v>
      </c>
      <c r="C224" s="2">
        <v>766.2</v>
      </c>
      <c r="D224" s="26">
        <f t="shared" si="7"/>
        <v>-1.0064039753337844E-2</v>
      </c>
      <c r="E224" s="30">
        <f t="shared" si="6"/>
        <v>-2.5361380178411368</v>
      </c>
    </row>
    <row r="225" spans="1:5" x14ac:dyDescent="0.4">
      <c r="A225" s="3">
        <v>45827</v>
      </c>
      <c r="B225" s="2" t="s">
        <v>3</v>
      </c>
      <c r="C225" s="2">
        <v>761.85</v>
      </c>
      <c r="D225" s="26">
        <f t="shared" si="7"/>
        <v>-5.693546351184884E-3</v>
      </c>
      <c r="E225" s="30">
        <f t="shared" si="6"/>
        <v>-1.4347736804985907</v>
      </c>
    </row>
    <row r="226" spans="1:5" x14ac:dyDescent="0.4">
      <c r="A226" s="3">
        <v>45828</v>
      </c>
      <c r="B226" s="2" t="s">
        <v>3</v>
      </c>
      <c r="C226" s="2">
        <v>778.95</v>
      </c>
      <c r="D226" s="26">
        <f t="shared" si="7"/>
        <v>2.2197173043073996E-2</v>
      </c>
      <c r="E226" s="30">
        <f t="shared" si="6"/>
        <v>5.5936876068546475</v>
      </c>
    </row>
    <row r="227" spans="1:5" x14ac:dyDescent="0.4">
      <c r="A227" s="3">
        <v>45831</v>
      </c>
      <c r="B227" s="2" t="s">
        <v>3</v>
      </c>
      <c r="C227" s="2">
        <v>774.15</v>
      </c>
      <c r="D227" s="26">
        <f t="shared" si="7"/>
        <v>-6.1812056955919039E-3</v>
      </c>
      <c r="E227" s="30">
        <f t="shared" si="6"/>
        <v>-1.5576638352891599</v>
      </c>
    </row>
    <row r="228" spans="1:5" x14ac:dyDescent="0.4">
      <c r="A228" s="3">
        <v>45832</v>
      </c>
      <c r="B228" s="2" t="s">
        <v>3</v>
      </c>
      <c r="C228" s="2">
        <v>779.7</v>
      </c>
      <c r="D228" s="26">
        <f t="shared" si="7"/>
        <v>7.1435770527084903E-3</v>
      </c>
      <c r="E228" s="30">
        <f t="shared" si="6"/>
        <v>1.8001814172825394</v>
      </c>
    </row>
    <row r="229" spans="1:5" x14ac:dyDescent="0.4">
      <c r="A229" s="3">
        <v>45833</v>
      </c>
      <c r="B229" s="2" t="s">
        <v>3</v>
      </c>
      <c r="C229" s="2">
        <v>785.1</v>
      </c>
      <c r="D229" s="26">
        <f t="shared" si="7"/>
        <v>6.9018678886555891E-3</v>
      </c>
      <c r="E229" s="30">
        <f t="shared" si="6"/>
        <v>1.7392707079412084</v>
      </c>
    </row>
    <row r="230" spans="1:5" x14ac:dyDescent="0.4">
      <c r="A230" s="3">
        <v>45834</v>
      </c>
      <c r="B230" s="2" t="s">
        <v>3</v>
      </c>
      <c r="C230" s="2">
        <v>799.45</v>
      </c>
      <c r="D230" s="26">
        <f t="shared" si="7"/>
        <v>1.8112893027219565E-2</v>
      </c>
      <c r="E230" s="30">
        <f t="shared" si="6"/>
        <v>4.5644490428593301</v>
      </c>
    </row>
    <row r="231" spans="1:5" x14ac:dyDescent="0.4">
      <c r="A231" s="3">
        <v>45835</v>
      </c>
      <c r="B231" s="2" t="s">
        <v>3</v>
      </c>
      <c r="C231" s="2">
        <v>806.95</v>
      </c>
      <c r="D231" s="26">
        <f t="shared" si="7"/>
        <v>9.3377172504020903E-3</v>
      </c>
      <c r="E231" s="30">
        <f t="shared" si="6"/>
        <v>2.3531047471013267</v>
      </c>
    </row>
    <row r="232" spans="1:5" x14ac:dyDescent="0.4">
      <c r="A232" s="3">
        <v>45838</v>
      </c>
      <c r="B232" s="2" t="s">
        <v>3</v>
      </c>
      <c r="C232" s="2">
        <v>814.3</v>
      </c>
      <c r="D232" s="26">
        <f t="shared" si="7"/>
        <v>9.0671399912541605E-3</v>
      </c>
      <c r="E232" s="30">
        <f t="shared" si="6"/>
        <v>2.2849192777960483</v>
      </c>
    </row>
    <row r="233" spans="1:5" x14ac:dyDescent="0.4">
      <c r="A233" s="3">
        <v>45839</v>
      </c>
      <c r="B233" s="2" t="s">
        <v>3</v>
      </c>
      <c r="C233" s="2">
        <v>809.9</v>
      </c>
      <c r="D233" s="26">
        <f t="shared" si="7"/>
        <v>-5.4180652181414117E-3</v>
      </c>
      <c r="E233" s="30">
        <f t="shared" si="6"/>
        <v>-1.3653524349716357</v>
      </c>
    </row>
    <row r="234" spans="1:5" x14ac:dyDescent="0.4">
      <c r="A234" s="3">
        <v>45840</v>
      </c>
      <c r="B234" s="2" t="s">
        <v>3</v>
      </c>
      <c r="C234" s="2">
        <v>789.7</v>
      </c>
      <c r="D234" s="26">
        <f t="shared" si="7"/>
        <v>-2.5257656751408845E-2</v>
      </c>
      <c r="E234" s="30">
        <f t="shared" si="6"/>
        <v>-6.3649295013550287</v>
      </c>
    </row>
    <row r="235" spans="1:5" x14ac:dyDescent="0.4">
      <c r="A235" s="3">
        <v>45841</v>
      </c>
      <c r="B235" s="2" t="s">
        <v>3</v>
      </c>
      <c r="C235" s="2">
        <v>785.85</v>
      </c>
      <c r="D235" s="26">
        <f t="shared" si="7"/>
        <v>-4.8871919811969405E-3</v>
      </c>
      <c r="E235" s="30">
        <f t="shared" si="6"/>
        <v>-1.2315723792616291</v>
      </c>
    </row>
    <row r="236" spans="1:5" x14ac:dyDescent="0.4">
      <c r="A236" s="3">
        <v>45842</v>
      </c>
      <c r="B236" s="2" t="s">
        <v>3</v>
      </c>
      <c r="C236" s="2">
        <v>785.1</v>
      </c>
      <c r="D236" s="26">
        <f t="shared" si="7"/>
        <v>-9.5483631812853461E-4</v>
      </c>
      <c r="E236" s="30">
        <f t="shared" si="6"/>
        <v>-0.24061875216839071</v>
      </c>
    </row>
    <row r="237" spans="1:5" x14ac:dyDescent="0.4">
      <c r="A237" s="3">
        <v>45845</v>
      </c>
      <c r="B237" s="2" t="s">
        <v>3</v>
      </c>
      <c r="C237" s="2">
        <v>789.45</v>
      </c>
      <c r="D237" s="26">
        <f t="shared" si="7"/>
        <v>5.5254022636877865E-3</v>
      </c>
      <c r="E237" s="30">
        <f t="shared" si="6"/>
        <v>1.3924013704493221</v>
      </c>
    </row>
    <row r="238" spans="1:5" x14ac:dyDescent="0.4">
      <c r="A238" s="3">
        <v>45846</v>
      </c>
      <c r="B238" s="2" t="s">
        <v>3</v>
      </c>
      <c r="C238" s="2">
        <v>794.15</v>
      </c>
      <c r="D238" s="26">
        <f t="shared" si="7"/>
        <v>5.9358598132662017E-3</v>
      </c>
      <c r="E238" s="30">
        <f t="shared" si="6"/>
        <v>1.4958366729430828</v>
      </c>
    </row>
    <row r="239" spans="1:5" x14ac:dyDescent="0.4">
      <c r="A239" s="3">
        <v>45847</v>
      </c>
      <c r="B239" s="2" t="s">
        <v>3</v>
      </c>
      <c r="C239" s="2">
        <v>786.3</v>
      </c>
      <c r="D239" s="26">
        <f t="shared" si="7"/>
        <v>-9.9339612836936951E-3</v>
      </c>
      <c r="E239" s="30">
        <f t="shared" si="6"/>
        <v>-2.503358243490811</v>
      </c>
    </row>
    <row r="240" spans="1:5" x14ac:dyDescent="0.4">
      <c r="A240" s="3">
        <v>45848</v>
      </c>
      <c r="B240" s="2" t="s">
        <v>3</v>
      </c>
      <c r="C240" s="2">
        <v>771.25</v>
      </c>
      <c r="D240" s="26">
        <f t="shared" si="7"/>
        <v>-1.9325823777872717E-2</v>
      </c>
      <c r="E240" s="30">
        <f t="shared" si="6"/>
        <v>-4.870107592023925</v>
      </c>
    </row>
    <row r="241" spans="1:5" x14ac:dyDescent="0.4">
      <c r="A241" s="3">
        <v>45849</v>
      </c>
      <c r="B241" s="2" t="s">
        <v>3</v>
      </c>
      <c r="C241" s="2">
        <v>759</v>
      </c>
      <c r="D241" s="26">
        <f t="shared" si="7"/>
        <v>-1.6010797823967644E-2</v>
      </c>
      <c r="E241" s="30">
        <f t="shared" si="6"/>
        <v>-4.0347210516398464</v>
      </c>
    </row>
    <row r="242" spans="1:5" x14ac:dyDescent="0.4">
      <c r="A242" s="3">
        <v>45852</v>
      </c>
      <c r="B242" s="2" t="s">
        <v>3</v>
      </c>
      <c r="C242" s="2">
        <v>764.75</v>
      </c>
      <c r="D242" s="26">
        <f t="shared" si="7"/>
        <v>7.5472056353829038E-3</v>
      </c>
      <c r="E242" s="30">
        <f t="shared" si="6"/>
        <v>1.9018958201164917</v>
      </c>
    </row>
    <row r="243" spans="1:5" x14ac:dyDescent="0.4">
      <c r="A243" s="3">
        <v>45853</v>
      </c>
      <c r="B243" s="2" t="s">
        <v>3</v>
      </c>
      <c r="C243" s="2">
        <v>756.85</v>
      </c>
      <c r="D243" s="26">
        <f t="shared" si="7"/>
        <v>-1.0383899822438619E-2</v>
      </c>
      <c r="E243" s="30">
        <f t="shared" si="6"/>
        <v>-2.6167427552545321</v>
      </c>
    </row>
    <row r="244" spans="1:5" x14ac:dyDescent="0.4">
      <c r="A244" s="3">
        <v>45854</v>
      </c>
      <c r="B244" s="2" t="s">
        <v>3</v>
      </c>
      <c r="C244" s="2">
        <v>755.95</v>
      </c>
      <c r="D244" s="26">
        <f t="shared" si="7"/>
        <v>-1.1898467823640139E-3</v>
      </c>
      <c r="E244" s="30">
        <f t="shared" si="6"/>
        <v>-0.2998413891557315</v>
      </c>
    </row>
    <row r="245" spans="1:5" x14ac:dyDescent="0.4">
      <c r="A245" s="3">
        <v>45855</v>
      </c>
      <c r="B245" s="2" t="s">
        <v>3</v>
      </c>
      <c r="C245" s="2">
        <v>751.8</v>
      </c>
      <c r="D245" s="26">
        <f t="shared" si="7"/>
        <v>-5.5049052961326757E-3</v>
      </c>
      <c r="E245" s="30">
        <f t="shared" si="6"/>
        <v>-1.3872361346254343</v>
      </c>
    </row>
    <row r="246" spans="1:5" x14ac:dyDescent="0.4">
      <c r="A246" s="3">
        <v>45859</v>
      </c>
      <c r="B246" s="2" t="s">
        <v>3</v>
      </c>
      <c r="C246" s="2">
        <v>752.3</v>
      </c>
      <c r="D246" s="26">
        <f t="shared" si="7"/>
        <v>6.6484943609819501E-4</v>
      </c>
      <c r="E246" s="30">
        <f t="shared" si="6"/>
        <v>0.16754205789674514</v>
      </c>
    </row>
    <row r="247" spans="1:5" x14ac:dyDescent="0.4">
      <c r="A247" s="3">
        <v>45860</v>
      </c>
      <c r="B247" s="2" t="s">
        <v>3</v>
      </c>
      <c r="C247" s="2">
        <v>763.3</v>
      </c>
      <c r="D247" s="26">
        <f t="shared" si="7"/>
        <v>1.4515958238248843E-2</v>
      </c>
      <c r="E247" s="30">
        <f t="shared" si="6"/>
        <v>3.6580214760387086</v>
      </c>
    </row>
    <row r="248" spans="1:5" x14ac:dyDescent="0.4">
      <c r="A248" s="3">
        <v>45861</v>
      </c>
      <c r="B248" s="2" t="s">
        <v>3</v>
      </c>
      <c r="C248" s="2">
        <v>762.5</v>
      </c>
      <c r="D248" s="26">
        <f t="shared" si="7"/>
        <v>-1.0486303228578909E-3</v>
      </c>
      <c r="E248" s="30">
        <f t="shared" si="6"/>
        <v>-0.26425484136018851</v>
      </c>
    </row>
    <row r="249" spans="1:5" x14ac:dyDescent="0.4">
      <c r="A249" s="3">
        <v>45862</v>
      </c>
      <c r="B249" s="2" t="s">
        <v>3</v>
      </c>
      <c r="C249" s="2">
        <v>757.3</v>
      </c>
      <c r="D249" s="26">
        <f t="shared" si="7"/>
        <v>-6.843032361789801E-3</v>
      </c>
      <c r="E249" s="30">
        <f t="shared" si="6"/>
        <v>-1.7244441551710299</v>
      </c>
    </row>
    <row r="250" spans="1:5" x14ac:dyDescent="0.4">
      <c r="A250" s="3">
        <v>45863</v>
      </c>
      <c r="B250" s="2" t="s">
        <v>3</v>
      </c>
      <c r="C250" s="2">
        <v>762.35</v>
      </c>
      <c r="D250" s="26">
        <f t="shared" si="7"/>
        <v>6.646291698139249E-3</v>
      </c>
      <c r="E250" s="30">
        <f t="shared" si="6"/>
        <v>1.6748655079310908</v>
      </c>
    </row>
    <row r="251" spans="1:5" x14ac:dyDescent="0.4">
      <c r="A251" s="3" t="s">
        <v>4</v>
      </c>
      <c r="B251" s="2" t="s">
        <v>3</v>
      </c>
      <c r="C251" s="2">
        <v>739.5</v>
      </c>
      <c r="D251" s="26">
        <f t="shared" si="7"/>
        <v>-3.0431485667061556E-2</v>
      </c>
      <c r="E251" s="30">
        <f t="shared" si="6"/>
        <v>-7.6687343880995122</v>
      </c>
    </row>
  </sheetData>
  <autoFilter ref="A1:C251" xr:uid="{FD28A6B6-BA74-4C40-B702-79A06A01346D}">
    <sortState xmlns:xlrd2="http://schemas.microsoft.com/office/spreadsheetml/2017/richdata2" ref="A2:C251">
      <sortCondition ref="A1:A251"/>
    </sortState>
  </autoFilter>
  <mergeCells count="1">
    <mergeCell ref="G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5CF7-085D-4600-AA21-6769FEF2B193}">
  <dimension ref="A1:J251"/>
  <sheetViews>
    <sheetView showGridLines="0" workbookViewId="0">
      <selection activeCell="G13" sqref="G13"/>
    </sheetView>
  </sheetViews>
  <sheetFormatPr defaultColWidth="8.73046875" defaultRowHeight="13.15" x14ac:dyDescent="0.4"/>
  <cols>
    <col min="1" max="1" width="8.9296875" style="1" bestFit="1" customWidth="1"/>
    <col min="2" max="2" width="8" style="1" bestFit="1" customWidth="1"/>
    <col min="3" max="3" width="7.33203125" style="1" bestFit="1" customWidth="1"/>
    <col min="4" max="4" width="21.796875" style="1" bestFit="1" customWidth="1"/>
    <col min="5" max="5" width="17" style="1" customWidth="1"/>
    <col min="6" max="6" width="8.73046875" style="1"/>
    <col min="7" max="7" width="19.9296875" style="1" bestFit="1" customWidth="1"/>
    <col min="8" max="8" width="19.19921875" style="1" customWidth="1"/>
    <col min="9" max="16384" width="8.73046875" style="1"/>
  </cols>
  <sheetData>
    <row r="1" spans="1:10" x14ac:dyDescent="0.4">
      <c r="A1" s="4" t="s">
        <v>0</v>
      </c>
      <c r="B1" s="4" t="s">
        <v>1</v>
      </c>
      <c r="C1" s="4" t="s">
        <v>2</v>
      </c>
      <c r="D1" s="21" t="s">
        <v>46</v>
      </c>
      <c r="E1" s="21" t="s">
        <v>47</v>
      </c>
    </row>
    <row r="2" spans="1:10" x14ac:dyDescent="0.4">
      <c r="A2" s="3">
        <v>45499</v>
      </c>
      <c r="B2" s="2" t="s">
        <v>3</v>
      </c>
      <c r="C2" s="2">
        <v>3080.5</v>
      </c>
      <c r="D2" s="26">
        <v>0</v>
      </c>
      <c r="E2" s="27">
        <f>D2*252</f>
        <v>0</v>
      </c>
    </row>
    <row r="3" spans="1:10" x14ac:dyDescent="0.4">
      <c r="A3" s="3">
        <v>45502</v>
      </c>
      <c r="B3" s="2" t="s">
        <v>3</v>
      </c>
      <c r="C3" s="2">
        <v>3089.35</v>
      </c>
      <c r="D3" s="26">
        <f>LN(C3/C2)</f>
        <v>2.8687913221869077E-3</v>
      </c>
      <c r="E3" s="27">
        <f t="shared" ref="E3:E66" si="0">D3*252</f>
        <v>0.72293541319110077</v>
      </c>
    </row>
    <row r="4" spans="1:10" x14ac:dyDescent="0.4">
      <c r="A4" s="3">
        <v>45503</v>
      </c>
      <c r="B4" s="2" t="s">
        <v>3</v>
      </c>
      <c r="C4" s="2">
        <v>3128.75</v>
      </c>
      <c r="D4" s="26">
        <f t="shared" ref="D4:D67" si="1">LN(C4/C3)</f>
        <v>1.267285096917168E-2</v>
      </c>
      <c r="E4" s="27">
        <f t="shared" si="0"/>
        <v>3.1935584442312632</v>
      </c>
      <c r="G4" s="111" t="s">
        <v>10</v>
      </c>
      <c r="H4" s="112"/>
    </row>
    <row r="5" spans="1:10" x14ac:dyDescent="0.4">
      <c r="A5" s="3">
        <v>45504</v>
      </c>
      <c r="B5" s="2" t="s">
        <v>3</v>
      </c>
      <c r="C5" s="2">
        <v>3169.4</v>
      </c>
      <c r="D5" s="26">
        <f t="shared" si="1"/>
        <v>1.2908731762723979E-2</v>
      </c>
      <c r="E5" s="27">
        <f t="shared" si="0"/>
        <v>3.2530004042064427</v>
      </c>
      <c r="G5" s="28" t="s">
        <v>48</v>
      </c>
      <c r="H5" s="29">
        <f>AVERAGE(E3:E252)</f>
        <v>-0.19123596602798273</v>
      </c>
      <c r="J5" s="1" t="s">
        <v>51</v>
      </c>
    </row>
    <row r="6" spans="1:10" x14ac:dyDescent="0.4">
      <c r="A6" s="3">
        <v>45505</v>
      </c>
      <c r="B6" s="2" t="s">
        <v>3</v>
      </c>
      <c r="C6" s="2">
        <v>3217.25</v>
      </c>
      <c r="D6" s="26">
        <f t="shared" si="1"/>
        <v>1.498466186506631E-2</v>
      </c>
      <c r="E6" s="27">
        <f t="shared" si="0"/>
        <v>3.7761347899967102</v>
      </c>
      <c r="G6" s="28" t="s">
        <v>50</v>
      </c>
      <c r="H6" s="43">
        <f>_xlfn.STDEV.S(E3:E252)/100</f>
        <v>6.7060415831351264E-2</v>
      </c>
      <c r="J6" s="1" t="s">
        <v>52</v>
      </c>
    </row>
    <row r="7" spans="1:10" x14ac:dyDescent="0.4">
      <c r="A7" s="3">
        <v>45506</v>
      </c>
      <c r="B7" s="2" t="s">
        <v>3</v>
      </c>
      <c r="C7" s="2">
        <v>3160.9</v>
      </c>
      <c r="D7" s="26">
        <f t="shared" si="1"/>
        <v>-1.7670160216938888E-2</v>
      </c>
      <c r="E7" s="27">
        <f t="shared" si="0"/>
        <v>-4.4528803746685997</v>
      </c>
    </row>
    <row r="8" spans="1:10" x14ac:dyDescent="0.4">
      <c r="A8" s="3">
        <v>45509</v>
      </c>
      <c r="B8" s="2" t="s">
        <v>3</v>
      </c>
      <c r="C8" s="2">
        <v>3038.2</v>
      </c>
      <c r="D8" s="26">
        <f t="shared" si="1"/>
        <v>-3.9591562383273063E-2</v>
      </c>
      <c r="E8" s="27">
        <f t="shared" si="0"/>
        <v>-9.9770737205848121</v>
      </c>
    </row>
    <row r="9" spans="1:10" x14ac:dyDescent="0.4">
      <c r="A9" s="3">
        <v>45510</v>
      </c>
      <c r="B9" s="2" t="s">
        <v>3</v>
      </c>
      <c r="C9" s="2">
        <v>3072.7</v>
      </c>
      <c r="D9" s="26">
        <f t="shared" si="1"/>
        <v>1.1291419120142634E-2</v>
      </c>
      <c r="E9" s="27">
        <f t="shared" si="0"/>
        <v>2.8454376182759438</v>
      </c>
      <c r="G9" s="80" t="s">
        <v>104</v>
      </c>
      <c r="H9" s="81"/>
    </row>
    <row r="10" spans="1:10" x14ac:dyDescent="0.4">
      <c r="A10" s="3">
        <v>45511</v>
      </c>
      <c r="B10" s="2" t="s">
        <v>3</v>
      </c>
      <c r="C10" s="2">
        <v>3185.95</v>
      </c>
      <c r="D10" s="26">
        <f t="shared" si="1"/>
        <v>3.6193863793380583E-2</v>
      </c>
      <c r="E10" s="27">
        <f t="shared" si="0"/>
        <v>9.1208536759319063</v>
      </c>
      <c r="G10" s="82" t="s">
        <v>105</v>
      </c>
      <c r="H10" s="83"/>
    </row>
    <row r="11" spans="1:10" x14ac:dyDescent="0.4">
      <c r="A11" s="3">
        <v>45512</v>
      </c>
      <c r="B11" s="2" t="s">
        <v>3</v>
      </c>
      <c r="C11" s="2">
        <v>3167.55</v>
      </c>
      <c r="D11" s="26">
        <f t="shared" si="1"/>
        <v>-5.792099296725456E-3</v>
      </c>
      <c r="E11" s="27">
        <f t="shared" si="0"/>
        <v>-1.4596090227748149</v>
      </c>
      <c r="G11" s="82"/>
      <c r="H11" s="83"/>
    </row>
    <row r="12" spans="1:10" x14ac:dyDescent="0.4">
      <c r="A12" s="3">
        <v>45513</v>
      </c>
      <c r="B12" s="2" t="s">
        <v>3</v>
      </c>
      <c r="C12" s="2">
        <v>3187.55</v>
      </c>
      <c r="D12" s="26">
        <f t="shared" si="1"/>
        <v>6.2941782278030916E-3</v>
      </c>
      <c r="E12" s="27">
        <f t="shared" si="0"/>
        <v>1.5861329134063791</v>
      </c>
      <c r="G12" s="84" t="s">
        <v>106</v>
      </c>
      <c r="H12" s="85"/>
    </row>
    <row r="13" spans="1:10" x14ac:dyDescent="0.4">
      <c r="A13" s="3">
        <v>45516</v>
      </c>
      <c r="B13" s="2" t="s">
        <v>3</v>
      </c>
      <c r="C13" s="2">
        <v>3151.75</v>
      </c>
      <c r="D13" s="26">
        <f t="shared" si="1"/>
        <v>-1.1294742506784404E-2</v>
      </c>
      <c r="E13" s="27">
        <f t="shared" si="0"/>
        <v>-2.8462751117096698</v>
      </c>
    </row>
    <row r="14" spans="1:10" x14ac:dyDescent="0.4">
      <c r="A14" s="3">
        <v>45517</v>
      </c>
      <c r="B14" s="2" t="s">
        <v>3</v>
      </c>
      <c r="C14" s="2">
        <v>3092.2</v>
      </c>
      <c r="D14" s="26">
        <f t="shared" si="1"/>
        <v>-1.9075042442884587E-2</v>
      </c>
      <c r="E14" s="27">
        <f t="shared" si="0"/>
        <v>-4.8069106956069163</v>
      </c>
    </row>
    <row r="15" spans="1:10" x14ac:dyDescent="0.4">
      <c r="A15" s="3">
        <v>45518</v>
      </c>
      <c r="B15" s="2" t="s">
        <v>3</v>
      </c>
      <c r="C15" s="2">
        <v>3040.1</v>
      </c>
      <c r="D15" s="26">
        <f t="shared" si="1"/>
        <v>-1.6992402072404652E-2</v>
      </c>
      <c r="E15" s="27">
        <f t="shared" si="0"/>
        <v>-4.2820853222459725</v>
      </c>
    </row>
    <row r="16" spans="1:10" x14ac:dyDescent="0.4">
      <c r="A16" s="3">
        <v>45520</v>
      </c>
      <c r="B16" s="2" t="s">
        <v>3</v>
      </c>
      <c r="C16" s="2">
        <v>3108.8</v>
      </c>
      <c r="D16" s="26">
        <f t="shared" si="1"/>
        <v>2.2346390027086285E-2</v>
      </c>
      <c r="E16" s="27">
        <f t="shared" si="0"/>
        <v>5.6312902868257435</v>
      </c>
    </row>
    <row r="17" spans="1:5" x14ac:dyDescent="0.4">
      <c r="A17" s="3">
        <v>45523</v>
      </c>
      <c r="B17" s="2" t="s">
        <v>3</v>
      </c>
      <c r="C17" s="2">
        <v>3102.55</v>
      </c>
      <c r="D17" s="26">
        <f t="shared" si="1"/>
        <v>-2.0124456388200319E-3</v>
      </c>
      <c r="E17" s="27">
        <f t="shared" si="0"/>
        <v>-0.50713630098264806</v>
      </c>
    </row>
    <row r="18" spans="1:5" x14ac:dyDescent="0.4">
      <c r="A18" s="3">
        <v>45524</v>
      </c>
      <c r="B18" s="2" t="s">
        <v>3</v>
      </c>
      <c r="C18" s="2">
        <v>3070.65</v>
      </c>
      <c r="D18" s="26">
        <f t="shared" si="1"/>
        <v>-1.0335088429615728E-2</v>
      </c>
      <c r="E18" s="27">
        <f t="shared" si="0"/>
        <v>-2.6044422842631634</v>
      </c>
    </row>
    <row r="19" spans="1:5" x14ac:dyDescent="0.4">
      <c r="A19" s="3">
        <v>45525</v>
      </c>
      <c r="B19" s="2" t="s">
        <v>3</v>
      </c>
      <c r="C19" s="2">
        <v>3115.7</v>
      </c>
      <c r="D19" s="26">
        <f t="shared" si="1"/>
        <v>1.4564580522381864E-2</v>
      </c>
      <c r="E19" s="27">
        <f t="shared" si="0"/>
        <v>3.6702742916402298</v>
      </c>
    </row>
    <row r="20" spans="1:5" x14ac:dyDescent="0.4">
      <c r="A20" s="3">
        <v>45526</v>
      </c>
      <c r="B20" s="2" t="s">
        <v>3</v>
      </c>
      <c r="C20" s="2">
        <v>3099.05</v>
      </c>
      <c r="D20" s="26">
        <f t="shared" si="1"/>
        <v>-5.358233182678411E-3</v>
      </c>
      <c r="E20" s="27">
        <f t="shared" si="0"/>
        <v>-1.3502747620349596</v>
      </c>
    </row>
    <row r="21" spans="1:5" x14ac:dyDescent="0.4">
      <c r="A21" s="3">
        <v>45527</v>
      </c>
      <c r="B21" s="2" t="s">
        <v>3</v>
      </c>
      <c r="C21" s="2">
        <v>3076.35</v>
      </c>
      <c r="D21" s="26">
        <f t="shared" si="1"/>
        <v>-7.3517836065920619E-3</v>
      </c>
      <c r="E21" s="27">
        <f t="shared" si="0"/>
        <v>-1.8526494688611996</v>
      </c>
    </row>
    <row r="22" spans="1:5" x14ac:dyDescent="0.4">
      <c r="A22" s="3">
        <v>45530</v>
      </c>
      <c r="B22" s="2" t="s">
        <v>3</v>
      </c>
      <c r="C22" s="2">
        <v>3069</v>
      </c>
      <c r="D22" s="26">
        <f t="shared" si="1"/>
        <v>-2.3920536681152492E-3</v>
      </c>
      <c r="E22" s="27">
        <f t="shared" si="0"/>
        <v>-0.60279752436504275</v>
      </c>
    </row>
    <row r="23" spans="1:5" x14ac:dyDescent="0.4">
      <c r="A23" s="3">
        <v>45531</v>
      </c>
      <c r="B23" s="2" t="s">
        <v>3</v>
      </c>
      <c r="C23" s="2">
        <v>3067.1</v>
      </c>
      <c r="D23" s="26">
        <f t="shared" si="1"/>
        <v>-6.1928588540711472E-4</v>
      </c>
      <c r="E23" s="27">
        <f t="shared" si="0"/>
        <v>-0.15606004312259292</v>
      </c>
    </row>
    <row r="24" spans="1:5" x14ac:dyDescent="0.4">
      <c r="A24" s="3">
        <v>45532</v>
      </c>
      <c r="B24" s="2" t="s">
        <v>3</v>
      </c>
      <c r="C24" s="2">
        <v>3028</v>
      </c>
      <c r="D24" s="26">
        <f t="shared" si="1"/>
        <v>-1.2830154176989706E-2</v>
      </c>
      <c r="E24" s="27">
        <f t="shared" si="0"/>
        <v>-3.2331988526014057</v>
      </c>
    </row>
    <row r="25" spans="1:5" x14ac:dyDescent="0.4">
      <c r="A25" s="3">
        <v>45533</v>
      </c>
      <c r="B25" s="2" t="s">
        <v>3</v>
      </c>
      <c r="C25" s="2">
        <v>3020.15</v>
      </c>
      <c r="D25" s="26">
        <f t="shared" si="1"/>
        <v>-2.5958365477095732E-3</v>
      </c>
      <c r="E25" s="27">
        <f t="shared" si="0"/>
        <v>-0.6541508100228125</v>
      </c>
    </row>
    <row r="26" spans="1:5" x14ac:dyDescent="0.4">
      <c r="A26" s="3">
        <v>45534</v>
      </c>
      <c r="B26" s="2" t="s">
        <v>3</v>
      </c>
      <c r="C26" s="2">
        <v>3019.35</v>
      </c>
      <c r="D26" s="26">
        <f t="shared" si="1"/>
        <v>-2.6492259447935876E-4</v>
      </c>
      <c r="E26" s="27">
        <f t="shared" si="0"/>
        <v>-6.6760493808798407E-2</v>
      </c>
    </row>
    <row r="27" spans="1:5" x14ac:dyDescent="0.4">
      <c r="A27" s="3">
        <v>45537</v>
      </c>
      <c r="B27" s="2" t="s">
        <v>3</v>
      </c>
      <c r="C27" s="2">
        <v>3042.15</v>
      </c>
      <c r="D27" s="26">
        <f t="shared" si="1"/>
        <v>7.5229258531003436E-3</v>
      </c>
      <c r="E27" s="27">
        <f t="shared" si="0"/>
        <v>1.8957773149812867</v>
      </c>
    </row>
    <row r="28" spans="1:5" x14ac:dyDescent="0.4">
      <c r="A28" s="3">
        <v>45538</v>
      </c>
      <c r="B28" s="2" t="s">
        <v>3</v>
      </c>
      <c r="C28" s="2">
        <v>3036.1</v>
      </c>
      <c r="D28" s="26">
        <f t="shared" si="1"/>
        <v>-1.9907052187605476E-3</v>
      </c>
      <c r="E28" s="27">
        <f t="shared" si="0"/>
        <v>-0.501657715127658</v>
      </c>
    </row>
    <row r="29" spans="1:5" x14ac:dyDescent="0.4">
      <c r="A29" s="3">
        <v>45539</v>
      </c>
      <c r="B29" s="2" t="s">
        <v>3</v>
      </c>
      <c r="C29" s="2">
        <v>3012.35</v>
      </c>
      <c r="D29" s="26">
        <f t="shared" si="1"/>
        <v>-7.8532920213895303E-3</v>
      </c>
      <c r="E29" s="27">
        <f t="shared" si="0"/>
        <v>-1.9790295893901617</v>
      </c>
    </row>
    <row r="30" spans="1:5" x14ac:dyDescent="0.4">
      <c r="A30" s="3">
        <v>45540</v>
      </c>
      <c r="B30" s="2" t="s">
        <v>3</v>
      </c>
      <c r="C30" s="2">
        <v>3015.35</v>
      </c>
      <c r="D30" s="26">
        <f t="shared" si="1"/>
        <v>9.954046311885375E-4</v>
      </c>
      <c r="E30" s="27">
        <f t="shared" si="0"/>
        <v>0.25084196705951145</v>
      </c>
    </row>
    <row r="31" spans="1:5" x14ac:dyDescent="0.4">
      <c r="A31" s="3">
        <v>45541</v>
      </c>
      <c r="B31" s="2" t="s">
        <v>3</v>
      </c>
      <c r="C31" s="2">
        <v>2975.45</v>
      </c>
      <c r="D31" s="26">
        <f t="shared" si="1"/>
        <v>-1.3320621614074202E-2</v>
      </c>
      <c r="E31" s="27">
        <f t="shared" si="0"/>
        <v>-3.356796646746699</v>
      </c>
    </row>
    <row r="32" spans="1:5" x14ac:dyDescent="0.4">
      <c r="A32" s="3">
        <v>45544</v>
      </c>
      <c r="B32" s="2" t="s">
        <v>3</v>
      </c>
      <c r="C32" s="2">
        <v>2964.15</v>
      </c>
      <c r="D32" s="26">
        <f t="shared" si="1"/>
        <v>-3.8049746222938254E-3</v>
      </c>
      <c r="E32" s="27">
        <f t="shared" si="0"/>
        <v>-0.95885360481804405</v>
      </c>
    </row>
    <row r="33" spans="1:5" x14ac:dyDescent="0.4">
      <c r="A33" s="3">
        <v>45545</v>
      </c>
      <c r="B33" s="2" t="s">
        <v>3</v>
      </c>
      <c r="C33" s="2">
        <v>2986.4</v>
      </c>
      <c r="D33" s="26">
        <f t="shared" si="1"/>
        <v>7.4783351774527296E-3</v>
      </c>
      <c r="E33" s="27">
        <f t="shared" si="0"/>
        <v>1.8845404647180879</v>
      </c>
    </row>
    <row r="34" spans="1:5" x14ac:dyDescent="0.4">
      <c r="A34" s="3">
        <v>45546</v>
      </c>
      <c r="B34" s="2" t="s">
        <v>3</v>
      </c>
      <c r="C34" s="2">
        <v>2937.85</v>
      </c>
      <c r="D34" s="26">
        <f t="shared" si="1"/>
        <v>-1.6390627309460278E-2</v>
      </c>
      <c r="E34" s="27">
        <f t="shared" si="0"/>
        <v>-4.1304380819839901</v>
      </c>
    </row>
    <row r="35" spans="1:5" x14ac:dyDescent="0.4">
      <c r="A35" s="3">
        <v>45547</v>
      </c>
      <c r="B35" s="2" t="s">
        <v>3</v>
      </c>
      <c r="C35" s="2">
        <v>2991</v>
      </c>
      <c r="D35" s="26">
        <f t="shared" si="1"/>
        <v>1.7929758339034187E-2</v>
      </c>
      <c r="E35" s="27">
        <f t="shared" si="0"/>
        <v>4.5182991014366154</v>
      </c>
    </row>
    <row r="36" spans="1:5" x14ac:dyDescent="0.4">
      <c r="A36" s="3">
        <v>45548</v>
      </c>
      <c r="B36" s="2" t="s">
        <v>3</v>
      </c>
      <c r="C36" s="2">
        <v>2968.35</v>
      </c>
      <c r="D36" s="26">
        <f t="shared" si="1"/>
        <v>-7.6015367669257624E-3</v>
      </c>
      <c r="E36" s="27">
        <f t="shared" si="0"/>
        <v>-1.9155872652652921</v>
      </c>
    </row>
    <row r="37" spans="1:5" x14ac:dyDescent="0.4">
      <c r="A37" s="3">
        <v>45551</v>
      </c>
      <c r="B37" s="2" t="s">
        <v>3</v>
      </c>
      <c r="C37" s="2">
        <v>2984.9</v>
      </c>
      <c r="D37" s="26">
        <f t="shared" si="1"/>
        <v>5.5600025649937285E-3</v>
      </c>
      <c r="E37" s="27">
        <f t="shared" si="0"/>
        <v>1.4011206463784196</v>
      </c>
    </row>
    <row r="38" spans="1:5" x14ac:dyDescent="0.4">
      <c r="A38" s="3">
        <v>45552</v>
      </c>
      <c r="B38" s="2" t="s">
        <v>3</v>
      </c>
      <c r="C38" s="2">
        <v>2975.2</v>
      </c>
      <c r="D38" s="26">
        <f t="shared" si="1"/>
        <v>-3.2549818171557659E-3</v>
      </c>
      <c r="E38" s="27">
        <f t="shared" si="0"/>
        <v>-0.82025541792325296</v>
      </c>
    </row>
    <row r="39" spans="1:5" x14ac:dyDescent="0.4">
      <c r="A39" s="3">
        <v>45553</v>
      </c>
      <c r="B39" s="2" t="s">
        <v>3</v>
      </c>
      <c r="C39" s="2">
        <v>2956.3</v>
      </c>
      <c r="D39" s="26">
        <f t="shared" si="1"/>
        <v>-6.3727771944067273E-3</v>
      </c>
      <c r="E39" s="27">
        <f t="shared" si="0"/>
        <v>-1.6059398529904954</v>
      </c>
    </row>
    <row r="40" spans="1:5" x14ac:dyDescent="0.4">
      <c r="A40" s="3">
        <v>45554</v>
      </c>
      <c r="B40" s="2" t="s">
        <v>3</v>
      </c>
      <c r="C40" s="2">
        <v>2943.15</v>
      </c>
      <c r="D40" s="26">
        <f t="shared" si="1"/>
        <v>-4.4580500822331256E-3</v>
      </c>
      <c r="E40" s="27">
        <f t="shared" si="0"/>
        <v>-1.1234286207227477</v>
      </c>
    </row>
    <row r="41" spans="1:5" x14ac:dyDescent="0.4">
      <c r="A41" s="3">
        <v>45555</v>
      </c>
      <c r="B41" s="2" t="s">
        <v>3</v>
      </c>
      <c r="C41" s="2">
        <v>3008.5</v>
      </c>
      <c r="D41" s="26">
        <f t="shared" si="1"/>
        <v>2.1961179326186089E-2</v>
      </c>
      <c r="E41" s="27">
        <f t="shared" si="0"/>
        <v>5.5342171901988948</v>
      </c>
    </row>
    <row r="42" spans="1:5" x14ac:dyDescent="0.4">
      <c r="A42" s="3">
        <v>45558</v>
      </c>
      <c r="B42" s="2" t="s">
        <v>3</v>
      </c>
      <c r="C42" s="2">
        <v>3043.95</v>
      </c>
      <c r="D42" s="26">
        <f t="shared" si="1"/>
        <v>1.1714398430681009E-2</v>
      </c>
      <c r="E42" s="27">
        <f t="shared" si="0"/>
        <v>2.9520284045316143</v>
      </c>
    </row>
    <row r="43" spans="1:5" x14ac:dyDescent="0.4">
      <c r="A43" s="3">
        <v>45559</v>
      </c>
      <c r="B43" s="2" t="s">
        <v>3</v>
      </c>
      <c r="C43" s="2">
        <v>3093.9</v>
      </c>
      <c r="D43" s="26">
        <f t="shared" si="1"/>
        <v>1.627641689904568E-2</v>
      </c>
      <c r="E43" s="27">
        <f t="shared" si="0"/>
        <v>4.1016570585595113</v>
      </c>
    </row>
    <row r="44" spans="1:5" x14ac:dyDescent="0.4">
      <c r="A44" s="3">
        <v>45560</v>
      </c>
      <c r="B44" s="2" t="s">
        <v>3</v>
      </c>
      <c r="C44" s="2">
        <v>3105.1</v>
      </c>
      <c r="D44" s="26">
        <f t="shared" si="1"/>
        <v>3.6134899780027423E-3</v>
      </c>
      <c r="E44" s="27">
        <f t="shared" si="0"/>
        <v>0.91059947445669109</v>
      </c>
    </row>
    <row r="45" spans="1:5" x14ac:dyDescent="0.4">
      <c r="A45" s="3">
        <v>45561</v>
      </c>
      <c r="B45" s="2" t="s">
        <v>3</v>
      </c>
      <c r="C45" s="2">
        <v>3122.65</v>
      </c>
      <c r="D45" s="26">
        <f t="shared" si="1"/>
        <v>5.6360793085330867E-3</v>
      </c>
      <c r="E45" s="27">
        <f t="shared" si="0"/>
        <v>1.4202919857503378</v>
      </c>
    </row>
    <row r="46" spans="1:5" x14ac:dyDescent="0.4">
      <c r="A46" s="3">
        <v>45562</v>
      </c>
      <c r="B46" s="2" t="s">
        <v>3</v>
      </c>
      <c r="C46" s="2">
        <v>3130.3</v>
      </c>
      <c r="D46" s="26">
        <f t="shared" si="1"/>
        <v>2.44684630990126E-3</v>
      </c>
      <c r="E46" s="27">
        <f t="shared" si="0"/>
        <v>0.61660527009511745</v>
      </c>
    </row>
    <row r="47" spans="1:5" x14ac:dyDescent="0.4">
      <c r="A47" s="3">
        <v>45565</v>
      </c>
      <c r="B47" s="2" t="s">
        <v>3</v>
      </c>
      <c r="C47" s="2">
        <v>3135.85</v>
      </c>
      <c r="D47" s="26">
        <f t="shared" si="1"/>
        <v>1.7714231071063267E-3</v>
      </c>
      <c r="E47" s="27">
        <f t="shared" si="0"/>
        <v>0.4463986229907943</v>
      </c>
    </row>
    <row r="48" spans="1:5" x14ac:dyDescent="0.4">
      <c r="A48" s="3">
        <v>45566</v>
      </c>
      <c r="B48" s="2" t="s">
        <v>3</v>
      </c>
      <c r="C48" s="2">
        <v>3186.1</v>
      </c>
      <c r="D48" s="26">
        <f t="shared" si="1"/>
        <v>1.5897328603268823E-2</v>
      </c>
      <c r="E48" s="27">
        <f t="shared" si="0"/>
        <v>4.0061268080237431</v>
      </c>
    </row>
    <row r="49" spans="1:5" x14ac:dyDescent="0.4">
      <c r="A49" s="3">
        <v>45568</v>
      </c>
      <c r="B49" s="2" t="s">
        <v>3</v>
      </c>
      <c r="C49" s="2">
        <v>3116</v>
      </c>
      <c r="D49" s="26">
        <f t="shared" si="1"/>
        <v>-2.224747030630626E-2</v>
      </c>
      <c r="E49" s="27">
        <f t="shared" si="0"/>
        <v>-5.6063625171891776</v>
      </c>
    </row>
    <row r="50" spans="1:5" x14ac:dyDescent="0.4">
      <c r="A50" s="3">
        <v>45569</v>
      </c>
      <c r="B50" s="2" t="s">
        <v>3</v>
      </c>
      <c r="C50" s="2">
        <v>3110.65</v>
      </c>
      <c r="D50" s="26">
        <f t="shared" si="1"/>
        <v>-1.7184204400541904E-3</v>
      </c>
      <c r="E50" s="27">
        <f t="shared" si="0"/>
        <v>-0.43304195089365599</v>
      </c>
    </row>
    <row r="51" spans="1:5" x14ac:dyDescent="0.4">
      <c r="A51" s="3">
        <v>45572</v>
      </c>
      <c r="B51" s="2" t="s">
        <v>3</v>
      </c>
      <c r="C51" s="2">
        <v>3018</v>
      </c>
      <c r="D51" s="26">
        <f t="shared" si="1"/>
        <v>-3.0237347222790447E-2</v>
      </c>
      <c r="E51" s="27">
        <f t="shared" si="0"/>
        <v>-7.619811500143193</v>
      </c>
    </row>
    <row r="52" spans="1:5" x14ac:dyDescent="0.4">
      <c r="A52" s="3">
        <v>45573</v>
      </c>
      <c r="B52" s="2" t="s">
        <v>3</v>
      </c>
      <c r="C52" s="2">
        <v>3160.7</v>
      </c>
      <c r="D52" s="26">
        <f t="shared" si="1"/>
        <v>4.6199161708797287E-2</v>
      </c>
      <c r="E52" s="27">
        <f t="shared" si="0"/>
        <v>11.642188750616917</v>
      </c>
    </row>
    <row r="53" spans="1:5" x14ac:dyDescent="0.4">
      <c r="A53" s="3">
        <v>45574</v>
      </c>
      <c r="B53" s="2" t="s">
        <v>3</v>
      </c>
      <c r="C53" s="2">
        <v>3153.75</v>
      </c>
      <c r="D53" s="26">
        <f t="shared" si="1"/>
        <v>-2.2013010813238501E-3</v>
      </c>
      <c r="E53" s="27">
        <f t="shared" si="0"/>
        <v>-0.55472787249361022</v>
      </c>
    </row>
    <row r="54" spans="1:5" x14ac:dyDescent="0.4">
      <c r="A54" s="3">
        <v>45575</v>
      </c>
      <c r="B54" s="2" t="s">
        <v>3</v>
      </c>
      <c r="C54" s="2">
        <v>3174.2</v>
      </c>
      <c r="D54" s="26">
        <f t="shared" si="1"/>
        <v>6.4634111181905334E-3</v>
      </c>
      <c r="E54" s="27">
        <f t="shared" si="0"/>
        <v>1.6287796017840144</v>
      </c>
    </row>
    <row r="55" spans="1:5" x14ac:dyDescent="0.4">
      <c r="A55" s="3">
        <v>45576</v>
      </c>
      <c r="B55" s="2" t="s">
        <v>3</v>
      </c>
      <c r="C55" s="2">
        <v>3137.2</v>
      </c>
      <c r="D55" s="26">
        <f t="shared" si="1"/>
        <v>-1.1724949734946767E-2</v>
      </c>
      <c r="E55" s="27">
        <f t="shared" si="0"/>
        <v>-2.9546873332065853</v>
      </c>
    </row>
    <row r="56" spans="1:5" x14ac:dyDescent="0.4">
      <c r="A56" s="3">
        <v>45579</v>
      </c>
      <c r="B56" s="2" t="s">
        <v>3</v>
      </c>
      <c r="C56" s="2">
        <v>3101.1</v>
      </c>
      <c r="D56" s="26">
        <f t="shared" si="1"/>
        <v>-1.1573795095962626E-2</v>
      </c>
      <c r="E56" s="27">
        <f t="shared" si="0"/>
        <v>-2.9165963641825816</v>
      </c>
    </row>
    <row r="57" spans="1:5" x14ac:dyDescent="0.4">
      <c r="A57" s="3">
        <v>45580</v>
      </c>
      <c r="B57" s="2" t="s">
        <v>3</v>
      </c>
      <c r="C57" s="2">
        <v>3104.7</v>
      </c>
      <c r="D57" s="26">
        <f t="shared" si="1"/>
        <v>1.1602050996881959E-3</v>
      </c>
      <c r="E57" s="27">
        <f t="shared" si="0"/>
        <v>0.29237168512142536</v>
      </c>
    </row>
    <row r="58" spans="1:5" x14ac:dyDescent="0.4">
      <c r="A58" s="3">
        <v>45581</v>
      </c>
      <c r="B58" s="2" t="s">
        <v>3</v>
      </c>
      <c r="C58" s="2">
        <v>3085.9</v>
      </c>
      <c r="D58" s="26">
        <f t="shared" si="1"/>
        <v>-6.0737433511642933E-3</v>
      </c>
      <c r="E58" s="27">
        <f t="shared" si="0"/>
        <v>-1.530583324493402</v>
      </c>
    </row>
    <row r="59" spans="1:5" x14ac:dyDescent="0.4">
      <c r="A59" s="3">
        <v>45582</v>
      </c>
      <c r="B59" s="2" t="s">
        <v>3</v>
      </c>
      <c r="C59" s="2">
        <v>3013.75</v>
      </c>
      <c r="D59" s="26">
        <f t="shared" si="1"/>
        <v>-2.3658198495691837E-2</v>
      </c>
      <c r="E59" s="27">
        <f t="shared" si="0"/>
        <v>-5.9618660209143428</v>
      </c>
    </row>
    <row r="60" spans="1:5" x14ac:dyDescent="0.4">
      <c r="A60" s="3">
        <v>45583</v>
      </c>
      <c r="B60" s="2" t="s">
        <v>3</v>
      </c>
      <c r="C60" s="2">
        <v>3002</v>
      </c>
      <c r="D60" s="26">
        <f t="shared" si="1"/>
        <v>-3.9064173019735283E-3</v>
      </c>
      <c r="E60" s="27">
        <f t="shared" si="0"/>
        <v>-0.98441716009732916</v>
      </c>
    </row>
    <row r="61" spans="1:5" x14ac:dyDescent="0.4">
      <c r="A61" s="3">
        <v>45586</v>
      </c>
      <c r="B61" s="2" t="s">
        <v>3</v>
      </c>
      <c r="C61" s="2">
        <v>2937.65</v>
      </c>
      <c r="D61" s="26">
        <f t="shared" si="1"/>
        <v>-2.1668791214918517E-2</v>
      </c>
      <c r="E61" s="27">
        <f t="shared" si="0"/>
        <v>-5.4605353861594663</v>
      </c>
    </row>
    <row r="62" spans="1:5" x14ac:dyDescent="0.4">
      <c r="A62" s="3">
        <v>45587</v>
      </c>
      <c r="B62" s="2" t="s">
        <v>3</v>
      </c>
      <c r="C62" s="2">
        <v>2823.8</v>
      </c>
      <c r="D62" s="26">
        <f t="shared" si="1"/>
        <v>-3.9526446403063908E-2</v>
      </c>
      <c r="E62" s="27">
        <f t="shared" si="0"/>
        <v>-9.9606644935721054</v>
      </c>
    </row>
    <row r="63" spans="1:5" x14ac:dyDescent="0.4">
      <c r="A63" s="3">
        <v>45588</v>
      </c>
      <c r="B63" s="2" t="s">
        <v>3</v>
      </c>
      <c r="C63" s="2">
        <v>2835.55</v>
      </c>
      <c r="D63" s="26">
        <f t="shared" si="1"/>
        <v>4.1524262975137722E-3</v>
      </c>
      <c r="E63" s="27">
        <f t="shared" si="0"/>
        <v>1.0464114269734706</v>
      </c>
    </row>
    <row r="64" spans="1:5" x14ac:dyDescent="0.4">
      <c r="A64" s="3">
        <v>45589</v>
      </c>
      <c r="B64" s="2" t="s">
        <v>3</v>
      </c>
      <c r="C64" s="2">
        <v>2830.2</v>
      </c>
      <c r="D64" s="26">
        <f t="shared" si="1"/>
        <v>-1.8885413546676844E-3</v>
      </c>
      <c r="E64" s="27">
        <f t="shared" si="0"/>
        <v>-0.4759124213762565</v>
      </c>
    </row>
    <row r="65" spans="1:5" x14ac:dyDescent="0.4">
      <c r="A65" s="3">
        <v>45590</v>
      </c>
      <c r="B65" s="2" t="s">
        <v>3</v>
      </c>
      <c r="C65" s="2">
        <v>2693.45</v>
      </c>
      <c r="D65" s="26">
        <f t="shared" si="1"/>
        <v>-4.9524480777703279E-2</v>
      </c>
      <c r="E65" s="27">
        <f t="shared" si="0"/>
        <v>-12.480169155981226</v>
      </c>
    </row>
    <row r="66" spans="1:5" x14ac:dyDescent="0.4">
      <c r="A66" s="3">
        <v>45593</v>
      </c>
      <c r="B66" s="2" t="s">
        <v>3</v>
      </c>
      <c r="C66" s="2">
        <v>2798.65</v>
      </c>
      <c r="D66" s="26">
        <f t="shared" si="1"/>
        <v>3.831425829734407E-2</v>
      </c>
      <c r="E66" s="27">
        <f t="shared" si="0"/>
        <v>9.6551930909307053</v>
      </c>
    </row>
    <row r="67" spans="1:5" x14ac:dyDescent="0.4">
      <c r="A67" s="3">
        <v>45594</v>
      </c>
      <c r="B67" s="2" t="s">
        <v>3</v>
      </c>
      <c r="C67" s="2">
        <v>2848.6</v>
      </c>
      <c r="D67" s="26">
        <f t="shared" si="1"/>
        <v>1.7690487462574202E-2</v>
      </c>
      <c r="E67" s="27">
        <f t="shared" ref="E67:E130" si="2">D67*252</f>
        <v>4.4580028405686987</v>
      </c>
    </row>
    <row r="68" spans="1:5" x14ac:dyDescent="0.4">
      <c r="A68" s="3">
        <v>45595</v>
      </c>
      <c r="B68" s="2" t="s">
        <v>3</v>
      </c>
      <c r="C68" s="2">
        <v>2969.3</v>
      </c>
      <c r="D68" s="26">
        <f t="shared" ref="D68:D131" si="3">LN(C68/C67)</f>
        <v>4.1498589281260698E-2</v>
      </c>
      <c r="E68" s="27">
        <f t="shared" si="2"/>
        <v>10.457644498877697</v>
      </c>
    </row>
    <row r="69" spans="1:5" x14ac:dyDescent="0.4">
      <c r="A69" s="3">
        <v>45596</v>
      </c>
      <c r="B69" s="2" t="s">
        <v>3</v>
      </c>
      <c r="C69" s="2">
        <v>2947.25</v>
      </c>
      <c r="D69" s="26">
        <f t="shared" si="3"/>
        <v>-7.4537026095097235E-3</v>
      </c>
      <c r="E69" s="27">
        <f t="shared" si="2"/>
        <v>-1.8783330575964503</v>
      </c>
    </row>
    <row r="70" spans="1:5" x14ac:dyDescent="0.4">
      <c r="A70" s="3">
        <v>45597</v>
      </c>
      <c r="B70" s="2" t="s">
        <v>3</v>
      </c>
      <c r="C70" s="2">
        <v>2949.5</v>
      </c>
      <c r="D70" s="26">
        <f t="shared" si="3"/>
        <v>7.631322708931287E-4</v>
      </c>
      <c r="E70" s="27">
        <f t="shared" si="2"/>
        <v>0.19230933226506844</v>
      </c>
    </row>
    <row r="71" spans="1:5" x14ac:dyDescent="0.4">
      <c r="A71" s="3">
        <v>45600</v>
      </c>
      <c r="B71" s="2" t="s">
        <v>3</v>
      </c>
      <c r="C71" s="2">
        <v>2897.4</v>
      </c>
      <c r="D71" s="26">
        <f t="shared" si="3"/>
        <v>-1.7821881335578736E-2</v>
      </c>
      <c r="E71" s="27">
        <f t="shared" si="2"/>
        <v>-4.4911140965658412</v>
      </c>
    </row>
    <row r="72" spans="1:5" x14ac:dyDescent="0.4">
      <c r="A72" s="3">
        <v>45601</v>
      </c>
      <c r="B72" s="2" t="s">
        <v>3</v>
      </c>
      <c r="C72" s="2">
        <v>2915.55</v>
      </c>
      <c r="D72" s="26">
        <f t="shared" si="3"/>
        <v>6.2446981246345604E-3</v>
      </c>
      <c r="E72" s="27">
        <f t="shared" si="2"/>
        <v>1.5736639274079092</v>
      </c>
    </row>
    <row r="73" spans="1:5" x14ac:dyDescent="0.4">
      <c r="A73" s="3">
        <v>45602</v>
      </c>
      <c r="B73" s="2" t="s">
        <v>3</v>
      </c>
      <c r="C73" s="2">
        <v>3046.25</v>
      </c>
      <c r="D73" s="26">
        <f t="shared" si="3"/>
        <v>4.3852844707230339E-2</v>
      </c>
      <c r="E73" s="27">
        <f t="shared" si="2"/>
        <v>11.050916866222046</v>
      </c>
    </row>
    <row r="74" spans="1:5" x14ac:dyDescent="0.4">
      <c r="A74" s="3">
        <v>45603</v>
      </c>
      <c r="B74" s="2" t="s">
        <v>3</v>
      </c>
      <c r="C74" s="2">
        <v>2970.1</v>
      </c>
      <c r="D74" s="26">
        <f t="shared" si="3"/>
        <v>-2.5315703675823493E-2</v>
      </c>
      <c r="E74" s="27">
        <f t="shared" si="2"/>
        <v>-6.3795573263075198</v>
      </c>
    </row>
    <row r="75" spans="1:5" x14ac:dyDescent="0.4">
      <c r="A75" s="3">
        <v>45604</v>
      </c>
      <c r="B75" s="2" t="s">
        <v>3</v>
      </c>
      <c r="C75" s="2">
        <v>2929.1</v>
      </c>
      <c r="D75" s="26">
        <f t="shared" si="3"/>
        <v>-1.3900413673492405E-2</v>
      </c>
      <c r="E75" s="27">
        <f t="shared" si="2"/>
        <v>-3.5029042457200861</v>
      </c>
    </row>
    <row r="76" spans="1:5" x14ac:dyDescent="0.4">
      <c r="A76" s="3">
        <v>45607</v>
      </c>
      <c r="B76" s="2" t="s">
        <v>3</v>
      </c>
      <c r="C76" s="2">
        <v>2903.65</v>
      </c>
      <c r="D76" s="26">
        <f t="shared" si="3"/>
        <v>-8.7266423249217438E-3</v>
      </c>
      <c r="E76" s="27">
        <f t="shared" si="2"/>
        <v>-2.1991138658802796</v>
      </c>
    </row>
    <row r="77" spans="1:5" x14ac:dyDescent="0.4">
      <c r="A77" s="3">
        <v>45608</v>
      </c>
      <c r="B77" s="2" t="s">
        <v>3</v>
      </c>
      <c r="C77" s="2">
        <v>2870</v>
      </c>
      <c r="D77" s="26">
        <f t="shared" si="3"/>
        <v>-1.1656536511511517E-2</v>
      </c>
      <c r="E77" s="27">
        <f t="shared" si="2"/>
        <v>-2.9374472009009023</v>
      </c>
    </row>
    <row r="78" spans="1:5" x14ac:dyDescent="0.4">
      <c r="A78" s="3">
        <v>45609</v>
      </c>
      <c r="B78" s="2" t="s">
        <v>3</v>
      </c>
      <c r="C78" s="2">
        <v>2816.7</v>
      </c>
      <c r="D78" s="26">
        <f t="shared" si="3"/>
        <v>-1.8746042821055447E-2</v>
      </c>
      <c r="E78" s="27">
        <f t="shared" si="2"/>
        <v>-4.7240027909059723</v>
      </c>
    </row>
    <row r="79" spans="1:5" x14ac:dyDescent="0.4">
      <c r="A79" s="3">
        <v>45610</v>
      </c>
      <c r="B79" s="2" t="s">
        <v>3</v>
      </c>
      <c r="C79" s="2">
        <v>2826.8</v>
      </c>
      <c r="D79" s="26">
        <f t="shared" si="3"/>
        <v>3.5793428840878269E-3</v>
      </c>
      <c r="E79" s="27">
        <f t="shared" si="2"/>
        <v>0.90199440679013243</v>
      </c>
    </row>
    <row r="80" spans="1:5" x14ac:dyDescent="0.4">
      <c r="A80" s="3">
        <v>45614</v>
      </c>
      <c r="B80" s="2" t="s">
        <v>3</v>
      </c>
      <c r="C80" s="2">
        <v>2818.7</v>
      </c>
      <c r="D80" s="26">
        <f t="shared" si="3"/>
        <v>-2.869544082239208E-3</v>
      </c>
      <c r="E80" s="27">
        <f t="shared" si="2"/>
        <v>-0.72312510872428037</v>
      </c>
    </row>
    <row r="81" spans="1:5" x14ac:dyDescent="0.4">
      <c r="A81" s="3">
        <v>45615</v>
      </c>
      <c r="B81" s="2" t="s">
        <v>3</v>
      </c>
      <c r="C81" s="2">
        <v>2821.5</v>
      </c>
      <c r="D81" s="26">
        <f t="shared" si="3"/>
        <v>9.9287267473478704E-4</v>
      </c>
      <c r="E81" s="27">
        <f t="shared" si="2"/>
        <v>0.25020391403316633</v>
      </c>
    </row>
    <row r="82" spans="1:5" x14ac:dyDescent="0.4">
      <c r="A82" s="3">
        <v>45617</v>
      </c>
      <c r="B82" s="2" t="s">
        <v>3</v>
      </c>
      <c r="C82" s="2">
        <v>2183.65</v>
      </c>
      <c r="D82" s="26">
        <f t="shared" si="3"/>
        <v>-0.25627086979708608</v>
      </c>
      <c r="E82" s="27">
        <f t="shared" si="2"/>
        <v>-64.580259188865696</v>
      </c>
    </row>
    <row r="83" spans="1:5" x14ac:dyDescent="0.4">
      <c r="A83" s="3">
        <v>45618</v>
      </c>
      <c r="B83" s="2" t="s">
        <v>3</v>
      </c>
      <c r="C83" s="2">
        <v>2228</v>
      </c>
      <c r="D83" s="26">
        <f t="shared" si="3"/>
        <v>2.0106533435065892E-2</v>
      </c>
      <c r="E83" s="27">
        <f t="shared" si="2"/>
        <v>5.066846425636605</v>
      </c>
    </row>
    <row r="84" spans="1:5" x14ac:dyDescent="0.4">
      <c r="A84" s="3">
        <v>45621</v>
      </c>
      <c r="B84" s="2" t="s">
        <v>3</v>
      </c>
      <c r="C84" s="2">
        <v>2257.5</v>
      </c>
      <c r="D84" s="26">
        <f t="shared" si="3"/>
        <v>1.3153684243965758E-2</v>
      </c>
      <c r="E84" s="27">
        <f t="shared" si="2"/>
        <v>3.3147284294793709</v>
      </c>
    </row>
    <row r="85" spans="1:5" x14ac:dyDescent="0.4">
      <c r="A85" s="3">
        <v>45622</v>
      </c>
      <c r="B85" s="2" t="s">
        <v>3</v>
      </c>
      <c r="C85" s="2">
        <v>2150.5</v>
      </c>
      <c r="D85" s="26">
        <f t="shared" si="3"/>
        <v>-4.8557633067349427E-2</v>
      </c>
      <c r="E85" s="27">
        <f t="shared" si="2"/>
        <v>-12.236523532972056</v>
      </c>
    </row>
    <row r="86" spans="1:5" x14ac:dyDescent="0.4">
      <c r="A86" s="3">
        <v>45623</v>
      </c>
      <c r="B86" s="2" t="s">
        <v>3</v>
      </c>
      <c r="C86" s="2">
        <v>2397.8000000000002</v>
      </c>
      <c r="D86" s="26">
        <f t="shared" si="3"/>
        <v>0.10885127704976234</v>
      </c>
      <c r="E86" s="27">
        <f t="shared" si="2"/>
        <v>27.430521816540111</v>
      </c>
    </row>
    <row r="87" spans="1:5" x14ac:dyDescent="0.4">
      <c r="A87" s="3">
        <v>45624</v>
      </c>
      <c r="B87" s="2" t="s">
        <v>3</v>
      </c>
      <c r="C87" s="2">
        <v>2437.1</v>
      </c>
      <c r="D87" s="26">
        <f t="shared" si="3"/>
        <v>1.625715756804736E-2</v>
      </c>
      <c r="E87" s="27">
        <f t="shared" si="2"/>
        <v>4.0968037071479344</v>
      </c>
    </row>
    <row r="88" spans="1:5" x14ac:dyDescent="0.4">
      <c r="A88" s="3">
        <v>45625</v>
      </c>
      <c r="B88" s="2" t="s">
        <v>3</v>
      </c>
      <c r="C88" s="2">
        <v>2463.15</v>
      </c>
      <c r="D88" s="26">
        <f t="shared" si="3"/>
        <v>1.06322107643554E-2</v>
      </c>
      <c r="E88" s="27">
        <f t="shared" si="2"/>
        <v>2.6793171126175608</v>
      </c>
    </row>
    <row r="89" spans="1:5" x14ac:dyDescent="0.4">
      <c r="A89" s="3">
        <v>45628</v>
      </c>
      <c r="B89" s="2" t="s">
        <v>3</v>
      </c>
      <c r="C89" s="2">
        <v>2457.0500000000002</v>
      </c>
      <c r="D89" s="26">
        <f t="shared" si="3"/>
        <v>-2.4795752714857557E-3</v>
      </c>
      <c r="E89" s="27">
        <f t="shared" si="2"/>
        <v>-0.6248529684144104</v>
      </c>
    </row>
    <row r="90" spans="1:5" x14ac:dyDescent="0.4">
      <c r="A90" s="3">
        <v>45629</v>
      </c>
      <c r="B90" s="2" t="s">
        <v>3</v>
      </c>
      <c r="C90" s="2">
        <v>2514.1999999999998</v>
      </c>
      <c r="D90" s="26">
        <f t="shared" si="3"/>
        <v>2.2993218146260305E-2</v>
      </c>
      <c r="E90" s="27">
        <f t="shared" si="2"/>
        <v>5.7942909728575973</v>
      </c>
    </row>
    <row r="91" spans="1:5" x14ac:dyDescent="0.4">
      <c r="A91" s="3">
        <v>45630</v>
      </c>
      <c r="B91" s="2" t="s">
        <v>3</v>
      </c>
      <c r="C91" s="2">
        <v>2494.75</v>
      </c>
      <c r="D91" s="26">
        <f t="shared" si="3"/>
        <v>-7.7661377163086498E-3</v>
      </c>
      <c r="E91" s="27">
        <f t="shared" si="2"/>
        <v>-1.9570667045097798</v>
      </c>
    </row>
    <row r="92" spans="1:5" x14ac:dyDescent="0.4">
      <c r="A92" s="3">
        <v>45631</v>
      </c>
      <c r="B92" s="2" t="s">
        <v>3</v>
      </c>
      <c r="C92" s="2">
        <v>2522.5500000000002</v>
      </c>
      <c r="D92" s="26">
        <f t="shared" si="3"/>
        <v>1.1081770872446895E-2</v>
      </c>
      <c r="E92" s="27">
        <f t="shared" si="2"/>
        <v>2.7926062598566177</v>
      </c>
    </row>
    <row r="93" spans="1:5" x14ac:dyDescent="0.4">
      <c r="A93" s="3">
        <v>45632</v>
      </c>
      <c r="B93" s="2" t="s">
        <v>3</v>
      </c>
      <c r="C93" s="2">
        <v>2506.4</v>
      </c>
      <c r="D93" s="26">
        <f t="shared" si="3"/>
        <v>-6.4228339988866758E-3</v>
      </c>
      <c r="E93" s="27">
        <f t="shared" si="2"/>
        <v>-1.6185541677194424</v>
      </c>
    </row>
    <row r="94" spans="1:5" x14ac:dyDescent="0.4">
      <c r="A94" s="3">
        <v>45635</v>
      </c>
      <c r="B94" s="2" t="s">
        <v>3</v>
      </c>
      <c r="C94" s="2">
        <v>2495.85</v>
      </c>
      <c r="D94" s="26">
        <f t="shared" si="3"/>
        <v>-4.218108108356146E-3</v>
      </c>
      <c r="E94" s="27">
        <f t="shared" si="2"/>
        <v>-1.0629632433057488</v>
      </c>
    </row>
    <row r="95" spans="1:5" x14ac:dyDescent="0.4">
      <c r="A95" s="3">
        <v>45636</v>
      </c>
      <c r="B95" s="2" t="s">
        <v>3</v>
      </c>
      <c r="C95" s="2">
        <v>2467.1999999999998</v>
      </c>
      <c r="D95" s="26">
        <f t="shared" si="3"/>
        <v>-1.1545448160615666E-2</v>
      </c>
      <c r="E95" s="27">
        <f t="shared" si="2"/>
        <v>-2.909452936475148</v>
      </c>
    </row>
    <row r="96" spans="1:5" x14ac:dyDescent="0.4">
      <c r="A96" s="3">
        <v>45637</v>
      </c>
      <c r="B96" s="2" t="s">
        <v>3</v>
      </c>
      <c r="C96" s="2">
        <v>2457.25</v>
      </c>
      <c r="D96" s="26">
        <f t="shared" si="3"/>
        <v>-4.0410659222715533E-3</v>
      </c>
      <c r="E96" s="27">
        <f t="shared" si="2"/>
        <v>-1.0183486124124315</v>
      </c>
    </row>
    <row r="97" spans="1:5" x14ac:dyDescent="0.4">
      <c r="A97" s="3">
        <v>45638</v>
      </c>
      <c r="B97" s="2" t="s">
        <v>3</v>
      </c>
      <c r="C97" s="2">
        <v>2504.1</v>
      </c>
      <c r="D97" s="26">
        <f t="shared" si="3"/>
        <v>1.8886550078061899E-2</v>
      </c>
      <c r="E97" s="27">
        <f t="shared" si="2"/>
        <v>4.7594106196715984</v>
      </c>
    </row>
    <row r="98" spans="1:5" x14ac:dyDescent="0.4">
      <c r="A98" s="3">
        <v>45639</v>
      </c>
      <c r="B98" s="2" t="s">
        <v>3</v>
      </c>
      <c r="C98" s="2">
        <v>2527.5500000000002</v>
      </c>
      <c r="D98" s="26">
        <f t="shared" si="3"/>
        <v>9.3210655678265444E-3</v>
      </c>
      <c r="E98" s="27">
        <f t="shared" si="2"/>
        <v>2.3489085230922893</v>
      </c>
    </row>
    <row r="99" spans="1:5" x14ac:dyDescent="0.4">
      <c r="A99" s="3">
        <v>45642</v>
      </c>
      <c r="B99" s="2" t="s">
        <v>3</v>
      </c>
      <c r="C99" s="2">
        <v>2512.4</v>
      </c>
      <c r="D99" s="26">
        <f t="shared" si="3"/>
        <v>-6.0119825124014415E-3</v>
      </c>
      <c r="E99" s="27">
        <f t="shared" si="2"/>
        <v>-1.5150195931251633</v>
      </c>
    </row>
    <row r="100" spans="1:5" x14ac:dyDescent="0.4">
      <c r="A100" s="3">
        <v>45643</v>
      </c>
      <c r="B100" s="2" t="s">
        <v>3</v>
      </c>
      <c r="C100" s="2">
        <v>2487.6</v>
      </c>
      <c r="D100" s="26">
        <f t="shared" si="3"/>
        <v>-9.9200813504915879E-3</v>
      </c>
      <c r="E100" s="27">
        <f t="shared" si="2"/>
        <v>-2.4998605003238801</v>
      </c>
    </row>
    <row r="101" spans="1:5" x14ac:dyDescent="0.4">
      <c r="A101" s="3">
        <v>45644</v>
      </c>
      <c r="B101" s="2" t="s">
        <v>3</v>
      </c>
      <c r="C101" s="2">
        <v>2457.4</v>
      </c>
      <c r="D101" s="26">
        <f t="shared" si="3"/>
        <v>-1.221450979626325E-2</v>
      </c>
      <c r="E101" s="27">
        <f t="shared" si="2"/>
        <v>-3.0780564686583389</v>
      </c>
    </row>
    <row r="102" spans="1:5" x14ac:dyDescent="0.4">
      <c r="A102" s="3">
        <v>45645</v>
      </c>
      <c r="B102" s="2" t="s">
        <v>3</v>
      </c>
      <c r="C102" s="2">
        <v>2419.35</v>
      </c>
      <c r="D102" s="26">
        <f t="shared" si="3"/>
        <v>-1.5604971402169735E-2</v>
      </c>
      <c r="E102" s="27">
        <f t="shared" si="2"/>
        <v>-3.9324527933467732</v>
      </c>
    </row>
    <row r="103" spans="1:5" x14ac:dyDescent="0.4">
      <c r="A103" s="3">
        <v>45646</v>
      </c>
      <c r="B103" s="2" t="s">
        <v>3</v>
      </c>
      <c r="C103" s="2">
        <v>2344.9499999999998</v>
      </c>
      <c r="D103" s="26">
        <f t="shared" si="3"/>
        <v>-3.1234829339858237E-2</v>
      </c>
      <c r="E103" s="27">
        <f t="shared" si="2"/>
        <v>-7.8711769936442755</v>
      </c>
    </row>
    <row r="104" spans="1:5" x14ac:dyDescent="0.4">
      <c r="A104" s="3">
        <v>45649</v>
      </c>
      <c r="B104" s="2" t="s">
        <v>3</v>
      </c>
      <c r="C104" s="2">
        <v>2338.9499999999998</v>
      </c>
      <c r="D104" s="26">
        <f t="shared" si="3"/>
        <v>-2.5619689924389101E-3</v>
      </c>
      <c r="E104" s="27">
        <f t="shared" si="2"/>
        <v>-0.64561618609460536</v>
      </c>
    </row>
    <row r="105" spans="1:5" x14ac:dyDescent="0.4">
      <c r="A105" s="3">
        <v>45650</v>
      </c>
      <c r="B105" s="2" t="s">
        <v>3</v>
      </c>
      <c r="C105" s="2">
        <v>2372.4499999999998</v>
      </c>
      <c r="D105" s="26">
        <f t="shared" si="3"/>
        <v>1.4221065747406423E-2</v>
      </c>
      <c r="E105" s="27">
        <f t="shared" si="2"/>
        <v>3.5837085683464185</v>
      </c>
    </row>
    <row r="106" spans="1:5" x14ac:dyDescent="0.4">
      <c r="A106" s="3">
        <v>45652</v>
      </c>
      <c r="B106" s="2" t="s">
        <v>3</v>
      </c>
      <c r="C106" s="2">
        <v>2400.25</v>
      </c>
      <c r="D106" s="26">
        <f t="shared" si="3"/>
        <v>1.1649722131322756E-2</v>
      </c>
      <c r="E106" s="27">
        <f t="shared" si="2"/>
        <v>2.9357299770933345</v>
      </c>
    </row>
    <row r="107" spans="1:5" x14ac:dyDescent="0.4">
      <c r="A107" s="3">
        <v>45653</v>
      </c>
      <c r="B107" s="2" t="s">
        <v>3</v>
      </c>
      <c r="C107" s="2">
        <v>2409.9499999999998</v>
      </c>
      <c r="D107" s="26">
        <f t="shared" si="3"/>
        <v>4.0331018037810702E-3</v>
      </c>
      <c r="E107" s="27">
        <f t="shared" si="2"/>
        <v>1.0163416545528297</v>
      </c>
    </row>
    <row r="108" spans="1:5" x14ac:dyDescent="0.4">
      <c r="A108" s="3">
        <v>45656</v>
      </c>
      <c r="B108" s="2" t="s">
        <v>3</v>
      </c>
      <c r="C108" s="2">
        <v>2592.35</v>
      </c>
      <c r="D108" s="26">
        <f t="shared" si="3"/>
        <v>7.2958799839002081E-2</v>
      </c>
      <c r="E108" s="27">
        <f t="shared" si="2"/>
        <v>18.385617559428525</v>
      </c>
    </row>
    <row r="109" spans="1:5" x14ac:dyDescent="0.4">
      <c r="A109" s="3">
        <v>45657</v>
      </c>
      <c r="B109" s="2" t="s">
        <v>3</v>
      </c>
      <c r="C109" s="2">
        <v>2528.65</v>
      </c>
      <c r="D109" s="26">
        <f t="shared" si="3"/>
        <v>-2.4879236750350905E-2</v>
      </c>
      <c r="E109" s="27">
        <f t="shared" si="2"/>
        <v>-6.2695676610884279</v>
      </c>
    </row>
    <row r="110" spans="1:5" x14ac:dyDescent="0.4">
      <c r="A110" s="3">
        <v>45658</v>
      </c>
      <c r="B110" s="2" t="s">
        <v>3</v>
      </c>
      <c r="C110" s="2">
        <v>2554.85</v>
      </c>
      <c r="D110" s="26">
        <f t="shared" si="3"/>
        <v>1.0307950029360229E-2</v>
      </c>
      <c r="E110" s="27">
        <f t="shared" si="2"/>
        <v>2.5976034073987777</v>
      </c>
    </row>
    <row r="111" spans="1:5" x14ac:dyDescent="0.4">
      <c r="A111" s="3">
        <v>45659</v>
      </c>
      <c r="B111" s="2" t="s">
        <v>3</v>
      </c>
      <c r="C111" s="2">
        <v>2597.6999999999998</v>
      </c>
      <c r="D111" s="26">
        <f t="shared" si="3"/>
        <v>1.6632924622339573E-2</v>
      </c>
      <c r="E111" s="27">
        <f t="shared" si="2"/>
        <v>4.1914970048295723</v>
      </c>
    </row>
    <row r="112" spans="1:5" x14ac:dyDescent="0.4">
      <c r="A112" s="3">
        <v>45660</v>
      </c>
      <c r="B112" s="2" t="s">
        <v>3</v>
      </c>
      <c r="C112" s="2">
        <v>2564.6</v>
      </c>
      <c r="D112" s="26">
        <f t="shared" si="3"/>
        <v>-1.2823917096849711E-2</v>
      </c>
      <c r="E112" s="27">
        <f t="shared" si="2"/>
        <v>-3.2316271084061272</v>
      </c>
    </row>
    <row r="113" spans="1:5" x14ac:dyDescent="0.4">
      <c r="A113" s="3">
        <v>45663</v>
      </c>
      <c r="B113" s="2" t="s">
        <v>3</v>
      </c>
      <c r="C113" s="2">
        <v>2474.4499999999998</v>
      </c>
      <c r="D113" s="26">
        <f t="shared" si="3"/>
        <v>-3.5784371939463613E-2</v>
      </c>
      <c r="E113" s="27">
        <f t="shared" si="2"/>
        <v>-9.0176617287448302</v>
      </c>
    </row>
    <row r="114" spans="1:5" x14ac:dyDescent="0.4">
      <c r="A114" s="3">
        <v>45664</v>
      </c>
      <c r="B114" s="2" t="s">
        <v>3</v>
      </c>
      <c r="C114" s="2">
        <v>2520.5500000000002</v>
      </c>
      <c r="D114" s="26">
        <f t="shared" si="3"/>
        <v>1.8458982574238812E-2</v>
      </c>
      <c r="E114" s="27">
        <f t="shared" si="2"/>
        <v>4.6516636087081809</v>
      </c>
    </row>
    <row r="115" spans="1:5" x14ac:dyDescent="0.4">
      <c r="A115" s="3">
        <v>45665</v>
      </c>
      <c r="B115" s="2" t="s">
        <v>3</v>
      </c>
      <c r="C115" s="2">
        <v>2515.25</v>
      </c>
      <c r="D115" s="26">
        <f t="shared" si="3"/>
        <v>-2.1049294876305702E-3</v>
      </c>
      <c r="E115" s="27">
        <f t="shared" si="2"/>
        <v>-0.53044223088290365</v>
      </c>
    </row>
    <row r="116" spans="1:5" x14ac:dyDescent="0.4">
      <c r="A116" s="3">
        <v>45666</v>
      </c>
      <c r="B116" s="2" t="s">
        <v>3</v>
      </c>
      <c r="C116" s="2">
        <v>2477.9</v>
      </c>
      <c r="D116" s="26">
        <f t="shared" si="3"/>
        <v>-1.4960774922463102E-2</v>
      </c>
      <c r="E116" s="27">
        <f t="shared" si="2"/>
        <v>-3.7701152804607019</v>
      </c>
    </row>
    <row r="117" spans="1:5" x14ac:dyDescent="0.4">
      <c r="A117" s="3">
        <v>45667</v>
      </c>
      <c r="B117" s="2" t="s">
        <v>3</v>
      </c>
      <c r="C117" s="2">
        <v>2374.4</v>
      </c>
      <c r="D117" s="26">
        <f t="shared" si="3"/>
        <v>-4.2666653276635554E-2</v>
      </c>
      <c r="E117" s="27">
        <f t="shared" si="2"/>
        <v>-10.75199662571216</v>
      </c>
    </row>
    <row r="118" spans="1:5" x14ac:dyDescent="0.4">
      <c r="A118" s="3">
        <v>45670</v>
      </c>
      <c r="B118" s="2" t="s">
        <v>3</v>
      </c>
      <c r="C118" s="2">
        <v>2225.15</v>
      </c>
      <c r="D118" s="26">
        <f t="shared" si="3"/>
        <v>-6.4920444914721848E-2</v>
      </c>
      <c r="E118" s="27">
        <f t="shared" si="2"/>
        <v>-16.359952118509906</v>
      </c>
    </row>
    <row r="119" spans="1:5" x14ac:dyDescent="0.4">
      <c r="A119" s="3">
        <v>45671</v>
      </c>
      <c r="B119" s="2" t="s">
        <v>3</v>
      </c>
      <c r="C119" s="2">
        <v>2380.5500000000002</v>
      </c>
      <c r="D119" s="26">
        <f t="shared" si="3"/>
        <v>6.7507224346411626E-2</v>
      </c>
      <c r="E119" s="27">
        <f t="shared" si="2"/>
        <v>17.01182053529573</v>
      </c>
    </row>
    <row r="120" spans="1:5" x14ac:dyDescent="0.4">
      <c r="A120" s="3">
        <v>45672</v>
      </c>
      <c r="B120" s="2" t="s">
        <v>3</v>
      </c>
      <c r="C120" s="2">
        <v>2388.15</v>
      </c>
      <c r="D120" s="26">
        <f t="shared" si="3"/>
        <v>3.1874542053723434E-3</v>
      </c>
      <c r="E120" s="27">
        <f t="shared" si="2"/>
        <v>0.80323845975383057</v>
      </c>
    </row>
    <row r="121" spans="1:5" x14ac:dyDescent="0.4">
      <c r="A121" s="3">
        <v>45673</v>
      </c>
      <c r="B121" s="2" t="s">
        <v>3</v>
      </c>
      <c r="C121" s="2">
        <v>2427.85</v>
      </c>
      <c r="D121" s="26">
        <f t="shared" si="3"/>
        <v>1.6487084418674851E-2</v>
      </c>
      <c r="E121" s="27">
        <f t="shared" si="2"/>
        <v>4.1547452735060624</v>
      </c>
    </row>
    <row r="122" spans="1:5" x14ac:dyDescent="0.4">
      <c r="A122" s="3">
        <v>45674</v>
      </c>
      <c r="B122" s="2" t="s">
        <v>3</v>
      </c>
      <c r="C122" s="2">
        <v>2399.8000000000002</v>
      </c>
      <c r="D122" s="26">
        <f t="shared" si="3"/>
        <v>-1.1620691498509677E-2</v>
      </c>
      <c r="E122" s="27">
        <f t="shared" si="2"/>
        <v>-2.9284142576244387</v>
      </c>
    </row>
    <row r="123" spans="1:5" x14ac:dyDescent="0.4">
      <c r="A123" s="3">
        <v>45677</v>
      </c>
      <c r="B123" s="2" t="s">
        <v>3</v>
      </c>
      <c r="C123" s="2">
        <v>2442.8000000000002</v>
      </c>
      <c r="D123" s="26">
        <f t="shared" si="3"/>
        <v>1.7759521818691074E-2</v>
      </c>
      <c r="E123" s="27">
        <f t="shared" si="2"/>
        <v>4.4753994983101508</v>
      </c>
    </row>
    <row r="124" spans="1:5" x14ac:dyDescent="0.4">
      <c r="A124" s="3">
        <v>45678</v>
      </c>
      <c r="B124" s="2" t="s">
        <v>3</v>
      </c>
      <c r="C124" s="2">
        <v>2384.3000000000002</v>
      </c>
      <c r="D124" s="26">
        <f t="shared" si="3"/>
        <v>-2.423934215461826E-2</v>
      </c>
      <c r="E124" s="27">
        <f t="shared" si="2"/>
        <v>-6.1083142229638012</v>
      </c>
    </row>
    <row r="125" spans="1:5" x14ac:dyDescent="0.4">
      <c r="A125" s="3">
        <v>45679</v>
      </c>
      <c r="B125" s="2" t="s">
        <v>3</v>
      </c>
      <c r="C125" s="2">
        <v>2376.5500000000002</v>
      </c>
      <c r="D125" s="26">
        <f t="shared" si="3"/>
        <v>-3.2557240180486149E-3</v>
      </c>
      <c r="E125" s="27">
        <f t="shared" si="2"/>
        <v>-0.82044245254825099</v>
      </c>
    </row>
    <row r="126" spans="1:5" x14ac:dyDescent="0.4">
      <c r="A126" s="3">
        <v>45680</v>
      </c>
      <c r="B126" s="2" t="s">
        <v>3</v>
      </c>
      <c r="C126" s="2">
        <v>2385</v>
      </c>
      <c r="D126" s="26">
        <f t="shared" si="3"/>
        <v>3.5492681461288013E-3</v>
      </c>
      <c r="E126" s="27">
        <f t="shared" si="2"/>
        <v>0.89441557282445794</v>
      </c>
    </row>
    <row r="127" spans="1:5" x14ac:dyDescent="0.4">
      <c r="A127" s="3">
        <v>45681</v>
      </c>
      <c r="B127" s="2" t="s">
        <v>3</v>
      </c>
      <c r="C127" s="2">
        <v>2315.1</v>
      </c>
      <c r="D127" s="26">
        <f t="shared" si="3"/>
        <v>-2.9746241190774576E-2</v>
      </c>
      <c r="E127" s="27">
        <f t="shared" si="2"/>
        <v>-7.4960527800751935</v>
      </c>
    </row>
    <row r="128" spans="1:5" x14ac:dyDescent="0.4">
      <c r="A128" s="3">
        <v>45684</v>
      </c>
      <c r="B128" s="2" t="s">
        <v>3</v>
      </c>
      <c r="C128" s="2">
        <v>2259.6999999999998</v>
      </c>
      <c r="D128" s="26">
        <f t="shared" si="3"/>
        <v>-2.422082203934731E-2</v>
      </c>
      <c r="E128" s="27">
        <f t="shared" si="2"/>
        <v>-6.1036471539155217</v>
      </c>
    </row>
    <row r="129" spans="1:5" x14ac:dyDescent="0.4">
      <c r="A129" s="3">
        <v>45685</v>
      </c>
      <c r="B129" s="2" t="s">
        <v>3</v>
      </c>
      <c r="C129" s="2">
        <v>2286.0500000000002</v>
      </c>
      <c r="D129" s="26">
        <f t="shared" si="3"/>
        <v>1.1593376289208699E-2</v>
      </c>
      <c r="E129" s="27">
        <f t="shared" si="2"/>
        <v>2.9215308248805925</v>
      </c>
    </row>
    <row r="130" spans="1:5" x14ac:dyDescent="0.4">
      <c r="A130" s="3">
        <v>45686</v>
      </c>
      <c r="B130" s="2" t="s">
        <v>3</v>
      </c>
      <c r="C130" s="2">
        <v>2318.6</v>
      </c>
      <c r="D130" s="26">
        <f t="shared" si="3"/>
        <v>1.4138117854772847E-2</v>
      </c>
      <c r="E130" s="27">
        <f t="shared" si="2"/>
        <v>3.5628056994027575</v>
      </c>
    </row>
    <row r="131" spans="1:5" x14ac:dyDescent="0.4">
      <c r="A131" s="3">
        <v>45687</v>
      </c>
      <c r="B131" s="2" t="s">
        <v>3</v>
      </c>
      <c r="C131" s="2">
        <v>2252.6</v>
      </c>
      <c r="D131" s="26">
        <f t="shared" si="3"/>
        <v>-2.887845062270487E-2</v>
      </c>
      <c r="E131" s="27">
        <f t="shared" ref="E131:E194" si="4">D131*252</f>
        <v>-7.2773695569216272</v>
      </c>
    </row>
    <row r="132" spans="1:5" x14ac:dyDescent="0.4">
      <c r="A132" s="3">
        <v>45688</v>
      </c>
      <c r="B132" s="2" t="s">
        <v>3</v>
      </c>
      <c r="C132" s="2">
        <v>2287.8000000000002</v>
      </c>
      <c r="D132" s="26">
        <f t="shared" ref="D132:D195" si="5">LN(C132/C131)</f>
        <v>1.5505552477976968E-2</v>
      </c>
      <c r="E132" s="27">
        <f t="shared" si="4"/>
        <v>3.9073992244501961</v>
      </c>
    </row>
    <row r="133" spans="1:5" x14ac:dyDescent="0.4">
      <c r="A133" s="3">
        <v>45689</v>
      </c>
      <c r="B133" s="2" t="s">
        <v>3</v>
      </c>
      <c r="C133" s="2">
        <v>2270</v>
      </c>
      <c r="D133" s="26">
        <f t="shared" si="5"/>
        <v>-7.8108256161248026E-3</v>
      </c>
      <c r="E133" s="27">
        <f t="shared" si="4"/>
        <v>-1.9683280552634503</v>
      </c>
    </row>
    <row r="134" spans="1:5" x14ac:dyDescent="0.4">
      <c r="A134" s="3">
        <v>45691</v>
      </c>
      <c r="B134" s="2" t="s">
        <v>3</v>
      </c>
      <c r="C134" s="2">
        <v>2261.85</v>
      </c>
      <c r="D134" s="26">
        <f t="shared" si="5"/>
        <v>-3.5967689955340751E-3</v>
      </c>
      <c r="E134" s="27">
        <f t="shared" si="4"/>
        <v>-0.90638578687458693</v>
      </c>
    </row>
    <row r="135" spans="1:5" x14ac:dyDescent="0.4">
      <c r="A135" s="3">
        <v>45692</v>
      </c>
      <c r="B135" s="2" t="s">
        <v>3</v>
      </c>
      <c r="C135" s="2">
        <v>2301.5</v>
      </c>
      <c r="D135" s="26">
        <f t="shared" si="5"/>
        <v>1.7378021777381826E-2</v>
      </c>
      <c r="E135" s="27">
        <f t="shared" si="4"/>
        <v>4.3792614879002203</v>
      </c>
    </row>
    <row r="136" spans="1:5" x14ac:dyDescent="0.4">
      <c r="A136" s="3">
        <v>45693</v>
      </c>
      <c r="B136" s="2" t="s">
        <v>3</v>
      </c>
      <c r="C136" s="2">
        <v>2324.6</v>
      </c>
      <c r="D136" s="26">
        <f t="shared" si="5"/>
        <v>9.9868969523114019E-3</v>
      </c>
      <c r="E136" s="27">
        <f t="shared" si="4"/>
        <v>2.5166980319824734</v>
      </c>
    </row>
    <row r="137" spans="1:5" x14ac:dyDescent="0.4">
      <c r="A137" s="3">
        <v>45694</v>
      </c>
      <c r="B137" s="2" t="s">
        <v>3</v>
      </c>
      <c r="C137" s="2">
        <v>2312.4499999999998</v>
      </c>
      <c r="D137" s="26">
        <f t="shared" si="5"/>
        <v>-5.2404126783995872E-3</v>
      </c>
      <c r="E137" s="27">
        <f t="shared" si="4"/>
        <v>-1.320583994956696</v>
      </c>
    </row>
    <row r="138" spans="1:5" x14ac:dyDescent="0.4">
      <c r="A138" s="3">
        <v>45695</v>
      </c>
      <c r="B138" s="2" t="s">
        <v>3</v>
      </c>
      <c r="C138" s="2">
        <v>2338.8000000000002</v>
      </c>
      <c r="D138" s="26">
        <f t="shared" si="5"/>
        <v>1.1330408770307533E-2</v>
      </c>
      <c r="E138" s="27">
        <f t="shared" si="4"/>
        <v>2.8552630101174983</v>
      </c>
    </row>
    <row r="139" spans="1:5" x14ac:dyDescent="0.4">
      <c r="A139" s="3">
        <v>45698</v>
      </c>
      <c r="B139" s="2" t="s">
        <v>3</v>
      </c>
      <c r="C139" s="2">
        <v>2290.8000000000002</v>
      </c>
      <c r="D139" s="26">
        <f t="shared" si="5"/>
        <v>-2.0736875781813203E-2</v>
      </c>
      <c r="E139" s="27">
        <f t="shared" si="4"/>
        <v>-5.2256926970169273</v>
      </c>
    </row>
    <row r="140" spans="1:5" x14ac:dyDescent="0.4">
      <c r="A140" s="3">
        <v>45699</v>
      </c>
      <c r="B140" s="2" t="s">
        <v>3</v>
      </c>
      <c r="C140" s="2">
        <v>2321.75</v>
      </c>
      <c r="D140" s="26">
        <f t="shared" si="5"/>
        <v>1.3420110136415342E-2</v>
      </c>
      <c r="E140" s="27">
        <f t="shared" si="4"/>
        <v>3.3818677543766662</v>
      </c>
    </row>
    <row r="141" spans="1:5" x14ac:dyDescent="0.4">
      <c r="A141" s="3">
        <v>45700</v>
      </c>
      <c r="B141" s="2" t="s">
        <v>3</v>
      </c>
      <c r="C141" s="2">
        <v>2353.4499999999998</v>
      </c>
      <c r="D141" s="26">
        <f t="shared" si="5"/>
        <v>1.3561125005078684E-2</v>
      </c>
      <c r="E141" s="27">
        <f t="shared" si="4"/>
        <v>3.4174035012798285</v>
      </c>
    </row>
    <row r="142" spans="1:5" x14ac:dyDescent="0.4">
      <c r="A142" s="3">
        <v>45701</v>
      </c>
      <c r="B142" s="2" t="s">
        <v>3</v>
      </c>
      <c r="C142" s="2">
        <v>2244.6999999999998</v>
      </c>
      <c r="D142" s="26">
        <f t="shared" si="5"/>
        <v>-4.73104547036967E-2</v>
      </c>
      <c r="E142" s="27">
        <f t="shared" si="4"/>
        <v>-11.922234585331568</v>
      </c>
    </row>
    <row r="143" spans="1:5" x14ac:dyDescent="0.4">
      <c r="A143" s="3">
        <v>45702</v>
      </c>
      <c r="B143" s="2" t="s">
        <v>3</v>
      </c>
      <c r="C143" s="2">
        <v>2152.65</v>
      </c>
      <c r="D143" s="26">
        <f t="shared" si="5"/>
        <v>-4.1872240672449032E-2</v>
      </c>
      <c r="E143" s="27">
        <f t="shared" si="4"/>
        <v>-10.551804649457155</v>
      </c>
    </row>
    <row r="144" spans="1:5" x14ac:dyDescent="0.4">
      <c r="A144" s="3">
        <v>45705</v>
      </c>
      <c r="B144" s="2" t="s">
        <v>3</v>
      </c>
      <c r="C144" s="2">
        <v>2223.6999999999998</v>
      </c>
      <c r="D144" s="26">
        <f t="shared" si="5"/>
        <v>3.2472833900335597E-2</v>
      </c>
      <c r="E144" s="27">
        <f t="shared" si="4"/>
        <v>8.18315414288457</v>
      </c>
    </row>
    <row r="145" spans="1:5" x14ac:dyDescent="0.4">
      <c r="A145" s="3">
        <v>45706</v>
      </c>
      <c r="B145" s="2" t="s">
        <v>3</v>
      </c>
      <c r="C145" s="2">
        <v>2220.3000000000002</v>
      </c>
      <c r="D145" s="26">
        <f t="shared" si="5"/>
        <v>-1.5301533138558027E-3</v>
      </c>
      <c r="E145" s="27">
        <f t="shared" si="4"/>
        <v>-0.38559863509166226</v>
      </c>
    </row>
    <row r="146" spans="1:5" x14ac:dyDescent="0.4">
      <c r="A146" s="3">
        <v>45707</v>
      </c>
      <c r="B146" s="2" t="s">
        <v>3</v>
      </c>
      <c r="C146" s="2">
        <v>2180.8000000000002</v>
      </c>
      <c r="D146" s="26">
        <f t="shared" si="5"/>
        <v>-1.7950539929262176E-2</v>
      </c>
      <c r="E146" s="27">
        <f t="shared" si="4"/>
        <v>-4.5235360621740686</v>
      </c>
    </row>
    <row r="147" spans="1:5" x14ac:dyDescent="0.4">
      <c r="A147" s="3">
        <v>45708</v>
      </c>
      <c r="B147" s="2" t="s">
        <v>3</v>
      </c>
      <c r="C147" s="2">
        <v>2179</v>
      </c>
      <c r="D147" s="26">
        <f t="shared" si="5"/>
        <v>-8.2572599764835718E-4</v>
      </c>
      <c r="E147" s="27">
        <f t="shared" si="4"/>
        <v>-0.208082951407386</v>
      </c>
    </row>
    <row r="148" spans="1:5" x14ac:dyDescent="0.4">
      <c r="A148" s="3">
        <v>45709</v>
      </c>
      <c r="B148" s="2" t="s">
        <v>3</v>
      </c>
      <c r="C148" s="2">
        <v>2133.1</v>
      </c>
      <c r="D148" s="26">
        <f t="shared" si="5"/>
        <v>-2.1289735246847862E-2</v>
      </c>
      <c r="E148" s="27">
        <f t="shared" si="4"/>
        <v>-5.3650132822056609</v>
      </c>
    </row>
    <row r="149" spans="1:5" x14ac:dyDescent="0.4">
      <c r="A149" s="3">
        <v>45712</v>
      </c>
      <c r="B149" s="2" t="s">
        <v>3</v>
      </c>
      <c r="C149" s="2">
        <v>2115.15</v>
      </c>
      <c r="D149" s="26">
        <f t="shared" si="5"/>
        <v>-8.4505887464231839E-3</v>
      </c>
      <c r="E149" s="27">
        <f t="shared" si="4"/>
        <v>-2.1295483640986421</v>
      </c>
    </row>
    <row r="150" spans="1:5" x14ac:dyDescent="0.4">
      <c r="A150" s="3">
        <v>45713</v>
      </c>
      <c r="B150" s="2" t="s">
        <v>3</v>
      </c>
      <c r="C150" s="2">
        <v>2129.85</v>
      </c>
      <c r="D150" s="26">
        <f t="shared" si="5"/>
        <v>6.9258227371274701E-3</v>
      </c>
      <c r="E150" s="27">
        <f t="shared" si="4"/>
        <v>1.7453073297561223</v>
      </c>
    </row>
    <row r="151" spans="1:5" x14ac:dyDescent="0.4">
      <c r="A151" s="3">
        <v>45715</v>
      </c>
      <c r="B151" s="2" t="s">
        <v>3</v>
      </c>
      <c r="C151" s="2">
        <v>2110.9499999999998</v>
      </c>
      <c r="D151" s="26">
        <f t="shared" si="5"/>
        <v>-8.9134715777899557E-3</v>
      </c>
      <c r="E151" s="27">
        <f t="shared" si="4"/>
        <v>-2.2461948376030687</v>
      </c>
    </row>
    <row r="152" spans="1:5" x14ac:dyDescent="0.4">
      <c r="A152" s="3">
        <v>45716</v>
      </c>
      <c r="B152" s="2" t="s">
        <v>3</v>
      </c>
      <c r="C152" s="2">
        <v>2096</v>
      </c>
      <c r="D152" s="26">
        <f t="shared" si="5"/>
        <v>-7.1073166697536005E-3</v>
      </c>
      <c r="E152" s="27">
        <f t="shared" si="4"/>
        <v>-1.7910438007779073</v>
      </c>
    </row>
    <row r="153" spans="1:5" x14ac:dyDescent="0.4">
      <c r="A153" s="3">
        <v>45719</v>
      </c>
      <c r="B153" s="2" t="s">
        <v>3</v>
      </c>
      <c r="C153" s="2">
        <v>2117.1</v>
      </c>
      <c r="D153" s="26">
        <f t="shared" si="5"/>
        <v>1.0016461233961507E-2</v>
      </c>
      <c r="E153" s="27">
        <f t="shared" si="4"/>
        <v>2.5241482309582999</v>
      </c>
    </row>
    <row r="154" spans="1:5" x14ac:dyDescent="0.4">
      <c r="A154" s="3">
        <v>45720</v>
      </c>
      <c r="B154" s="2" t="s">
        <v>3</v>
      </c>
      <c r="C154" s="2">
        <v>2144.8000000000002</v>
      </c>
      <c r="D154" s="26">
        <f t="shared" si="5"/>
        <v>1.2999080246855421E-2</v>
      </c>
      <c r="E154" s="27">
        <f t="shared" si="4"/>
        <v>3.2757682222075664</v>
      </c>
    </row>
    <row r="155" spans="1:5" x14ac:dyDescent="0.4">
      <c r="A155" s="3">
        <v>45721</v>
      </c>
      <c r="B155" s="2" t="s">
        <v>3</v>
      </c>
      <c r="C155" s="2">
        <v>2245.85</v>
      </c>
      <c r="D155" s="26">
        <f t="shared" si="5"/>
        <v>4.6037760750135007E-2</v>
      </c>
      <c r="E155" s="27">
        <f t="shared" si="4"/>
        <v>11.601515709034022</v>
      </c>
    </row>
    <row r="156" spans="1:5" x14ac:dyDescent="0.4">
      <c r="A156" s="3">
        <v>45722</v>
      </c>
      <c r="B156" s="2" t="s">
        <v>3</v>
      </c>
      <c r="C156" s="2">
        <v>2252.85</v>
      </c>
      <c r="D156" s="26">
        <f t="shared" si="5"/>
        <v>3.1120126478149089E-3</v>
      </c>
      <c r="E156" s="27">
        <f t="shared" si="4"/>
        <v>0.78422718724935703</v>
      </c>
    </row>
    <row r="157" spans="1:5" x14ac:dyDescent="0.4">
      <c r="A157" s="3">
        <v>45723</v>
      </c>
      <c r="B157" s="2" t="s">
        <v>3</v>
      </c>
      <c r="C157" s="2">
        <v>2247.5</v>
      </c>
      <c r="D157" s="26">
        <f t="shared" si="5"/>
        <v>-2.3775939739240238E-3</v>
      </c>
      <c r="E157" s="27">
        <f t="shared" si="4"/>
        <v>-0.59915368142885395</v>
      </c>
    </row>
    <row r="158" spans="1:5" x14ac:dyDescent="0.4">
      <c r="A158" s="3">
        <v>45726</v>
      </c>
      <c r="B158" s="2" t="s">
        <v>3</v>
      </c>
      <c r="C158" s="2">
        <v>2228.3000000000002</v>
      </c>
      <c r="D158" s="26">
        <f t="shared" si="5"/>
        <v>-8.579524452852736E-3</v>
      </c>
      <c r="E158" s="27">
        <f t="shared" si="4"/>
        <v>-2.1620401621188896</v>
      </c>
    </row>
    <row r="159" spans="1:5" x14ac:dyDescent="0.4">
      <c r="A159" s="3">
        <v>45727</v>
      </c>
      <c r="B159" s="2" t="s">
        <v>3</v>
      </c>
      <c r="C159" s="2">
        <v>2250.6</v>
      </c>
      <c r="D159" s="26">
        <f t="shared" si="5"/>
        <v>9.9578844229738697E-3</v>
      </c>
      <c r="E159" s="27">
        <f t="shared" si="4"/>
        <v>2.5093868745894152</v>
      </c>
    </row>
    <row r="160" spans="1:5" x14ac:dyDescent="0.4">
      <c r="A160" s="3">
        <v>45728</v>
      </c>
      <c r="B160" s="2" t="s">
        <v>3</v>
      </c>
      <c r="C160" s="2">
        <v>2241.8000000000002</v>
      </c>
      <c r="D160" s="26">
        <f t="shared" si="5"/>
        <v>-3.917732728901553E-3</v>
      </c>
      <c r="E160" s="27">
        <f t="shared" si="4"/>
        <v>-0.98726864768319134</v>
      </c>
    </row>
    <row r="161" spans="1:5" x14ac:dyDescent="0.4">
      <c r="A161" s="3">
        <v>45729</v>
      </c>
      <c r="B161" s="2" t="s">
        <v>3</v>
      </c>
      <c r="C161" s="2">
        <v>2221.1</v>
      </c>
      <c r="D161" s="26">
        <f t="shared" si="5"/>
        <v>-9.2765459425319247E-3</v>
      </c>
      <c r="E161" s="27">
        <f t="shared" si="4"/>
        <v>-2.3376895775180451</v>
      </c>
    </row>
    <row r="162" spans="1:5" x14ac:dyDescent="0.4">
      <c r="A162" s="3">
        <v>45733</v>
      </c>
      <c r="B162" s="2" t="s">
        <v>3</v>
      </c>
      <c r="C162" s="2">
        <v>2252.6999999999998</v>
      </c>
      <c r="D162" s="26">
        <f t="shared" si="5"/>
        <v>1.4126928129484706E-2</v>
      </c>
      <c r="E162" s="27">
        <f t="shared" si="4"/>
        <v>3.5599858886301461</v>
      </c>
    </row>
    <row r="163" spans="1:5" x14ac:dyDescent="0.4">
      <c r="A163" s="3">
        <v>45734</v>
      </c>
      <c r="B163" s="2" t="s">
        <v>3</v>
      </c>
      <c r="C163" s="2">
        <v>2308.5</v>
      </c>
      <c r="D163" s="26">
        <f t="shared" si="5"/>
        <v>2.4468466173095713E-2</v>
      </c>
      <c r="E163" s="27">
        <f t="shared" si="4"/>
        <v>6.16605347562012</v>
      </c>
    </row>
    <row r="164" spans="1:5" x14ac:dyDescent="0.4">
      <c r="A164" s="3">
        <v>45735</v>
      </c>
      <c r="B164" s="2" t="s">
        <v>3</v>
      </c>
      <c r="C164" s="2">
        <v>2318.65</v>
      </c>
      <c r="D164" s="26">
        <f t="shared" si="5"/>
        <v>4.3871567940834315E-3</v>
      </c>
      <c r="E164" s="27">
        <f t="shared" si="4"/>
        <v>1.1055635121090248</v>
      </c>
    </row>
    <row r="165" spans="1:5" x14ac:dyDescent="0.4">
      <c r="A165" s="3">
        <v>45736</v>
      </c>
      <c r="B165" s="2" t="s">
        <v>3</v>
      </c>
      <c r="C165" s="2">
        <v>2339.3000000000002</v>
      </c>
      <c r="D165" s="26">
        <f t="shared" si="5"/>
        <v>8.8666195585946159E-3</v>
      </c>
      <c r="E165" s="27">
        <f t="shared" si="4"/>
        <v>2.2343881287658434</v>
      </c>
    </row>
    <row r="166" spans="1:5" x14ac:dyDescent="0.4">
      <c r="A166" s="3">
        <v>45737</v>
      </c>
      <c r="B166" s="2" t="s">
        <v>3</v>
      </c>
      <c r="C166" s="2">
        <v>2362.8000000000002</v>
      </c>
      <c r="D166" s="26">
        <f t="shared" si="5"/>
        <v>9.9956171333587009E-3</v>
      </c>
      <c r="E166" s="27">
        <f t="shared" si="4"/>
        <v>2.5188955176063925</v>
      </c>
    </row>
    <row r="167" spans="1:5" x14ac:dyDescent="0.4">
      <c r="A167" s="3">
        <v>45740</v>
      </c>
      <c r="B167" s="2" t="s">
        <v>3</v>
      </c>
      <c r="C167" s="2">
        <v>2368.6999999999998</v>
      </c>
      <c r="D167" s="26">
        <f t="shared" si="5"/>
        <v>2.4939249954559809E-3</v>
      </c>
      <c r="E167" s="27">
        <f t="shared" si="4"/>
        <v>0.6284690988549072</v>
      </c>
    </row>
    <row r="168" spans="1:5" x14ac:dyDescent="0.4">
      <c r="A168" s="3">
        <v>45741</v>
      </c>
      <c r="B168" s="2" t="s">
        <v>3</v>
      </c>
      <c r="C168" s="2">
        <v>2320.35</v>
      </c>
      <c r="D168" s="26">
        <f t="shared" si="5"/>
        <v>-2.0623245077752528E-2</v>
      </c>
      <c r="E168" s="27">
        <f t="shared" si="4"/>
        <v>-5.1970577595936369</v>
      </c>
    </row>
    <row r="169" spans="1:5" x14ac:dyDescent="0.4">
      <c r="A169" s="3">
        <v>45742</v>
      </c>
      <c r="B169" s="2" t="s">
        <v>3</v>
      </c>
      <c r="C169" s="2">
        <v>2312.6</v>
      </c>
      <c r="D169" s="26">
        <f t="shared" si="5"/>
        <v>-3.3456036559221629E-3</v>
      </c>
      <c r="E169" s="27">
        <f t="shared" si="4"/>
        <v>-0.84309212129238509</v>
      </c>
    </row>
    <row r="170" spans="1:5" x14ac:dyDescent="0.4">
      <c r="A170" s="3">
        <v>45743</v>
      </c>
      <c r="B170" s="2" t="s">
        <v>3</v>
      </c>
      <c r="C170" s="2">
        <v>2363.35</v>
      </c>
      <c r="D170" s="26">
        <f t="shared" si="5"/>
        <v>2.1707671324513195E-2</v>
      </c>
      <c r="E170" s="27">
        <f t="shared" si="4"/>
        <v>5.4703331737773251</v>
      </c>
    </row>
    <row r="171" spans="1:5" x14ac:dyDescent="0.4">
      <c r="A171" s="3">
        <v>45744</v>
      </c>
      <c r="B171" s="2" t="s">
        <v>3</v>
      </c>
      <c r="C171" s="2">
        <v>2315.8000000000002</v>
      </c>
      <c r="D171" s="26">
        <f t="shared" si="5"/>
        <v>-2.0324903841201846E-2</v>
      </c>
      <c r="E171" s="27">
        <f t="shared" si="4"/>
        <v>-5.121875767982865</v>
      </c>
    </row>
    <row r="172" spans="1:5" x14ac:dyDescent="0.4">
      <c r="A172" s="3">
        <v>45748</v>
      </c>
      <c r="B172" s="2" t="s">
        <v>3</v>
      </c>
      <c r="C172" s="2">
        <v>2335.25</v>
      </c>
      <c r="D172" s="26">
        <f t="shared" si="5"/>
        <v>8.3637515747852862E-3</v>
      </c>
      <c r="E172" s="27">
        <f t="shared" si="4"/>
        <v>2.107665396845892</v>
      </c>
    </row>
    <row r="173" spans="1:5" x14ac:dyDescent="0.4">
      <c r="A173" s="3">
        <v>45749</v>
      </c>
      <c r="B173" s="2" t="s">
        <v>3</v>
      </c>
      <c r="C173" s="2">
        <v>2369.4</v>
      </c>
      <c r="D173" s="26">
        <f t="shared" si="5"/>
        <v>1.4517806767700737E-2</v>
      </c>
      <c r="E173" s="27">
        <f t="shared" si="4"/>
        <v>3.6584873054605858</v>
      </c>
    </row>
    <row r="174" spans="1:5" x14ac:dyDescent="0.4">
      <c r="A174" s="3">
        <v>45750</v>
      </c>
      <c r="B174" s="2" t="s">
        <v>3</v>
      </c>
      <c r="C174" s="2">
        <v>2410.8000000000002</v>
      </c>
      <c r="D174" s="26">
        <f t="shared" si="5"/>
        <v>1.7321884088230405E-2</v>
      </c>
      <c r="E174" s="27">
        <f t="shared" si="4"/>
        <v>4.3651147902340623</v>
      </c>
    </row>
    <row r="175" spans="1:5" x14ac:dyDescent="0.4">
      <c r="A175" s="3">
        <v>45751</v>
      </c>
      <c r="B175" s="2" t="s">
        <v>3</v>
      </c>
      <c r="C175" s="2">
        <v>2334.65</v>
      </c>
      <c r="D175" s="26">
        <f t="shared" si="5"/>
        <v>-3.2096655674578763E-2</v>
      </c>
      <c r="E175" s="27">
        <f t="shared" si="4"/>
        <v>-8.0883572299938482</v>
      </c>
    </row>
    <row r="176" spans="1:5" x14ac:dyDescent="0.4">
      <c r="A176" s="3">
        <v>45754</v>
      </c>
      <c r="B176" s="2" t="s">
        <v>3</v>
      </c>
      <c r="C176" s="2">
        <v>2212.6999999999998</v>
      </c>
      <c r="D176" s="26">
        <f t="shared" si="5"/>
        <v>-5.3648497657425118E-2</v>
      </c>
      <c r="E176" s="27">
        <f t="shared" si="4"/>
        <v>-13.51942140967113</v>
      </c>
    </row>
    <row r="177" spans="1:5" x14ac:dyDescent="0.4">
      <c r="A177" s="3">
        <v>45755</v>
      </c>
      <c r="B177" s="2" t="s">
        <v>3</v>
      </c>
      <c r="C177" s="2">
        <v>2285.6999999999998</v>
      </c>
      <c r="D177" s="26">
        <f t="shared" si="5"/>
        <v>3.2458833870188324E-2</v>
      </c>
      <c r="E177" s="27">
        <f t="shared" si="4"/>
        <v>8.1796261352874584</v>
      </c>
    </row>
    <row r="178" spans="1:5" x14ac:dyDescent="0.4">
      <c r="A178" s="3">
        <v>45756</v>
      </c>
      <c r="B178" s="2" t="s">
        <v>3</v>
      </c>
      <c r="C178" s="2">
        <v>2236.9</v>
      </c>
      <c r="D178" s="26">
        <f t="shared" si="5"/>
        <v>-2.1581344383006983E-2</v>
      </c>
      <c r="E178" s="27">
        <f t="shared" si="4"/>
        <v>-5.4384987845177593</v>
      </c>
    </row>
    <row r="179" spans="1:5" x14ac:dyDescent="0.4">
      <c r="A179" s="3">
        <v>45758</v>
      </c>
      <c r="B179" s="2" t="s">
        <v>3</v>
      </c>
      <c r="C179" s="2">
        <v>2321.4</v>
      </c>
      <c r="D179" s="26">
        <f t="shared" si="5"/>
        <v>3.7079473170455728E-2</v>
      </c>
      <c r="E179" s="27">
        <f t="shared" si="4"/>
        <v>9.344027238954844</v>
      </c>
    </row>
    <row r="180" spans="1:5" x14ac:dyDescent="0.4">
      <c r="A180" s="3">
        <v>45762</v>
      </c>
      <c r="B180" s="2" t="s">
        <v>3</v>
      </c>
      <c r="C180" s="2">
        <v>2418.1999999999998</v>
      </c>
      <c r="D180" s="26">
        <f t="shared" si="5"/>
        <v>4.0853009805624028E-2</v>
      </c>
      <c r="E180" s="27">
        <f t="shared" si="4"/>
        <v>10.294958471017255</v>
      </c>
    </row>
    <row r="181" spans="1:5" x14ac:dyDescent="0.4">
      <c r="A181" s="3">
        <v>45763</v>
      </c>
      <c r="B181" s="2" t="s">
        <v>3</v>
      </c>
      <c r="C181" s="2">
        <v>2415.6</v>
      </c>
      <c r="D181" s="26">
        <f t="shared" si="5"/>
        <v>-1.0757583064002108E-3</v>
      </c>
      <c r="E181" s="27">
        <f t="shared" si="4"/>
        <v>-0.27109109321285313</v>
      </c>
    </row>
    <row r="182" spans="1:5" x14ac:dyDescent="0.4">
      <c r="A182" s="3">
        <v>45764</v>
      </c>
      <c r="B182" s="2" t="s">
        <v>3</v>
      </c>
      <c r="C182" s="2">
        <v>2418.1</v>
      </c>
      <c r="D182" s="26">
        <f t="shared" si="5"/>
        <v>1.03440437880508E-3</v>
      </c>
      <c r="E182" s="27">
        <f t="shared" si="4"/>
        <v>0.26066990345888019</v>
      </c>
    </row>
    <row r="183" spans="1:5" x14ac:dyDescent="0.4">
      <c r="A183" s="3">
        <v>45768</v>
      </c>
      <c r="B183" s="2" t="s">
        <v>3</v>
      </c>
      <c r="C183" s="2">
        <v>2442.6999999999998</v>
      </c>
      <c r="D183" s="26">
        <f t="shared" si="5"/>
        <v>1.0121877068405167E-2</v>
      </c>
      <c r="E183" s="27">
        <f t="shared" si="4"/>
        <v>2.550713021238102</v>
      </c>
    </row>
    <row r="184" spans="1:5" x14ac:dyDescent="0.4">
      <c r="A184" s="3">
        <v>45769</v>
      </c>
      <c r="B184" s="2" t="s">
        <v>3</v>
      </c>
      <c r="C184" s="2">
        <v>2445.5</v>
      </c>
      <c r="D184" s="26">
        <f t="shared" si="5"/>
        <v>1.1456160984556576E-3</v>
      </c>
      <c r="E184" s="27">
        <f t="shared" si="4"/>
        <v>0.2886952568108257</v>
      </c>
    </row>
    <row r="185" spans="1:5" x14ac:dyDescent="0.4">
      <c r="A185" s="3">
        <v>45770</v>
      </c>
      <c r="B185" s="2" t="s">
        <v>3</v>
      </c>
      <c r="C185" s="2">
        <v>2453.6</v>
      </c>
      <c r="D185" s="26">
        <f t="shared" si="5"/>
        <v>3.3067328206298013E-3</v>
      </c>
      <c r="E185" s="27">
        <f t="shared" si="4"/>
        <v>0.83329667079870995</v>
      </c>
    </row>
    <row r="186" spans="1:5" x14ac:dyDescent="0.4">
      <c r="A186" s="3">
        <v>45771</v>
      </c>
      <c r="B186" s="2" t="s">
        <v>3</v>
      </c>
      <c r="C186" s="2">
        <v>2442.5</v>
      </c>
      <c r="D186" s="26">
        <f t="shared" si="5"/>
        <v>-4.5342288831039567E-3</v>
      </c>
      <c r="E186" s="27">
        <f t="shared" si="4"/>
        <v>-1.1426256785421971</v>
      </c>
    </row>
    <row r="187" spans="1:5" x14ac:dyDescent="0.4">
      <c r="A187" s="3">
        <v>45772</v>
      </c>
      <c r="B187" s="2" t="s">
        <v>3</v>
      </c>
      <c r="C187" s="2">
        <v>2354.3000000000002</v>
      </c>
      <c r="D187" s="26">
        <f t="shared" si="5"/>
        <v>-3.6778661566033259E-2</v>
      </c>
      <c r="E187" s="27">
        <f t="shared" si="4"/>
        <v>-9.2682227146403822</v>
      </c>
    </row>
    <row r="188" spans="1:5" x14ac:dyDescent="0.4">
      <c r="A188" s="3">
        <v>45775</v>
      </c>
      <c r="B188" s="2" t="s">
        <v>3</v>
      </c>
      <c r="C188" s="2">
        <v>2369.8000000000002</v>
      </c>
      <c r="D188" s="26">
        <f t="shared" si="5"/>
        <v>6.5621200317352085E-3</v>
      </c>
      <c r="E188" s="27">
        <f t="shared" si="4"/>
        <v>1.6536542479972725</v>
      </c>
    </row>
    <row r="189" spans="1:5" x14ac:dyDescent="0.4">
      <c r="A189" s="3">
        <v>45776</v>
      </c>
      <c r="B189" s="2" t="s">
        <v>3</v>
      </c>
      <c r="C189" s="2">
        <v>2330.6</v>
      </c>
      <c r="D189" s="26">
        <f t="shared" si="5"/>
        <v>-1.6679818243476703E-2</v>
      </c>
      <c r="E189" s="27">
        <f t="shared" si="4"/>
        <v>-4.2033141973561294</v>
      </c>
    </row>
    <row r="190" spans="1:5" x14ac:dyDescent="0.4">
      <c r="A190" s="3">
        <v>45777</v>
      </c>
      <c r="B190" s="2" t="s">
        <v>3</v>
      </c>
      <c r="C190" s="2">
        <v>2301.3000000000002</v>
      </c>
      <c r="D190" s="26">
        <f t="shared" si="5"/>
        <v>-1.2651564505802529E-2</v>
      </c>
      <c r="E190" s="27">
        <f t="shared" si="4"/>
        <v>-3.1881942554622373</v>
      </c>
    </row>
    <row r="191" spans="1:5" x14ac:dyDescent="0.4">
      <c r="A191" s="3">
        <v>45779</v>
      </c>
      <c r="B191" s="2" t="s">
        <v>3</v>
      </c>
      <c r="C191" s="2">
        <v>2294.1999999999998</v>
      </c>
      <c r="D191" s="26">
        <f t="shared" si="5"/>
        <v>-3.0899817861931517E-3</v>
      </c>
      <c r="E191" s="27">
        <f t="shared" si="4"/>
        <v>-0.77867541012067421</v>
      </c>
    </row>
    <row r="192" spans="1:5" x14ac:dyDescent="0.4">
      <c r="A192" s="3">
        <v>45782</v>
      </c>
      <c r="B192" s="2" t="s">
        <v>3</v>
      </c>
      <c r="C192" s="2">
        <v>2455.5</v>
      </c>
      <c r="D192" s="26">
        <f t="shared" si="5"/>
        <v>6.794620763213205E-2</v>
      </c>
      <c r="E192" s="27">
        <f t="shared" si="4"/>
        <v>17.122444323297277</v>
      </c>
    </row>
    <row r="193" spans="1:5" x14ac:dyDescent="0.4">
      <c r="A193" s="3">
        <v>45783</v>
      </c>
      <c r="B193" s="2" t="s">
        <v>3</v>
      </c>
      <c r="C193" s="2">
        <v>2354</v>
      </c>
      <c r="D193" s="26">
        <f t="shared" si="5"/>
        <v>-4.2214397659077203E-2</v>
      </c>
      <c r="E193" s="27">
        <f t="shared" si="4"/>
        <v>-10.638028210087455</v>
      </c>
    </row>
    <row r="194" spans="1:5" x14ac:dyDescent="0.4">
      <c r="A194" s="3">
        <v>45784</v>
      </c>
      <c r="B194" s="2" t="s">
        <v>3</v>
      </c>
      <c r="C194" s="2">
        <v>2353.1</v>
      </c>
      <c r="D194" s="26">
        <f t="shared" si="5"/>
        <v>-3.8240105838726647E-4</v>
      </c>
      <c r="E194" s="27">
        <f t="shared" si="4"/>
        <v>-9.6365066713591158E-2</v>
      </c>
    </row>
    <row r="195" spans="1:5" x14ac:dyDescent="0.4">
      <c r="A195" s="3">
        <v>45785</v>
      </c>
      <c r="B195" s="2" t="s">
        <v>3</v>
      </c>
      <c r="C195" s="2">
        <v>2285.3000000000002</v>
      </c>
      <c r="D195" s="26">
        <f t="shared" si="5"/>
        <v>-2.9236301022996024E-2</v>
      </c>
      <c r="E195" s="27">
        <f t="shared" ref="E195:E251" si="6">D195*252</f>
        <v>-7.3675478577949978</v>
      </c>
    </row>
    <row r="196" spans="1:5" x14ac:dyDescent="0.4">
      <c r="A196" s="3">
        <v>45786</v>
      </c>
      <c r="B196" s="2" t="s">
        <v>3</v>
      </c>
      <c r="C196" s="2">
        <v>2251</v>
      </c>
      <c r="D196" s="26">
        <f t="shared" ref="D196:D251" si="7">LN(C196/C195)</f>
        <v>-1.5122744832106483E-2</v>
      </c>
      <c r="E196" s="27">
        <f t="shared" si="6"/>
        <v>-3.8109316976908336</v>
      </c>
    </row>
    <row r="197" spans="1:5" x14ac:dyDescent="0.4">
      <c r="A197" s="3">
        <v>45789</v>
      </c>
      <c r="B197" s="2" t="s">
        <v>3</v>
      </c>
      <c r="C197" s="2">
        <v>2425.3000000000002</v>
      </c>
      <c r="D197" s="26">
        <f t="shared" si="7"/>
        <v>7.458066615344075E-2</v>
      </c>
      <c r="E197" s="27">
        <f t="shared" si="6"/>
        <v>18.794327870667068</v>
      </c>
    </row>
    <row r="198" spans="1:5" x14ac:dyDescent="0.4">
      <c r="A198" s="3">
        <v>45790</v>
      </c>
      <c r="B198" s="2" t="s">
        <v>3</v>
      </c>
      <c r="C198" s="2">
        <v>2441.1999999999998</v>
      </c>
      <c r="D198" s="26">
        <f t="shared" si="7"/>
        <v>6.5344936101668716E-3</v>
      </c>
      <c r="E198" s="27">
        <f t="shared" si="6"/>
        <v>1.6466923897620516</v>
      </c>
    </row>
    <row r="199" spans="1:5" x14ac:dyDescent="0.4">
      <c r="A199" s="3">
        <v>45791</v>
      </c>
      <c r="B199" s="2" t="s">
        <v>3</v>
      </c>
      <c r="C199" s="2">
        <v>2461.9</v>
      </c>
      <c r="D199" s="26">
        <f t="shared" si="7"/>
        <v>8.4436878649102043E-3</v>
      </c>
      <c r="E199" s="27">
        <f t="shared" si="6"/>
        <v>2.1278093419573714</v>
      </c>
    </row>
    <row r="200" spans="1:5" x14ac:dyDescent="0.4">
      <c r="A200" s="3">
        <v>45792</v>
      </c>
      <c r="B200" s="2" t="s">
        <v>3</v>
      </c>
      <c r="C200" s="2">
        <v>2520</v>
      </c>
      <c r="D200" s="26">
        <f t="shared" si="7"/>
        <v>2.3325491970218902E-2</v>
      </c>
      <c r="E200" s="27">
        <f t="shared" si="6"/>
        <v>5.8780239764951636</v>
      </c>
    </row>
    <row r="201" spans="1:5" x14ac:dyDescent="0.4">
      <c r="A201" s="3">
        <v>45793</v>
      </c>
      <c r="B201" s="2" t="s">
        <v>3</v>
      </c>
      <c r="C201" s="2">
        <v>2555</v>
      </c>
      <c r="D201" s="26">
        <f t="shared" si="7"/>
        <v>1.3793322132335769E-2</v>
      </c>
      <c r="E201" s="27">
        <f t="shared" si="6"/>
        <v>3.4759171773486139</v>
      </c>
    </row>
    <row r="202" spans="1:5" x14ac:dyDescent="0.4">
      <c r="A202" s="3">
        <v>45796</v>
      </c>
      <c r="B202" s="2" t="s">
        <v>3</v>
      </c>
      <c r="C202" s="2">
        <v>2540.6</v>
      </c>
      <c r="D202" s="26">
        <f t="shared" si="7"/>
        <v>-5.651950048444542E-3</v>
      </c>
      <c r="E202" s="27">
        <f t="shared" si="6"/>
        <v>-1.4242914122080246</v>
      </c>
    </row>
    <row r="203" spans="1:5" x14ac:dyDescent="0.4">
      <c r="A203" s="3">
        <v>45797</v>
      </c>
      <c r="B203" s="2" t="s">
        <v>3</v>
      </c>
      <c r="C203" s="2">
        <v>2501.6</v>
      </c>
      <c r="D203" s="26">
        <f t="shared" si="7"/>
        <v>-1.5469746445728761E-2</v>
      </c>
      <c r="E203" s="27">
        <f t="shared" si="6"/>
        <v>-3.8983761043236478</v>
      </c>
    </row>
    <row r="204" spans="1:5" x14ac:dyDescent="0.4">
      <c r="A204" s="3">
        <v>45798</v>
      </c>
      <c r="B204" s="2" t="s">
        <v>3</v>
      </c>
      <c r="C204" s="2">
        <v>2500.4</v>
      </c>
      <c r="D204" s="26">
        <f t="shared" si="7"/>
        <v>-4.7980808597419697E-4</v>
      </c>
      <c r="E204" s="27">
        <f t="shared" si="6"/>
        <v>-0.12091163766549763</v>
      </c>
    </row>
    <row r="205" spans="1:5" x14ac:dyDescent="0.4">
      <c r="A205" s="3">
        <v>45799</v>
      </c>
      <c r="B205" s="2" t="s">
        <v>3</v>
      </c>
      <c r="C205" s="2">
        <v>2487.6</v>
      </c>
      <c r="D205" s="26">
        <f t="shared" si="7"/>
        <v>-5.1323288279231669E-3</v>
      </c>
      <c r="E205" s="27">
        <f t="shared" si="6"/>
        <v>-1.2933468646366379</v>
      </c>
    </row>
    <row r="206" spans="1:5" x14ac:dyDescent="0.4">
      <c r="A206" s="3">
        <v>45800</v>
      </c>
      <c r="B206" s="2" t="s">
        <v>3</v>
      </c>
      <c r="C206" s="2">
        <v>2540</v>
      </c>
      <c r="D206" s="26">
        <f t="shared" si="7"/>
        <v>2.0845690782847984E-2</v>
      </c>
      <c r="E206" s="27">
        <f t="shared" si="6"/>
        <v>5.2531140772776919</v>
      </c>
    </row>
    <row r="207" spans="1:5" x14ac:dyDescent="0.4">
      <c r="A207" s="3">
        <v>45803</v>
      </c>
      <c r="B207" s="2" t="s">
        <v>3</v>
      </c>
      <c r="C207" s="2">
        <v>2547.6999999999998</v>
      </c>
      <c r="D207" s="26">
        <f t="shared" si="7"/>
        <v>3.0269103441902391E-3</v>
      </c>
      <c r="E207" s="27">
        <f t="shared" si="6"/>
        <v>0.7627814067359403</v>
      </c>
    </row>
    <row r="208" spans="1:5" x14ac:dyDescent="0.4">
      <c r="A208" s="3">
        <v>45804</v>
      </c>
      <c r="B208" s="2" t="s">
        <v>3</v>
      </c>
      <c r="C208" s="2">
        <v>2540.3000000000002</v>
      </c>
      <c r="D208" s="26">
        <f t="shared" si="7"/>
        <v>-2.9088070824344623E-3</v>
      </c>
      <c r="E208" s="27">
        <f t="shared" si="6"/>
        <v>-0.73301938477348449</v>
      </c>
    </row>
    <row r="209" spans="1:5" x14ac:dyDescent="0.4">
      <c r="A209" s="3">
        <v>45805</v>
      </c>
      <c r="B209" s="2" t="s">
        <v>3</v>
      </c>
      <c r="C209" s="2">
        <v>2515</v>
      </c>
      <c r="D209" s="26">
        <f t="shared" si="7"/>
        <v>-1.0009380740498453E-2</v>
      </c>
      <c r="E209" s="27">
        <f t="shared" si="6"/>
        <v>-2.5223639466056103</v>
      </c>
    </row>
    <row r="210" spans="1:5" x14ac:dyDescent="0.4">
      <c r="A210" s="3">
        <v>45806</v>
      </c>
      <c r="B210" s="2" t="s">
        <v>3</v>
      </c>
      <c r="C210" s="2">
        <v>2540.8000000000002</v>
      </c>
      <c r="D210" s="26">
        <f t="shared" si="7"/>
        <v>1.020618851897713E-2</v>
      </c>
      <c r="E210" s="27">
        <f t="shared" si="6"/>
        <v>2.5719595067822367</v>
      </c>
    </row>
    <row r="211" spans="1:5" x14ac:dyDescent="0.4">
      <c r="A211" s="3">
        <v>45807</v>
      </c>
      <c r="B211" s="2" t="s">
        <v>3</v>
      </c>
      <c r="C211" s="2">
        <v>2519.9</v>
      </c>
      <c r="D211" s="26">
        <f t="shared" si="7"/>
        <v>-8.2597738744030307E-3</v>
      </c>
      <c r="E211" s="27">
        <f t="shared" si="6"/>
        <v>-2.0814630163495638</v>
      </c>
    </row>
    <row r="212" spans="1:5" x14ac:dyDescent="0.4">
      <c r="A212" s="3">
        <v>45810</v>
      </c>
      <c r="B212" s="2" t="s">
        <v>3</v>
      </c>
      <c r="C212" s="2">
        <v>2518.8000000000002</v>
      </c>
      <c r="D212" s="26">
        <f t="shared" si="7"/>
        <v>-4.3662056382596224E-4</v>
      </c>
      <c r="E212" s="27">
        <f t="shared" si="6"/>
        <v>-0.11002838208414248</v>
      </c>
    </row>
    <row r="213" spans="1:5" x14ac:dyDescent="0.4">
      <c r="A213" s="3">
        <v>45811</v>
      </c>
      <c r="B213" s="2" t="s">
        <v>3</v>
      </c>
      <c r="C213" s="2">
        <v>2470.9</v>
      </c>
      <c r="D213" s="26">
        <f t="shared" si="7"/>
        <v>-1.9200140890456317E-2</v>
      </c>
      <c r="E213" s="27">
        <f t="shared" si="6"/>
        <v>-4.838435504394992</v>
      </c>
    </row>
    <row r="214" spans="1:5" x14ac:dyDescent="0.4">
      <c r="A214" s="3">
        <v>45812</v>
      </c>
      <c r="B214" s="2" t="s">
        <v>3</v>
      </c>
      <c r="C214" s="2">
        <v>2489.4</v>
      </c>
      <c r="D214" s="26">
        <f t="shared" si="7"/>
        <v>7.4592608427458068E-3</v>
      </c>
      <c r="E214" s="27">
        <f t="shared" si="6"/>
        <v>1.8797337323719434</v>
      </c>
    </row>
    <row r="215" spans="1:5" x14ac:dyDescent="0.4">
      <c r="A215" s="3">
        <v>45813</v>
      </c>
      <c r="B215" s="2" t="s">
        <v>3</v>
      </c>
      <c r="C215" s="2">
        <v>2504.4</v>
      </c>
      <c r="D215" s="26">
        <f t="shared" si="7"/>
        <v>6.0074673042782465E-3</v>
      </c>
      <c r="E215" s="27">
        <f t="shared" si="6"/>
        <v>1.5138817606781181</v>
      </c>
    </row>
    <row r="216" spans="1:5" x14ac:dyDescent="0.4">
      <c r="A216" s="3">
        <v>45814</v>
      </c>
      <c r="B216" s="2" t="s">
        <v>3</v>
      </c>
      <c r="C216" s="2">
        <v>2534.1999999999998</v>
      </c>
      <c r="D216" s="26">
        <f t="shared" si="7"/>
        <v>1.1828820493652472E-2</v>
      </c>
      <c r="E216" s="27">
        <f t="shared" si="6"/>
        <v>2.9808627644004226</v>
      </c>
    </row>
    <row r="217" spans="1:5" x14ac:dyDescent="0.4">
      <c r="A217" s="3">
        <v>45817</v>
      </c>
      <c r="B217" s="2" t="s">
        <v>3</v>
      </c>
      <c r="C217" s="2">
        <v>2582.1</v>
      </c>
      <c r="D217" s="26">
        <f t="shared" si="7"/>
        <v>1.8725015958730655E-2</v>
      </c>
      <c r="E217" s="27">
        <f t="shared" si="6"/>
        <v>4.718704021600125</v>
      </c>
    </row>
    <row r="218" spans="1:5" x14ac:dyDescent="0.4">
      <c r="A218" s="3">
        <v>45818</v>
      </c>
      <c r="B218" s="2" t="s">
        <v>3</v>
      </c>
      <c r="C218" s="2">
        <v>2613.1</v>
      </c>
      <c r="D218" s="26">
        <f t="shared" si="7"/>
        <v>1.1934234652313032E-2</v>
      </c>
      <c r="E218" s="27">
        <f t="shared" si="6"/>
        <v>3.0074271323828841</v>
      </c>
    </row>
    <row r="219" spans="1:5" x14ac:dyDescent="0.4">
      <c r="A219" s="3">
        <v>45819</v>
      </c>
      <c r="B219" s="2" t="s">
        <v>3</v>
      </c>
      <c r="C219" s="2">
        <v>2581.1999999999998</v>
      </c>
      <c r="D219" s="26">
        <f t="shared" si="7"/>
        <v>-1.228284891416684E-2</v>
      </c>
      <c r="E219" s="27">
        <f t="shared" si="6"/>
        <v>-3.0952779263700436</v>
      </c>
    </row>
    <row r="220" spans="1:5" x14ac:dyDescent="0.4">
      <c r="A220" s="3">
        <v>45820</v>
      </c>
      <c r="B220" s="2" t="s">
        <v>3</v>
      </c>
      <c r="C220" s="2">
        <v>2543.6999999999998</v>
      </c>
      <c r="D220" s="26">
        <f t="shared" si="7"/>
        <v>-1.4634693083617669E-2</v>
      </c>
      <c r="E220" s="27">
        <f t="shared" si="6"/>
        <v>-3.6879426570716527</v>
      </c>
    </row>
    <row r="221" spans="1:5" x14ac:dyDescent="0.4">
      <c r="A221" s="3">
        <v>45821</v>
      </c>
      <c r="B221" s="2" t="s">
        <v>3</v>
      </c>
      <c r="C221" s="2">
        <v>2507.9</v>
      </c>
      <c r="D221" s="26">
        <f t="shared" si="7"/>
        <v>-1.417396442847468E-2</v>
      </c>
      <c r="E221" s="27">
        <f t="shared" si="6"/>
        <v>-3.5718390359756196</v>
      </c>
    </row>
    <row r="222" spans="1:5" x14ac:dyDescent="0.4">
      <c r="A222" s="3">
        <v>45824</v>
      </c>
      <c r="B222" s="2" t="s">
        <v>3</v>
      </c>
      <c r="C222" s="2">
        <v>2544</v>
      </c>
      <c r="D222" s="26">
        <f t="shared" si="7"/>
        <v>1.4291895910420372E-2</v>
      </c>
      <c r="E222" s="27">
        <f t="shared" si="6"/>
        <v>3.6015577694259338</v>
      </c>
    </row>
    <row r="223" spans="1:5" x14ac:dyDescent="0.4">
      <c r="A223" s="3">
        <v>45825</v>
      </c>
      <c r="B223" s="2" t="s">
        <v>3</v>
      </c>
      <c r="C223" s="2">
        <v>2488.5</v>
      </c>
      <c r="D223" s="26">
        <f t="shared" si="7"/>
        <v>-2.2057526161403891E-2</v>
      </c>
      <c r="E223" s="27">
        <f t="shared" si="6"/>
        <v>-5.5584965926737802</v>
      </c>
    </row>
    <row r="224" spans="1:5" x14ac:dyDescent="0.4">
      <c r="A224" s="3">
        <v>45826</v>
      </c>
      <c r="B224" s="2" t="s">
        <v>3</v>
      </c>
      <c r="C224" s="2">
        <v>2459.1</v>
      </c>
      <c r="D224" s="26">
        <f t="shared" si="7"/>
        <v>-1.1884689971514208E-2</v>
      </c>
      <c r="E224" s="27">
        <f t="shared" si="6"/>
        <v>-2.9949418728215802</v>
      </c>
    </row>
    <row r="225" spans="1:5" x14ac:dyDescent="0.4">
      <c r="A225" s="3">
        <v>45827</v>
      </c>
      <c r="B225" s="2" t="s">
        <v>3</v>
      </c>
      <c r="C225" s="2">
        <v>2420.6</v>
      </c>
      <c r="D225" s="26">
        <f t="shared" si="7"/>
        <v>-1.5779986022591272E-2</v>
      </c>
      <c r="E225" s="27">
        <f t="shared" si="6"/>
        <v>-3.9765564776930007</v>
      </c>
    </row>
    <row r="226" spans="1:5" x14ac:dyDescent="0.4">
      <c r="A226" s="3">
        <v>45828</v>
      </c>
      <c r="B226" s="2" t="s">
        <v>3</v>
      </c>
      <c r="C226" s="2">
        <v>2448.4</v>
      </c>
      <c r="D226" s="26">
        <f t="shared" si="7"/>
        <v>1.1419306672411355E-2</v>
      </c>
      <c r="E226" s="27">
        <f t="shared" si="6"/>
        <v>2.8776652814476615</v>
      </c>
    </row>
    <row r="227" spans="1:5" x14ac:dyDescent="0.4">
      <c r="A227" s="3">
        <v>45831</v>
      </c>
      <c r="B227" s="2" t="s">
        <v>3</v>
      </c>
      <c r="C227" s="2">
        <v>2472</v>
      </c>
      <c r="D227" s="26">
        <f t="shared" si="7"/>
        <v>9.5927896006666059E-3</v>
      </c>
      <c r="E227" s="27">
        <f t="shared" si="6"/>
        <v>2.4173829793679849</v>
      </c>
    </row>
    <row r="228" spans="1:5" x14ac:dyDescent="0.4">
      <c r="A228" s="3">
        <v>45832</v>
      </c>
      <c r="B228" s="2" t="s">
        <v>3</v>
      </c>
      <c r="C228" s="2">
        <v>2505.6</v>
      </c>
      <c r="D228" s="26">
        <f t="shared" si="7"/>
        <v>1.3500687218902524E-2</v>
      </c>
      <c r="E228" s="27">
        <f t="shared" si="6"/>
        <v>3.402173179163436</v>
      </c>
    </row>
    <row r="229" spans="1:5" x14ac:dyDescent="0.4">
      <c r="A229" s="3">
        <v>45833</v>
      </c>
      <c r="B229" s="2" t="s">
        <v>3</v>
      </c>
      <c r="C229" s="2">
        <v>2527.1999999999998</v>
      </c>
      <c r="D229" s="26">
        <f t="shared" si="7"/>
        <v>8.583743691391435E-3</v>
      </c>
      <c r="E229" s="27">
        <f t="shared" si="6"/>
        <v>2.1631034102306415</v>
      </c>
    </row>
    <row r="230" spans="1:5" x14ac:dyDescent="0.4">
      <c r="A230" s="3">
        <v>45834</v>
      </c>
      <c r="B230" s="2" t="s">
        <v>3</v>
      </c>
      <c r="C230" s="2">
        <v>2586.1999999999998</v>
      </c>
      <c r="D230" s="26">
        <f t="shared" si="7"/>
        <v>2.3077646373875823E-2</v>
      </c>
      <c r="E230" s="27">
        <f t="shared" si="6"/>
        <v>5.8155668862167076</v>
      </c>
    </row>
    <row r="231" spans="1:5" x14ac:dyDescent="0.4">
      <c r="A231" s="3">
        <v>45835</v>
      </c>
      <c r="B231" s="2" t="s">
        <v>3</v>
      </c>
      <c r="C231" s="2">
        <v>2646.3</v>
      </c>
      <c r="D231" s="26">
        <f t="shared" si="7"/>
        <v>2.2972821071079813E-2</v>
      </c>
      <c r="E231" s="27">
        <f t="shared" si="6"/>
        <v>5.789150909912113</v>
      </c>
    </row>
    <row r="232" spans="1:5" x14ac:dyDescent="0.4">
      <c r="A232" s="3">
        <v>45838</v>
      </c>
      <c r="B232" s="2" t="s">
        <v>3</v>
      </c>
      <c r="C232" s="2">
        <v>2619.4</v>
      </c>
      <c r="D232" s="26">
        <f t="shared" si="7"/>
        <v>-1.0217154037528405E-2</v>
      </c>
      <c r="E232" s="27">
        <f t="shared" si="6"/>
        <v>-2.5747228174571579</v>
      </c>
    </row>
    <row r="233" spans="1:5" x14ac:dyDescent="0.4">
      <c r="A233" s="3">
        <v>45839</v>
      </c>
      <c r="B233" s="2" t="s">
        <v>3</v>
      </c>
      <c r="C233" s="2">
        <v>2621.8</v>
      </c>
      <c r="D233" s="26">
        <f t="shared" si="7"/>
        <v>9.1582086840638697E-4</v>
      </c>
      <c r="E233" s="27">
        <f t="shared" si="6"/>
        <v>0.23078685883840952</v>
      </c>
    </row>
    <row r="234" spans="1:5" x14ac:dyDescent="0.4">
      <c r="A234" s="3">
        <v>45840</v>
      </c>
      <c r="B234" s="2" t="s">
        <v>3</v>
      </c>
      <c r="C234" s="2">
        <v>2630.2</v>
      </c>
      <c r="D234" s="26">
        <f t="shared" si="7"/>
        <v>3.1987841441555266E-3</v>
      </c>
      <c r="E234" s="27">
        <f t="shared" si="6"/>
        <v>0.80609360432719268</v>
      </c>
    </row>
    <row r="235" spans="1:5" x14ac:dyDescent="0.4">
      <c r="A235" s="3">
        <v>45841</v>
      </c>
      <c r="B235" s="2" t="s">
        <v>3</v>
      </c>
      <c r="C235" s="2">
        <v>2611.1999999999998</v>
      </c>
      <c r="D235" s="26">
        <f t="shared" si="7"/>
        <v>-7.2500031380766964E-3</v>
      </c>
      <c r="E235" s="27">
        <f t="shared" si="6"/>
        <v>-1.8270007907953274</v>
      </c>
    </row>
    <row r="236" spans="1:5" x14ac:dyDescent="0.4">
      <c r="A236" s="3">
        <v>45842</v>
      </c>
      <c r="B236" s="2" t="s">
        <v>3</v>
      </c>
      <c r="C236" s="2">
        <v>2599.1</v>
      </c>
      <c r="D236" s="26">
        <f t="shared" si="7"/>
        <v>-4.6446545314401746E-3</v>
      </c>
      <c r="E236" s="27">
        <f t="shared" si="6"/>
        <v>-1.1704529419229239</v>
      </c>
    </row>
    <row r="237" spans="1:5" x14ac:dyDescent="0.4">
      <c r="A237" s="3">
        <v>45845</v>
      </c>
      <c r="B237" s="2" t="s">
        <v>3</v>
      </c>
      <c r="C237" s="2">
        <v>2576.1</v>
      </c>
      <c r="D237" s="26">
        <f t="shared" si="7"/>
        <v>-8.8886038917989334E-3</v>
      </c>
      <c r="E237" s="27">
        <f t="shared" si="6"/>
        <v>-2.2399281807333313</v>
      </c>
    </row>
    <row r="238" spans="1:5" x14ac:dyDescent="0.4">
      <c r="A238" s="3">
        <v>45846</v>
      </c>
      <c r="B238" s="2" t="s">
        <v>3</v>
      </c>
      <c r="C238" s="2">
        <v>2591.3000000000002</v>
      </c>
      <c r="D238" s="26">
        <f t="shared" si="7"/>
        <v>5.8830529239863039E-3</v>
      </c>
      <c r="E238" s="27">
        <f t="shared" si="6"/>
        <v>1.4825293368445487</v>
      </c>
    </row>
    <row r="239" spans="1:5" x14ac:dyDescent="0.4">
      <c r="A239" s="3">
        <v>45847</v>
      </c>
      <c r="B239" s="2" t="s">
        <v>3</v>
      </c>
      <c r="C239" s="2">
        <v>2583</v>
      </c>
      <c r="D239" s="26">
        <f t="shared" si="7"/>
        <v>-3.2081661746943954E-3</v>
      </c>
      <c r="E239" s="27">
        <f t="shared" si="6"/>
        <v>-0.80845787602298769</v>
      </c>
    </row>
    <row r="240" spans="1:5" x14ac:dyDescent="0.4">
      <c r="A240" s="3">
        <v>45848</v>
      </c>
      <c r="B240" s="2" t="s">
        <v>3</v>
      </c>
      <c r="C240" s="2">
        <v>2581</v>
      </c>
      <c r="D240" s="26">
        <f t="shared" si="7"/>
        <v>-7.7459337722658283E-4</v>
      </c>
      <c r="E240" s="27">
        <f t="shared" si="6"/>
        <v>-0.19519753106109888</v>
      </c>
    </row>
    <row r="241" spans="1:5" x14ac:dyDescent="0.4">
      <c r="A241" s="3">
        <v>45849</v>
      </c>
      <c r="B241" s="2" t="s">
        <v>3</v>
      </c>
      <c r="C241" s="2">
        <v>2558.6999999999998</v>
      </c>
      <c r="D241" s="26">
        <f t="shared" si="7"/>
        <v>-8.6776037254404793E-3</v>
      </c>
      <c r="E241" s="27">
        <f t="shared" si="6"/>
        <v>-2.1867561388110008</v>
      </c>
    </row>
    <row r="242" spans="1:5" x14ac:dyDescent="0.4">
      <c r="A242" s="3">
        <v>45852</v>
      </c>
      <c r="B242" s="2" t="s">
        <v>3</v>
      </c>
      <c r="C242" s="2">
        <v>2581.3000000000002</v>
      </c>
      <c r="D242" s="26">
        <f t="shared" si="7"/>
        <v>8.7938309886130984E-3</v>
      </c>
      <c r="E242" s="27">
        <f t="shared" si="6"/>
        <v>2.2160454091305009</v>
      </c>
    </row>
    <row r="243" spans="1:5" x14ac:dyDescent="0.4">
      <c r="A243" s="3">
        <v>45853</v>
      </c>
      <c r="B243" s="2" t="s">
        <v>3</v>
      </c>
      <c r="C243" s="2">
        <v>2598.1999999999998</v>
      </c>
      <c r="D243" s="26">
        <f t="shared" si="7"/>
        <v>6.525749579845903E-3</v>
      </c>
      <c r="E243" s="27">
        <f t="shared" si="6"/>
        <v>1.6444888941211675</v>
      </c>
    </row>
    <row r="244" spans="1:5" x14ac:dyDescent="0.4">
      <c r="A244" s="3">
        <v>45854</v>
      </c>
      <c r="B244" s="2" t="s">
        <v>3</v>
      </c>
      <c r="C244" s="2">
        <v>2608.5</v>
      </c>
      <c r="D244" s="26">
        <f t="shared" si="7"/>
        <v>3.9564459008150834E-3</v>
      </c>
      <c r="E244" s="27">
        <f t="shared" si="6"/>
        <v>0.99702436700540098</v>
      </c>
    </row>
    <row r="245" spans="1:5" x14ac:dyDescent="0.4">
      <c r="A245" s="3">
        <v>45855</v>
      </c>
      <c r="B245" s="2" t="s">
        <v>3</v>
      </c>
      <c r="C245" s="2">
        <v>2616.6</v>
      </c>
      <c r="D245" s="26">
        <f t="shared" si="7"/>
        <v>3.1004216143284196E-3</v>
      </c>
      <c r="E245" s="27">
        <f t="shared" si="6"/>
        <v>0.78130624681076177</v>
      </c>
    </row>
    <row r="246" spans="1:5" x14ac:dyDescent="0.4">
      <c r="A246" s="3">
        <v>45856</v>
      </c>
      <c r="B246" s="2" t="s">
        <v>3</v>
      </c>
      <c r="C246" s="2">
        <v>2596.1</v>
      </c>
      <c r="D246" s="26">
        <f t="shared" si="7"/>
        <v>-7.8654461934695215E-3</v>
      </c>
      <c r="E246" s="27">
        <f t="shared" si="6"/>
        <v>-1.9820924407543195</v>
      </c>
    </row>
    <row r="247" spans="1:5" x14ac:dyDescent="0.4">
      <c r="A247" s="3">
        <v>45859</v>
      </c>
      <c r="B247" s="2" t="s">
        <v>3</v>
      </c>
      <c r="C247" s="2">
        <v>2619.5</v>
      </c>
      <c r="D247" s="26">
        <f t="shared" si="7"/>
        <v>8.9731409649681931E-3</v>
      </c>
      <c r="E247" s="27">
        <f t="shared" si="6"/>
        <v>2.2612315231719848</v>
      </c>
    </row>
    <row r="248" spans="1:5" x14ac:dyDescent="0.4">
      <c r="A248" s="3">
        <v>45860</v>
      </c>
      <c r="B248" s="2" t="s">
        <v>3</v>
      </c>
      <c r="C248" s="2">
        <v>2587.8000000000002</v>
      </c>
      <c r="D248" s="26">
        <f t="shared" si="7"/>
        <v>-1.2175365966421842E-2</v>
      </c>
      <c r="E248" s="27">
        <f t="shared" si="6"/>
        <v>-3.0681922235383041</v>
      </c>
    </row>
    <row r="249" spans="1:5" x14ac:dyDescent="0.4">
      <c r="A249" s="3">
        <v>45861</v>
      </c>
      <c r="B249" s="2" t="s">
        <v>3</v>
      </c>
      <c r="C249" s="2">
        <v>2614.5</v>
      </c>
      <c r="D249" s="26">
        <f t="shared" si="7"/>
        <v>1.026478074633275E-2</v>
      </c>
      <c r="E249" s="27">
        <f t="shared" si="6"/>
        <v>2.5867247480758531</v>
      </c>
    </row>
    <row r="250" spans="1:5" x14ac:dyDescent="0.4">
      <c r="A250" s="3">
        <v>45862</v>
      </c>
      <c r="B250" s="2" t="s">
        <v>3</v>
      </c>
      <c r="C250" s="2">
        <v>2608.4</v>
      </c>
      <c r="D250" s="26">
        <f t="shared" si="7"/>
        <v>-2.3358681091380147E-3</v>
      </c>
      <c r="E250" s="27">
        <f t="shared" si="6"/>
        <v>-0.58863876350277966</v>
      </c>
    </row>
    <row r="251" spans="1:5" x14ac:dyDescent="0.4">
      <c r="A251" s="3">
        <v>45863</v>
      </c>
      <c r="B251" s="2" t="s">
        <v>3</v>
      </c>
      <c r="C251" s="2">
        <v>2550.1</v>
      </c>
      <c r="D251" s="26">
        <f t="shared" si="7"/>
        <v>-2.2604432449215839E-2</v>
      </c>
      <c r="E251" s="27">
        <f t="shared" si="6"/>
        <v>-5.6963169772023914</v>
      </c>
    </row>
  </sheetData>
  <autoFilter ref="A1:C251" xr:uid="{B2275CF7-085D-4600-AA21-6769FEF2B193}">
    <sortState xmlns:xlrd2="http://schemas.microsoft.com/office/spreadsheetml/2017/richdata2" ref="A2:C251">
      <sortCondition ref="A1:A251"/>
    </sortState>
  </autoFilter>
  <mergeCells count="1">
    <mergeCell ref="G4:H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ED48-EF77-45EC-9790-FAC1FE9AA867}">
  <dimension ref="A1:J251"/>
  <sheetViews>
    <sheetView showGridLines="0" workbookViewId="0">
      <selection activeCell="G13" sqref="G13"/>
    </sheetView>
  </sheetViews>
  <sheetFormatPr defaultColWidth="8.73046875" defaultRowHeight="13.15" x14ac:dyDescent="0.4"/>
  <cols>
    <col min="1" max="1" width="8.9296875" style="1" bestFit="1" customWidth="1"/>
    <col min="2" max="2" width="5.73046875" style="1" bestFit="1" customWidth="1"/>
    <col min="3" max="3" width="6.265625" style="1" bestFit="1" customWidth="1"/>
    <col min="4" max="4" width="21.796875" style="1" bestFit="1" customWidth="1"/>
    <col min="5" max="5" width="16" style="1" bestFit="1" customWidth="1"/>
    <col min="6" max="6" width="8.73046875" style="1"/>
    <col min="7" max="7" width="19.9296875" style="1" bestFit="1" customWidth="1"/>
    <col min="8" max="8" width="17" style="1" customWidth="1"/>
    <col min="9" max="16384" width="8.73046875" style="1"/>
  </cols>
  <sheetData>
    <row r="1" spans="1:10" x14ac:dyDescent="0.4">
      <c r="A1" s="4" t="s">
        <v>0</v>
      </c>
      <c r="B1" s="4" t="s">
        <v>1</v>
      </c>
      <c r="C1" s="4" t="s">
        <v>2</v>
      </c>
      <c r="D1" s="21" t="s">
        <v>46</v>
      </c>
      <c r="E1" s="21" t="s">
        <v>47</v>
      </c>
    </row>
    <row r="2" spans="1:10" x14ac:dyDescent="0.4">
      <c r="A2" s="3">
        <v>45499</v>
      </c>
      <c r="B2" s="2" t="s">
        <v>3</v>
      </c>
      <c r="C2" s="2">
        <v>667.6</v>
      </c>
      <c r="D2" s="26">
        <v>0</v>
      </c>
      <c r="E2" s="27">
        <f>D2*252</f>
        <v>0</v>
      </c>
    </row>
    <row r="3" spans="1:10" x14ac:dyDescent="0.4">
      <c r="A3" s="3">
        <v>45502</v>
      </c>
      <c r="B3" s="2" t="s">
        <v>3</v>
      </c>
      <c r="C3" s="2">
        <v>666.85</v>
      </c>
      <c r="D3" s="26">
        <f>LN(C3/C2)</f>
        <v>-1.1240587192764338E-3</v>
      </c>
      <c r="E3" s="27">
        <f t="shared" ref="E3:E66" si="0">D3*252</f>
        <v>-0.28326279725766135</v>
      </c>
      <c r="G3" s="111" t="s">
        <v>10</v>
      </c>
      <c r="H3" s="112"/>
    </row>
    <row r="4" spans="1:10" x14ac:dyDescent="0.4">
      <c r="A4" s="3">
        <v>45503</v>
      </c>
      <c r="B4" s="2" t="s">
        <v>3</v>
      </c>
      <c r="C4" s="2">
        <v>660.5</v>
      </c>
      <c r="D4" s="26">
        <f t="shared" ref="D4:D67" si="1">LN(C4/C3)</f>
        <v>-9.5680091060236054E-3</v>
      </c>
      <c r="E4" s="27">
        <f t="shared" si="0"/>
        <v>-2.4111382947179485</v>
      </c>
      <c r="G4" s="28" t="s">
        <v>48</v>
      </c>
      <c r="H4" s="29">
        <f>AVERAGE(E2:E251)</f>
        <v>3.8293866893182683E-2</v>
      </c>
      <c r="J4" s="1" t="s">
        <v>51</v>
      </c>
    </row>
    <row r="5" spans="1:10" x14ac:dyDescent="0.4">
      <c r="A5" s="3">
        <v>45504</v>
      </c>
      <c r="B5" s="2" t="s">
        <v>3</v>
      </c>
      <c r="C5" s="2">
        <v>669.6</v>
      </c>
      <c r="D5" s="26">
        <f t="shared" si="1"/>
        <v>1.3683395212885505E-2</v>
      </c>
      <c r="E5" s="27">
        <f t="shared" si="0"/>
        <v>3.4482155936471472</v>
      </c>
      <c r="G5" s="28" t="s">
        <v>50</v>
      </c>
      <c r="H5" s="43">
        <f>_xlfn.STDEV.S(E2:E251)/100</f>
        <v>4.6919461063556031E-2</v>
      </c>
      <c r="J5" s="1" t="s">
        <v>52</v>
      </c>
    </row>
    <row r="6" spans="1:10" x14ac:dyDescent="0.4">
      <c r="A6" s="3">
        <v>45505</v>
      </c>
      <c r="B6" s="2" t="s">
        <v>3</v>
      </c>
      <c r="C6" s="2">
        <v>673.5</v>
      </c>
      <c r="D6" s="26">
        <f t="shared" si="1"/>
        <v>5.8074766751530687E-3</v>
      </c>
      <c r="E6" s="27">
        <f t="shared" si="0"/>
        <v>1.4634841221385733</v>
      </c>
    </row>
    <row r="7" spans="1:10" x14ac:dyDescent="0.4">
      <c r="A7" s="3">
        <v>45506</v>
      </c>
      <c r="B7" s="2" t="s">
        <v>3</v>
      </c>
      <c r="C7" s="2">
        <v>648.04999999999995</v>
      </c>
      <c r="D7" s="26">
        <f t="shared" si="1"/>
        <v>-3.8520141981034629E-2</v>
      </c>
      <c r="E7" s="27">
        <f t="shared" si="0"/>
        <v>-9.7070757792207267</v>
      </c>
    </row>
    <row r="8" spans="1:10" x14ac:dyDescent="0.4">
      <c r="A8" s="3">
        <v>45509</v>
      </c>
      <c r="B8" s="2" t="s">
        <v>3</v>
      </c>
      <c r="C8" s="2">
        <v>614.29999999999995</v>
      </c>
      <c r="D8" s="26">
        <f t="shared" si="1"/>
        <v>-5.3484445699502295E-2</v>
      </c>
      <c r="E8" s="27">
        <f t="shared" si="0"/>
        <v>-13.478080316274578</v>
      </c>
    </row>
    <row r="9" spans="1:10" x14ac:dyDescent="0.4">
      <c r="A9" s="3">
        <v>45510</v>
      </c>
      <c r="B9" s="2" t="s">
        <v>3</v>
      </c>
      <c r="C9" s="2">
        <v>610.29999999999995</v>
      </c>
      <c r="D9" s="26">
        <f t="shared" si="1"/>
        <v>-6.5327686194324537E-3</v>
      </c>
      <c r="E9" s="27">
        <f t="shared" si="0"/>
        <v>-1.6462576920969783</v>
      </c>
      <c r="G9" s="80" t="s">
        <v>104</v>
      </c>
      <c r="H9" s="81"/>
    </row>
    <row r="10" spans="1:10" x14ac:dyDescent="0.4">
      <c r="A10" s="3">
        <v>45511</v>
      </c>
      <c r="B10" s="2" t="s">
        <v>3</v>
      </c>
      <c r="C10" s="2">
        <v>623.70000000000005</v>
      </c>
      <c r="D10" s="26">
        <f t="shared" si="1"/>
        <v>2.171884398162776E-2</v>
      </c>
      <c r="E10" s="27">
        <f t="shared" si="0"/>
        <v>5.4731486833701952</v>
      </c>
      <c r="G10" s="82" t="s">
        <v>105</v>
      </c>
      <c r="H10" s="83"/>
    </row>
    <row r="11" spans="1:10" x14ac:dyDescent="0.4">
      <c r="A11" s="3">
        <v>45512</v>
      </c>
      <c r="B11" s="2" t="s">
        <v>3</v>
      </c>
      <c r="C11" s="2">
        <v>614.04999999999995</v>
      </c>
      <c r="D11" s="26">
        <f t="shared" si="1"/>
        <v>-1.559312547568395E-2</v>
      </c>
      <c r="E11" s="27">
        <f t="shared" si="0"/>
        <v>-3.9294676198723555</v>
      </c>
      <c r="G11" s="82"/>
      <c r="H11" s="83"/>
    </row>
    <row r="12" spans="1:10" x14ac:dyDescent="0.4">
      <c r="A12" s="3">
        <v>45513</v>
      </c>
      <c r="B12" s="2" t="s">
        <v>3</v>
      </c>
      <c r="C12" s="2">
        <v>622.9</v>
      </c>
      <c r="D12" s="26">
        <f t="shared" si="1"/>
        <v>1.4309634203706872E-2</v>
      </c>
      <c r="E12" s="27">
        <f t="shared" si="0"/>
        <v>3.6060278193341317</v>
      </c>
      <c r="G12" s="84" t="s">
        <v>106</v>
      </c>
      <c r="H12" s="85"/>
    </row>
    <row r="13" spans="1:10" x14ac:dyDescent="0.4">
      <c r="A13" s="3">
        <v>45516</v>
      </c>
      <c r="B13" s="2" t="s">
        <v>3</v>
      </c>
      <c r="C13" s="2">
        <v>629.35</v>
      </c>
      <c r="D13" s="26">
        <f t="shared" si="1"/>
        <v>1.0301548477414275E-2</v>
      </c>
      <c r="E13" s="27">
        <f t="shared" si="0"/>
        <v>2.5959902163083974</v>
      </c>
    </row>
    <row r="14" spans="1:10" x14ac:dyDescent="0.4">
      <c r="A14" s="3">
        <v>45517</v>
      </c>
      <c r="B14" s="2" t="s">
        <v>3</v>
      </c>
      <c r="C14" s="2">
        <v>621.4</v>
      </c>
      <c r="D14" s="26">
        <f t="shared" si="1"/>
        <v>-1.2712543778567051E-2</v>
      </c>
      <c r="E14" s="27">
        <f t="shared" si="0"/>
        <v>-3.203561032198897</v>
      </c>
    </row>
    <row r="15" spans="1:10" x14ac:dyDescent="0.4">
      <c r="A15" s="3">
        <v>45518</v>
      </c>
      <c r="B15" s="2" t="s">
        <v>3</v>
      </c>
      <c r="C15" s="2">
        <v>621.45000000000005</v>
      </c>
      <c r="D15" s="26">
        <f t="shared" si="1"/>
        <v>8.0460232573683387E-5</v>
      </c>
      <c r="E15" s="27">
        <f t="shared" si="0"/>
        <v>2.0275978608568213E-2</v>
      </c>
    </row>
    <row r="16" spans="1:10" x14ac:dyDescent="0.4">
      <c r="A16" s="3">
        <v>45520</v>
      </c>
      <c r="B16" s="2" t="s">
        <v>3</v>
      </c>
      <c r="C16" s="2">
        <v>634.15</v>
      </c>
      <c r="D16" s="26">
        <f t="shared" si="1"/>
        <v>2.0230062321918017E-2</v>
      </c>
      <c r="E16" s="27">
        <f t="shared" si="0"/>
        <v>5.0979757051233401</v>
      </c>
    </row>
    <row r="17" spans="1:5" x14ac:dyDescent="0.4">
      <c r="A17" s="3">
        <v>45523</v>
      </c>
      <c r="B17" s="2" t="s">
        <v>3</v>
      </c>
      <c r="C17" s="2">
        <v>658.85</v>
      </c>
      <c r="D17" s="26">
        <f t="shared" si="1"/>
        <v>3.8210371477822767E-2</v>
      </c>
      <c r="E17" s="27">
        <f t="shared" si="0"/>
        <v>9.6290136124113381</v>
      </c>
    </row>
    <row r="18" spans="1:5" x14ac:dyDescent="0.4">
      <c r="A18" s="3">
        <v>45524</v>
      </c>
      <c r="B18" s="2" t="s">
        <v>3</v>
      </c>
      <c r="C18" s="2">
        <v>672.9</v>
      </c>
      <c r="D18" s="26">
        <f t="shared" si="1"/>
        <v>2.1100839203010983E-2</v>
      </c>
      <c r="E18" s="27">
        <f t="shared" si="0"/>
        <v>5.3174114791587677</v>
      </c>
    </row>
    <row r="19" spans="1:5" x14ac:dyDescent="0.4">
      <c r="A19" s="3">
        <v>45525</v>
      </c>
      <c r="B19" s="2" t="s">
        <v>3</v>
      </c>
      <c r="C19" s="2">
        <v>685.6</v>
      </c>
      <c r="D19" s="26">
        <f t="shared" si="1"/>
        <v>1.869763708929768E-2</v>
      </c>
      <c r="E19" s="27">
        <f t="shared" si="0"/>
        <v>4.7118045465030152</v>
      </c>
    </row>
    <row r="20" spans="1:5" x14ac:dyDescent="0.4">
      <c r="A20" s="3">
        <v>45526</v>
      </c>
      <c r="B20" s="2" t="s">
        <v>3</v>
      </c>
      <c r="C20" s="2">
        <v>685.55</v>
      </c>
      <c r="D20" s="26">
        <f t="shared" si="1"/>
        <v>-7.2931480906164836E-5</v>
      </c>
      <c r="E20" s="27">
        <f t="shared" si="0"/>
        <v>-1.8378733188353539E-2</v>
      </c>
    </row>
    <row r="21" spans="1:5" x14ac:dyDescent="0.4">
      <c r="A21" s="3">
        <v>45527</v>
      </c>
      <c r="B21" s="2" t="s">
        <v>3</v>
      </c>
      <c r="C21" s="2">
        <v>685.1</v>
      </c>
      <c r="D21" s="26">
        <f t="shared" si="1"/>
        <v>-6.5662279381054024E-4</v>
      </c>
      <c r="E21" s="27">
        <f t="shared" si="0"/>
        <v>-0.16546894404025614</v>
      </c>
    </row>
    <row r="22" spans="1:5" x14ac:dyDescent="0.4">
      <c r="A22" s="3">
        <v>45530</v>
      </c>
      <c r="B22" s="2" t="s">
        <v>3</v>
      </c>
      <c r="C22" s="2">
        <v>711.85</v>
      </c>
      <c r="D22" s="26">
        <f t="shared" si="1"/>
        <v>3.8302402050901373E-2</v>
      </c>
      <c r="E22" s="27">
        <f t="shared" si="0"/>
        <v>9.6522053168271462</v>
      </c>
    </row>
    <row r="23" spans="1:5" x14ac:dyDescent="0.4">
      <c r="A23" s="3">
        <v>45531</v>
      </c>
      <c r="B23" s="2" t="s">
        <v>3</v>
      </c>
      <c r="C23" s="2">
        <v>703.5</v>
      </c>
      <c r="D23" s="26">
        <f t="shared" si="1"/>
        <v>-1.1799338505311096E-2</v>
      </c>
      <c r="E23" s="27">
        <f t="shared" si="0"/>
        <v>-2.9734333033383962</v>
      </c>
    </row>
    <row r="24" spans="1:5" x14ac:dyDescent="0.4">
      <c r="A24" s="3">
        <v>45532</v>
      </c>
      <c r="B24" s="2" t="s">
        <v>3</v>
      </c>
      <c r="C24" s="2">
        <v>705.05</v>
      </c>
      <c r="D24" s="26">
        <f t="shared" si="1"/>
        <v>2.2008457287952077E-3</v>
      </c>
      <c r="E24" s="27">
        <f t="shared" si="0"/>
        <v>0.55461312365639237</v>
      </c>
    </row>
    <row r="25" spans="1:5" x14ac:dyDescent="0.4">
      <c r="A25" s="3">
        <v>45533</v>
      </c>
      <c r="B25" s="2" t="s">
        <v>3</v>
      </c>
      <c r="C25" s="2">
        <v>700.5</v>
      </c>
      <c r="D25" s="26">
        <f t="shared" si="1"/>
        <v>-6.4743565061773636E-3</v>
      </c>
      <c r="E25" s="27">
        <f t="shared" si="0"/>
        <v>-1.6315378395566957</v>
      </c>
    </row>
    <row r="26" spans="1:5" x14ac:dyDescent="0.4">
      <c r="A26" s="3">
        <v>45534</v>
      </c>
      <c r="B26" s="2" t="s">
        <v>3</v>
      </c>
      <c r="C26" s="2">
        <v>701.35</v>
      </c>
      <c r="D26" s="26">
        <f t="shared" si="1"/>
        <v>1.2126833886187917E-3</v>
      </c>
      <c r="E26" s="27">
        <f t="shared" si="0"/>
        <v>0.30559621393193548</v>
      </c>
    </row>
    <row r="27" spans="1:5" x14ac:dyDescent="0.4">
      <c r="A27" s="3">
        <v>45537</v>
      </c>
      <c r="B27" s="2" t="s">
        <v>3</v>
      </c>
      <c r="C27" s="2">
        <v>683.9</v>
      </c>
      <c r="D27" s="26">
        <f t="shared" si="1"/>
        <v>-2.5195341061630114E-2</v>
      </c>
      <c r="E27" s="27">
        <f t="shared" si="0"/>
        <v>-6.3492259475307886</v>
      </c>
    </row>
    <row r="28" spans="1:5" x14ac:dyDescent="0.4">
      <c r="A28" s="3">
        <v>45538</v>
      </c>
      <c r="B28" s="2" t="s">
        <v>3</v>
      </c>
      <c r="C28" s="2">
        <v>678.9</v>
      </c>
      <c r="D28" s="26">
        <f t="shared" si="1"/>
        <v>-7.3378667964489677E-3</v>
      </c>
      <c r="E28" s="27">
        <f t="shared" si="0"/>
        <v>-1.8491424327051398</v>
      </c>
    </row>
    <row r="29" spans="1:5" x14ac:dyDescent="0.4">
      <c r="A29" s="3">
        <v>45539</v>
      </c>
      <c r="B29" s="2" t="s">
        <v>3</v>
      </c>
      <c r="C29" s="2">
        <v>666.8</v>
      </c>
      <c r="D29" s="26">
        <f t="shared" si="1"/>
        <v>-1.7983690430962457E-2</v>
      </c>
      <c r="E29" s="27">
        <f t="shared" si="0"/>
        <v>-4.531889988602539</v>
      </c>
    </row>
    <row r="30" spans="1:5" x14ac:dyDescent="0.4">
      <c r="A30" s="3">
        <v>45540</v>
      </c>
      <c r="B30" s="2" t="s">
        <v>3</v>
      </c>
      <c r="C30" s="2">
        <v>669.95</v>
      </c>
      <c r="D30" s="26">
        <f t="shared" si="1"/>
        <v>4.7129318579781122E-3</v>
      </c>
      <c r="E30" s="27">
        <f t="shared" si="0"/>
        <v>1.1876588282104843</v>
      </c>
    </row>
    <row r="31" spans="1:5" x14ac:dyDescent="0.4">
      <c r="A31" s="3">
        <v>45541</v>
      </c>
      <c r="B31" s="2" t="s">
        <v>3</v>
      </c>
      <c r="C31" s="2">
        <v>667.1</v>
      </c>
      <c r="D31" s="26">
        <f t="shared" si="1"/>
        <v>-4.263123019147292E-3</v>
      </c>
      <c r="E31" s="27">
        <f t="shared" si="0"/>
        <v>-1.0743070008251177</v>
      </c>
    </row>
    <row r="32" spans="1:5" x14ac:dyDescent="0.4">
      <c r="A32" s="3">
        <v>45544</v>
      </c>
      <c r="B32" s="2" t="s">
        <v>3</v>
      </c>
      <c r="C32" s="2">
        <v>658.55</v>
      </c>
      <c r="D32" s="26">
        <f t="shared" si="1"/>
        <v>-1.2899511270414369E-2</v>
      </c>
      <c r="E32" s="27">
        <f t="shared" si="0"/>
        <v>-3.250676840144421</v>
      </c>
    </row>
    <row r="33" spans="1:5" x14ac:dyDescent="0.4">
      <c r="A33" s="3">
        <v>45545</v>
      </c>
      <c r="B33" s="2" t="s">
        <v>3</v>
      </c>
      <c r="C33" s="2">
        <v>659.5</v>
      </c>
      <c r="D33" s="26">
        <f t="shared" si="1"/>
        <v>1.4415237123138237E-3</v>
      </c>
      <c r="E33" s="27">
        <f t="shared" si="0"/>
        <v>0.36326397550308359</v>
      </c>
    </row>
    <row r="34" spans="1:5" x14ac:dyDescent="0.4">
      <c r="A34" s="3">
        <v>45546</v>
      </c>
      <c r="B34" s="2" t="s">
        <v>3</v>
      </c>
      <c r="C34" s="2">
        <v>647.70000000000005</v>
      </c>
      <c r="D34" s="26">
        <f t="shared" si="1"/>
        <v>-1.805434596849784E-2</v>
      </c>
      <c r="E34" s="27">
        <f t="shared" si="0"/>
        <v>-4.5496951840614557</v>
      </c>
    </row>
    <row r="35" spans="1:5" x14ac:dyDescent="0.4">
      <c r="A35" s="3">
        <v>45547</v>
      </c>
      <c r="B35" s="2" t="s">
        <v>3</v>
      </c>
      <c r="C35" s="2">
        <v>676.2</v>
      </c>
      <c r="D35" s="26">
        <f t="shared" si="1"/>
        <v>4.3061264084914272E-2</v>
      </c>
      <c r="E35" s="27">
        <f t="shared" si="0"/>
        <v>10.851438549398397</v>
      </c>
    </row>
    <row r="36" spans="1:5" x14ac:dyDescent="0.4">
      <c r="A36" s="3">
        <v>45548</v>
      </c>
      <c r="B36" s="2" t="s">
        <v>3</v>
      </c>
      <c r="C36" s="2">
        <v>673.25</v>
      </c>
      <c r="D36" s="26">
        <f t="shared" si="1"/>
        <v>-4.3721585820774228E-3</v>
      </c>
      <c r="E36" s="27">
        <f t="shared" si="0"/>
        <v>-1.1017839626835106</v>
      </c>
    </row>
    <row r="37" spans="1:5" x14ac:dyDescent="0.4">
      <c r="A37" s="3">
        <v>45551</v>
      </c>
      <c r="B37" s="2" t="s">
        <v>3</v>
      </c>
      <c r="C37" s="2">
        <v>685.15</v>
      </c>
      <c r="D37" s="26">
        <f t="shared" si="1"/>
        <v>1.752106070050163E-2</v>
      </c>
      <c r="E37" s="27">
        <f t="shared" si="0"/>
        <v>4.4153072965264109</v>
      </c>
    </row>
    <row r="38" spans="1:5" x14ac:dyDescent="0.4">
      <c r="A38" s="3">
        <v>45552</v>
      </c>
      <c r="B38" s="2" t="s">
        <v>3</v>
      </c>
      <c r="C38" s="2">
        <v>683</v>
      </c>
      <c r="D38" s="26">
        <f t="shared" si="1"/>
        <v>-3.1429328214198976E-3</v>
      </c>
      <c r="E38" s="27">
        <f t="shared" si="0"/>
        <v>-0.79201907099781421</v>
      </c>
    </row>
    <row r="39" spans="1:5" x14ac:dyDescent="0.4">
      <c r="A39" s="3">
        <v>45553</v>
      </c>
      <c r="B39" s="2" t="s">
        <v>3</v>
      </c>
      <c r="C39" s="2">
        <v>685.25</v>
      </c>
      <c r="D39" s="26">
        <f t="shared" si="1"/>
        <v>3.288875612105144E-3</v>
      </c>
      <c r="E39" s="27">
        <f t="shared" si="0"/>
        <v>0.82879665425049631</v>
      </c>
    </row>
    <row r="40" spans="1:5" x14ac:dyDescent="0.4">
      <c r="A40" s="3">
        <v>45554</v>
      </c>
      <c r="B40" s="2" t="s">
        <v>3</v>
      </c>
      <c r="C40" s="2">
        <v>684.2</v>
      </c>
      <c r="D40" s="26">
        <f t="shared" si="1"/>
        <v>-1.5334626393908469E-3</v>
      </c>
      <c r="E40" s="27">
        <f t="shared" si="0"/>
        <v>-0.38643258512649342</v>
      </c>
    </row>
    <row r="41" spans="1:5" x14ac:dyDescent="0.4">
      <c r="A41" s="3">
        <v>45555</v>
      </c>
      <c r="B41" s="2" t="s">
        <v>3</v>
      </c>
      <c r="C41" s="2">
        <v>694.4</v>
      </c>
      <c r="D41" s="26">
        <f t="shared" si="1"/>
        <v>1.4797890802636044E-2</v>
      </c>
      <c r="E41" s="27">
        <f t="shared" si="0"/>
        <v>3.729068482264283</v>
      </c>
    </row>
    <row r="42" spans="1:5" x14ac:dyDescent="0.4">
      <c r="A42" s="3">
        <v>45558</v>
      </c>
      <c r="B42" s="2" t="s">
        <v>3</v>
      </c>
      <c r="C42" s="2">
        <v>690.55</v>
      </c>
      <c r="D42" s="26">
        <f t="shared" si="1"/>
        <v>-5.5597818222028212E-3</v>
      </c>
      <c r="E42" s="27">
        <f t="shared" si="0"/>
        <v>-1.4010650191951108</v>
      </c>
    </row>
    <row r="43" spans="1:5" x14ac:dyDescent="0.4">
      <c r="A43" s="3">
        <v>45559</v>
      </c>
      <c r="B43" s="2" t="s">
        <v>3</v>
      </c>
      <c r="C43" s="2">
        <v>717.85</v>
      </c>
      <c r="D43" s="26">
        <f t="shared" si="1"/>
        <v>3.8772252049765338E-2</v>
      </c>
      <c r="E43" s="27">
        <f t="shared" si="0"/>
        <v>9.7706075165408652</v>
      </c>
    </row>
    <row r="44" spans="1:5" x14ac:dyDescent="0.4">
      <c r="A44" s="3">
        <v>45560</v>
      </c>
      <c r="B44" s="2" t="s">
        <v>3</v>
      </c>
      <c r="C44" s="2">
        <v>718.45</v>
      </c>
      <c r="D44" s="26">
        <f t="shared" si="1"/>
        <v>8.3548010151275891E-4</v>
      </c>
      <c r="E44" s="27">
        <f t="shared" si="0"/>
        <v>0.21054098558121526</v>
      </c>
    </row>
    <row r="45" spans="1:5" x14ac:dyDescent="0.4">
      <c r="A45" s="3">
        <v>45561</v>
      </c>
      <c r="B45" s="2" t="s">
        <v>3</v>
      </c>
      <c r="C45" s="2">
        <v>734.65</v>
      </c>
      <c r="D45" s="26">
        <f t="shared" si="1"/>
        <v>2.2298081646739493E-2</v>
      </c>
      <c r="E45" s="27">
        <f t="shared" si="0"/>
        <v>5.619116574978352</v>
      </c>
    </row>
    <row r="46" spans="1:5" x14ac:dyDescent="0.4">
      <c r="A46" s="3">
        <v>45562</v>
      </c>
      <c r="B46" s="2" t="s">
        <v>3</v>
      </c>
      <c r="C46" s="2">
        <v>747.15</v>
      </c>
      <c r="D46" s="26">
        <f t="shared" si="1"/>
        <v>1.6871772865446787E-2</v>
      </c>
      <c r="E46" s="27">
        <f t="shared" si="0"/>
        <v>4.2516867620925902</v>
      </c>
    </row>
    <row r="47" spans="1:5" x14ac:dyDescent="0.4">
      <c r="A47" s="3">
        <v>45565</v>
      </c>
      <c r="B47" s="2" t="s">
        <v>3</v>
      </c>
      <c r="C47" s="2">
        <v>756.2</v>
      </c>
      <c r="D47" s="26">
        <f t="shared" si="1"/>
        <v>1.2039923269430415E-2</v>
      </c>
      <c r="E47" s="27">
        <f t="shared" si="0"/>
        <v>3.0340606638964647</v>
      </c>
    </row>
    <row r="48" spans="1:5" x14ac:dyDescent="0.4">
      <c r="A48" s="3">
        <v>45566</v>
      </c>
      <c r="B48" s="2" t="s">
        <v>3</v>
      </c>
      <c r="C48" s="2">
        <v>761.55</v>
      </c>
      <c r="D48" s="26">
        <f t="shared" si="1"/>
        <v>7.0499386046804918E-3</v>
      </c>
      <c r="E48" s="27">
        <f t="shared" si="0"/>
        <v>1.7765845283794839</v>
      </c>
    </row>
    <row r="49" spans="1:5" x14ac:dyDescent="0.4">
      <c r="A49" s="3">
        <v>45568</v>
      </c>
      <c r="B49" s="2" t="s">
        <v>3</v>
      </c>
      <c r="C49" s="2">
        <v>747.1</v>
      </c>
      <c r="D49" s="26">
        <f t="shared" si="1"/>
        <v>-1.9156785079757377E-2</v>
      </c>
      <c r="E49" s="27">
        <f t="shared" si="0"/>
        <v>-4.827509840098859</v>
      </c>
    </row>
    <row r="50" spans="1:5" x14ac:dyDescent="0.4">
      <c r="A50" s="3">
        <v>45569</v>
      </c>
      <c r="B50" s="2" t="s">
        <v>3</v>
      </c>
      <c r="C50" s="2">
        <v>747.9</v>
      </c>
      <c r="D50" s="26">
        <f t="shared" si="1"/>
        <v>1.0702342158663575E-3</v>
      </c>
      <c r="E50" s="27">
        <f t="shared" si="0"/>
        <v>0.26969902239832211</v>
      </c>
    </row>
    <row r="51" spans="1:5" x14ac:dyDescent="0.4">
      <c r="A51" s="3">
        <v>45572</v>
      </c>
      <c r="B51" s="2" t="s">
        <v>3</v>
      </c>
      <c r="C51" s="2">
        <v>731.3</v>
      </c>
      <c r="D51" s="26">
        <f t="shared" si="1"/>
        <v>-2.2445506920716462E-2</v>
      </c>
      <c r="E51" s="27">
        <f t="shared" si="0"/>
        <v>-5.656267744020548</v>
      </c>
    </row>
    <row r="52" spans="1:5" x14ac:dyDescent="0.4">
      <c r="A52" s="3">
        <v>45573</v>
      </c>
      <c r="B52" s="2" t="s">
        <v>3</v>
      </c>
      <c r="C52" s="2">
        <v>721.8</v>
      </c>
      <c r="D52" s="26">
        <f t="shared" si="1"/>
        <v>-1.3075680068217299E-2</v>
      </c>
      <c r="E52" s="27">
        <f t="shared" si="0"/>
        <v>-3.2950713771907596</v>
      </c>
    </row>
    <row r="53" spans="1:5" x14ac:dyDescent="0.4">
      <c r="A53" s="3">
        <v>45574</v>
      </c>
      <c r="B53" s="2" t="s">
        <v>3</v>
      </c>
      <c r="C53" s="2">
        <v>727.55</v>
      </c>
      <c r="D53" s="26">
        <f t="shared" si="1"/>
        <v>7.9346329975995278E-3</v>
      </c>
      <c r="E53" s="27">
        <f t="shared" si="0"/>
        <v>1.9995275153950809</v>
      </c>
    </row>
    <row r="54" spans="1:5" x14ac:dyDescent="0.4">
      <c r="A54" s="3">
        <v>45575</v>
      </c>
      <c r="B54" s="2" t="s">
        <v>3</v>
      </c>
      <c r="C54" s="2">
        <v>730.15</v>
      </c>
      <c r="D54" s="26">
        <f t="shared" si="1"/>
        <v>3.5672672801928393E-3</v>
      </c>
      <c r="E54" s="27">
        <f t="shared" si="0"/>
        <v>0.89895135460859554</v>
      </c>
    </row>
    <row r="55" spans="1:5" x14ac:dyDescent="0.4">
      <c r="A55" s="3">
        <v>45576</v>
      </c>
      <c r="B55" s="2" t="s">
        <v>3</v>
      </c>
      <c r="C55" s="2">
        <v>747.35</v>
      </c>
      <c r="D55" s="26">
        <f t="shared" si="1"/>
        <v>2.3283623745343238E-2</v>
      </c>
      <c r="E55" s="27">
        <f t="shared" si="0"/>
        <v>5.8674731838264957</v>
      </c>
    </row>
    <row r="56" spans="1:5" x14ac:dyDescent="0.4">
      <c r="A56" s="3">
        <v>45579</v>
      </c>
      <c r="B56" s="2" t="s">
        <v>3</v>
      </c>
      <c r="C56" s="2">
        <v>743</v>
      </c>
      <c r="D56" s="26">
        <f t="shared" si="1"/>
        <v>-5.8375715140644158E-3</v>
      </c>
      <c r="E56" s="27">
        <f t="shared" si="0"/>
        <v>-1.4710680215442329</v>
      </c>
    </row>
    <row r="57" spans="1:5" x14ac:dyDescent="0.4">
      <c r="A57" s="3">
        <v>45580</v>
      </c>
      <c r="B57" s="2" t="s">
        <v>3</v>
      </c>
      <c r="C57" s="2">
        <v>726.95</v>
      </c>
      <c r="D57" s="26">
        <f t="shared" si="1"/>
        <v>-2.1838345340324458E-2</v>
      </c>
      <c r="E57" s="27">
        <f t="shared" si="0"/>
        <v>-5.5032630257617638</v>
      </c>
    </row>
    <row r="58" spans="1:5" x14ac:dyDescent="0.4">
      <c r="A58" s="3">
        <v>45581</v>
      </c>
      <c r="B58" s="2" t="s">
        <v>3</v>
      </c>
      <c r="C58" s="2">
        <v>733.1</v>
      </c>
      <c r="D58" s="26">
        <f t="shared" si="1"/>
        <v>8.4244188521062323E-3</v>
      </c>
      <c r="E58" s="27">
        <f t="shared" si="0"/>
        <v>2.1229535507307706</v>
      </c>
    </row>
    <row r="59" spans="1:5" x14ac:dyDescent="0.4">
      <c r="A59" s="3">
        <v>45582</v>
      </c>
      <c r="B59" s="2" t="s">
        <v>3</v>
      </c>
      <c r="C59" s="2">
        <v>734.8</v>
      </c>
      <c r="D59" s="26">
        <f t="shared" si="1"/>
        <v>2.3162351114295078E-3</v>
      </c>
      <c r="E59" s="27">
        <f t="shared" si="0"/>
        <v>0.58369124808023598</v>
      </c>
    </row>
    <row r="60" spans="1:5" x14ac:dyDescent="0.4">
      <c r="A60" s="3">
        <v>45583</v>
      </c>
      <c r="B60" s="2" t="s">
        <v>3</v>
      </c>
      <c r="C60" s="2">
        <v>753.5</v>
      </c>
      <c r="D60" s="26">
        <f t="shared" si="1"/>
        <v>2.5130664725579732E-2</v>
      </c>
      <c r="E60" s="27">
        <f t="shared" si="0"/>
        <v>6.3329275108460923</v>
      </c>
    </row>
    <row r="61" spans="1:5" x14ac:dyDescent="0.4">
      <c r="A61" s="3">
        <v>45586</v>
      </c>
      <c r="B61" s="2" t="s">
        <v>3</v>
      </c>
      <c r="C61" s="2">
        <v>739.6</v>
      </c>
      <c r="D61" s="26">
        <f t="shared" si="1"/>
        <v>-1.8619518553580371E-2</v>
      </c>
      <c r="E61" s="27">
        <f t="shared" si="0"/>
        <v>-4.692118675502253</v>
      </c>
    </row>
    <row r="62" spans="1:5" x14ac:dyDescent="0.4">
      <c r="A62" s="3">
        <v>45587</v>
      </c>
      <c r="B62" s="2" t="s">
        <v>3</v>
      </c>
      <c r="C62" s="2">
        <v>720.25</v>
      </c>
      <c r="D62" s="26">
        <f t="shared" si="1"/>
        <v>-2.6511125548331967E-2</v>
      </c>
      <c r="E62" s="27">
        <f t="shared" si="0"/>
        <v>-6.6808036381796558</v>
      </c>
    </row>
    <row r="63" spans="1:5" x14ac:dyDescent="0.4">
      <c r="A63" s="3">
        <v>45588</v>
      </c>
      <c r="B63" s="2" t="s">
        <v>3</v>
      </c>
      <c r="C63" s="2">
        <v>717.1</v>
      </c>
      <c r="D63" s="26">
        <f t="shared" si="1"/>
        <v>-4.3830730761086692E-3</v>
      </c>
      <c r="E63" s="27">
        <f t="shared" si="0"/>
        <v>-1.1045344151793846</v>
      </c>
    </row>
    <row r="64" spans="1:5" x14ac:dyDescent="0.4">
      <c r="A64" s="3">
        <v>45589</v>
      </c>
      <c r="B64" s="2" t="s">
        <v>3</v>
      </c>
      <c r="C64" s="2">
        <v>690.7</v>
      </c>
      <c r="D64" s="26">
        <f t="shared" si="1"/>
        <v>-3.7509724793601942E-2</v>
      </c>
      <c r="E64" s="27">
        <f t="shared" si="0"/>
        <v>-9.4524506479876891</v>
      </c>
    </row>
    <row r="65" spans="1:5" x14ac:dyDescent="0.4">
      <c r="A65" s="3">
        <v>45590</v>
      </c>
      <c r="B65" s="2" t="s">
        <v>3</v>
      </c>
      <c r="C65" s="2">
        <v>678.75</v>
      </c>
      <c r="D65" s="26">
        <f t="shared" si="1"/>
        <v>-1.7452704846782092E-2</v>
      </c>
      <c r="E65" s="27">
        <f t="shared" si="0"/>
        <v>-4.3980816213890872</v>
      </c>
    </row>
    <row r="66" spans="1:5" x14ac:dyDescent="0.4">
      <c r="A66" s="3">
        <v>45593</v>
      </c>
      <c r="B66" s="2" t="s">
        <v>3</v>
      </c>
      <c r="C66" s="2">
        <v>692.9</v>
      </c>
      <c r="D66" s="26">
        <f t="shared" si="1"/>
        <v>2.0632817385190395E-2</v>
      </c>
      <c r="E66" s="27">
        <f t="shared" si="0"/>
        <v>5.1994699810679794</v>
      </c>
    </row>
    <row r="67" spans="1:5" x14ac:dyDescent="0.4">
      <c r="A67" s="3">
        <v>45594</v>
      </c>
      <c r="B67" s="2" t="s">
        <v>3</v>
      </c>
      <c r="C67" s="2">
        <v>693.6</v>
      </c>
      <c r="D67" s="26">
        <f t="shared" si="1"/>
        <v>1.0097368329964986E-3</v>
      </c>
      <c r="E67" s="27">
        <f t="shared" ref="E67:E130" si="2">D67*252</f>
        <v>0.25445368191511764</v>
      </c>
    </row>
    <row r="68" spans="1:5" x14ac:dyDescent="0.4">
      <c r="A68" s="3">
        <v>45595</v>
      </c>
      <c r="B68" s="2" t="s">
        <v>3</v>
      </c>
      <c r="C68" s="2">
        <v>688.4</v>
      </c>
      <c r="D68" s="26">
        <f t="shared" ref="D68:D131" si="3">LN(C68/C67)</f>
        <v>-7.5253611289478215E-3</v>
      </c>
      <c r="E68" s="27">
        <f t="shared" si="2"/>
        <v>-1.8963910044948511</v>
      </c>
    </row>
    <row r="69" spans="1:5" x14ac:dyDescent="0.4">
      <c r="A69" s="3">
        <v>45596</v>
      </c>
      <c r="B69" s="2" t="s">
        <v>3</v>
      </c>
      <c r="C69" s="2">
        <v>686.05</v>
      </c>
      <c r="D69" s="26">
        <f t="shared" si="3"/>
        <v>-3.4195529702002068E-3</v>
      </c>
      <c r="E69" s="27">
        <f t="shared" si="2"/>
        <v>-0.86172734849045207</v>
      </c>
    </row>
    <row r="70" spans="1:5" x14ac:dyDescent="0.4">
      <c r="A70" s="3">
        <v>45597</v>
      </c>
      <c r="B70" s="2" t="s">
        <v>3</v>
      </c>
      <c r="C70" s="2">
        <v>690.9</v>
      </c>
      <c r="D70" s="26">
        <f t="shared" si="3"/>
        <v>7.0445841275649443E-3</v>
      </c>
      <c r="E70" s="27">
        <f t="shared" si="2"/>
        <v>1.775235200146366</v>
      </c>
    </row>
    <row r="71" spans="1:5" x14ac:dyDescent="0.4">
      <c r="A71" s="3">
        <v>45600</v>
      </c>
      <c r="B71" s="2" t="s">
        <v>3</v>
      </c>
      <c r="C71" s="2">
        <v>674.3</v>
      </c>
      <c r="D71" s="26">
        <f t="shared" si="3"/>
        <v>-2.4319979754212944E-2</v>
      </c>
      <c r="E71" s="27">
        <f t="shared" si="2"/>
        <v>-6.1286348980616623</v>
      </c>
    </row>
    <row r="72" spans="1:5" x14ac:dyDescent="0.4">
      <c r="A72" s="3">
        <v>45601</v>
      </c>
      <c r="B72" s="2" t="s">
        <v>3</v>
      </c>
      <c r="C72" s="2">
        <v>697.55</v>
      </c>
      <c r="D72" s="26">
        <f t="shared" si="3"/>
        <v>3.3899079973580874E-2</v>
      </c>
      <c r="E72" s="27">
        <f t="shared" si="2"/>
        <v>8.5425681533423798</v>
      </c>
    </row>
    <row r="73" spans="1:5" x14ac:dyDescent="0.4">
      <c r="A73" s="3">
        <v>45602</v>
      </c>
      <c r="B73" s="2" t="s">
        <v>3</v>
      </c>
      <c r="C73" s="2">
        <v>708.2</v>
      </c>
      <c r="D73" s="26">
        <f t="shared" si="3"/>
        <v>1.5152343963686542E-2</v>
      </c>
      <c r="E73" s="27">
        <f t="shared" si="2"/>
        <v>3.8183906788490085</v>
      </c>
    </row>
    <row r="74" spans="1:5" x14ac:dyDescent="0.4">
      <c r="A74" s="3">
        <v>45603</v>
      </c>
      <c r="B74" s="2" t="s">
        <v>3</v>
      </c>
      <c r="C74" s="2">
        <v>648.1</v>
      </c>
      <c r="D74" s="26">
        <f t="shared" si="3"/>
        <v>-8.8681534244133137E-2</v>
      </c>
      <c r="E74" s="27">
        <f t="shared" si="2"/>
        <v>-22.347746629521552</v>
      </c>
    </row>
    <row r="75" spans="1:5" x14ac:dyDescent="0.4">
      <c r="A75" s="3">
        <v>45604</v>
      </c>
      <c r="B75" s="2" t="s">
        <v>3</v>
      </c>
      <c r="C75" s="2">
        <v>650.45000000000005</v>
      </c>
      <c r="D75" s="26">
        <f t="shared" si="3"/>
        <v>3.61942561389783E-3</v>
      </c>
      <c r="E75" s="27">
        <f t="shared" si="2"/>
        <v>0.91209525470225317</v>
      </c>
    </row>
    <row r="76" spans="1:5" x14ac:dyDescent="0.4">
      <c r="A76" s="3">
        <v>45607</v>
      </c>
      <c r="B76" s="2" t="s">
        <v>3</v>
      </c>
      <c r="C76" s="2">
        <v>655.35</v>
      </c>
      <c r="D76" s="26">
        <f t="shared" si="3"/>
        <v>7.5050130179863984E-3</v>
      </c>
      <c r="E76" s="27">
        <f t="shared" si="2"/>
        <v>1.8912632805325724</v>
      </c>
    </row>
    <row r="77" spans="1:5" x14ac:dyDescent="0.4">
      <c r="A77" s="3">
        <v>45608</v>
      </c>
      <c r="B77" s="2" t="s">
        <v>3</v>
      </c>
      <c r="C77" s="2">
        <v>651.65</v>
      </c>
      <c r="D77" s="26">
        <f t="shared" si="3"/>
        <v>-5.6618360888258815E-3</v>
      </c>
      <c r="E77" s="27">
        <f t="shared" si="2"/>
        <v>-1.4267826943841222</v>
      </c>
    </row>
    <row r="78" spans="1:5" x14ac:dyDescent="0.4">
      <c r="A78" s="3">
        <v>45609</v>
      </c>
      <c r="B78" s="2" t="s">
        <v>3</v>
      </c>
      <c r="C78" s="2">
        <v>626.6</v>
      </c>
      <c r="D78" s="26">
        <f t="shared" si="3"/>
        <v>-3.9199229458637304E-2</v>
      </c>
      <c r="E78" s="27">
        <f t="shared" si="2"/>
        <v>-9.8782058235766002</v>
      </c>
    </row>
    <row r="79" spans="1:5" x14ac:dyDescent="0.4">
      <c r="A79" s="3">
        <v>45610</v>
      </c>
      <c r="B79" s="2" t="s">
        <v>3</v>
      </c>
      <c r="C79" s="2">
        <v>627.35</v>
      </c>
      <c r="D79" s="26">
        <f t="shared" si="3"/>
        <v>1.1962200876173713E-3</v>
      </c>
      <c r="E79" s="27">
        <f t="shared" si="2"/>
        <v>0.30144746207957757</v>
      </c>
    </row>
    <row r="80" spans="1:5" x14ac:dyDescent="0.4">
      <c r="A80" s="3">
        <v>45614</v>
      </c>
      <c r="B80" s="2" t="s">
        <v>3</v>
      </c>
      <c r="C80" s="2">
        <v>651.04999999999995</v>
      </c>
      <c r="D80" s="26">
        <f t="shared" si="3"/>
        <v>3.7081845569028438E-2</v>
      </c>
      <c r="E80" s="27">
        <f t="shared" si="2"/>
        <v>9.344625083395167</v>
      </c>
    </row>
    <row r="81" spans="1:5" x14ac:dyDescent="0.4">
      <c r="A81" s="3">
        <v>45615</v>
      </c>
      <c r="B81" s="2" t="s">
        <v>3</v>
      </c>
      <c r="C81" s="2">
        <v>640</v>
      </c>
      <c r="D81" s="26">
        <f t="shared" si="3"/>
        <v>-1.711826782101971E-2</v>
      </c>
      <c r="E81" s="27">
        <f t="shared" si="2"/>
        <v>-4.3138034908969667</v>
      </c>
    </row>
    <row r="82" spans="1:5" x14ac:dyDescent="0.4">
      <c r="A82" s="3">
        <v>45617</v>
      </c>
      <c r="B82" s="2" t="s">
        <v>3</v>
      </c>
      <c r="C82" s="2">
        <v>648.04999999999995</v>
      </c>
      <c r="D82" s="26">
        <f t="shared" si="3"/>
        <v>1.2499677515666418E-2</v>
      </c>
      <c r="E82" s="27">
        <f t="shared" si="2"/>
        <v>3.1499187339479375</v>
      </c>
    </row>
    <row r="83" spans="1:5" x14ac:dyDescent="0.4">
      <c r="A83" s="3">
        <v>45618</v>
      </c>
      <c r="B83" s="2" t="s">
        <v>3</v>
      </c>
      <c r="C83" s="2">
        <v>652.1</v>
      </c>
      <c r="D83" s="26">
        <f t="shared" si="3"/>
        <v>6.2300705297726761E-3</v>
      </c>
      <c r="E83" s="27">
        <f t="shared" si="2"/>
        <v>1.5699777735027143</v>
      </c>
    </row>
    <row r="84" spans="1:5" x14ac:dyDescent="0.4">
      <c r="A84" s="3">
        <v>45621</v>
      </c>
      <c r="B84" s="2" t="s">
        <v>3</v>
      </c>
      <c r="C84" s="2">
        <v>659.85</v>
      </c>
      <c r="D84" s="26">
        <f t="shared" si="3"/>
        <v>1.1814612063681958E-2</v>
      </c>
      <c r="E84" s="27">
        <f t="shared" si="2"/>
        <v>2.9772822400478534</v>
      </c>
    </row>
    <row r="85" spans="1:5" x14ac:dyDescent="0.4">
      <c r="A85" s="3">
        <v>45622</v>
      </c>
      <c r="B85" s="2" t="s">
        <v>3</v>
      </c>
      <c r="C85" s="2">
        <v>666.1</v>
      </c>
      <c r="D85" s="26">
        <f t="shared" si="3"/>
        <v>9.4272729562952622E-3</v>
      </c>
      <c r="E85" s="27">
        <f t="shared" si="2"/>
        <v>2.3756727849864059</v>
      </c>
    </row>
    <row r="86" spans="1:5" x14ac:dyDescent="0.4">
      <c r="A86" s="3">
        <v>45623</v>
      </c>
      <c r="B86" s="2" t="s">
        <v>3</v>
      </c>
      <c r="C86" s="2">
        <v>661.1</v>
      </c>
      <c r="D86" s="26">
        <f t="shared" si="3"/>
        <v>-7.5346950796012771E-3</v>
      </c>
      <c r="E86" s="27">
        <f t="shared" si="2"/>
        <v>-1.8987431600595219</v>
      </c>
    </row>
    <row r="87" spans="1:5" x14ac:dyDescent="0.4">
      <c r="A87" s="3">
        <v>45624</v>
      </c>
      <c r="B87" s="2" t="s">
        <v>3</v>
      </c>
      <c r="C87" s="2">
        <v>650.25</v>
      </c>
      <c r="D87" s="26">
        <f t="shared" si="3"/>
        <v>-1.6548210010771499E-2</v>
      </c>
      <c r="E87" s="27">
        <f t="shared" si="2"/>
        <v>-4.1701489227144179</v>
      </c>
    </row>
    <row r="88" spans="1:5" x14ac:dyDescent="0.4">
      <c r="A88" s="3">
        <v>45625</v>
      </c>
      <c r="B88" s="2" t="s">
        <v>3</v>
      </c>
      <c r="C88" s="2">
        <v>656.2</v>
      </c>
      <c r="D88" s="26">
        <f t="shared" si="3"/>
        <v>9.1087161982403003E-3</v>
      </c>
      <c r="E88" s="27">
        <f t="shared" si="2"/>
        <v>2.2953964819565558</v>
      </c>
    </row>
    <row r="89" spans="1:5" x14ac:dyDescent="0.4">
      <c r="A89" s="3">
        <v>45628</v>
      </c>
      <c r="B89" s="2" t="s">
        <v>3</v>
      </c>
      <c r="C89" s="2">
        <v>662.6</v>
      </c>
      <c r="D89" s="26">
        <f t="shared" si="3"/>
        <v>9.705869338794108E-3</v>
      </c>
      <c r="E89" s="27">
        <f t="shared" si="2"/>
        <v>2.4458790733761151</v>
      </c>
    </row>
    <row r="90" spans="1:5" x14ac:dyDescent="0.4">
      <c r="A90" s="3">
        <v>45629</v>
      </c>
      <c r="B90" s="2" t="s">
        <v>3</v>
      </c>
      <c r="C90" s="2">
        <v>667.55</v>
      </c>
      <c r="D90" s="26">
        <f t="shared" si="3"/>
        <v>7.4428039703083142E-3</v>
      </c>
      <c r="E90" s="27">
        <f t="shared" si="2"/>
        <v>1.8755866005176951</v>
      </c>
    </row>
    <row r="91" spans="1:5" x14ac:dyDescent="0.4">
      <c r="A91" s="3">
        <v>45630</v>
      </c>
      <c r="B91" s="2" t="s">
        <v>3</v>
      </c>
      <c r="C91" s="2">
        <v>663.05</v>
      </c>
      <c r="D91" s="26">
        <f t="shared" si="3"/>
        <v>-6.7638917124960242E-3</v>
      </c>
      <c r="E91" s="27">
        <f t="shared" si="2"/>
        <v>-1.7045007115489981</v>
      </c>
    </row>
    <row r="92" spans="1:5" x14ac:dyDescent="0.4">
      <c r="A92" s="3">
        <v>45631</v>
      </c>
      <c r="B92" s="2" t="s">
        <v>3</v>
      </c>
      <c r="C92" s="2">
        <v>670.85</v>
      </c>
      <c r="D92" s="26">
        <f t="shared" si="3"/>
        <v>1.1695162912872901E-2</v>
      </c>
      <c r="E92" s="27">
        <f t="shared" si="2"/>
        <v>2.9471810540439711</v>
      </c>
    </row>
    <row r="93" spans="1:5" x14ac:dyDescent="0.4">
      <c r="A93" s="3">
        <v>45632</v>
      </c>
      <c r="B93" s="2" t="s">
        <v>3</v>
      </c>
      <c r="C93" s="2">
        <v>670.15</v>
      </c>
      <c r="D93" s="26">
        <f t="shared" si="3"/>
        <v>-1.0439971119750836E-3</v>
      </c>
      <c r="E93" s="27">
        <f t="shared" si="2"/>
        <v>-0.26308727221772105</v>
      </c>
    </row>
    <row r="94" spans="1:5" x14ac:dyDescent="0.4">
      <c r="A94" s="3">
        <v>45635</v>
      </c>
      <c r="B94" s="2" t="s">
        <v>3</v>
      </c>
      <c r="C94" s="2">
        <v>670.9</v>
      </c>
      <c r="D94" s="26">
        <f t="shared" si="3"/>
        <v>1.1185266443366824E-3</v>
      </c>
      <c r="E94" s="27">
        <f t="shared" si="2"/>
        <v>0.281868714372844</v>
      </c>
    </row>
    <row r="95" spans="1:5" x14ac:dyDescent="0.4">
      <c r="A95" s="3">
        <v>45636</v>
      </c>
      <c r="B95" s="2" t="s">
        <v>3</v>
      </c>
      <c r="C95" s="2">
        <v>668.9</v>
      </c>
      <c r="D95" s="26">
        <f t="shared" si="3"/>
        <v>-2.9855224444800496E-3</v>
      </c>
      <c r="E95" s="27">
        <f t="shared" si="2"/>
        <v>-0.75235165600897247</v>
      </c>
    </row>
    <row r="96" spans="1:5" x14ac:dyDescent="0.4">
      <c r="A96" s="3">
        <v>45637</v>
      </c>
      <c r="B96" s="2" t="s">
        <v>3</v>
      </c>
      <c r="C96" s="2">
        <v>670.5</v>
      </c>
      <c r="D96" s="26">
        <f t="shared" si="3"/>
        <v>2.3891305973709896E-3</v>
      </c>
      <c r="E96" s="27">
        <f t="shared" si="2"/>
        <v>0.60206091053748934</v>
      </c>
    </row>
    <row r="97" spans="1:5" x14ac:dyDescent="0.4">
      <c r="A97" s="3">
        <v>45638</v>
      </c>
      <c r="B97" s="2" t="s">
        <v>3</v>
      </c>
      <c r="C97" s="2">
        <v>668.7</v>
      </c>
      <c r="D97" s="26">
        <f t="shared" si="3"/>
        <v>-2.6881736618003024E-3</v>
      </c>
      <c r="E97" s="27">
        <f t="shared" si="2"/>
        <v>-0.67741976277367622</v>
      </c>
    </row>
    <row r="98" spans="1:5" x14ac:dyDescent="0.4">
      <c r="A98" s="3">
        <v>45639</v>
      </c>
      <c r="B98" s="2" t="s">
        <v>3</v>
      </c>
      <c r="C98" s="2">
        <v>662.1</v>
      </c>
      <c r="D98" s="26">
        <f t="shared" si="3"/>
        <v>-9.9189271291325112E-3</v>
      </c>
      <c r="E98" s="27">
        <f t="shared" si="2"/>
        <v>-2.4995696365413926</v>
      </c>
    </row>
    <row r="99" spans="1:5" x14ac:dyDescent="0.4">
      <c r="A99" s="3">
        <v>45642</v>
      </c>
      <c r="B99" s="2" t="s">
        <v>3</v>
      </c>
      <c r="C99" s="2">
        <v>653.5</v>
      </c>
      <c r="D99" s="26">
        <f t="shared" si="3"/>
        <v>-1.307406886652375E-2</v>
      </c>
      <c r="E99" s="27">
        <f t="shared" si="2"/>
        <v>-3.294665354363985</v>
      </c>
    </row>
    <row r="100" spans="1:5" x14ac:dyDescent="0.4">
      <c r="A100" s="3">
        <v>45643</v>
      </c>
      <c r="B100" s="2" t="s">
        <v>3</v>
      </c>
      <c r="C100" s="2">
        <v>639.45000000000005</v>
      </c>
      <c r="D100" s="26">
        <f t="shared" si="3"/>
        <v>-2.1734101184947594E-2</v>
      </c>
      <c r="E100" s="27">
        <f t="shared" si="2"/>
        <v>-5.4769934986067934</v>
      </c>
    </row>
    <row r="101" spans="1:5" x14ac:dyDescent="0.4">
      <c r="A101" s="3">
        <v>45644</v>
      </c>
      <c r="B101" s="2" t="s">
        <v>3</v>
      </c>
      <c r="C101" s="2">
        <v>633</v>
      </c>
      <c r="D101" s="26">
        <f t="shared" si="3"/>
        <v>-1.0138009735152956E-2</v>
      </c>
      <c r="E101" s="27">
        <f t="shared" si="2"/>
        <v>-2.5547784532585447</v>
      </c>
    </row>
    <row r="102" spans="1:5" x14ac:dyDescent="0.4">
      <c r="A102" s="3">
        <v>45645</v>
      </c>
      <c r="B102" s="2" t="s">
        <v>3</v>
      </c>
      <c r="C102" s="2">
        <v>629.35</v>
      </c>
      <c r="D102" s="26">
        <f t="shared" si="3"/>
        <v>-5.7828814066622179E-3</v>
      </c>
      <c r="E102" s="27">
        <f t="shared" si="2"/>
        <v>-1.4572861144788789</v>
      </c>
    </row>
    <row r="103" spans="1:5" x14ac:dyDescent="0.4">
      <c r="A103" s="3">
        <v>45646</v>
      </c>
      <c r="B103" s="2" t="s">
        <v>3</v>
      </c>
      <c r="C103" s="2">
        <v>622.65</v>
      </c>
      <c r="D103" s="26">
        <f t="shared" si="3"/>
        <v>-1.070297757035661E-2</v>
      </c>
      <c r="E103" s="27">
        <f t="shared" si="2"/>
        <v>-2.6971503477298655</v>
      </c>
    </row>
    <row r="104" spans="1:5" x14ac:dyDescent="0.4">
      <c r="A104" s="3">
        <v>45649</v>
      </c>
      <c r="B104" s="2" t="s">
        <v>3</v>
      </c>
      <c r="C104" s="2">
        <v>634.15</v>
      </c>
      <c r="D104" s="26">
        <f t="shared" si="3"/>
        <v>1.8300956346281021E-2</v>
      </c>
      <c r="E104" s="27">
        <f t="shared" si="2"/>
        <v>4.6118409992628173</v>
      </c>
    </row>
    <row r="105" spans="1:5" x14ac:dyDescent="0.4">
      <c r="A105" s="3">
        <v>45650</v>
      </c>
      <c r="B105" s="2" t="s">
        <v>3</v>
      </c>
      <c r="C105" s="2">
        <v>627.45000000000005</v>
      </c>
      <c r="D105" s="26">
        <f t="shared" si="3"/>
        <v>-1.0621532957121321E-2</v>
      </c>
      <c r="E105" s="27">
        <f t="shared" si="2"/>
        <v>-2.6766263051945729</v>
      </c>
    </row>
    <row r="106" spans="1:5" x14ac:dyDescent="0.4">
      <c r="A106" s="3">
        <v>45652</v>
      </c>
      <c r="B106" s="2" t="s">
        <v>3</v>
      </c>
      <c r="C106" s="2">
        <v>628.75</v>
      </c>
      <c r="D106" s="26">
        <f t="shared" si="3"/>
        <v>2.0697348576317921E-3</v>
      </c>
      <c r="E106" s="27">
        <f t="shared" si="2"/>
        <v>0.52157318412321163</v>
      </c>
    </row>
    <row r="107" spans="1:5" x14ac:dyDescent="0.4">
      <c r="A107" s="3">
        <v>45653</v>
      </c>
      <c r="B107" s="2" t="s">
        <v>3</v>
      </c>
      <c r="C107" s="2">
        <v>617.4</v>
      </c>
      <c r="D107" s="26">
        <f t="shared" si="3"/>
        <v>-1.8216609345890103E-2</v>
      </c>
      <c r="E107" s="27">
        <f t="shared" si="2"/>
        <v>-4.5905855551643056</v>
      </c>
    </row>
    <row r="108" spans="1:5" x14ac:dyDescent="0.4">
      <c r="A108" s="3">
        <v>45656</v>
      </c>
      <c r="B108" s="2" t="s">
        <v>3</v>
      </c>
      <c r="C108" s="2">
        <v>601.1</v>
      </c>
      <c r="D108" s="26">
        <f t="shared" si="3"/>
        <v>-2.675580202294249E-2</v>
      </c>
      <c r="E108" s="27">
        <f t="shared" si="2"/>
        <v>-6.7424621097815072</v>
      </c>
    </row>
    <row r="109" spans="1:5" x14ac:dyDescent="0.4">
      <c r="A109" s="3">
        <v>45657</v>
      </c>
      <c r="B109" s="2" t="s">
        <v>3</v>
      </c>
      <c r="C109" s="2">
        <v>602.45000000000005</v>
      </c>
      <c r="D109" s="26">
        <f t="shared" si="3"/>
        <v>2.243364324169158E-3</v>
      </c>
      <c r="E109" s="27">
        <f t="shared" si="2"/>
        <v>0.56532780969062779</v>
      </c>
    </row>
    <row r="110" spans="1:5" x14ac:dyDescent="0.4">
      <c r="A110" s="3">
        <v>45658</v>
      </c>
      <c r="B110" s="2" t="s">
        <v>3</v>
      </c>
      <c r="C110" s="2">
        <v>592.95000000000005</v>
      </c>
      <c r="D110" s="26">
        <f t="shared" si="3"/>
        <v>-1.5894595958481278E-2</v>
      </c>
      <c r="E110" s="27">
        <f t="shared" si="2"/>
        <v>-4.0054381815372819</v>
      </c>
    </row>
    <row r="111" spans="1:5" x14ac:dyDescent="0.4">
      <c r="A111" s="3">
        <v>45659</v>
      </c>
      <c r="B111" s="2" t="s">
        <v>3</v>
      </c>
      <c r="C111" s="2">
        <v>599</v>
      </c>
      <c r="D111" s="26">
        <f t="shared" si="3"/>
        <v>1.0151519704645168E-2</v>
      </c>
      <c r="E111" s="27">
        <f t="shared" si="2"/>
        <v>2.5581829655705826</v>
      </c>
    </row>
    <row r="112" spans="1:5" x14ac:dyDescent="0.4">
      <c r="A112" s="3">
        <v>45660</v>
      </c>
      <c r="B112" s="2" t="s">
        <v>3</v>
      </c>
      <c r="C112" s="2">
        <v>591.15</v>
      </c>
      <c r="D112" s="26">
        <f t="shared" si="3"/>
        <v>-1.3191805806326978E-2</v>
      </c>
      <c r="E112" s="27">
        <f t="shared" si="2"/>
        <v>-3.3243350631943986</v>
      </c>
    </row>
    <row r="113" spans="1:5" x14ac:dyDescent="0.4">
      <c r="A113" s="3">
        <v>45663</v>
      </c>
      <c r="B113" s="2" t="s">
        <v>3</v>
      </c>
      <c r="C113" s="2">
        <v>574.1</v>
      </c>
      <c r="D113" s="26">
        <f t="shared" si="3"/>
        <v>-2.9266195135531147E-2</v>
      </c>
      <c r="E113" s="27">
        <f t="shared" si="2"/>
        <v>-7.3750811741538493</v>
      </c>
    </row>
    <row r="114" spans="1:5" x14ac:dyDescent="0.4">
      <c r="A114" s="3">
        <v>45664</v>
      </c>
      <c r="B114" s="2" t="s">
        <v>3</v>
      </c>
      <c r="C114" s="2">
        <v>584.5</v>
      </c>
      <c r="D114" s="26">
        <f t="shared" si="3"/>
        <v>1.7953183738531973E-2</v>
      </c>
      <c r="E114" s="27">
        <f t="shared" si="2"/>
        <v>4.5242023021100568</v>
      </c>
    </row>
    <row r="115" spans="1:5" x14ac:dyDescent="0.4">
      <c r="A115" s="3">
        <v>45665</v>
      </c>
      <c r="B115" s="2" t="s">
        <v>3</v>
      </c>
      <c r="C115" s="2">
        <v>586.65</v>
      </c>
      <c r="D115" s="26">
        <f t="shared" si="3"/>
        <v>3.671608957509574E-3</v>
      </c>
      <c r="E115" s="27">
        <f t="shared" si="2"/>
        <v>0.9252454572924127</v>
      </c>
    </row>
    <row r="116" spans="1:5" x14ac:dyDescent="0.4">
      <c r="A116" s="3">
        <v>45666</v>
      </c>
      <c r="B116" s="2" t="s">
        <v>3</v>
      </c>
      <c r="C116" s="2">
        <v>589.25</v>
      </c>
      <c r="D116" s="26">
        <f t="shared" si="3"/>
        <v>4.4221519466077523E-3</v>
      </c>
      <c r="E116" s="27">
        <f t="shared" si="2"/>
        <v>1.1143822905451535</v>
      </c>
    </row>
    <row r="117" spans="1:5" x14ac:dyDescent="0.4">
      <c r="A117" s="3">
        <v>45667</v>
      </c>
      <c r="B117" s="2" t="s">
        <v>3</v>
      </c>
      <c r="C117" s="2">
        <v>574.45000000000005</v>
      </c>
      <c r="D117" s="26">
        <f t="shared" si="3"/>
        <v>-2.5437480516866624E-2</v>
      </c>
      <c r="E117" s="27">
        <f t="shared" si="2"/>
        <v>-6.4102450902503891</v>
      </c>
    </row>
    <row r="118" spans="1:5" x14ac:dyDescent="0.4">
      <c r="A118" s="3">
        <v>45670</v>
      </c>
      <c r="B118" s="2" t="s">
        <v>3</v>
      </c>
      <c r="C118" s="2">
        <v>563.75</v>
      </c>
      <c r="D118" s="26">
        <f t="shared" si="3"/>
        <v>-1.8802170482485798E-2</v>
      </c>
      <c r="E118" s="27">
        <f t="shared" si="2"/>
        <v>-4.7381469615864207</v>
      </c>
    </row>
    <row r="119" spans="1:5" x14ac:dyDescent="0.4">
      <c r="A119" s="3">
        <v>45671</v>
      </c>
      <c r="B119" s="2" t="s">
        <v>3</v>
      </c>
      <c r="C119" s="2">
        <v>590.9</v>
      </c>
      <c r="D119" s="26">
        <f t="shared" si="3"/>
        <v>4.7035907534740753E-2</v>
      </c>
      <c r="E119" s="27">
        <f t="shared" si="2"/>
        <v>11.853048698754669</v>
      </c>
    </row>
    <row r="120" spans="1:5" x14ac:dyDescent="0.4">
      <c r="A120" s="3">
        <v>45672</v>
      </c>
      <c r="B120" s="2" t="s">
        <v>3</v>
      </c>
      <c r="C120" s="2">
        <v>591.54999999999995</v>
      </c>
      <c r="D120" s="26">
        <f t="shared" si="3"/>
        <v>1.0994123480428813E-3</v>
      </c>
      <c r="E120" s="27">
        <f t="shared" si="2"/>
        <v>0.2770519117068061</v>
      </c>
    </row>
    <row r="121" spans="1:5" x14ac:dyDescent="0.4">
      <c r="A121" s="3">
        <v>45673</v>
      </c>
      <c r="B121" s="2" t="s">
        <v>3</v>
      </c>
      <c r="C121" s="2">
        <v>602.6</v>
      </c>
      <c r="D121" s="26">
        <f t="shared" si="3"/>
        <v>1.8507415996529143E-2</v>
      </c>
      <c r="E121" s="27">
        <f t="shared" si="2"/>
        <v>4.6638688311253444</v>
      </c>
    </row>
    <row r="122" spans="1:5" x14ac:dyDescent="0.4">
      <c r="A122" s="3">
        <v>45674</v>
      </c>
      <c r="B122" s="2" t="s">
        <v>3</v>
      </c>
      <c r="C122" s="2">
        <v>617</v>
      </c>
      <c r="D122" s="26">
        <f t="shared" si="3"/>
        <v>2.3615397209186928E-2</v>
      </c>
      <c r="E122" s="27">
        <f t="shared" si="2"/>
        <v>5.9510800967151063</v>
      </c>
    </row>
    <row r="123" spans="1:5" x14ac:dyDescent="0.4">
      <c r="A123" s="3">
        <v>45677</v>
      </c>
      <c r="B123" s="2" t="s">
        <v>3</v>
      </c>
      <c r="C123" s="2">
        <v>618.15</v>
      </c>
      <c r="D123" s="26">
        <f t="shared" si="3"/>
        <v>1.8621225475481111E-3</v>
      </c>
      <c r="E123" s="27">
        <f t="shared" si="2"/>
        <v>0.46925488198212401</v>
      </c>
    </row>
    <row r="124" spans="1:5" x14ac:dyDescent="0.4">
      <c r="A124" s="3">
        <v>45678</v>
      </c>
      <c r="B124" s="2" t="s">
        <v>3</v>
      </c>
      <c r="C124" s="2">
        <v>614.95000000000005</v>
      </c>
      <c r="D124" s="26">
        <f t="shared" si="3"/>
        <v>-5.19018276451641E-3</v>
      </c>
      <c r="E124" s="27">
        <f t="shared" si="2"/>
        <v>-1.3079260566581352</v>
      </c>
    </row>
    <row r="125" spans="1:5" x14ac:dyDescent="0.4">
      <c r="A125" s="3">
        <v>45679</v>
      </c>
      <c r="B125" s="2" t="s">
        <v>3</v>
      </c>
      <c r="C125" s="2">
        <v>613.45000000000005</v>
      </c>
      <c r="D125" s="26">
        <f t="shared" si="3"/>
        <v>-2.4422024512276374E-3</v>
      </c>
      <c r="E125" s="27">
        <f t="shared" si="2"/>
        <v>-0.6154350177093646</v>
      </c>
    </row>
    <row r="126" spans="1:5" x14ac:dyDescent="0.4">
      <c r="A126" s="3">
        <v>45680</v>
      </c>
      <c r="B126" s="2" t="s">
        <v>3</v>
      </c>
      <c r="C126" s="2">
        <v>608.25</v>
      </c>
      <c r="D126" s="26">
        <f t="shared" si="3"/>
        <v>-8.5127795735599025E-3</v>
      </c>
      <c r="E126" s="27">
        <f t="shared" si="2"/>
        <v>-2.1452204525370955</v>
      </c>
    </row>
    <row r="127" spans="1:5" x14ac:dyDescent="0.4">
      <c r="A127" s="3">
        <v>45681</v>
      </c>
      <c r="B127" s="2" t="s">
        <v>3</v>
      </c>
      <c r="C127" s="2">
        <v>606.9</v>
      </c>
      <c r="D127" s="26">
        <f t="shared" si="3"/>
        <v>-2.2219488218226061E-3</v>
      </c>
      <c r="E127" s="27">
        <f t="shared" si="2"/>
        <v>-0.55993110309929672</v>
      </c>
    </row>
    <row r="128" spans="1:5" x14ac:dyDescent="0.4">
      <c r="A128" s="3">
        <v>45684</v>
      </c>
      <c r="B128" s="2" t="s">
        <v>3</v>
      </c>
      <c r="C128" s="2">
        <v>586.9</v>
      </c>
      <c r="D128" s="26">
        <f t="shared" si="3"/>
        <v>-3.3509585277520695E-2</v>
      </c>
      <c r="E128" s="27">
        <f t="shared" si="2"/>
        <v>-8.4444154899352153</v>
      </c>
    </row>
    <row r="129" spans="1:5" x14ac:dyDescent="0.4">
      <c r="A129" s="3">
        <v>45685</v>
      </c>
      <c r="B129" s="2" t="s">
        <v>3</v>
      </c>
      <c r="C129" s="2">
        <v>573.85</v>
      </c>
      <c r="D129" s="26">
        <f t="shared" si="3"/>
        <v>-2.2486409437611432E-2</v>
      </c>
      <c r="E129" s="27">
        <f t="shared" si="2"/>
        <v>-5.6665751782780811</v>
      </c>
    </row>
    <row r="130" spans="1:5" x14ac:dyDescent="0.4">
      <c r="A130" s="3">
        <v>45686</v>
      </c>
      <c r="B130" s="2" t="s">
        <v>3</v>
      </c>
      <c r="C130" s="2">
        <v>584.1</v>
      </c>
      <c r="D130" s="26">
        <f t="shared" si="3"/>
        <v>1.7704162919586344E-2</v>
      </c>
      <c r="E130" s="27">
        <f t="shared" si="2"/>
        <v>4.4614490557357582</v>
      </c>
    </row>
    <row r="131" spans="1:5" x14ac:dyDescent="0.4">
      <c r="A131" s="3">
        <v>45687</v>
      </c>
      <c r="B131" s="2" t="s">
        <v>3</v>
      </c>
      <c r="C131" s="2">
        <v>587.85</v>
      </c>
      <c r="D131" s="26">
        <f t="shared" si="3"/>
        <v>6.3996122674865406E-3</v>
      </c>
      <c r="E131" s="27">
        <f t="shared" ref="E131:E194" si="4">D131*252</f>
        <v>1.6127022914066083</v>
      </c>
    </row>
    <row r="132" spans="1:5" x14ac:dyDescent="0.4">
      <c r="A132" s="3">
        <v>45688</v>
      </c>
      <c r="B132" s="2" t="s">
        <v>3</v>
      </c>
      <c r="C132" s="2">
        <v>594.29999999999995</v>
      </c>
      <c r="D132" s="26">
        <f t="shared" ref="D132:D195" si="5">LN(C132/C131)</f>
        <v>1.0912429058864588E-2</v>
      </c>
      <c r="E132" s="27">
        <f t="shared" si="4"/>
        <v>2.7499321228338762</v>
      </c>
    </row>
    <row r="133" spans="1:5" x14ac:dyDescent="0.4">
      <c r="A133" s="3">
        <v>45689</v>
      </c>
      <c r="B133" s="2" t="s">
        <v>3</v>
      </c>
      <c r="C133" s="2">
        <v>586.45000000000005</v>
      </c>
      <c r="D133" s="26">
        <f t="shared" si="5"/>
        <v>-1.329682940510071E-2</v>
      </c>
      <c r="E133" s="27">
        <f t="shared" si="4"/>
        <v>-3.3508010100853789</v>
      </c>
    </row>
    <row r="134" spans="1:5" x14ac:dyDescent="0.4">
      <c r="A134" s="3">
        <v>45691</v>
      </c>
      <c r="B134" s="2" t="s">
        <v>3</v>
      </c>
      <c r="C134" s="2">
        <v>574.04999999999995</v>
      </c>
      <c r="D134" s="26">
        <f t="shared" si="5"/>
        <v>-2.1370912427693206E-2</v>
      </c>
      <c r="E134" s="27">
        <f t="shared" si="4"/>
        <v>-5.3854699317786876</v>
      </c>
    </row>
    <row r="135" spans="1:5" x14ac:dyDescent="0.4">
      <c r="A135" s="3">
        <v>45692</v>
      </c>
      <c r="B135" s="2" t="s">
        <v>3</v>
      </c>
      <c r="C135" s="2">
        <v>583.95000000000005</v>
      </c>
      <c r="D135" s="26">
        <f t="shared" si="5"/>
        <v>1.7098862184753611E-2</v>
      </c>
      <c r="E135" s="27">
        <f t="shared" si="4"/>
        <v>4.3089132705579098</v>
      </c>
    </row>
    <row r="136" spans="1:5" x14ac:dyDescent="0.4">
      <c r="A136" s="3">
        <v>45693</v>
      </c>
      <c r="B136" s="2" t="s">
        <v>3</v>
      </c>
      <c r="C136" s="2">
        <v>600.6</v>
      </c>
      <c r="D136" s="26">
        <f t="shared" si="5"/>
        <v>2.8113792824655443E-2</v>
      </c>
      <c r="E136" s="27">
        <f t="shared" si="4"/>
        <v>7.0846757918131713</v>
      </c>
    </row>
    <row r="137" spans="1:5" x14ac:dyDescent="0.4">
      <c r="A137" s="3">
        <v>45694</v>
      </c>
      <c r="B137" s="2" t="s">
        <v>3</v>
      </c>
      <c r="C137" s="2">
        <v>595.45000000000005</v>
      </c>
      <c r="D137" s="26">
        <f t="shared" si="5"/>
        <v>-8.6117333352250421E-3</v>
      </c>
      <c r="E137" s="27">
        <f t="shared" si="4"/>
        <v>-2.1701568004767107</v>
      </c>
    </row>
    <row r="138" spans="1:5" x14ac:dyDescent="0.4">
      <c r="A138" s="3">
        <v>45695</v>
      </c>
      <c r="B138" s="2" t="s">
        <v>3</v>
      </c>
      <c r="C138" s="2">
        <v>607.4</v>
      </c>
      <c r="D138" s="26">
        <f t="shared" si="5"/>
        <v>1.9870130397643519E-2</v>
      </c>
      <c r="E138" s="27">
        <f t="shared" si="4"/>
        <v>5.0072728602061662</v>
      </c>
    </row>
    <row r="139" spans="1:5" x14ac:dyDescent="0.4">
      <c r="A139" s="3">
        <v>45698</v>
      </c>
      <c r="B139" s="2" t="s">
        <v>3</v>
      </c>
      <c r="C139" s="2">
        <v>596</v>
      </c>
      <c r="D139" s="26">
        <f t="shared" si="5"/>
        <v>-1.8946885546298548E-2</v>
      </c>
      <c r="E139" s="27">
        <f t="shared" si="4"/>
        <v>-4.7746151576672338</v>
      </c>
    </row>
    <row r="140" spans="1:5" x14ac:dyDescent="0.4">
      <c r="A140" s="3">
        <v>45699</v>
      </c>
      <c r="B140" s="2" t="s">
        <v>3</v>
      </c>
      <c r="C140" s="2">
        <v>595.85</v>
      </c>
      <c r="D140" s="26">
        <f t="shared" si="5"/>
        <v>-2.5170952853450856E-4</v>
      </c>
      <c r="E140" s="27">
        <f t="shared" si="4"/>
        <v>-6.3430801190696162E-2</v>
      </c>
    </row>
    <row r="141" spans="1:5" x14ac:dyDescent="0.4">
      <c r="A141" s="3">
        <v>45700</v>
      </c>
      <c r="B141" s="2" t="s">
        <v>3</v>
      </c>
      <c r="C141" s="2">
        <v>598.9</v>
      </c>
      <c r="D141" s="26">
        <f t="shared" si="5"/>
        <v>5.1056817336014425E-3</v>
      </c>
      <c r="E141" s="27">
        <f t="shared" si="4"/>
        <v>1.2866317968675636</v>
      </c>
    </row>
    <row r="142" spans="1:5" x14ac:dyDescent="0.4">
      <c r="A142" s="3">
        <v>45701</v>
      </c>
      <c r="B142" s="2" t="s">
        <v>3</v>
      </c>
      <c r="C142" s="2">
        <v>602.5</v>
      </c>
      <c r="D142" s="26">
        <f t="shared" si="5"/>
        <v>5.9930260943934638E-3</v>
      </c>
      <c r="E142" s="27">
        <f t="shared" si="4"/>
        <v>1.5102425757871529</v>
      </c>
    </row>
    <row r="143" spans="1:5" x14ac:dyDescent="0.4">
      <c r="A143" s="3">
        <v>45702</v>
      </c>
      <c r="B143" s="2" t="s">
        <v>3</v>
      </c>
      <c r="C143" s="2">
        <v>606.20000000000005</v>
      </c>
      <c r="D143" s="26">
        <f t="shared" si="5"/>
        <v>6.1222992588928276E-3</v>
      </c>
      <c r="E143" s="27">
        <f t="shared" si="4"/>
        <v>1.5428194132409925</v>
      </c>
    </row>
    <row r="144" spans="1:5" x14ac:dyDescent="0.4">
      <c r="A144" s="3">
        <v>45705</v>
      </c>
      <c r="B144" s="2" t="s">
        <v>3</v>
      </c>
      <c r="C144" s="2">
        <v>610.85</v>
      </c>
      <c r="D144" s="26">
        <f t="shared" si="5"/>
        <v>7.6414652263660753E-3</v>
      </c>
      <c r="E144" s="27">
        <f t="shared" si="4"/>
        <v>1.9256492370442511</v>
      </c>
    </row>
    <row r="145" spans="1:5" x14ac:dyDescent="0.4">
      <c r="A145" s="3">
        <v>45706</v>
      </c>
      <c r="B145" s="2" t="s">
        <v>3</v>
      </c>
      <c r="C145" s="2">
        <v>611.45000000000005</v>
      </c>
      <c r="D145" s="26">
        <f t="shared" si="5"/>
        <v>9.8175578531005804E-4</v>
      </c>
      <c r="E145" s="27">
        <f t="shared" si="4"/>
        <v>0.24740245789813461</v>
      </c>
    </row>
    <row r="146" spans="1:5" x14ac:dyDescent="0.4">
      <c r="A146" s="3">
        <v>45707</v>
      </c>
      <c r="B146" s="2" t="s">
        <v>3</v>
      </c>
      <c r="C146" s="2">
        <v>626.29999999999995</v>
      </c>
      <c r="D146" s="26">
        <f t="shared" si="5"/>
        <v>2.39963038959882E-2</v>
      </c>
      <c r="E146" s="27">
        <f t="shared" si="4"/>
        <v>6.0470685817890262</v>
      </c>
    </row>
    <row r="147" spans="1:5" x14ac:dyDescent="0.4">
      <c r="A147" s="3">
        <v>45708</v>
      </c>
      <c r="B147" s="2" t="s">
        <v>3</v>
      </c>
      <c r="C147" s="2">
        <v>638.79999999999995</v>
      </c>
      <c r="D147" s="26">
        <f t="shared" si="5"/>
        <v>1.9761926809490116E-2</v>
      </c>
      <c r="E147" s="27">
        <f t="shared" si="4"/>
        <v>4.9800055559915091</v>
      </c>
    </row>
    <row r="148" spans="1:5" x14ac:dyDescent="0.4">
      <c r="A148" s="3">
        <v>45709</v>
      </c>
      <c r="B148" s="2" t="s">
        <v>3</v>
      </c>
      <c r="C148" s="2">
        <v>653.54999999999995</v>
      </c>
      <c r="D148" s="26">
        <f t="shared" si="5"/>
        <v>2.2827624890703491E-2</v>
      </c>
      <c r="E148" s="27">
        <f t="shared" si="4"/>
        <v>5.7525614724572796</v>
      </c>
    </row>
    <row r="149" spans="1:5" x14ac:dyDescent="0.4">
      <c r="A149" s="3">
        <v>45712</v>
      </c>
      <c r="B149" s="2" t="s">
        <v>3</v>
      </c>
      <c r="C149" s="2">
        <v>641.9</v>
      </c>
      <c r="D149" s="26">
        <f t="shared" si="5"/>
        <v>-1.7986512913828332E-2</v>
      </c>
      <c r="E149" s="27">
        <f t="shared" si="4"/>
        <v>-4.5326012542847396</v>
      </c>
    </row>
    <row r="150" spans="1:5" x14ac:dyDescent="0.4">
      <c r="A150" s="3">
        <v>45713</v>
      </c>
      <c r="B150" s="2" t="s">
        <v>3</v>
      </c>
      <c r="C150" s="2">
        <v>619.45000000000005</v>
      </c>
      <c r="D150" s="26">
        <f t="shared" si="5"/>
        <v>-3.5600540755984476E-2</v>
      </c>
      <c r="E150" s="27">
        <f t="shared" si="4"/>
        <v>-8.9713362705080879</v>
      </c>
    </row>
    <row r="151" spans="1:5" x14ac:dyDescent="0.4">
      <c r="A151" s="3">
        <v>45715</v>
      </c>
      <c r="B151" s="2" t="s">
        <v>3</v>
      </c>
      <c r="C151" s="2">
        <v>631.95000000000005</v>
      </c>
      <c r="D151" s="26">
        <f t="shared" si="5"/>
        <v>1.997828953138743E-2</v>
      </c>
      <c r="E151" s="27">
        <f t="shared" si="4"/>
        <v>5.0345289619096327</v>
      </c>
    </row>
    <row r="152" spans="1:5" x14ac:dyDescent="0.4">
      <c r="A152" s="3">
        <v>45716</v>
      </c>
      <c r="B152" s="2" t="s">
        <v>3</v>
      </c>
      <c r="C152" s="2">
        <v>634.35</v>
      </c>
      <c r="D152" s="26">
        <f t="shared" si="5"/>
        <v>3.7905754934719044E-3</v>
      </c>
      <c r="E152" s="27">
        <f t="shared" si="4"/>
        <v>0.95522502435491996</v>
      </c>
    </row>
    <row r="153" spans="1:5" x14ac:dyDescent="0.4">
      <c r="A153" s="3">
        <v>45719</v>
      </c>
      <c r="B153" s="2" t="s">
        <v>3</v>
      </c>
      <c r="C153" s="2">
        <v>636.54999999999995</v>
      </c>
      <c r="D153" s="26">
        <f t="shared" si="5"/>
        <v>3.4621169210469266E-3</v>
      </c>
      <c r="E153" s="27">
        <f t="shared" si="4"/>
        <v>0.87245346410382552</v>
      </c>
    </row>
    <row r="154" spans="1:5" x14ac:dyDescent="0.4">
      <c r="A154" s="3">
        <v>45720</v>
      </c>
      <c r="B154" s="2" t="s">
        <v>3</v>
      </c>
      <c r="C154" s="2">
        <v>641.65</v>
      </c>
      <c r="D154" s="26">
        <f t="shared" si="5"/>
        <v>7.9800141828157718E-3</v>
      </c>
      <c r="E154" s="27">
        <f t="shared" si="4"/>
        <v>2.0109635740695744</v>
      </c>
    </row>
    <row r="155" spans="1:5" x14ac:dyDescent="0.4">
      <c r="A155" s="3">
        <v>45721</v>
      </c>
      <c r="B155" s="2" t="s">
        <v>3</v>
      </c>
      <c r="C155" s="2">
        <v>657.35</v>
      </c>
      <c r="D155" s="26">
        <f t="shared" si="5"/>
        <v>2.4173617452143394E-2</v>
      </c>
      <c r="E155" s="27">
        <f t="shared" si="4"/>
        <v>6.0917515979401351</v>
      </c>
    </row>
    <row r="156" spans="1:5" x14ac:dyDescent="0.4">
      <c r="A156" s="3">
        <v>45722</v>
      </c>
      <c r="B156" s="2" t="s">
        <v>3</v>
      </c>
      <c r="C156" s="2">
        <v>681.95</v>
      </c>
      <c r="D156" s="26">
        <f t="shared" si="5"/>
        <v>3.6739740230270837E-2</v>
      </c>
      <c r="E156" s="27">
        <f t="shared" si="4"/>
        <v>9.2584145380282514</v>
      </c>
    </row>
    <row r="157" spans="1:5" x14ac:dyDescent="0.4">
      <c r="A157" s="3">
        <v>45723</v>
      </c>
      <c r="B157" s="2" t="s">
        <v>3</v>
      </c>
      <c r="C157" s="2">
        <v>691.35</v>
      </c>
      <c r="D157" s="26">
        <f t="shared" si="5"/>
        <v>1.3689866461742793E-2</v>
      </c>
      <c r="E157" s="27">
        <f t="shared" si="4"/>
        <v>3.4498463483591841</v>
      </c>
    </row>
    <row r="158" spans="1:5" x14ac:dyDescent="0.4">
      <c r="A158" s="3">
        <v>45726</v>
      </c>
      <c r="B158" s="2" t="s">
        <v>3</v>
      </c>
      <c r="C158" s="2">
        <v>689.15</v>
      </c>
      <c r="D158" s="26">
        <f t="shared" si="5"/>
        <v>-3.1872536941791874E-3</v>
      </c>
      <c r="E158" s="27">
        <f t="shared" si="4"/>
        <v>-0.80318793093315521</v>
      </c>
    </row>
    <row r="159" spans="1:5" x14ac:dyDescent="0.4">
      <c r="A159" s="3">
        <v>45727</v>
      </c>
      <c r="B159" s="2" t="s">
        <v>3</v>
      </c>
      <c r="C159" s="2">
        <v>695.5</v>
      </c>
      <c r="D159" s="26">
        <f t="shared" si="5"/>
        <v>9.1720572230498294E-3</v>
      </c>
      <c r="E159" s="27">
        <f t="shared" si="4"/>
        <v>2.3113584202085571</v>
      </c>
    </row>
    <row r="160" spans="1:5" x14ac:dyDescent="0.4">
      <c r="A160" s="3">
        <v>45728</v>
      </c>
      <c r="B160" s="2" t="s">
        <v>3</v>
      </c>
      <c r="C160" s="2">
        <v>689.85</v>
      </c>
      <c r="D160" s="26">
        <f t="shared" si="5"/>
        <v>-8.1568287094550447E-3</v>
      </c>
      <c r="E160" s="27">
        <f t="shared" si="4"/>
        <v>-2.0555208347826714</v>
      </c>
    </row>
    <row r="161" spans="1:5" x14ac:dyDescent="0.4">
      <c r="A161" s="3">
        <v>45729</v>
      </c>
      <c r="B161" s="2" t="s">
        <v>3</v>
      </c>
      <c r="C161" s="2">
        <v>677.35</v>
      </c>
      <c r="D161" s="26">
        <f t="shared" si="5"/>
        <v>-1.8286056627297112E-2</v>
      </c>
      <c r="E161" s="27">
        <f t="shared" si="4"/>
        <v>-4.6080862700788723</v>
      </c>
    </row>
    <row r="162" spans="1:5" x14ac:dyDescent="0.4">
      <c r="A162" s="3">
        <v>45733</v>
      </c>
      <c r="B162" s="2" t="s">
        <v>3</v>
      </c>
      <c r="C162" s="2">
        <v>680.75</v>
      </c>
      <c r="D162" s="26">
        <f t="shared" si="5"/>
        <v>5.0070055271234882E-3</v>
      </c>
      <c r="E162" s="27">
        <f t="shared" si="4"/>
        <v>1.2617653928351191</v>
      </c>
    </row>
    <row r="163" spans="1:5" x14ac:dyDescent="0.4">
      <c r="A163" s="3">
        <v>45734</v>
      </c>
      <c r="B163" s="2" t="s">
        <v>3</v>
      </c>
      <c r="C163" s="2">
        <v>697.85</v>
      </c>
      <c r="D163" s="26">
        <f t="shared" si="5"/>
        <v>2.4809048400784454E-2</v>
      </c>
      <c r="E163" s="27">
        <f t="shared" si="4"/>
        <v>6.2518801969976829</v>
      </c>
    </row>
    <row r="164" spans="1:5" x14ac:dyDescent="0.4">
      <c r="A164" s="3">
        <v>45735</v>
      </c>
      <c r="B164" s="2" t="s">
        <v>3</v>
      </c>
      <c r="C164" s="2">
        <v>698.55</v>
      </c>
      <c r="D164" s="26">
        <f t="shared" si="5"/>
        <v>1.0025781418424291E-3</v>
      </c>
      <c r="E164" s="27">
        <f t="shared" si="4"/>
        <v>0.25264969174429214</v>
      </c>
    </row>
    <row r="165" spans="1:5" x14ac:dyDescent="0.4">
      <c r="A165" s="3">
        <v>45736</v>
      </c>
      <c r="B165" s="2" t="s">
        <v>3</v>
      </c>
      <c r="C165" s="2">
        <v>705.95</v>
      </c>
      <c r="D165" s="26">
        <f t="shared" si="5"/>
        <v>1.0537655359038368E-2</v>
      </c>
      <c r="E165" s="27">
        <f t="shared" si="4"/>
        <v>2.6554891504776688</v>
      </c>
    </row>
    <row r="166" spans="1:5" x14ac:dyDescent="0.4">
      <c r="A166" s="3">
        <v>45737</v>
      </c>
      <c r="B166" s="2" t="s">
        <v>3</v>
      </c>
      <c r="C166" s="2">
        <v>695.35</v>
      </c>
      <c r="D166" s="26">
        <f t="shared" si="5"/>
        <v>-1.5129097530914275E-2</v>
      </c>
      <c r="E166" s="27">
        <f t="shared" si="4"/>
        <v>-3.8125325777903973</v>
      </c>
    </row>
    <row r="167" spans="1:5" x14ac:dyDescent="0.4">
      <c r="A167" s="3">
        <v>45740</v>
      </c>
      <c r="B167" s="2" t="s">
        <v>3</v>
      </c>
      <c r="C167" s="2">
        <v>701.5</v>
      </c>
      <c r="D167" s="26">
        <f t="shared" si="5"/>
        <v>8.8055836178958461E-3</v>
      </c>
      <c r="E167" s="27">
        <f t="shared" si="4"/>
        <v>2.2190070717097532</v>
      </c>
    </row>
    <row r="168" spans="1:5" x14ac:dyDescent="0.4">
      <c r="A168" s="3">
        <v>45741</v>
      </c>
      <c r="B168" s="2" t="s">
        <v>3</v>
      </c>
      <c r="C168" s="2">
        <v>693.45</v>
      </c>
      <c r="D168" s="26">
        <f t="shared" si="5"/>
        <v>-1.1541760440171458E-2</v>
      </c>
      <c r="E168" s="27">
        <f t="shared" si="4"/>
        <v>-2.9085236309232076</v>
      </c>
    </row>
    <row r="169" spans="1:5" x14ac:dyDescent="0.4">
      <c r="A169" s="3">
        <v>45742</v>
      </c>
      <c r="B169" s="2" t="s">
        <v>3</v>
      </c>
      <c r="C169" s="2">
        <v>691.3</v>
      </c>
      <c r="D169" s="26">
        <f t="shared" si="5"/>
        <v>-3.1052561511249262E-3</v>
      </c>
      <c r="E169" s="27">
        <f t="shared" si="4"/>
        <v>-0.78252455008348143</v>
      </c>
    </row>
    <row r="170" spans="1:5" x14ac:dyDescent="0.4">
      <c r="A170" s="3">
        <v>45743</v>
      </c>
      <c r="B170" s="2" t="s">
        <v>3</v>
      </c>
      <c r="C170" s="2">
        <v>693.35</v>
      </c>
      <c r="D170" s="26">
        <f t="shared" si="5"/>
        <v>2.9610392486539758E-3</v>
      </c>
      <c r="E170" s="27">
        <f t="shared" si="4"/>
        <v>0.74618189066080187</v>
      </c>
    </row>
    <row r="171" spans="1:5" x14ac:dyDescent="0.4">
      <c r="A171" s="3">
        <v>45744</v>
      </c>
      <c r="B171" s="2" t="s">
        <v>3</v>
      </c>
      <c r="C171" s="2">
        <v>682.45</v>
      </c>
      <c r="D171" s="26">
        <f t="shared" si="5"/>
        <v>-1.5845657897668664E-2</v>
      </c>
      <c r="E171" s="27">
        <f t="shared" si="4"/>
        <v>-3.9931057902125033</v>
      </c>
    </row>
    <row r="172" spans="1:5" x14ac:dyDescent="0.4">
      <c r="A172" s="3">
        <v>45748</v>
      </c>
      <c r="B172" s="2" t="s">
        <v>3</v>
      </c>
      <c r="C172" s="2">
        <v>663.75</v>
      </c>
      <c r="D172" s="26">
        <f t="shared" si="5"/>
        <v>-2.7783691746055918E-2</v>
      </c>
      <c r="E172" s="27">
        <f t="shared" si="4"/>
        <v>-7.0014903200060914</v>
      </c>
    </row>
    <row r="173" spans="1:5" x14ac:dyDescent="0.4">
      <c r="A173" s="3">
        <v>45749</v>
      </c>
      <c r="B173" s="2" t="s">
        <v>3</v>
      </c>
      <c r="C173" s="2">
        <v>661.2</v>
      </c>
      <c r="D173" s="26">
        <f t="shared" si="5"/>
        <v>-3.8492066092793778E-3</v>
      </c>
      <c r="E173" s="27">
        <f t="shared" si="4"/>
        <v>-0.97000006553840323</v>
      </c>
    </row>
    <row r="174" spans="1:5" x14ac:dyDescent="0.4">
      <c r="A174" s="3">
        <v>45750</v>
      </c>
      <c r="B174" s="2" t="s">
        <v>3</v>
      </c>
      <c r="C174" s="2">
        <v>652.65</v>
      </c>
      <c r="D174" s="26">
        <f t="shared" si="5"/>
        <v>-1.3015368112070361E-2</v>
      </c>
      <c r="E174" s="27">
        <f t="shared" si="4"/>
        <v>-3.2798727642417309</v>
      </c>
    </row>
    <row r="175" spans="1:5" x14ac:dyDescent="0.4">
      <c r="A175" s="3">
        <v>45751</v>
      </c>
      <c r="B175" s="2" t="s">
        <v>3</v>
      </c>
      <c r="C175" s="2">
        <v>599.95000000000005</v>
      </c>
      <c r="D175" s="26">
        <f t="shared" si="5"/>
        <v>-8.4194679424400801E-2</v>
      </c>
      <c r="E175" s="27">
        <f t="shared" si="4"/>
        <v>-21.217059214949003</v>
      </c>
    </row>
    <row r="176" spans="1:5" x14ac:dyDescent="0.4">
      <c r="A176" s="3">
        <v>45754</v>
      </c>
      <c r="B176" s="2" t="s">
        <v>3</v>
      </c>
      <c r="C176" s="2">
        <v>561.79999999999995</v>
      </c>
      <c r="D176" s="26">
        <f t="shared" si="5"/>
        <v>-6.5700403740254737E-2</v>
      </c>
      <c r="E176" s="27">
        <f t="shared" si="4"/>
        <v>-16.556501742544192</v>
      </c>
    </row>
    <row r="177" spans="1:5" x14ac:dyDescent="0.4">
      <c r="A177" s="3">
        <v>45755</v>
      </c>
      <c r="B177" s="2" t="s">
        <v>3</v>
      </c>
      <c r="C177" s="2">
        <v>568.35</v>
      </c>
      <c r="D177" s="26">
        <f t="shared" si="5"/>
        <v>1.1591511462576313E-2</v>
      </c>
      <c r="E177" s="27">
        <f t="shared" si="4"/>
        <v>2.9210608885692309</v>
      </c>
    </row>
    <row r="178" spans="1:5" x14ac:dyDescent="0.4">
      <c r="A178" s="3">
        <v>45756</v>
      </c>
      <c r="B178" s="2" t="s">
        <v>3</v>
      </c>
      <c r="C178" s="2">
        <v>564</v>
      </c>
      <c r="D178" s="26">
        <f t="shared" si="5"/>
        <v>-7.6831746346606149E-3</v>
      </c>
      <c r="E178" s="27">
        <f t="shared" si="4"/>
        <v>-1.936160007934475</v>
      </c>
    </row>
    <row r="179" spans="1:5" x14ac:dyDescent="0.4">
      <c r="A179" s="3">
        <v>45758</v>
      </c>
      <c r="B179" s="2" t="s">
        <v>3</v>
      </c>
      <c r="C179" s="2">
        <v>600.29999999999995</v>
      </c>
      <c r="D179" s="26">
        <f t="shared" si="5"/>
        <v>6.237527875973841E-2</v>
      </c>
      <c r="E179" s="27">
        <f t="shared" si="4"/>
        <v>15.71857024745408</v>
      </c>
    </row>
    <row r="180" spans="1:5" x14ac:dyDescent="0.4">
      <c r="A180" s="3">
        <v>45762</v>
      </c>
      <c r="B180" s="2" t="s">
        <v>3</v>
      </c>
      <c r="C180" s="2">
        <v>617.6</v>
      </c>
      <c r="D180" s="26">
        <f t="shared" si="5"/>
        <v>2.8411468452769196E-2</v>
      </c>
      <c r="E180" s="27">
        <f t="shared" si="4"/>
        <v>7.1596900500978373</v>
      </c>
    </row>
    <row r="181" spans="1:5" x14ac:dyDescent="0.4">
      <c r="A181" s="3">
        <v>45763</v>
      </c>
      <c r="B181" s="2" t="s">
        <v>3</v>
      </c>
      <c r="C181" s="2">
        <v>609.9</v>
      </c>
      <c r="D181" s="26">
        <f t="shared" si="5"/>
        <v>-1.2545989408155819E-2</v>
      </c>
      <c r="E181" s="27">
        <f t="shared" si="4"/>
        <v>-3.1615893308552665</v>
      </c>
    </row>
    <row r="182" spans="1:5" x14ac:dyDescent="0.4">
      <c r="A182" s="3">
        <v>45764</v>
      </c>
      <c r="B182" s="2" t="s">
        <v>3</v>
      </c>
      <c r="C182" s="2">
        <v>609.5</v>
      </c>
      <c r="D182" s="26">
        <f t="shared" si="5"/>
        <v>-6.5606038108444273E-4</v>
      </c>
      <c r="E182" s="27">
        <f t="shared" si="4"/>
        <v>-0.16532721603327957</v>
      </c>
    </row>
    <row r="183" spans="1:5" x14ac:dyDescent="0.4">
      <c r="A183" s="3">
        <v>45768</v>
      </c>
      <c r="B183" s="2" t="s">
        <v>3</v>
      </c>
      <c r="C183" s="2">
        <v>622</v>
      </c>
      <c r="D183" s="26">
        <f t="shared" si="5"/>
        <v>2.0301143817853279E-2</v>
      </c>
      <c r="E183" s="27">
        <f t="shared" si="4"/>
        <v>5.1158882420990262</v>
      </c>
    </row>
    <row r="184" spans="1:5" x14ac:dyDescent="0.4">
      <c r="A184" s="3">
        <v>45769</v>
      </c>
      <c r="B184" s="2" t="s">
        <v>3</v>
      </c>
      <c r="C184" s="2">
        <v>620.1</v>
      </c>
      <c r="D184" s="26">
        <f t="shared" si="5"/>
        <v>-3.0593373833471553E-3</v>
      </c>
      <c r="E184" s="27">
        <f t="shared" si="4"/>
        <v>-0.77095302060348314</v>
      </c>
    </row>
    <row r="185" spans="1:5" x14ac:dyDescent="0.4">
      <c r="A185" s="3">
        <v>45770</v>
      </c>
      <c r="B185" s="2" t="s">
        <v>3</v>
      </c>
      <c r="C185" s="2">
        <v>629.1</v>
      </c>
      <c r="D185" s="26">
        <f t="shared" si="5"/>
        <v>1.4409471220151784E-2</v>
      </c>
      <c r="E185" s="27">
        <f t="shared" si="4"/>
        <v>3.6311867474782495</v>
      </c>
    </row>
    <row r="186" spans="1:5" x14ac:dyDescent="0.4">
      <c r="A186" s="3">
        <v>45771</v>
      </c>
      <c r="B186" s="2" t="s">
        <v>3</v>
      </c>
      <c r="C186" s="2">
        <v>628.35</v>
      </c>
      <c r="D186" s="26">
        <f t="shared" si="5"/>
        <v>-1.1928905148303479E-3</v>
      </c>
      <c r="E186" s="27">
        <f t="shared" si="4"/>
        <v>-0.30060840973724767</v>
      </c>
    </row>
    <row r="187" spans="1:5" x14ac:dyDescent="0.4">
      <c r="A187" s="3">
        <v>45772</v>
      </c>
      <c r="B187" s="2" t="s">
        <v>3</v>
      </c>
      <c r="C187" s="2">
        <v>622.1</v>
      </c>
      <c r="D187" s="26">
        <f t="shared" si="5"/>
        <v>-9.9964845401794965E-3</v>
      </c>
      <c r="E187" s="27">
        <f t="shared" si="4"/>
        <v>-2.519114104125233</v>
      </c>
    </row>
    <row r="188" spans="1:5" x14ac:dyDescent="0.4">
      <c r="A188" s="3">
        <v>45775</v>
      </c>
      <c r="B188" s="2" t="s">
        <v>3</v>
      </c>
      <c r="C188" s="2">
        <v>628.65</v>
      </c>
      <c r="D188" s="26">
        <f t="shared" si="5"/>
        <v>1.0473811518216098E-2</v>
      </c>
      <c r="E188" s="27">
        <f t="shared" si="4"/>
        <v>2.6394005025904566</v>
      </c>
    </row>
    <row r="189" spans="1:5" x14ac:dyDescent="0.4">
      <c r="A189" s="3">
        <v>45776</v>
      </c>
      <c r="B189" s="2" t="s">
        <v>3</v>
      </c>
      <c r="C189" s="2">
        <v>622.54999999999995</v>
      </c>
      <c r="D189" s="26">
        <f t="shared" si="5"/>
        <v>-9.7507166407687414E-3</v>
      </c>
      <c r="E189" s="27">
        <f t="shared" si="4"/>
        <v>-2.4571805934737228</v>
      </c>
    </row>
    <row r="190" spans="1:5" x14ac:dyDescent="0.4">
      <c r="A190" s="3">
        <v>45777</v>
      </c>
      <c r="B190" s="2" t="s">
        <v>3</v>
      </c>
      <c r="C190" s="2">
        <v>624.65</v>
      </c>
      <c r="D190" s="26">
        <f t="shared" si="5"/>
        <v>3.3675464794166977E-3</v>
      </c>
      <c r="E190" s="27">
        <f t="shared" si="4"/>
        <v>0.8486217128130078</v>
      </c>
    </row>
    <row r="191" spans="1:5" x14ac:dyDescent="0.4">
      <c r="A191" s="3">
        <v>45779</v>
      </c>
      <c r="B191" s="2" t="s">
        <v>3</v>
      </c>
      <c r="C191" s="2">
        <v>632.1</v>
      </c>
      <c r="D191" s="26">
        <f t="shared" si="5"/>
        <v>1.1856116600414893E-2</v>
      </c>
      <c r="E191" s="27">
        <f t="shared" si="4"/>
        <v>2.9877413833045532</v>
      </c>
    </row>
    <row r="192" spans="1:5" x14ac:dyDescent="0.4">
      <c r="A192" s="3">
        <v>45782</v>
      </c>
      <c r="B192" s="2" t="s">
        <v>3</v>
      </c>
      <c r="C192" s="2">
        <v>633.4</v>
      </c>
      <c r="D192" s="26">
        <f t="shared" si="5"/>
        <v>2.0545246262863568E-3</v>
      </c>
      <c r="E192" s="27">
        <f t="shared" si="4"/>
        <v>0.51774020582416191</v>
      </c>
    </row>
    <row r="193" spans="1:5" x14ac:dyDescent="0.4">
      <c r="A193" s="3">
        <v>45783</v>
      </c>
      <c r="B193" s="2" t="s">
        <v>3</v>
      </c>
      <c r="C193" s="2">
        <v>630.04999999999995</v>
      </c>
      <c r="D193" s="26">
        <f t="shared" si="5"/>
        <v>-5.3029527888372634E-3</v>
      </c>
      <c r="E193" s="27">
        <f t="shared" si="4"/>
        <v>-1.3363441027869905</v>
      </c>
    </row>
    <row r="194" spans="1:5" x14ac:dyDescent="0.4">
      <c r="A194" s="3">
        <v>45784</v>
      </c>
      <c r="B194" s="2" t="s">
        <v>3</v>
      </c>
      <c r="C194" s="2">
        <v>636.29999999999995</v>
      </c>
      <c r="D194" s="26">
        <f t="shared" si="5"/>
        <v>9.8709689230443032E-3</v>
      </c>
      <c r="E194" s="27">
        <f t="shared" si="4"/>
        <v>2.4874841686071645</v>
      </c>
    </row>
    <row r="195" spans="1:5" x14ac:dyDescent="0.4">
      <c r="A195" s="3">
        <v>45785</v>
      </c>
      <c r="B195" s="2" t="s">
        <v>3</v>
      </c>
      <c r="C195" s="2">
        <v>620.20000000000005</v>
      </c>
      <c r="D195" s="26">
        <f t="shared" si="5"/>
        <v>-2.5628143572397781E-2</v>
      </c>
      <c r="E195" s="27">
        <f t="shared" ref="E195:E251" si="6">D195*252</f>
        <v>-6.458292180244241</v>
      </c>
    </row>
    <row r="196" spans="1:5" x14ac:dyDescent="0.4">
      <c r="A196" s="3">
        <v>45786</v>
      </c>
      <c r="B196" s="2" t="s">
        <v>3</v>
      </c>
      <c r="C196" s="2">
        <v>627.15</v>
      </c>
      <c r="D196" s="26">
        <f t="shared" ref="D196:D251" si="7">LN(C196/C195)</f>
        <v>1.114373980433497E-2</v>
      </c>
      <c r="E196" s="27">
        <f t="shared" si="6"/>
        <v>2.8082224306924126</v>
      </c>
    </row>
    <row r="197" spans="1:5" x14ac:dyDescent="0.4">
      <c r="A197" s="3">
        <v>45789</v>
      </c>
      <c r="B197" s="2" t="s">
        <v>3</v>
      </c>
      <c r="C197" s="2">
        <v>651.95000000000005</v>
      </c>
      <c r="D197" s="26">
        <f t="shared" si="7"/>
        <v>3.8782125398797745E-2</v>
      </c>
      <c r="E197" s="27">
        <f t="shared" si="6"/>
        <v>9.7730956004970313</v>
      </c>
    </row>
    <row r="198" spans="1:5" x14ac:dyDescent="0.4">
      <c r="A198" s="3">
        <v>45790</v>
      </c>
      <c r="B198" s="2" t="s">
        <v>3</v>
      </c>
      <c r="C198" s="2">
        <v>634.75</v>
      </c>
      <c r="D198" s="26">
        <f t="shared" si="7"/>
        <v>-2.6736651284693522E-2</v>
      </c>
      <c r="E198" s="27">
        <f t="shared" si="6"/>
        <v>-6.7376361237427673</v>
      </c>
    </row>
    <row r="199" spans="1:5" x14ac:dyDescent="0.4">
      <c r="A199" s="3">
        <v>45791</v>
      </c>
      <c r="B199" s="2" t="s">
        <v>3</v>
      </c>
      <c r="C199" s="2">
        <v>650.54999999999995</v>
      </c>
      <c r="D199" s="26">
        <f t="shared" si="7"/>
        <v>2.4586938364697105E-2</v>
      </c>
      <c r="E199" s="27">
        <f t="shared" si="6"/>
        <v>6.1959084679036707</v>
      </c>
    </row>
    <row r="200" spans="1:5" x14ac:dyDescent="0.4">
      <c r="A200" s="3">
        <v>45792</v>
      </c>
      <c r="B200" s="2" t="s">
        <v>3</v>
      </c>
      <c r="C200" s="2">
        <v>661.35</v>
      </c>
      <c r="D200" s="26">
        <f t="shared" si="7"/>
        <v>1.6465041522571427E-2</v>
      </c>
      <c r="E200" s="27">
        <f t="shared" si="6"/>
        <v>4.1491904636879999</v>
      </c>
    </row>
    <row r="201" spans="1:5" x14ac:dyDescent="0.4">
      <c r="A201" s="3">
        <v>45793</v>
      </c>
      <c r="B201" s="2" t="s">
        <v>3</v>
      </c>
      <c r="C201" s="2">
        <v>657.55</v>
      </c>
      <c r="D201" s="26">
        <f t="shared" si="7"/>
        <v>-5.7623936840825677E-3</v>
      </c>
      <c r="E201" s="27">
        <f t="shared" si="6"/>
        <v>-1.4521232083888072</v>
      </c>
    </row>
    <row r="202" spans="1:5" x14ac:dyDescent="0.4">
      <c r="A202" s="3">
        <v>45796</v>
      </c>
      <c r="B202" s="2" t="s">
        <v>3</v>
      </c>
      <c r="C202" s="2">
        <v>658.35</v>
      </c>
      <c r="D202" s="26">
        <f t="shared" si="7"/>
        <v>1.2158980143788941E-3</v>
      </c>
      <c r="E202" s="27">
        <f t="shared" si="6"/>
        <v>0.30640629962348132</v>
      </c>
    </row>
    <row r="203" spans="1:5" x14ac:dyDescent="0.4">
      <c r="A203" s="3">
        <v>45797</v>
      </c>
      <c r="B203" s="2" t="s">
        <v>3</v>
      </c>
      <c r="C203" s="2">
        <v>662.75</v>
      </c>
      <c r="D203" s="26">
        <f t="shared" si="7"/>
        <v>6.6611403667822221E-3</v>
      </c>
      <c r="E203" s="27">
        <f t="shared" si="6"/>
        <v>1.6786073724291199</v>
      </c>
    </row>
    <row r="204" spans="1:5" x14ac:dyDescent="0.4">
      <c r="A204" s="3">
        <v>45798</v>
      </c>
      <c r="B204" s="2" t="s">
        <v>3</v>
      </c>
      <c r="C204" s="2">
        <v>663</v>
      </c>
      <c r="D204" s="26">
        <f t="shared" si="7"/>
        <v>3.7714501672756547E-4</v>
      </c>
      <c r="E204" s="27">
        <f t="shared" si="6"/>
        <v>9.5040544215346495E-2</v>
      </c>
    </row>
    <row r="205" spans="1:5" x14ac:dyDescent="0.4">
      <c r="A205" s="3">
        <v>45799</v>
      </c>
      <c r="B205" s="2" t="s">
        <v>3</v>
      </c>
      <c r="C205" s="2">
        <v>649.54999999999995</v>
      </c>
      <c r="D205" s="26">
        <f t="shared" si="7"/>
        <v>-2.049517474412069E-2</v>
      </c>
      <c r="E205" s="27">
        <f t="shared" si="6"/>
        <v>-5.164784035518414</v>
      </c>
    </row>
    <row r="206" spans="1:5" x14ac:dyDescent="0.4">
      <c r="A206" s="3">
        <v>45800</v>
      </c>
      <c r="B206" s="2" t="s">
        <v>3</v>
      </c>
      <c r="C206" s="2">
        <v>650.1</v>
      </c>
      <c r="D206" s="26">
        <f t="shared" si="7"/>
        <v>8.4638176868133917E-4</v>
      </c>
      <c r="E206" s="27">
        <f t="shared" si="6"/>
        <v>0.21328820570769746</v>
      </c>
    </row>
    <row r="207" spans="1:5" x14ac:dyDescent="0.4">
      <c r="A207" s="3">
        <v>45803</v>
      </c>
      <c r="B207" s="2" t="s">
        <v>3</v>
      </c>
      <c r="C207" s="2">
        <v>661.45</v>
      </c>
      <c r="D207" s="26">
        <f t="shared" si="7"/>
        <v>1.7308197697966026E-2</v>
      </c>
      <c r="E207" s="27">
        <f t="shared" si="6"/>
        <v>4.3616658198874383</v>
      </c>
    </row>
    <row r="208" spans="1:5" x14ac:dyDescent="0.4">
      <c r="A208" s="3">
        <v>45804</v>
      </c>
      <c r="B208" s="2" t="s">
        <v>3</v>
      </c>
      <c r="C208" s="2">
        <v>659.45</v>
      </c>
      <c r="D208" s="26">
        <f t="shared" si="7"/>
        <v>-3.0282406364952916E-3</v>
      </c>
      <c r="E208" s="27">
        <f t="shared" si="6"/>
        <v>-0.76311664039681348</v>
      </c>
    </row>
    <row r="209" spans="1:5" x14ac:dyDescent="0.4">
      <c r="A209" s="3">
        <v>45805</v>
      </c>
      <c r="B209" s="2" t="s">
        <v>3</v>
      </c>
      <c r="C209" s="2">
        <v>649.95000000000005</v>
      </c>
      <c r="D209" s="26">
        <f t="shared" si="7"/>
        <v>-1.45107174178657E-2</v>
      </c>
      <c r="E209" s="27">
        <f t="shared" si="6"/>
        <v>-3.6567007893021564</v>
      </c>
    </row>
    <row r="210" spans="1:5" x14ac:dyDescent="0.4">
      <c r="A210" s="3">
        <v>45806</v>
      </c>
      <c r="B210" s="2" t="s">
        <v>3</v>
      </c>
      <c r="C210" s="2">
        <v>650</v>
      </c>
      <c r="D210" s="26">
        <f t="shared" si="7"/>
        <v>7.6926035654576122E-5</v>
      </c>
      <c r="E210" s="27">
        <f t="shared" si="6"/>
        <v>1.9385360984953182E-2</v>
      </c>
    </row>
    <row r="211" spans="1:5" x14ac:dyDescent="0.4">
      <c r="A211" s="3">
        <v>45807</v>
      </c>
      <c r="B211" s="2" t="s">
        <v>3</v>
      </c>
      <c r="C211" s="2">
        <v>633.5</v>
      </c>
      <c r="D211" s="26">
        <f t="shared" si="7"/>
        <v>-2.5712363128489006E-2</v>
      </c>
      <c r="E211" s="27">
        <f t="shared" si="6"/>
        <v>-6.4795155083792295</v>
      </c>
    </row>
    <row r="212" spans="1:5" x14ac:dyDescent="0.4">
      <c r="A212" s="3">
        <v>45810</v>
      </c>
      <c r="B212" s="2" t="s">
        <v>3</v>
      </c>
      <c r="C212" s="2">
        <v>631.1</v>
      </c>
      <c r="D212" s="26">
        <f t="shared" si="7"/>
        <v>-3.7956711709998857E-3</v>
      </c>
      <c r="E212" s="27">
        <f t="shared" si="6"/>
        <v>-0.95650913509197122</v>
      </c>
    </row>
    <row r="213" spans="1:5" x14ac:dyDescent="0.4">
      <c r="A213" s="3">
        <v>45811</v>
      </c>
      <c r="B213" s="2" t="s">
        <v>3</v>
      </c>
      <c r="C213" s="2">
        <v>632</v>
      </c>
      <c r="D213" s="26">
        <f t="shared" si="7"/>
        <v>1.4250655566636419E-3</v>
      </c>
      <c r="E213" s="27">
        <f t="shared" si="6"/>
        <v>0.35911652027923779</v>
      </c>
    </row>
    <row r="214" spans="1:5" x14ac:dyDescent="0.4">
      <c r="A214" s="3">
        <v>45812</v>
      </c>
      <c r="B214" s="2" t="s">
        <v>3</v>
      </c>
      <c r="C214" s="2">
        <v>635.85</v>
      </c>
      <c r="D214" s="26">
        <f t="shared" si="7"/>
        <v>6.0732923198983839E-3</v>
      </c>
      <c r="E214" s="27">
        <f t="shared" si="6"/>
        <v>1.5304696646143927</v>
      </c>
    </row>
    <row r="215" spans="1:5" x14ac:dyDescent="0.4">
      <c r="A215" s="3">
        <v>45813</v>
      </c>
      <c r="B215" s="2" t="s">
        <v>3</v>
      </c>
      <c r="C215" s="2">
        <v>637.25</v>
      </c>
      <c r="D215" s="26">
        <f t="shared" si="7"/>
        <v>2.1993567894690261E-3</v>
      </c>
      <c r="E215" s="27">
        <f t="shared" si="6"/>
        <v>0.55423791094619457</v>
      </c>
    </row>
    <row r="216" spans="1:5" x14ac:dyDescent="0.4">
      <c r="A216" s="3">
        <v>45814</v>
      </c>
      <c r="B216" s="2" t="s">
        <v>3</v>
      </c>
      <c r="C216" s="2">
        <v>650.15</v>
      </c>
      <c r="D216" s="26">
        <f t="shared" si="7"/>
        <v>2.0041062241104048E-2</v>
      </c>
      <c r="E216" s="27">
        <f t="shared" si="6"/>
        <v>5.0503476847582203</v>
      </c>
    </row>
    <row r="217" spans="1:5" x14ac:dyDescent="0.4">
      <c r="A217" s="3">
        <v>45817</v>
      </c>
      <c r="B217" s="2" t="s">
        <v>3</v>
      </c>
      <c r="C217" s="2">
        <v>650.79999999999995</v>
      </c>
      <c r="D217" s="26">
        <f t="shared" si="7"/>
        <v>9.9926984755382823E-4</v>
      </c>
      <c r="E217" s="27">
        <f t="shared" si="6"/>
        <v>0.25181600158356471</v>
      </c>
    </row>
    <row r="218" spans="1:5" x14ac:dyDescent="0.4">
      <c r="A218" s="3">
        <v>45818</v>
      </c>
      <c r="B218" s="2" t="s">
        <v>3</v>
      </c>
      <c r="C218" s="2">
        <v>658.35</v>
      </c>
      <c r="D218" s="26">
        <f t="shared" si="7"/>
        <v>1.1534329457470039E-2</v>
      </c>
      <c r="E218" s="27">
        <f t="shared" si="6"/>
        <v>2.9066510232824498</v>
      </c>
    </row>
    <row r="219" spans="1:5" x14ac:dyDescent="0.4">
      <c r="A219" s="3">
        <v>45819</v>
      </c>
      <c r="B219" s="2" t="s">
        <v>3</v>
      </c>
      <c r="C219" s="2">
        <v>655.20000000000005</v>
      </c>
      <c r="D219" s="26">
        <f t="shared" si="7"/>
        <v>-4.7961722634929441E-3</v>
      </c>
      <c r="E219" s="27">
        <f t="shared" si="6"/>
        <v>-1.2086354104002219</v>
      </c>
    </row>
    <row r="220" spans="1:5" x14ac:dyDescent="0.4">
      <c r="A220" s="3">
        <v>45820</v>
      </c>
      <c r="B220" s="2" t="s">
        <v>3</v>
      </c>
      <c r="C220" s="2">
        <v>651.04999999999995</v>
      </c>
      <c r="D220" s="26">
        <f t="shared" si="7"/>
        <v>-6.35408836412243E-3</v>
      </c>
      <c r="E220" s="27">
        <f t="shared" si="6"/>
        <v>-1.6012302677588524</v>
      </c>
    </row>
    <row r="221" spans="1:5" x14ac:dyDescent="0.4">
      <c r="A221" s="3">
        <v>45821</v>
      </c>
      <c r="B221" s="2" t="s">
        <v>3</v>
      </c>
      <c r="C221" s="2">
        <v>641.79999999999995</v>
      </c>
      <c r="D221" s="26">
        <f t="shared" si="7"/>
        <v>-1.4309715498980797E-2</v>
      </c>
      <c r="E221" s="27">
        <f t="shared" si="6"/>
        <v>-3.6060483057431609</v>
      </c>
    </row>
    <row r="222" spans="1:5" x14ac:dyDescent="0.4">
      <c r="A222" s="3">
        <v>45824</v>
      </c>
      <c r="B222" s="2" t="s">
        <v>3</v>
      </c>
      <c r="C222" s="2">
        <v>649.6</v>
      </c>
      <c r="D222" s="26">
        <f t="shared" si="7"/>
        <v>1.2080060171711754E-2</v>
      </c>
      <c r="E222" s="27">
        <f t="shared" si="6"/>
        <v>3.0441751632713623</v>
      </c>
    </row>
    <row r="223" spans="1:5" x14ac:dyDescent="0.4">
      <c r="A223" s="3">
        <v>45825</v>
      </c>
      <c r="B223" s="2" t="s">
        <v>3</v>
      </c>
      <c r="C223" s="2">
        <v>641.70000000000005</v>
      </c>
      <c r="D223" s="26">
        <f t="shared" si="7"/>
        <v>-1.2235884090998485E-2</v>
      </c>
      <c r="E223" s="27">
        <f t="shared" si="6"/>
        <v>-3.0834427909316182</v>
      </c>
    </row>
    <row r="224" spans="1:5" x14ac:dyDescent="0.4">
      <c r="A224" s="3">
        <v>45826</v>
      </c>
      <c r="B224" s="2" t="s">
        <v>3</v>
      </c>
      <c r="C224" s="2">
        <v>645.35</v>
      </c>
      <c r="D224" s="26">
        <f t="shared" si="7"/>
        <v>5.6719005247269231E-3</v>
      </c>
      <c r="E224" s="27">
        <f t="shared" si="6"/>
        <v>1.4293189322311846</v>
      </c>
    </row>
    <row r="225" spans="1:5" x14ac:dyDescent="0.4">
      <c r="A225" s="3">
        <v>45827</v>
      </c>
      <c r="B225" s="2" t="s">
        <v>3</v>
      </c>
      <c r="C225" s="2">
        <v>641.35</v>
      </c>
      <c r="D225" s="26">
        <f t="shared" si="7"/>
        <v>-6.2174755353369571E-3</v>
      </c>
      <c r="E225" s="27">
        <f t="shared" si="6"/>
        <v>-1.5668038349049132</v>
      </c>
    </row>
    <row r="226" spans="1:5" x14ac:dyDescent="0.4">
      <c r="A226" s="3">
        <v>45828</v>
      </c>
      <c r="B226" s="2" t="s">
        <v>3</v>
      </c>
      <c r="C226" s="2">
        <v>649.15</v>
      </c>
      <c r="D226" s="26">
        <f t="shared" si="7"/>
        <v>1.2088485060402623E-2</v>
      </c>
      <c r="E226" s="27">
        <f t="shared" si="6"/>
        <v>3.0462982352214611</v>
      </c>
    </row>
    <row r="227" spans="1:5" x14ac:dyDescent="0.4">
      <c r="A227" s="3">
        <v>45831</v>
      </c>
      <c r="B227" s="2" t="s">
        <v>3</v>
      </c>
      <c r="C227" s="2">
        <v>661.4</v>
      </c>
      <c r="D227" s="26">
        <f t="shared" si="7"/>
        <v>1.8694985741429908E-2</v>
      </c>
      <c r="E227" s="27">
        <f t="shared" si="6"/>
        <v>4.7111364068403372</v>
      </c>
    </row>
    <row r="228" spans="1:5" x14ac:dyDescent="0.4">
      <c r="A228" s="3">
        <v>45832</v>
      </c>
      <c r="B228" s="2" t="s">
        <v>3</v>
      </c>
      <c r="C228" s="2">
        <v>669.4</v>
      </c>
      <c r="D228" s="26">
        <f t="shared" si="7"/>
        <v>1.2022988229533925E-2</v>
      </c>
      <c r="E228" s="27">
        <f t="shared" si="6"/>
        <v>3.0297930338425489</v>
      </c>
    </row>
    <row r="229" spans="1:5" x14ac:dyDescent="0.4">
      <c r="A229" s="3">
        <v>45833</v>
      </c>
      <c r="B229" s="2" t="s">
        <v>3</v>
      </c>
      <c r="C229" s="2">
        <v>672.65</v>
      </c>
      <c r="D229" s="26">
        <f t="shared" si="7"/>
        <v>4.8433461543257086E-3</v>
      </c>
      <c r="E229" s="27">
        <f t="shared" si="6"/>
        <v>1.2205232308900786</v>
      </c>
    </row>
    <row r="230" spans="1:5" x14ac:dyDescent="0.4">
      <c r="A230" s="3">
        <v>45834</v>
      </c>
      <c r="B230" s="2" t="s">
        <v>3</v>
      </c>
      <c r="C230" s="2">
        <v>690.6</v>
      </c>
      <c r="D230" s="26">
        <f t="shared" si="7"/>
        <v>2.6335650024340136E-2</v>
      </c>
      <c r="E230" s="27">
        <f t="shared" si="6"/>
        <v>6.6365838061337143</v>
      </c>
    </row>
    <row r="231" spans="1:5" x14ac:dyDescent="0.4">
      <c r="A231" s="3">
        <v>45835</v>
      </c>
      <c r="B231" s="2" t="s">
        <v>3</v>
      </c>
      <c r="C231" s="2">
        <v>697.35</v>
      </c>
      <c r="D231" s="26">
        <f t="shared" si="7"/>
        <v>9.7266518488115152E-3</v>
      </c>
      <c r="E231" s="27">
        <f t="shared" si="6"/>
        <v>2.4511162659005019</v>
      </c>
    </row>
    <row r="232" spans="1:5" x14ac:dyDescent="0.4">
      <c r="A232" s="3">
        <v>45838</v>
      </c>
      <c r="B232" s="2" t="s">
        <v>3</v>
      </c>
      <c r="C232" s="2">
        <v>692.85</v>
      </c>
      <c r="D232" s="26">
        <f t="shared" si="7"/>
        <v>-6.473911259979365E-3</v>
      </c>
      <c r="E232" s="27">
        <f t="shared" si="6"/>
        <v>-1.6314256375148</v>
      </c>
    </row>
    <row r="233" spans="1:5" x14ac:dyDescent="0.4">
      <c r="A233" s="3">
        <v>45839</v>
      </c>
      <c r="B233" s="2" t="s">
        <v>3</v>
      </c>
      <c r="C233" s="2">
        <v>694.3</v>
      </c>
      <c r="D233" s="26">
        <f t="shared" si="7"/>
        <v>2.0906182145035835E-3</v>
      </c>
      <c r="E233" s="27">
        <f t="shared" si="6"/>
        <v>0.52683579005490311</v>
      </c>
    </row>
    <row r="234" spans="1:5" x14ac:dyDescent="0.4">
      <c r="A234" s="3">
        <v>45840</v>
      </c>
      <c r="B234" s="2" t="s">
        <v>3</v>
      </c>
      <c r="C234" s="2">
        <v>698.35</v>
      </c>
      <c r="D234" s="26">
        <f t="shared" si="7"/>
        <v>5.8162659925527823E-3</v>
      </c>
      <c r="E234" s="27">
        <f t="shared" si="6"/>
        <v>1.465699030123301</v>
      </c>
    </row>
    <row r="235" spans="1:5" x14ac:dyDescent="0.4">
      <c r="A235" s="3">
        <v>45841</v>
      </c>
      <c r="B235" s="2" t="s">
        <v>3</v>
      </c>
      <c r="C235" s="2">
        <v>692.85</v>
      </c>
      <c r="D235" s="26">
        <f t="shared" si="7"/>
        <v>-7.906884207056198E-3</v>
      </c>
      <c r="E235" s="27">
        <f t="shared" si="6"/>
        <v>-1.9925348201781619</v>
      </c>
    </row>
    <row r="236" spans="1:5" x14ac:dyDescent="0.4">
      <c r="A236" s="3">
        <v>45842</v>
      </c>
      <c r="B236" s="2" t="s">
        <v>3</v>
      </c>
      <c r="C236" s="2">
        <v>699.45</v>
      </c>
      <c r="D236" s="26">
        <f t="shared" si="7"/>
        <v>9.4807863777154021E-3</v>
      </c>
      <c r="E236" s="27">
        <f t="shared" si="6"/>
        <v>2.3891581671842812</v>
      </c>
    </row>
    <row r="237" spans="1:5" x14ac:dyDescent="0.4">
      <c r="A237" s="3">
        <v>45845</v>
      </c>
      <c r="B237" s="2" t="s">
        <v>3</v>
      </c>
      <c r="C237" s="2">
        <v>692.1</v>
      </c>
      <c r="D237" s="26">
        <f t="shared" si="7"/>
        <v>-1.0563858074621874E-2</v>
      </c>
      <c r="E237" s="27">
        <f t="shared" si="6"/>
        <v>-2.662092234804712</v>
      </c>
    </row>
    <row r="238" spans="1:5" x14ac:dyDescent="0.4">
      <c r="A238" s="3">
        <v>45846</v>
      </c>
      <c r="B238" s="2" t="s">
        <v>3</v>
      </c>
      <c r="C238" s="2">
        <v>685.6</v>
      </c>
      <c r="D238" s="26">
        <f t="shared" si="7"/>
        <v>-9.4360865642476154E-3</v>
      </c>
      <c r="E238" s="27">
        <f t="shared" si="6"/>
        <v>-2.3778938141903989</v>
      </c>
    </row>
    <row r="239" spans="1:5" x14ac:dyDescent="0.4">
      <c r="A239" s="3">
        <v>45847</v>
      </c>
      <c r="B239" s="2" t="s">
        <v>3</v>
      </c>
      <c r="C239" s="2">
        <v>673.95</v>
      </c>
      <c r="D239" s="26">
        <f t="shared" si="7"/>
        <v>-1.7138443099291308E-2</v>
      </c>
      <c r="E239" s="27">
        <f t="shared" si="6"/>
        <v>-4.3188876610214093</v>
      </c>
    </row>
    <row r="240" spans="1:5" x14ac:dyDescent="0.4">
      <c r="A240" s="3">
        <v>45848</v>
      </c>
      <c r="B240" s="2" t="s">
        <v>3</v>
      </c>
      <c r="C240" s="2">
        <v>675.05</v>
      </c>
      <c r="D240" s="26">
        <f t="shared" si="7"/>
        <v>1.6308380189764419E-3</v>
      </c>
      <c r="E240" s="27">
        <f t="shared" si="6"/>
        <v>0.41097118078206335</v>
      </c>
    </row>
    <row r="241" spans="1:5" x14ac:dyDescent="0.4">
      <c r="A241" s="3">
        <v>45849</v>
      </c>
      <c r="B241" s="2" t="s">
        <v>3</v>
      </c>
      <c r="C241" s="2">
        <v>670.95</v>
      </c>
      <c r="D241" s="26">
        <f t="shared" si="7"/>
        <v>-6.0921436562881535E-3</v>
      </c>
      <c r="E241" s="27">
        <f t="shared" si="6"/>
        <v>-1.5352202013846148</v>
      </c>
    </row>
    <row r="242" spans="1:5" x14ac:dyDescent="0.4">
      <c r="A242" s="3">
        <v>45852</v>
      </c>
      <c r="B242" s="2" t="s">
        <v>3</v>
      </c>
      <c r="C242" s="2">
        <v>666.5</v>
      </c>
      <c r="D242" s="26">
        <f t="shared" si="7"/>
        <v>-6.6544789282034743E-3</v>
      </c>
      <c r="E242" s="27">
        <f t="shared" si="6"/>
        <v>-1.6769286899072755</v>
      </c>
    </row>
    <row r="243" spans="1:5" x14ac:dyDescent="0.4">
      <c r="A243" s="3">
        <v>45853</v>
      </c>
      <c r="B243" s="2" t="s">
        <v>3</v>
      </c>
      <c r="C243" s="2">
        <v>670.85</v>
      </c>
      <c r="D243" s="26">
        <f t="shared" si="7"/>
        <v>6.5054254177172935E-3</v>
      </c>
      <c r="E243" s="27">
        <f t="shared" si="6"/>
        <v>1.6393672052647579</v>
      </c>
    </row>
    <row r="244" spans="1:5" x14ac:dyDescent="0.4">
      <c r="A244" s="3">
        <v>45854</v>
      </c>
      <c r="B244" s="2" t="s">
        <v>3</v>
      </c>
      <c r="C244" s="2">
        <v>666.75</v>
      </c>
      <c r="D244" s="26">
        <f t="shared" si="7"/>
        <v>-6.1304019743570878E-3</v>
      </c>
      <c r="E244" s="27">
        <f t="shared" si="6"/>
        <v>-1.5448612975379861</v>
      </c>
    </row>
    <row r="245" spans="1:5" x14ac:dyDescent="0.4">
      <c r="A245" s="3">
        <v>45855</v>
      </c>
      <c r="B245" s="2" t="s">
        <v>3</v>
      </c>
      <c r="C245" s="2">
        <v>674.55</v>
      </c>
      <c r="D245" s="26">
        <f t="shared" si="7"/>
        <v>1.1630638822702403E-2</v>
      </c>
      <c r="E245" s="27">
        <f t="shared" si="6"/>
        <v>2.9309209833210055</v>
      </c>
    </row>
    <row r="246" spans="1:5" x14ac:dyDescent="0.4">
      <c r="A246" s="3">
        <v>45856</v>
      </c>
      <c r="B246" s="2" t="s">
        <v>3</v>
      </c>
      <c r="C246" s="2">
        <v>675.9</v>
      </c>
      <c r="D246" s="26">
        <f t="shared" si="7"/>
        <v>1.9993342214824823E-3</v>
      </c>
      <c r="E246" s="27">
        <f t="shared" si="6"/>
        <v>0.5038322238135855</v>
      </c>
    </row>
    <row r="247" spans="1:5" x14ac:dyDescent="0.4">
      <c r="A247" s="3">
        <v>45859</v>
      </c>
      <c r="B247" s="2" t="s">
        <v>3</v>
      </c>
      <c r="C247" s="2">
        <v>682.7</v>
      </c>
      <c r="D247" s="26">
        <f t="shared" si="7"/>
        <v>1.0010388317926305E-2</v>
      </c>
      <c r="E247" s="27">
        <f t="shared" si="6"/>
        <v>2.5226178561174288</v>
      </c>
    </row>
    <row r="248" spans="1:5" x14ac:dyDescent="0.4">
      <c r="A248" s="3">
        <v>45860</v>
      </c>
      <c r="B248" s="2" t="s">
        <v>3</v>
      </c>
      <c r="C248" s="2">
        <v>690.05</v>
      </c>
      <c r="D248" s="26">
        <f t="shared" si="7"/>
        <v>1.0708534309814253E-2</v>
      </c>
      <c r="E248" s="27">
        <f t="shared" si="6"/>
        <v>2.6985506460731918</v>
      </c>
    </row>
    <row r="249" spans="1:5" x14ac:dyDescent="0.4">
      <c r="A249" s="3">
        <v>45861</v>
      </c>
      <c r="B249" s="2" t="s">
        <v>3</v>
      </c>
      <c r="C249" s="2">
        <v>695.4</v>
      </c>
      <c r="D249" s="26">
        <f t="shared" si="7"/>
        <v>7.7231608397121338E-3</v>
      </c>
      <c r="E249" s="27">
        <f t="shared" si="6"/>
        <v>1.9462365316074577</v>
      </c>
    </row>
    <row r="250" spans="1:5" x14ac:dyDescent="0.4">
      <c r="A250" s="3">
        <v>45862</v>
      </c>
      <c r="B250" s="2" t="s">
        <v>3</v>
      </c>
      <c r="C250" s="2">
        <v>695.6</v>
      </c>
      <c r="D250" s="26">
        <f t="shared" si="7"/>
        <v>2.8756290636711601E-4</v>
      </c>
      <c r="E250" s="27">
        <f t="shared" si="6"/>
        <v>7.246585240451324E-2</v>
      </c>
    </row>
    <row r="251" spans="1:5" x14ac:dyDescent="0.4">
      <c r="A251" s="3">
        <v>45863</v>
      </c>
      <c r="B251" s="2" t="s">
        <v>3</v>
      </c>
      <c r="C251" s="2">
        <v>693.45</v>
      </c>
      <c r="D251" s="26">
        <f t="shared" si="7"/>
        <v>-3.095643377783779E-3</v>
      </c>
      <c r="E251" s="27">
        <f t="shared" si="6"/>
        <v>-0.78010213120151228</v>
      </c>
    </row>
  </sheetData>
  <autoFilter ref="A1:C251" xr:uid="{4FBBED48-EF77-45EC-9790-FAC1FE9AA867}">
    <sortState xmlns:xlrd2="http://schemas.microsoft.com/office/spreadsheetml/2017/richdata2" ref="A2:C251">
      <sortCondition ref="A1:A251"/>
    </sortState>
  </autoFilter>
  <mergeCells count="1">
    <mergeCell ref="G3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51D2-E41D-464D-A9FF-EF90024DAD2E}">
  <dimension ref="A1:I251"/>
  <sheetViews>
    <sheetView showGridLines="0" workbookViewId="0">
      <selection activeCell="F13" sqref="F13"/>
    </sheetView>
  </sheetViews>
  <sheetFormatPr defaultColWidth="8.73046875" defaultRowHeight="13.15" x14ac:dyDescent="0.4"/>
  <cols>
    <col min="1" max="1" width="9.33203125" style="1" bestFit="1" customWidth="1"/>
    <col min="2" max="2" width="9" style="1" bestFit="1" customWidth="1"/>
    <col min="3" max="3" width="21.796875" style="1" bestFit="1" customWidth="1"/>
    <col min="4" max="4" width="17.796875" style="1" customWidth="1"/>
    <col min="5" max="5" width="6.46484375" style="1" bestFit="1" customWidth="1"/>
    <col min="6" max="6" width="19.9296875" style="1" bestFit="1" customWidth="1"/>
    <col min="7" max="7" width="15.53125" style="1" customWidth="1"/>
    <col min="8" max="16384" width="8.73046875" style="1"/>
  </cols>
  <sheetData>
    <row r="1" spans="1:9" x14ac:dyDescent="0.4">
      <c r="A1" s="4" t="s">
        <v>0</v>
      </c>
      <c r="B1" s="4" t="s">
        <v>5</v>
      </c>
      <c r="C1" s="21" t="s">
        <v>46</v>
      </c>
      <c r="D1" s="21" t="s">
        <v>47</v>
      </c>
    </row>
    <row r="2" spans="1:9" x14ac:dyDescent="0.4">
      <c r="A2" s="5">
        <v>45499</v>
      </c>
      <c r="B2" s="6">
        <v>24834.85</v>
      </c>
      <c r="C2" s="26">
        <v>0</v>
      </c>
      <c r="D2" s="27">
        <f>C2*252</f>
        <v>0</v>
      </c>
    </row>
    <row r="3" spans="1:9" x14ac:dyDescent="0.4">
      <c r="A3" s="5">
        <v>45502</v>
      </c>
      <c r="B3" s="6">
        <v>24836.1</v>
      </c>
      <c r="C3" s="26">
        <f>LN(B3/B2)</f>
        <v>5.0331229834195685E-5</v>
      </c>
      <c r="D3" s="27">
        <f t="shared" ref="D3:D66" si="0">C3*252</f>
        <v>1.2683469918217312E-2</v>
      </c>
      <c r="F3" s="111" t="s">
        <v>10</v>
      </c>
      <c r="G3" s="112"/>
    </row>
    <row r="4" spans="1:9" x14ac:dyDescent="0.4">
      <c r="A4" s="5">
        <v>45503</v>
      </c>
      <c r="B4" s="6">
        <v>24857.3</v>
      </c>
      <c r="C4" s="26">
        <f t="shared" ref="C4:C67" si="1">LN(B4/B3)</f>
        <v>8.5323207050211575E-4</v>
      </c>
      <c r="D4" s="27">
        <f t="shared" si="0"/>
        <v>0.21501448176653318</v>
      </c>
      <c r="F4" s="28" t="s">
        <v>48</v>
      </c>
      <c r="G4" s="29">
        <f>AVERAGE(D2:D251)</f>
        <v>8.7260691975716393E-5</v>
      </c>
      <c r="I4" s="1" t="s">
        <v>55</v>
      </c>
    </row>
    <row r="5" spans="1:9" x14ac:dyDescent="0.4">
      <c r="A5" s="5">
        <v>45504</v>
      </c>
      <c r="B5" s="6">
        <v>24951.15</v>
      </c>
      <c r="C5" s="26">
        <f t="shared" si="1"/>
        <v>3.7684413413710642E-3</v>
      </c>
      <c r="D5" s="27">
        <f t="shared" si="0"/>
        <v>0.94964721802550822</v>
      </c>
      <c r="F5" s="28" t="s">
        <v>50</v>
      </c>
      <c r="G5" s="43">
        <f>_xlfn.STDEV.S(D2:D251)/100</f>
        <v>2.1384329678651861E-2</v>
      </c>
      <c r="I5" s="1" t="s">
        <v>56</v>
      </c>
    </row>
    <row r="6" spans="1:9" x14ac:dyDescent="0.4">
      <c r="A6" s="5">
        <v>45505</v>
      </c>
      <c r="B6" s="6">
        <v>25010.9</v>
      </c>
      <c r="C6" s="26">
        <f t="shared" si="1"/>
        <v>2.3918165281347566E-3</v>
      </c>
      <c r="D6" s="27">
        <f t="shared" si="0"/>
        <v>0.60273776508995869</v>
      </c>
    </row>
    <row r="7" spans="1:9" x14ac:dyDescent="0.4">
      <c r="A7" s="5">
        <v>45506</v>
      </c>
      <c r="B7" s="6">
        <v>24717.7</v>
      </c>
      <c r="C7" s="26">
        <f t="shared" si="1"/>
        <v>-1.179214365820847E-2</v>
      </c>
      <c r="D7" s="27">
        <f t="shared" si="0"/>
        <v>-2.9716202018685345</v>
      </c>
    </row>
    <row r="8" spans="1:9" x14ac:dyDescent="0.4">
      <c r="A8" s="5">
        <v>45509</v>
      </c>
      <c r="B8" s="6">
        <v>24055.599999999999</v>
      </c>
      <c r="C8" s="26">
        <f t="shared" si="1"/>
        <v>-2.7151768509934573E-2</v>
      </c>
      <c r="D8" s="27">
        <f t="shared" si="0"/>
        <v>-6.8422456645035128</v>
      </c>
    </row>
    <row r="9" spans="1:9" x14ac:dyDescent="0.4">
      <c r="A9" s="5">
        <v>45510</v>
      </c>
      <c r="B9" s="6">
        <v>23992.55</v>
      </c>
      <c r="C9" s="26">
        <f t="shared" si="1"/>
        <v>-2.6244521876233645E-3</v>
      </c>
      <c r="D9" s="27">
        <f t="shared" si="0"/>
        <v>-0.66136195128108788</v>
      </c>
      <c r="F9" s="80" t="s">
        <v>104</v>
      </c>
      <c r="G9" s="81"/>
    </row>
    <row r="10" spans="1:9" x14ac:dyDescent="0.4">
      <c r="A10" s="5">
        <v>45511</v>
      </c>
      <c r="B10" s="6">
        <v>24297.5</v>
      </c>
      <c r="C10" s="26">
        <f t="shared" si="1"/>
        <v>1.2630098903435905E-2</v>
      </c>
      <c r="D10" s="27">
        <f t="shared" si="0"/>
        <v>3.1827849236658481</v>
      </c>
      <c r="F10" s="82" t="s">
        <v>105</v>
      </c>
      <c r="G10" s="83"/>
    </row>
    <row r="11" spans="1:9" x14ac:dyDescent="0.4">
      <c r="A11" s="5">
        <v>45512</v>
      </c>
      <c r="B11" s="6">
        <v>24117</v>
      </c>
      <c r="C11" s="26">
        <f t="shared" si="1"/>
        <v>-7.4564783815551433E-3</v>
      </c>
      <c r="D11" s="27">
        <f t="shared" si="0"/>
        <v>-1.879032552151896</v>
      </c>
      <c r="F11" s="82"/>
      <c r="G11" s="83"/>
    </row>
    <row r="12" spans="1:9" x14ac:dyDescent="0.4">
      <c r="A12" s="5">
        <v>45513</v>
      </c>
      <c r="B12" s="6">
        <v>24367.5</v>
      </c>
      <c r="C12" s="26">
        <f t="shared" si="1"/>
        <v>1.0333291215294636E-2</v>
      </c>
      <c r="D12" s="27">
        <f t="shared" si="0"/>
        <v>2.6039893862542485</v>
      </c>
      <c r="F12" s="84" t="s">
        <v>106</v>
      </c>
      <c r="G12" s="85"/>
    </row>
    <row r="13" spans="1:9" x14ac:dyDescent="0.4">
      <c r="A13" s="5">
        <v>45516</v>
      </c>
      <c r="B13" s="6">
        <v>24347</v>
      </c>
      <c r="C13" s="26">
        <f t="shared" si="1"/>
        <v>-8.4163857619835045E-4</v>
      </c>
      <c r="D13" s="27">
        <f t="shared" si="0"/>
        <v>-0.21209292120198431</v>
      </c>
    </row>
    <row r="14" spans="1:9" x14ac:dyDescent="0.4">
      <c r="A14" s="5">
        <v>45517</v>
      </c>
      <c r="B14" s="6">
        <v>24139</v>
      </c>
      <c r="C14" s="26">
        <f t="shared" si="1"/>
        <v>-8.5798488623965701E-3</v>
      </c>
      <c r="D14" s="27">
        <f t="shared" si="0"/>
        <v>-2.1621219133239356</v>
      </c>
    </row>
    <row r="15" spans="1:9" x14ac:dyDescent="0.4">
      <c r="A15" s="5">
        <v>45518</v>
      </c>
      <c r="B15" s="6">
        <v>24143.75</v>
      </c>
      <c r="C15" s="26">
        <f t="shared" si="1"/>
        <v>1.967576418212346E-4</v>
      </c>
      <c r="D15" s="27">
        <f t="shared" si="0"/>
        <v>4.9582925738951122E-2</v>
      </c>
    </row>
    <row r="16" spans="1:9" x14ac:dyDescent="0.4">
      <c r="A16" s="5">
        <v>45520</v>
      </c>
      <c r="B16" s="6">
        <v>24541.15</v>
      </c>
      <c r="C16" s="26">
        <f t="shared" si="1"/>
        <v>1.6325753017997963E-2</v>
      </c>
      <c r="D16" s="27">
        <f t="shared" si="0"/>
        <v>4.1140897605354869</v>
      </c>
    </row>
    <row r="17" spans="1:4" x14ac:dyDescent="0.4">
      <c r="A17" s="5">
        <v>45523</v>
      </c>
      <c r="B17" s="6">
        <v>24572.65</v>
      </c>
      <c r="C17" s="26">
        <f t="shared" si="1"/>
        <v>1.2827353745464452E-3</v>
      </c>
      <c r="D17" s="27">
        <f t="shared" si="0"/>
        <v>0.3232493143857042</v>
      </c>
    </row>
    <row r="18" spans="1:4" x14ac:dyDescent="0.4">
      <c r="A18" s="5">
        <v>45524</v>
      </c>
      <c r="B18" s="6">
        <v>24698.85</v>
      </c>
      <c r="C18" s="26">
        <f t="shared" si="1"/>
        <v>5.1226480205889434E-3</v>
      </c>
      <c r="D18" s="27">
        <f t="shared" si="0"/>
        <v>1.2909073011884138</v>
      </c>
    </row>
    <row r="19" spans="1:4" x14ac:dyDescent="0.4">
      <c r="A19" s="5">
        <v>45525</v>
      </c>
      <c r="B19" s="6">
        <v>24770.2</v>
      </c>
      <c r="C19" s="26">
        <f t="shared" si="1"/>
        <v>2.8846339064908873E-3</v>
      </c>
      <c r="D19" s="27">
        <f t="shared" si="0"/>
        <v>0.72692774443570363</v>
      </c>
    </row>
    <row r="20" spans="1:4" x14ac:dyDescent="0.4">
      <c r="A20" s="5">
        <v>45526</v>
      </c>
      <c r="B20" s="6">
        <v>24811.5</v>
      </c>
      <c r="C20" s="26">
        <f t="shared" si="1"/>
        <v>1.6659376161698191E-3</v>
      </c>
      <c r="D20" s="27">
        <f t="shared" si="0"/>
        <v>0.41981627927479442</v>
      </c>
    </row>
    <row r="21" spans="1:4" x14ac:dyDescent="0.4">
      <c r="A21" s="5">
        <v>45527</v>
      </c>
      <c r="B21" s="6">
        <v>24823.15</v>
      </c>
      <c r="C21" s="26">
        <f t="shared" si="1"/>
        <v>4.6943013455067465E-4</v>
      </c>
      <c r="D21" s="27">
        <f t="shared" si="0"/>
        <v>0.11829639390677001</v>
      </c>
    </row>
    <row r="22" spans="1:4" x14ac:dyDescent="0.4">
      <c r="A22" s="5">
        <v>45530</v>
      </c>
      <c r="B22" s="6">
        <v>25010.6</v>
      </c>
      <c r="C22" s="26">
        <f t="shared" si="1"/>
        <v>7.5230495028018388E-3</v>
      </c>
      <c r="D22" s="27">
        <f t="shared" si="0"/>
        <v>1.8958084747060633</v>
      </c>
    </row>
    <row r="23" spans="1:4" x14ac:dyDescent="0.4">
      <c r="A23" s="5">
        <v>45531</v>
      </c>
      <c r="B23" s="6">
        <v>25017.75</v>
      </c>
      <c r="C23" s="26">
        <f t="shared" si="1"/>
        <v>2.8583793184004246E-4</v>
      </c>
      <c r="D23" s="27">
        <f t="shared" si="0"/>
        <v>7.2031158823690697E-2</v>
      </c>
    </row>
    <row r="24" spans="1:4" x14ac:dyDescent="0.4">
      <c r="A24" s="5">
        <v>45532</v>
      </c>
      <c r="B24" s="6">
        <v>25052.35</v>
      </c>
      <c r="C24" s="26">
        <f t="shared" si="1"/>
        <v>1.3820625685767348E-3</v>
      </c>
      <c r="D24" s="27">
        <f t="shared" si="0"/>
        <v>0.34827976728133719</v>
      </c>
    </row>
    <row r="25" spans="1:4" x14ac:dyDescent="0.4">
      <c r="A25" s="5">
        <v>45533</v>
      </c>
      <c r="B25" s="6">
        <v>25151.95</v>
      </c>
      <c r="C25" s="26">
        <f t="shared" si="1"/>
        <v>3.9677928253165316E-3</v>
      </c>
      <c r="D25" s="27">
        <f t="shared" si="0"/>
        <v>0.99988379197976596</v>
      </c>
    </row>
    <row r="26" spans="1:4" x14ac:dyDescent="0.4">
      <c r="A26" s="5">
        <v>45534</v>
      </c>
      <c r="B26" s="6">
        <v>25235.9</v>
      </c>
      <c r="C26" s="26">
        <f t="shared" si="1"/>
        <v>3.332155576256976E-3</v>
      </c>
      <c r="D26" s="27">
        <f t="shared" si="0"/>
        <v>0.8397032052167579</v>
      </c>
    </row>
    <row r="27" spans="1:4" x14ac:dyDescent="0.4">
      <c r="A27" s="5">
        <v>45537</v>
      </c>
      <c r="B27" s="6">
        <v>25278.7</v>
      </c>
      <c r="C27" s="26">
        <f t="shared" si="1"/>
        <v>1.6945599981708784E-3</v>
      </c>
      <c r="D27" s="27">
        <f t="shared" si="0"/>
        <v>0.42702911953906136</v>
      </c>
    </row>
    <row r="28" spans="1:4" x14ac:dyDescent="0.4">
      <c r="A28" s="5">
        <v>45538</v>
      </c>
      <c r="B28" s="6">
        <v>25279.85</v>
      </c>
      <c r="C28" s="26">
        <f t="shared" si="1"/>
        <v>4.5491810987265924E-5</v>
      </c>
      <c r="D28" s="27">
        <f t="shared" si="0"/>
        <v>1.1463936368791013E-2</v>
      </c>
    </row>
    <row r="29" spans="1:4" x14ac:dyDescent="0.4">
      <c r="A29" s="5">
        <v>45539</v>
      </c>
      <c r="B29" s="6">
        <v>25198.7</v>
      </c>
      <c r="C29" s="26">
        <f t="shared" si="1"/>
        <v>-3.2152298316295127E-3</v>
      </c>
      <c r="D29" s="27">
        <f t="shared" si="0"/>
        <v>-0.81023791757063723</v>
      </c>
    </row>
    <row r="30" spans="1:4" x14ac:dyDescent="0.4">
      <c r="A30" s="5">
        <v>45540</v>
      </c>
      <c r="B30" s="6">
        <v>25145.1</v>
      </c>
      <c r="C30" s="26">
        <f t="shared" si="1"/>
        <v>-2.1293593353156458E-3</v>
      </c>
      <c r="D30" s="27">
        <f t="shared" si="0"/>
        <v>-0.5365985524995428</v>
      </c>
    </row>
    <row r="31" spans="1:4" x14ac:dyDescent="0.4">
      <c r="A31" s="5">
        <v>45541</v>
      </c>
      <c r="B31" s="6">
        <v>24852.15</v>
      </c>
      <c r="C31" s="26">
        <f t="shared" si="1"/>
        <v>-1.1718778635040884E-2</v>
      </c>
      <c r="D31" s="27">
        <f t="shared" si="0"/>
        <v>-2.9531322160303026</v>
      </c>
    </row>
    <row r="32" spans="1:4" x14ac:dyDescent="0.4">
      <c r="A32" s="5">
        <v>45544</v>
      </c>
      <c r="B32" s="6">
        <v>24936.400000000001</v>
      </c>
      <c r="C32" s="26">
        <f t="shared" si="1"/>
        <v>3.3843154867430215E-3</v>
      </c>
      <c r="D32" s="27">
        <f t="shared" si="0"/>
        <v>0.85284750265924136</v>
      </c>
    </row>
    <row r="33" spans="1:4" x14ac:dyDescent="0.4">
      <c r="A33" s="5">
        <v>45545</v>
      </c>
      <c r="B33" s="6">
        <v>25041.1</v>
      </c>
      <c r="C33" s="26">
        <f t="shared" si="1"/>
        <v>4.1898915779699352E-3</v>
      </c>
      <c r="D33" s="27">
        <f t="shared" si="0"/>
        <v>1.0558526776484236</v>
      </c>
    </row>
    <row r="34" spans="1:4" x14ac:dyDescent="0.4">
      <c r="A34" s="5">
        <v>45546</v>
      </c>
      <c r="B34" s="6">
        <v>24918.45</v>
      </c>
      <c r="C34" s="26">
        <f t="shared" si="1"/>
        <v>-4.9099820315822162E-3</v>
      </c>
      <c r="D34" s="27">
        <f t="shared" si="0"/>
        <v>-1.2373154719587185</v>
      </c>
    </row>
    <row r="35" spans="1:4" x14ac:dyDescent="0.4">
      <c r="A35" s="5">
        <v>45547</v>
      </c>
      <c r="B35" s="6">
        <v>25388.9</v>
      </c>
      <c r="C35" s="26">
        <f t="shared" si="1"/>
        <v>1.8703577686811725E-2</v>
      </c>
      <c r="D35" s="27">
        <f t="shared" si="0"/>
        <v>4.7133015770765549</v>
      </c>
    </row>
    <row r="36" spans="1:4" x14ac:dyDescent="0.4">
      <c r="A36" s="5">
        <v>45548</v>
      </c>
      <c r="B36" s="6">
        <v>25356.5</v>
      </c>
      <c r="C36" s="26">
        <f t="shared" si="1"/>
        <v>-1.2769632085949123E-3</v>
      </c>
      <c r="D36" s="27">
        <f t="shared" si="0"/>
        <v>-0.3217947285659179</v>
      </c>
    </row>
    <row r="37" spans="1:4" x14ac:dyDescent="0.4">
      <c r="A37" s="5">
        <v>45551</v>
      </c>
      <c r="B37" s="6">
        <v>25383.75</v>
      </c>
      <c r="C37" s="26">
        <f t="shared" si="1"/>
        <v>1.0740980826790941E-3</v>
      </c>
      <c r="D37" s="27">
        <f t="shared" si="0"/>
        <v>0.27067271683513172</v>
      </c>
    </row>
    <row r="38" spans="1:4" x14ac:dyDescent="0.4">
      <c r="A38" s="5">
        <v>45552</v>
      </c>
      <c r="B38" s="6">
        <v>25418.55</v>
      </c>
      <c r="C38" s="26">
        <f t="shared" si="1"/>
        <v>1.3700169261289907E-3</v>
      </c>
      <c r="D38" s="27">
        <f t="shared" si="0"/>
        <v>0.34524426538450564</v>
      </c>
    </row>
    <row r="39" spans="1:4" x14ac:dyDescent="0.4">
      <c r="A39" s="5">
        <v>45553</v>
      </c>
      <c r="B39" s="6">
        <v>25377.55</v>
      </c>
      <c r="C39" s="26">
        <f t="shared" si="1"/>
        <v>-1.6142975111744227E-3</v>
      </c>
      <c r="D39" s="27">
        <f t="shared" si="0"/>
        <v>-0.40680297281595451</v>
      </c>
    </row>
    <row r="40" spans="1:4" x14ac:dyDescent="0.4">
      <c r="A40" s="5">
        <v>45554</v>
      </c>
      <c r="B40" s="6">
        <v>25415.8</v>
      </c>
      <c r="C40" s="26">
        <f t="shared" si="1"/>
        <v>1.5061029536485916E-3</v>
      </c>
      <c r="D40" s="27">
        <f t="shared" si="0"/>
        <v>0.3795379443194451</v>
      </c>
    </row>
    <row r="41" spans="1:4" x14ac:dyDescent="0.4">
      <c r="A41" s="5">
        <v>45555</v>
      </c>
      <c r="B41" s="6">
        <v>25790.95</v>
      </c>
      <c r="C41" s="26">
        <f t="shared" si="1"/>
        <v>1.4652627320371103E-2</v>
      </c>
      <c r="D41" s="27">
        <f t="shared" si="0"/>
        <v>3.6924620847335179</v>
      </c>
    </row>
    <row r="42" spans="1:4" x14ac:dyDescent="0.4">
      <c r="A42" s="5">
        <v>45558</v>
      </c>
      <c r="B42" s="6">
        <v>25939.05</v>
      </c>
      <c r="C42" s="26">
        <f t="shared" si="1"/>
        <v>5.7259000437972149E-3</v>
      </c>
      <c r="D42" s="27">
        <f t="shared" si="0"/>
        <v>1.4429268110368982</v>
      </c>
    </row>
    <row r="43" spans="1:4" x14ac:dyDescent="0.4">
      <c r="A43" s="5">
        <v>45559</v>
      </c>
      <c r="B43" s="6">
        <v>25940.400000000001</v>
      </c>
      <c r="C43" s="26">
        <f t="shared" si="1"/>
        <v>5.2043728308821627E-5</v>
      </c>
      <c r="D43" s="27">
        <f t="shared" si="0"/>
        <v>1.311501953382305E-2</v>
      </c>
    </row>
    <row r="44" spans="1:4" x14ac:dyDescent="0.4">
      <c r="A44" s="5">
        <v>45560</v>
      </c>
      <c r="B44" s="6">
        <v>26004.15</v>
      </c>
      <c r="C44" s="26">
        <f t="shared" si="1"/>
        <v>2.4545416990469533E-3</v>
      </c>
      <c r="D44" s="27">
        <f t="shared" si="0"/>
        <v>0.6185445081598322</v>
      </c>
    </row>
    <row r="45" spans="1:4" x14ac:dyDescent="0.4">
      <c r="A45" s="5">
        <v>45561</v>
      </c>
      <c r="B45" s="6">
        <v>26216.05</v>
      </c>
      <c r="C45" s="26">
        <f t="shared" si="1"/>
        <v>8.1156779580020509E-3</v>
      </c>
      <c r="D45" s="27">
        <f t="shared" si="0"/>
        <v>2.0451508454165168</v>
      </c>
    </row>
    <row r="46" spans="1:4" x14ac:dyDescent="0.4">
      <c r="A46" s="5">
        <v>45562</v>
      </c>
      <c r="B46" s="6">
        <v>26178.95</v>
      </c>
      <c r="C46" s="26">
        <f t="shared" si="1"/>
        <v>-1.4161659013423675E-3</v>
      </c>
      <c r="D46" s="27">
        <f t="shared" si="0"/>
        <v>-0.3568738071382766</v>
      </c>
    </row>
    <row r="47" spans="1:4" x14ac:dyDescent="0.4">
      <c r="A47" s="5">
        <v>45565</v>
      </c>
      <c r="B47" s="6">
        <v>25810.85</v>
      </c>
      <c r="C47" s="26">
        <f t="shared" si="1"/>
        <v>-1.4160706565616464E-2</v>
      </c>
      <c r="D47" s="27">
        <f t="shared" si="0"/>
        <v>-3.5684980545353491</v>
      </c>
    </row>
    <row r="48" spans="1:4" x14ac:dyDescent="0.4">
      <c r="A48" s="5">
        <v>45566</v>
      </c>
      <c r="B48" s="6">
        <v>25796.9</v>
      </c>
      <c r="C48" s="26">
        <f t="shared" si="1"/>
        <v>-5.4061649034323775E-4</v>
      </c>
      <c r="D48" s="27">
        <f t="shared" si="0"/>
        <v>-0.13623535556649591</v>
      </c>
    </row>
    <row r="49" spans="1:4" x14ac:dyDescent="0.4">
      <c r="A49" s="5">
        <v>45568</v>
      </c>
      <c r="B49" s="6">
        <v>25250.1</v>
      </c>
      <c r="C49" s="26">
        <f t="shared" si="1"/>
        <v>-2.1424213560051142E-2</v>
      </c>
      <c r="D49" s="27">
        <f t="shared" si="0"/>
        <v>-5.398901817132888</v>
      </c>
    </row>
    <row r="50" spans="1:4" x14ac:dyDescent="0.4">
      <c r="A50" s="5">
        <v>45569</v>
      </c>
      <c r="B50" s="6">
        <v>25014.6</v>
      </c>
      <c r="C50" s="26">
        <f t="shared" si="1"/>
        <v>-9.3704617030021236E-3</v>
      </c>
      <c r="D50" s="27">
        <f t="shared" si="0"/>
        <v>-2.361356349156535</v>
      </c>
    </row>
    <row r="51" spans="1:4" x14ac:dyDescent="0.4">
      <c r="A51" s="5">
        <v>45572</v>
      </c>
      <c r="B51" s="6">
        <v>24795.75</v>
      </c>
      <c r="C51" s="26">
        <f t="shared" si="1"/>
        <v>-8.7873868890513806E-3</v>
      </c>
      <c r="D51" s="27">
        <f t="shared" si="0"/>
        <v>-2.2144214960409481</v>
      </c>
    </row>
    <row r="52" spans="1:4" x14ac:dyDescent="0.4">
      <c r="A52" s="5">
        <v>45573</v>
      </c>
      <c r="B52" s="6">
        <v>25013.15</v>
      </c>
      <c r="C52" s="26">
        <f t="shared" si="1"/>
        <v>8.7294190611797214E-3</v>
      </c>
      <c r="D52" s="27">
        <f t="shared" si="0"/>
        <v>2.1998136034172897</v>
      </c>
    </row>
    <row r="53" spans="1:4" x14ac:dyDescent="0.4">
      <c r="A53" s="5">
        <v>45574</v>
      </c>
      <c r="B53" s="6">
        <v>24981.95</v>
      </c>
      <c r="C53" s="26">
        <f t="shared" si="1"/>
        <v>-1.2481224780150524E-3</v>
      </c>
      <c r="D53" s="27">
        <f t="shared" si="0"/>
        <v>-0.31452686445979322</v>
      </c>
    </row>
    <row r="54" spans="1:4" x14ac:dyDescent="0.4">
      <c r="A54" s="5">
        <v>45575</v>
      </c>
      <c r="B54" s="6">
        <v>24998.45</v>
      </c>
      <c r="C54" s="26">
        <f t="shared" si="1"/>
        <v>6.6025884544412166E-4</v>
      </c>
      <c r="D54" s="27">
        <f t="shared" si="0"/>
        <v>0.16638522905191866</v>
      </c>
    </row>
    <row r="55" spans="1:4" x14ac:dyDescent="0.4">
      <c r="A55" s="5">
        <v>45576</v>
      </c>
      <c r="B55" s="6">
        <v>24964.25</v>
      </c>
      <c r="C55" s="26">
        <f t="shared" si="1"/>
        <v>-1.3690215037028451E-3</v>
      </c>
      <c r="D55" s="27">
        <f t="shared" si="0"/>
        <v>-0.34499341893311697</v>
      </c>
    </row>
    <row r="56" spans="1:4" x14ac:dyDescent="0.4">
      <c r="A56" s="5">
        <v>45579</v>
      </c>
      <c r="B56" s="6">
        <v>25127.95</v>
      </c>
      <c r="C56" s="26">
        <f t="shared" si="1"/>
        <v>6.5359709797854493E-3</v>
      </c>
      <c r="D56" s="27">
        <f t="shared" si="0"/>
        <v>1.6470646869059333</v>
      </c>
    </row>
    <row r="57" spans="1:4" x14ac:dyDescent="0.4">
      <c r="A57" s="5">
        <v>45580</v>
      </c>
      <c r="B57" s="6">
        <v>25057.35</v>
      </c>
      <c r="C57" s="26">
        <f t="shared" si="1"/>
        <v>-2.8135747549046168E-3</v>
      </c>
      <c r="D57" s="27">
        <f t="shared" si="0"/>
        <v>-0.7090208382359634</v>
      </c>
    </row>
    <row r="58" spans="1:4" x14ac:dyDescent="0.4">
      <c r="A58" s="5">
        <v>45581</v>
      </c>
      <c r="B58" s="6">
        <v>24971.3</v>
      </c>
      <c r="C58" s="26">
        <f t="shared" si="1"/>
        <v>-3.4400322558512829E-3</v>
      </c>
      <c r="D58" s="27">
        <f t="shared" si="0"/>
        <v>-0.86688812847452323</v>
      </c>
    </row>
    <row r="59" spans="1:4" x14ac:dyDescent="0.4">
      <c r="A59" s="5">
        <v>45582</v>
      </c>
      <c r="B59" s="6">
        <v>24749.85</v>
      </c>
      <c r="C59" s="26">
        <f t="shared" si="1"/>
        <v>-8.9077370211750866E-3</v>
      </c>
      <c r="D59" s="27">
        <f t="shared" si="0"/>
        <v>-2.2447497293361218</v>
      </c>
    </row>
    <row r="60" spans="1:4" x14ac:dyDescent="0.4">
      <c r="A60" s="5">
        <v>45583</v>
      </c>
      <c r="B60" s="6">
        <v>24854.05</v>
      </c>
      <c r="C60" s="26">
        <f t="shared" si="1"/>
        <v>4.2012887401181526E-3</v>
      </c>
      <c r="D60" s="27">
        <f t="shared" si="0"/>
        <v>1.0587247625097744</v>
      </c>
    </row>
    <row r="61" spans="1:4" x14ac:dyDescent="0.4">
      <c r="A61" s="5">
        <v>45586</v>
      </c>
      <c r="B61" s="6">
        <v>24781.1</v>
      </c>
      <c r="C61" s="26">
        <f t="shared" si="1"/>
        <v>-2.9394512770190822E-3</v>
      </c>
      <c r="D61" s="27">
        <f t="shared" si="0"/>
        <v>-0.74074172180880871</v>
      </c>
    </row>
    <row r="62" spans="1:4" x14ac:dyDescent="0.4">
      <c r="A62" s="5">
        <v>45587</v>
      </c>
      <c r="B62" s="6">
        <v>24472.1</v>
      </c>
      <c r="C62" s="26">
        <f t="shared" si="1"/>
        <v>-1.2547572710405439E-2</v>
      </c>
      <c r="D62" s="27">
        <f t="shared" si="0"/>
        <v>-3.1619883230221708</v>
      </c>
    </row>
    <row r="63" spans="1:4" x14ac:dyDescent="0.4">
      <c r="A63" s="5">
        <v>45588</v>
      </c>
      <c r="B63" s="6">
        <v>24435.5</v>
      </c>
      <c r="C63" s="26">
        <f t="shared" si="1"/>
        <v>-1.4967001787999864E-3</v>
      </c>
      <c r="D63" s="27">
        <f t="shared" si="0"/>
        <v>-0.37716844505759656</v>
      </c>
    </row>
    <row r="64" spans="1:4" x14ac:dyDescent="0.4">
      <c r="A64" s="5">
        <v>45589</v>
      </c>
      <c r="B64" s="6">
        <v>24399.4</v>
      </c>
      <c r="C64" s="26">
        <f t="shared" si="1"/>
        <v>-1.4784511312879243E-3</v>
      </c>
      <c r="D64" s="27">
        <f t="shared" si="0"/>
        <v>-0.3725696850845569</v>
      </c>
    </row>
    <row r="65" spans="1:4" x14ac:dyDescent="0.4">
      <c r="A65" s="5">
        <v>45590</v>
      </c>
      <c r="B65" s="6">
        <v>24180.799999999999</v>
      </c>
      <c r="C65" s="26">
        <f t="shared" si="1"/>
        <v>-8.999611999159645E-3</v>
      </c>
      <c r="D65" s="27">
        <f t="shared" si="0"/>
        <v>-2.2679022237882305</v>
      </c>
    </row>
    <row r="66" spans="1:4" x14ac:dyDescent="0.4">
      <c r="A66" s="5">
        <v>45593</v>
      </c>
      <c r="B66" s="6">
        <v>24339.15</v>
      </c>
      <c r="C66" s="26">
        <f t="shared" si="1"/>
        <v>6.5272351766822402E-3</v>
      </c>
      <c r="D66" s="27">
        <f t="shared" si="0"/>
        <v>1.6448632645239245</v>
      </c>
    </row>
    <row r="67" spans="1:4" x14ac:dyDescent="0.4">
      <c r="A67" s="5">
        <v>45594</v>
      </c>
      <c r="B67" s="6">
        <v>24466.85</v>
      </c>
      <c r="C67" s="26">
        <f t="shared" si="1"/>
        <v>5.2329751018960107E-3</v>
      </c>
      <c r="D67" s="27">
        <f t="shared" ref="D67:D130" si="2">C67*252</f>
        <v>1.3187097256777947</v>
      </c>
    </row>
    <row r="68" spans="1:4" x14ac:dyDescent="0.4">
      <c r="A68" s="5">
        <v>45595</v>
      </c>
      <c r="B68" s="6">
        <v>24340.85</v>
      </c>
      <c r="C68" s="26">
        <f t="shared" ref="C68:C131" si="3">LN(B68/B67)</f>
        <v>-5.1631312234782087E-3</v>
      </c>
      <c r="D68" s="27">
        <f t="shared" si="2"/>
        <v>-1.3011090683165085</v>
      </c>
    </row>
    <row r="69" spans="1:4" x14ac:dyDescent="0.4">
      <c r="A69" s="5">
        <v>45596</v>
      </c>
      <c r="B69" s="6">
        <v>24205.35</v>
      </c>
      <c r="C69" s="26">
        <f t="shared" si="3"/>
        <v>-5.582325779352925E-3</v>
      </c>
      <c r="D69" s="27">
        <f t="shared" si="2"/>
        <v>-1.4067460963969372</v>
      </c>
    </row>
    <row r="70" spans="1:4" x14ac:dyDescent="0.4">
      <c r="A70" s="5">
        <v>45597</v>
      </c>
      <c r="B70" s="6">
        <v>24304.35</v>
      </c>
      <c r="C70" s="26">
        <f t="shared" si="3"/>
        <v>4.0816635619174632E-3</v>
      </c>
      <c r="D70" s="27">
        <f t="shared" si="2"/>
        <v>1.0285792176032007</v>
      </c>
    </row>
    <row r="71" spans="1:4" x14ac:dyDescent="0.4">
      <c r="A71" s="5">
        <v>45600</v>
      </c>
      <c r="B71" s="6">
        <v>23995.35</v>
      </c>
      <c r="C71" s="26">
        <f t="shared" si="3"/>
        <v>-1.2795285095394087E-2</v>
      </c>
      <c r="D71" s="27">
        <f t="shared" si="2"/>
        <v>-3.2244118440393099</v>
      </c>
    </row>
    <row r="72" spans="1:4" x14ac:dyDescent="0.4">
      <c r="A72" s="5">
        <v>45601</v>
      </c>
      <c r="B72" s="6">
        <v>24213.3</v>
      </c>
      <c r="C72" s="26">
        <f t="shared" si="3"/>
        <v>9.0420073960085362E-3</v>
      </c>
      <c r="D72" s="27">
        <f t="shared" si="2"/>
        <v>2.278585863794151</v>
      </c>
    </row>
    <row r="73" spans="1:4" x14ac:dyDescent="0.4">
      <c r="A73" s="5">
        <v>45602</v>
      </c>
      <c r="B73" s="6">
        <v>24484.05</v>
      </c>
      <c r="C73" s="26">
        <f t="shared" si="3"/>
        <v>1.111981616471547E-2</v>
      </c>
      <c r="D73" s="27">
        <f t="shared" si="2"/>
        <v>2.8021936735082984</v>
      </c>
    </row>
    <row r="74" spans="1:4" x14ac:dyDescent="0.4">
      <c r="A74" s="5">
        <v>45603</v>
      </c>
      <c r="B74" s="6">
        <v>24199.35</v>
      </c>
      <c r="C74" s="26">
        <f t="shared" si="3"/>
        <v>-1.1696111838928169E-2</v>
      </c>
      <c r="D74" s="27">
        <f t="shared" si="2"/>
        <v>-2.9474201834098985</v>
      </c>
    </row>
    <row r="75" spans="1:4" x14ac:dyDescent="0.4">
      <c r="A75" s="5">
        <v>45604</v>
      </c>
      <c r="B75" s="6">
        <v>24148.2</v>
      </c>
      <c r="C75" s="26">
        <f t="shared" si="3"/>
        <v>-2.115930138503043E-3</v>
      </c>
      <c r="D75" s="27">
        <f t="shared" si="2"/>
        <v>-0.5332143949027669</v>
      </c>
    </row>
    <row r="76" spans="1:4" x14ac:dyDescent="0.4">
      <c r="A76" s="5">
        <v>45607</v>
      </c>
      <c r="B76" s="6">
        <v>24141.3</v>
      </c>
      <c r="C76" s="26">
        <f t="shared" si="3"/>
        <v>-2.8577641296602358E-4</v>
      </c>
      <c r="D76" s="27">
        <f t="shared" si="2"/>
        <v>-7.2015656067437941E-2</v>
      </c>
    </row>
    <row r="77" spans="1:4" x14ac:dyDescent="0.4">
      <c r="A77" s="5">
        <v>45608</v>
      </c>
      <c r="B77" s="6">
        <v>23883.45</v>
      </c>
      <c r="C77" s="26">
        <f t="shared" si="3"/>
        <v>-1.0738316295232621E-2</v>
      </c>
      <c r="D77" s="27">
        <f t="shared" si="2"/>
        <v>-2.7060557063986206</v>
      </c>
    </row>
    <row r="78" spans="1:4" x14ac:dyDescent="0.4">
      <c r="A78" s="5">
        <v>45609</v>
      </c>
      <c r="B78" s="6">
        <v>23559.05</v>
      </c>
      <c r="C78" s="26">
        <f t="shared" si="3"/>
        <v>-1.367571506132014E-2</v>
      </c>
      <c r="D78" s="27">
        <f t="shared" si="2"/>
        <v>-3.4462801954526752</v>
      </c>
    </row>
    <row r="79" spans="1:4" x14ac:dyDescent="0.4">
      <c r="A79" s="5">
        <v>45610</v>
      </c>
      <c r="B79" s="6">
        <v>23532.7</v>
      </c>
      <c r="C79" s="26">
        <f t="shared" si="3"/>
        <v>-1.1190921021192711E-3</v>
      </c>
      <c r="D79" s="27">
        <f t="shared" si="2"/>
        <v>-0.2820112097340563</v>
      </c>
    </row>
    <row r="80" spans="1:4" x14ac:dyDescent="0.4">
      <c r="A80" s="5">
        <v>45614</v>
      </c>
      <c r="B80" s="6">
        <v>23453.8</v>
      </c>
      <c r="C80" s="26">
        <f t="shared" si="3"/>
        <v>-3.3584146152224673E-3</v>
      </c>
      <c r="D80" s="27">
        <f t="shared" si="2"/>
        <v>-0.84632048303606178</v>
      </c>
    </row>
    <row r="81" spans="1:4" x14ac:dyDescent="0.4">
      <c r="A81" s="5">
        <v>45615</v>
      </c>
      <c r="B81" s="6">
        <v>23518.5</v>
      </c>
      <c r="C81" s="26">
        <f t="shared" si="3"/>
        <v>2.7548168140559032E-3</v>
      </c>
      <c r="D81" s="27">
        <f t="shared" si="2"/>
        <v>0.69421383714208762</v>
      </c>
    </row>
    <row r="82" spans="1:4" x14ac:dyDescent="0.4">
      <c r="A82" s="5">
        <v>45617</v>
      </c>
      <c r="B82" s="6">
        <v>23349.9</v>
      </c>
      <c r="C82" s="26">
        <f t="shared" si="3"/>
        <v>-7.1946440359882038E-3</v>
      </c>
      <c r="D82" s="27">
        <f t="shared" si="2"/>
        <v>-1.8130502970690274</v>
      </c>
    </row>
    <row r="83" spans="1:4" x14ac:dyDescent="0.4">
      <c r="A83" s="5">
        <v>45618</v>
      </c>
      <c r="B83" s="6">
        <v>23907.25</v>
      </c>
      <c r="C83" s="26">
        <f t="shared" si="3"/>
        <v>2.3589058766826355E-2</v>
      </c>
      <c r="D83" s="27">
        <f t="shared" si="2"/>
        <v>5.9444428092402415</v>
      </c>
    </row>
    <row r="84" spans="1:4" x14ac:dyDescent="0.4">
      <c r="A84" s="5">
        <v>45621</v>
      </c>
      <c r="B84" s="6">
        <v>24221.9</v>
      </c>
      <c r="C84" s="26">
        <f t="shared" si="3"/>
        <v>1.307542239477766E-2</v>
      </c>
      <c r="D84" s="27">
        <f t="shared" si="2"/>
        <v>3.2950064434839703</v>
      </c>
    </row>
    <row r="85" spans="1:4" x14ac:dyDescent="0.4">
      <c r="A85" s="5">
        <v>45622</v>
      </c>
      <c r="B85" s="6">
        <v>24194.5</v>
      </c>
      <c r="C85" s="26">
        <f t="shared" si="3"/>
        <v>-1.1318480070857482E-3</v>
      </c>
      <c r="D85" s="27">
        <f t="shared" si="2"/>
        <v>-0.28522569778560852</v>
      </c>
    </row>
    <row r="86" spans="1:4" x14ac:dyDescent="0.4">
      <c r="A86" s="5">
        <v>45623</v>
      </c>
      <c r="B86" s="6">
        <v>24274.9</v>
      </c>
      <c r="C86" s="26">
        <f t="shared" si="3"/>
        <v>3.3175600994260466E-3</v>
      </c>
      <c r="D86" s="27">
        <f t="shared" si="2"/>
        <v>0.83602514505536374</v>
      </c>
    </row>
    <row r="87" spans="1:4" x14ac:dyDescent="0.4">
      <c r="A87" s="5">
        <v>45624</v>
      </c>
      <c r="B87" s="6">
        <v>23914.15</v>
      </c>
      <c r="C87" s="26">
        <f t="shared" si="3"/>
        <v>-1.4972560750343969E-2</v>
      </c>
      <c r="D87" s="27">
        <f t="shared" si="2"/>
        <v>-3.7730853090866803</v>
      </c>
    </row>
    <row r="88" spans="1:4" x14ac:dyDescent="0.4">
      <c r="A88" s="5">
        <v>45625</v>
      </c>
      <c r="B88" s="6">
        <v>24131.1</v>
      </c>
      <c r="C88" s="26">
        <f t="shared" si="3"/>
        <v>9.0311310507838367E-3</v>
      </c>
      <c r="D88" s="27">
        <f t="shared" si="2"/>
        <v>2.275845024797527</v>
      </c>
    </row>
    <row r="89" spans="1:4" x14ac:dyDescent="0.4">
      <c r="A89" s="5">
        <v>45628</v>
      </c>
      <c r="B89" s="6">
        <v>24276.05</v>
      </c>
      <c r="C89" s="26">
        <f t="shared" si="3"/>
        <v>5.988802614002176E-3</v>
      </c>
      <c r="D89" s="27">
        <f t="shared" si="2"/>
        <v>1.5091782587285483</v>
      </c>
    </row>
    <row r="90" spans="1:4" x14ac:dyDescent="0.4">
      <c r="A90" s="5">
        <v>45629</v>
      </c>
      <c r="B90" s="6">
        <v>24457.15</v>
      </c>
      <c r="C90" s="26">
        <f t="shared" si="3"/>
        <v>7.4323390894845123E-3</v>
      </c>
      <c r="D90" s="27">
        <f t="shared" si="2"/>
        <v>1.8729494505500972</v>
      </c>
    </row>
    <row r="91" spans="1:4" x14ac:dyDescent="0.4">
      <c r="A91" s="5">
        <v>45630</v>
      </c>
      <c r="B91" s="6">
        <v>24467.45</v>
      </c>
      <c r="C91" s="26">
        <f t="shared" si="3"/>
        <v>4.2105608026115151E-4</v>
      </c>
      <c r="D91" s="27">
        <f t="shared" si="2"/>
        <v>0.10610613222581018</v>
      </c>
    </row>
    <row r="92" spans="1:4" x14ac:dyDescent="0.4">
      <c r="A92" s="5">
        <v>45631</v>
      </c>
      <c r="B92" s="6">
        <v>24708.400000000001</v>
      </c>
      <c r="C92" s="26">
        <f t="shared" si="3"/>
        <v>9.7996040025433873E-3</v>
      </c>
      <c r="D92" s="27">
        <f t="shared" si="2"/>
        <v>2.4695002086409334</v>
      </c>
    </row>
    <row r="93" spans="1:4" x14ac:dyDescent="0.4">
      <c r="A93" s="5">
        <v>45632</v>
      </c>
      <c r="B93" s="6">
        <v>24677.8</v>
      </c>
      <c r="C93" s="26">
        <f t="shared" si="3"/>
        <v>-1.2392127321359235E-3</v>
      </c>
      <c r="D93" s="27">
        <f t="shared" si="2"/>
        <v>-0.31228160849825271</v>
      </c>
    </row>
    <row r="94" spans="1:4" x14ac:dyDescent="0.4">
      <c r="A94" s="5">
        <v>45635</v>
      </c>
      <c r="B94" s="6">
        <v>24619</v>
      </c>
      <c r="C94" s="26">
        <f t="shared" si="3"/>
        <v>-2.3855515118706054E-3</v>
      </c>
      <c r="D94" s="27">
        <f t="shared" si="2"/>
        <v>-0.60115898099139253</v>
      </c>
    </row>
    <row r="95" spans="1:4" x14ac:dyDescent="0.4">
      <c r="A95" s="5">
        <v>45636</v>
      </c>
      <c r="B95" s="6">
        <v>24610.05</v>
      </c>
      <c r="C95" s="26">
        <f t="shared" si="3"/>
        <v>-3.6360645182499104E-4</v>
      </c>
      <c r="D95" s="27">
        <f t="shared" si="2"/>
        <v>-9.1628825859897747E-2</v>
      </c>
    </row>
    <row r="96" spans="1:4" x14ac:dyDescent="0.4">
      <c r="A96" s="5">
        <v>45637</v>
      </c>
      <c r="B96" s="6">
        <v>24641.8</v>
      </c>
      <c r="C96" s="26">
        <f t="shared" si="3"/>
        <v>1.2892918498735822E-3</v>
      </c>
      <c r="D96" s="27">
        <f t="shared" si="2"/>
        <v>0.32490154616814271</v>
      </c>
    </row>
    <row r="97" spans="1:4" x14ac:dyDescent="0.4">
      <c r="A97" s="5">
        <v>45638</v>
      </c>
      <c r="B97" s="6">
        <v>24548.7</v>
      </c>
      <c r="C97" s="26">
        <f t="shared" si="3"/>
        <v>-3.7852882635684751E-3</v>
      </c>
      <c r="D97" s="27">
        <f t="shared" si="2"/>
        <v>-0.95389264241925575</v>
      </c>
    </row>
    <row r="98" spans="1:4" x14ac:dyDescent="0.4">
      <c r="A98" s="5">
        <v>45639</v>
      </c>
      <c r="B98" s="6">
        <v>24768.3</v>
      </c>
      <c r="C98" s="26">
        <f t="shared" si="3"/>
        <v>8.9057100554239786E-3</v>
      </c>
      <c r="D98" s="27">
        <f t="shared" si="2"/>
        <v>2.2442389339668427</v>
      </c>
    </row>
    <row r="99" spans="1:4" x14ac:dyDescent="0.4">
      <c r="A99" s="5">
        <v>45642</v>
      </c>
      <c r="B99" s="6">
        <v>24668.25</v>
      </c>
      <c r="C99" s="26">
        <f t="shared" si="3"/>
        <v>-4.0476180718514044E-3</v>
      </c>
      <c r="D99" s="27">
        <f t="shared" si="2"/>
        <v>-1.019999754106554</v>
      </c>
    </row>
    <row r="100" spans="1:4" x14ac:dyDescent="0.4">
      <c r="A100" s="5">
        <v>45643</v>
      </c>
      <c r="B100" s="6">
        <v>24336</v>
      </c>
      <c r="C100" s="26">
        <f t="shared" si="3"/>
        <v>-1.3560256148274351E-2</v>
      </c>
      <c r="D100" s="27">
        <f t="shared" si="2"/>
        <v>-3.4171845493651363</v>
      </c>
    </row>
    <row r="101" spans="1:4" x14ac:dyDescent="0.4">
      <c r="A101" s="5">
        <v>45644</v>
      </c>
      <c r="B101" s="6">
        <v>24198.85</v>
      </c>
      <c r="C101" s="26">
        <f t="shared" si="3"/>
        <v>-5.6516241445957781E-3</v>
      </c>
      <c r="D101" s="27">
        <f t="shared" si="2"/>
        <v>-1.424209284438136</v>
      </c>
    </row>
    <row r="102" spans="1:4" x14ac:dyDescent="0.4">
      <c r="A102" s="5">
        <v>45645</v>
      </c>
      <c r="B102" s="6">
        <v>23951.7</v>
      </c>
      <c r="C102" s="26">
        <f t="shared" si="3"/>
        <v>-1.0265808823608006E-2</v>
      </c>
      <c r="D102" s="27">
        <f t="shared" si="2"/>
        <v>-2.5869838235492173</v>
      </c>
    </row>
    <row r="103" spans="1:4" x14ac:dyDescent="0.4">
      <c r="A103" s="5">
        <v>45646</v>
      </c>
      <c r="B103" s="6">
        <v>23587.5</v>
      </c>
      <c r="C103" s="26">
        <f t="shared" si="3"/>
        <v>-1.5322391854064712E-2</v>
      </c>
      <c r="D103" s="27">
        <f t="shared" si="2"/>
        <v>-3.8612427472243076</v>
      </c>
    </row>
    <row r="104" spans="1:4" x14ac:dyDescent="0.4">
      <c r="A104" s="5">
        <v>45649</v>
      </c>
      <c r="B104" s="6">
        <v>23753.45</v>
      </c>
      <c r="C104" s="26">
        <f t="shared" si="3"/>
        <v>7.0108723942055237E-3</v>
      </c>
      <c r="D104" s="27">
        <f t="shared" si="2"/>
        <v>1.7667398433397921</v>
      </c>
    </row>
    <row r="105" spans="1:4" x14ac:dyDescent="0.4">
      <c r="A105" s="5">
        <v>45650</v>
      </c>
      <c r="B105" s="6">
        <v>23727.65</v>
      </c>
      <c r="C105" s="26">
        <f t="shared" si="3"/>
        <v>-1.0867483078192092E-3</v>
      </c>
      <c r="D105" s="27">
        <f t="shared" si="2"/>
        <v>-0.27386057357044069</v>
      </c>
    </row>
    <row r="106" spans="1:4" x14ac:dyDescent="0.4">
      <c r="A106" s="5">
        <v>45652</v>
      </c>
      <c r="B106" s="6">
        <v>23750.2</v>
      </c>
      <c r="C106" s="26">
        <f t="shared" si="3"/>
        <v>9.4991671677012402E-4</v>
      </c>
      <c r="D106" s="27">
        <f t="shared" si="2"/>
        <v>0.23937901262607125</v>
      </c>
    </row>
    <row r="107" spans="1:4" x14ac:dyDescent="0.4">
      <c r="A107" s="5">
        <v>45653</v>
      </c>
      <c r="B107" s="6">
        <v>23813.4</v>
      </c>
      <c r="C107" s="26">
        <f t="shared" si="3"/>
        <v>2.6574959504618452E-3</v>
      </c>
      <c r="D107" s="27">
        <f t="shared" si="2"/>
        <v>0.66968897951638495</v>
      </c>
    </row>
    <row r="108" spans="1:4" x14ac:dyDescent="0.4">
      <c r="A108" s="5">
        <v>45656</v>
      </c>
      <c r="B108" s="6">
        <v>23644.9</v>
      </c>
      <c r="C108" s="26">
        <f t="shared" si="3"/>
        <v>-7.1010005853283714E-3</v>
      </c>
      <c r="D108" s="27">
        <f t="shared" si="2"/>
        <v>-1.7894521475027496</v>
      </c>
    </row>
    <row r="109" spans="1:4" x14ac:dyDescent="0.4">
      <c r="A109" s="5">
        <v>45657</v>
      </c>
      <c r="B109" s="6">
        <v>23644.799999999999</v>
      </c>
      <c r="C109" s="26">
        <f t="shared" si="3"/>
        <v>-4.229250767129392E-6</v>
      </c>
      <c r="D109" s="27">
        <f t="shared" si="2"/>
        <v>-1.0657711933166067E-3</v>
      </c>
    </row>
    <row r="110" spans="1:4" x14ac:dyDescent="0.4">
      <c r="A110" s="5">
        <v>45658</v>
      </c>
      <c r="B110" s="6">
        <v>23742.9</v>
      </c>
      <c r="C110" s="26">
        <f t="shared" si="3"/>
        <v>4.1403208063656048E-3</v>
      </c>
      <c r="D110" s="27">
        <f t="shared" si="2"/>
        <v>1.0433608432041324</v>
      </c>
    </row>
    <row r="111" spans="1:4" x14ac:dyDescent="0.4">
      <c r="A111" s="5">
        <v>45659</v>
      </c>
      <c r="B111" s="6">
        <v>24188.65</v>
      </c>
      <c r="C111" s="26">
        <f t="shared" si="3"/>
        <v>1.8599976460843735E-2</v>
      </c>
      <c r="D111" s="27">
        <f t="shared" si="2"/>
        <v>4.6871940681326212</v>
      </c>
    </row>
    <row r="112" spans="1:4" x14ac:dyDescent="0.4">
      <c r="A112" s="5">
        <v>45660</v>
      </c>
      <c r="B112" s="6">
        <v>24004.75</v>
      </c>
      <c r="C112" s="26">
        <f t="shared" si="3"/>
        <v>-7.6317874477081537E-3</v>
      </c>
      <c r="D112" s="27">
        <f t="shared" si="2"/>
        <v>-1.9232104368224547</v>
      </c>
    </row>
    <row r="113" spans="1:4" x14ac:dyDescent="0.4">
      <c r="A113" s="5">
        <v>45663</v>
      </c>
      <c r="B113" s="6">
        <v>23616.05</v>
      </c>
      <c r="C113" s="26">
        <f t="shared" si="3"/>
        <v>-1.6325161807199819E-2</v>
      </c>
      <c r="D113" s="27">
        <f t="shared" si="2"/>
        <v>-4.1139407754143544</v>
      </c>
    </row>
    <row r="114" spans="1:4" x14ac:dyDescent="0.4">
      <c r="A114" s="5">
        <v>45664</v>
      </c>
      <c r="B114" s="6">
        <v>23707.9</v>
      </c>
      <c r="C114" s="26">
        <f t="shared" si="3"/>
        <v>3.8817603067130878E-3</v>
      </c>
      <c r="D114" s="27">
        <f t="shared" si="2"/>
        <v>0.97820359729169815</v>
      </c>
    </row>
    <row r="115" spans="1:4" x14ac:dyDescent="0.4">
      <c r="A115" s="5">
        <v>45665</v>
      </c>
      <c r="B115" s="6">
        <v>23688.95</v>
      </c>
      <c r="C115" s="26">
        <f t="shared" si="3"/>
        <v>-7.9963124172743882E-4</v>
      </c>
      <c r="D115" s="27">
        <f t="shared" si="2"/>
        <v>-0.20150707291531458</v>
      </c>
    </row>
    <row r="116" spans="1:4" x14ac:dyDescent="0.4">
      <c r="A116" s="5">
        <v>45666</v>
      </c>
      <c r="B116" s="6">
        <v>23526.5</v>
      </c>
      <c r="C116" s="26">
        <f t="shared" si="3"/>
        <v>-6.8812492953755225E-3</v>
      </c>
      <c r="D116" s="27">
        <f t="shared" si="2"/>
        <v>-1.7340748224346316</v>
      </c>
    </row>
    <row r="117" spans="1:4" x14ac:dyDescent="0.4">
      <c r="A117" s="5">
        <v>45667</v>
      </c>
      <c r="B117" s="6">
        <v>23431.5</v>
      </c>
      <c r="C117" s="26">
        <f t="shared" si="3"/>
        <v>-4.0461744370668276E-3</v>
      </c>
      <c r="D117" s="27">
        <f t="shared" si="2"/>
        <v>-1.0196359581408405</v>
      </c>
    </row>
    <row r="118" spans="1:4" x14ac:dyDescent="0.4">
      <c r="A118" s="5">
        <v>45670</v>
      </c>
      <c r="B118" s="6">
        <v>23085.95</v>
      </c>
      <c r="C118" s="26">
        <f t="shared" si="3"/>
        <v>-1.4857063581440453E-2</v>
      </c>
      <c r="D118" s="27">
        <f t="shared" si="2"/>
        <v>-3.7439800225229942</v>
      </c>
    </row>
    <row r="119" spans="1:4" x14ac:dyDescent="0.4">
      <c r="A119" s="5">
        <v>45671</v>
      </c>
      <c r="B119" s="6">
        <v>23176.05</v>
      </c>
      <c r="C119" s="26">
        <f t="shared" si="3"/>
        <v>3.8952104933376291E-3</v>
      </c>
      <c r="D119" s="27">
        <f t="shared" si="2"/>
        <v>0.98159304432108252</v>
      </c>
    </row>
    <row r="120" spans="1:4" x14ac:dyDescent="0.4">
      <c r="A120" s="5">
        <v>45672</v>
      </c>
      <c r="B120" s="6">
        <v>23213.200000000001</v>
      </c>
      <c r="C120" s="26">
        <f t="shared" si="3"/>
        <v>1.6016645210618786E-3</v>
      </c>
      <c r="D120" s="27">
        <f t="shared" si="2"/>
        <v>0.40361945930759341</v>
      </c>
    </row>
    <row r="121" spans="1:4" x14ac:dyDescent="0.4">
      <c r="A121" s="5">
        <v>45673</v>
      </c>
      <c r="B121" s="6">
        <v>23311.8</v>
      </c>
      <c r="C121" s="26">
        <f t="shared" si="3"/>
        <v>4.2385877535739327E-3</v>
      </c>
      <c r="D121" s="27">
        <f t="shared" si="2"/>
        <v>1.068124113900631</v>
      </c>
    </row>
    <row r="122" spans="1:4" x14ac:dyDescent="0.4">
      <c r="A122" s="5">
        <v>45674</v>
      </c>
      <c r="B122" s="6">
        <v>23203.200000000001</v>
      </c>
      <c r="C122" s="26">
        <f t="shared" si="3"/>
        <v>-4.6694699484325849E-3</v>
      </c>
      <c r="D122" s="27">
        <f t="shared" si="2"/>
        <v>-1.1767064270050114</v>
      </c>
    </row>
    <row r="123" spans="1:4" x14ac:dyDescent="0.4">
      <c r="A123" s="5">
        <v>45677</v>
      </c>
      <c r="B123" s="6">
        <v>23344.75</v>
      </c>
      <c r="C123" s="26">
        <f t="shared" si="3"/>
        <v>6.0819192391741118E-3</v>
      </c>
      <c r="D123" s="27">
        <f t="shared" si="2"/>
        <v>1.5326436482718762</v>
      </c>
    </row>
    <row r="124" spans="1:4" x14ac:dyDescent="0.4">
      <c r="A124" s="5">
        <v>45678</v>
      </c>
      <c r="B124" s="6">
        <v>23024.65</v>
      </c>
      <c r="C124" s="26">
        <f t="shared" si="3"/>
        <v>-1.3806738277095545E-2</v>
      </c>
      <c r="D124" s="27">
        <f t="shared" si="2"/>
        <v>-3.4792980458280773</v>
      </c>
    </row>
    <row r="125" spans="1:4" x14ac:dyDescent="0.4">
      <c r="A125" s="5">
        <v>45679</v>
      </c>
      <c r="B125" s="6">
        <v>23155.35</v>
      </c>
      <c r="C125" s="26">
        <f t="shared" si="3"/>
        <v>5.6604741870661156E-3</v>
      </c>
      <c r="D125" s="27">
        <f t="shared" si="2"/>
        <v>1.4264394951406612</v>
      </c>
    </row>
    <row r="126" spans="1:4" x14ac:dyDescent="0.4">
      <c r="A126" s="5">
        <v>45680</v>
      </c>
      <c r="B126" s="6">
        <v>23205.35</v>
      </c>
      <c r="C126" s="26">
        <f t="shared" si="3"/>
        <v>2.1570001913706685E-3</v>
      </c>
      <c r="D126" s="27">
        <f t="shared" si="2"/>
        <v>0.54356404822540849</v>
      </c>
    </row>
    <row r="127" spans="1:4" x14ac:dyDescent="0.4">
      <c r="A127" s="5">
        <v>45681</v>
      </c>
      <c r="B127" s="6">
        <v>23092.2</v>
      </c>
      <c r="C127" s="26">
        <f t="shared" si="3"/>
        <v>-4.8879573663295961E-3</v>
      </c>
      <c r="D127" s="27">
        <f t="shared" si="2"/>
        <v>-1.2317652563150583</v>
      </c>
    </row>
    <row r="128" spans="1:4" x14ac:dyDescent="0.4">
      <c r="A128" s="5">
        <v>45684</v>
      </c>
      <c r="B128" s="6">
        <v>22829.15</v>
      </c>
      <c r="C128" s="26">
        <f t="shared" si="3"/>
        <v>-1.1456670033394137E-2</v>
      </c>
      <c r="D128" s="27">
        <f t="shared" si="2"/>
        <v>-2.8870808484153225</v>
      </c>
    </row>
    <row r="129" spans="1:4" x14ac:dyDescent="0.4">
      <c r="A129" s="5">
        <v>45685</v>
      </c>
      <c r="B129" s="6">
        <v>22957.25</v>
      </c>
      <c r="C129" s="26">
        <f t="shared" si="3"/>
        <v>5.5955626228530505E-3</v>
      </c>
      <c r="D129" s="27">
        <f t="shared" si="2"/>
        <v>1.4100817809589687</v>
      </c>
    </row>
    <row r="130" spans="1:4" x14ac:dyDescent="0.4">
      <c r="A130" s="5">
        <v>45686</v>
      </c>
      <c r="B130" s="6">
        <v>23163.1</v>
      </c>
      <c r="C130" s="26">
        <f t="shared" si="3"/>
        <v>8.9267044567532539E-3</v>
      </c>
      <c r="D130" s="27">
        <f t="shared" si="2"/>
        <v>2.24952952310182</v>
      </c>
    </row>
    <row r="131" spans="1:4" x14ac:dyDescent="0.4">
      <c r="A131" s="5">
        <v>45687</v>
      </c>
      <c r="B131" s="6">
        <v>23249.5</v>
      </c>
      <c r="C131" s="26">
        <f t="shared" si="3"/>
        <v>3.7231312102430775E-3</v>
      </c>
      <c r="D131" s="27">
        <f t="shared" ref="D131:D194" si="4">C131*252</f>
        <v>0.93822906498125547</v>
      </c>
    </row>
    <row r="132" spans="1:4" x14ac:dyDescent="0.4">
      <c r="A132" s="5">
        <v>45688</v>
      </c>
      <c r="B132" s="6">
        <v>23508.400000000001</v>
      </c>
      <c r="C132" s="26">
        <f t="shared" ref="C132:C195" si="5">LN(B132/B131)</f>
        <v>1.1074177663955638E-2</v>
      </c>
      <c r="D132" s="27">
        <f t="shared" si="4"/>
        <v>2.7906927713168206</v>
      </c>
    </row>
    <row r="133" spans="1:4" x14ac:dyDescent="0.4">
      <c r="A133" s="5">
        <v>45689</v>
      </c>
      <c r="B133" s="6">
        <v>23482.15</v>
      </c>
      <c r="C133" s="26">
        <f t="shared" si="5"/>
        <v>-1.1172460305538994E-3</v>
      </c>
      <c r="D133" s="27">
        <f t="shared" si="4"/>
        <v>-0.28154599969958266</v>
      </c>
    </row>
    <row r="134" spans="1:4" x14ac:dyDescent="0.4">
      <c r="A134" s="5">
        <v>45691</v>
      </c>
      <c r="B134" s="6">
        <v>23361.05</v>
      </c>
      <c r="C134" s="26">
        <f t="shared" si="5"/>
        <v>-5.1704524791751734E-3</v>
      </c>
      <c r="D134" s="27">
        <f t="shared" si="4"/>
        <v>-1.3029540247521436</v>
      </c>
    </row>
    <row r="135" spans="1:4" x14ac:dyDescent="0.4">
      <c r="A135" s="5">
        <v>45692</v>
      </c>
      <c r="B135" s="6">
        <v>23739.25</v>
      </c>
      <c r="C135" s="26">
        <f t="shared" si="5"/>
        <v>1.6059690853104273E-2</v>
      </c>
      <c r="D135" s="27">
        <f t="shared" si="4"/>
        <v>4.0470420949822765</v>
      </c>
    </row>
    <row r="136" spans="1:4" x14ac:dyDescent="0.4">
      <c r="A136" s="5">
        <v>45693</v>
      </c>
      <c r="B136" s="6">
        <v>23696.3</v>
      </c>
      <c r="C136" s="26">
        <f t="shared" si="5"/>
        <v>-1.8108786231885072E-3</v>
      </c>
      <c r="D136" s="27">
        <f t="shared" si="4"/>
        <v>-0.45634141304350384</v>
      </c>
    </row>
    <row r="137" spans="1:4" x14ac:dyDescent="0.4">
      <c r="A137" s="5">
        <v>45694</v>
      </c>
      <c r="B137" s="6">
        <v>23603.35</v>
      </c>
      <c r="C137" s="26">
        <f t="shared" si="5"/>
        <v>-3.9302666996406553E-3</v>
      </c>
      <c r="D137" s="27">
        <f t="shared" si="4"/>
        <v>-0.99042720830944508</v>
      </c>
    </row>
    <row r="138" spans="1:4" x14ac:dyDescent="0.4">
      <c r="A138" s="5">
        <v>45695</v>
      </c>
      <c r="B138" s="6">
        <v>23559.95</v>
      </c>
      <c r="C138" s="26">
        <f t="shared" si="5"/>
        <v>-1.8404145702315485E-3</v>
      </c>
      <c r="D138" s="27">
        <f t="shared" si="4"/>
        <v>-0.46378447169835019</v>
      </c>
    </row>
    <row r="139" spans="1:4" x14ac:dyDescent="0.4">
      <c r="A139" s="5">
        <v>45698</v>
      </c>
      <c r="B139" s="6">
        <v>23381.599999999999</v>
      </c>
      <c r="C139" s="26">
        <f t="shared" si="5"/>
        <v>-7.598848278210316E-3</v>
      </c>
      <c r="D139" s="27">
        <f t="shared" si="4"/>
        <v>-1.9149097661089995</v>
      </c>
    </row>
    <row r="140" spans="1:4" x14ac:dyDescent="0.4">
      <c r="A140" s="5">
        <v>45699</v>
      </c>
      <c r="B140" s="6">
        <v>23071.8</v>
      </c>
      <c r="C140" s="26">
        <f t="shared" si="5"/>
        <v>-1.3338295712820561E-2</v>
      </c>
      <c r="D140" s="27">
        <f t="shared" si="4"/>
        <v>-3.3612505196307816</v>
      </c>
    </row>
    <row r="141" spans="1:4" x14ac:dyDescent="0.4">
      <c r="A141" s="5">
        <v>45700</v>
      </c>
      <c r="B141" s="6">
        <v>23045.25</v>
      </c>
      <c r="C141" s="26">
        <f t="shared" si="5"/>
        <v>-1.1514180951839536E-3</v>
      </c>
      <c r="D141" s="27">
        <f t="shared" si="4"/>
        <v>-0.29015735998635628</v>
      </c>
    </row>
    <row r="142" spans="1:4" x14ac:dyDescent="0.4">
      <c r="A142" s="5">
        <v>45701</v>
      </c>
      <c r="B142" s="6">
        <v>23031.4</v>
      </c>
      <c r="C142" s="26">
        <f t="shared" si="5"/>
        <v>-6.0117219533637628E-4</v>
      </c>
      <c r="D142" s="27">
        <f t="shared" si="4"/>
        <v>-0.15149539322476682</v>
      </c>
    </row>
    <row r="143" spans="1:4" x14ac:dyDescent="0.4">
      <c r="A143" s="5">
        <v>45702</v>
      </c>
      <c r="B143" s="6">
        <v>22929.25</v>
      </c>
      <c r="C143" s="26">
        <f t="shared" si="5"/>
        <v>-4.4451141660866375E-3</v>
      </c>
      <c r="D143" s="27">
        <f t="shared" si="4"/>
        <v>-1.1201687698538327</v>
      </c>
    </row>
    <row r="144" spans="1:4" x14ac:dyDescent="0.4">
      <c r="A144" s="5">
        <v>45705</v>
      </c>
      <c r="B144" s="6">
        <v>22959.5</v>
      </c>
      <c r="C144" s="26">
        <f t="shared" si="5"/>
        <v>1.318406118349223E-3</v>
      </c>
      <c r="D144" s="27">
        <f t="shared" si="4"/>
        <v>0.33223834182400419</v>
      </c>
    </row>
    <row r="145" spans="1:4" x14ac:dyDescent="0.4">
      <c r="A145" s="5">
        <v>45706</v>
      </c>
      <c r="B145" s="6">
        <v>22945.3</v>
      </c>
      <c r="C145" s="26">
        <f t="shared" si="5"/>
        <v>-6.1867170548291742E-4</v>
      </c>
      <c r="D145" s="27">
        <f t="shared" si="4"/>
        <v>-0.15590526978169519</v>
      </c>
    </row>
    <row r="146" spans="1:4" x14ac:dyDescent="0.4">
      <c r="A146" s="5">
        <v>45707</v>
      </c>
      <c r="B146" s="6">
        <v>22932.9</v>
      </c>
      <c r="C146" s="26">
        <f t="shared" si="5"/>
        <v>-5.4056176144420191E-4</v>
      </c>
      <c r="D146" s="27">
        <f t="shared" si="4"/>
        <v>-0.13622156388393888</v>
      </c>
    </row>
    <row r="147" spans="1:4" x14ac:dyDescent="0.4">
      <c r="A147" s="5">
        <v>45708</v>
      </c>
      <c r="B147" s="6">
        <v>22913.15</v>
      </c>
      <c r="C147" s="26">
        <f t="shared" si="5"/>
        <v>-8.615791860687675E-4</v>
      </c>
      <c r="D147" s="27">
        <f t="shared" si="4"/>
        <v>-0.21711795488932942</v>
      </c>
    </row>
    <row r="148" spans="1:4" x14ac:dyDescent="0.4">
      <c r="A148" s="5">
        <v>45709</v>
      </c>
      <c r="B148" s="6">
        <v>22795.9</v>
      </c>
      <c r="C148" s="26">
        <f t="shared" si="5"/>
        <v>-5.1302863291465021E-3</v>
      </c>
      <c r="D148" s="27">
        <f t="shared" si="4"/>
        <v>-1.2928321549449184</v>
      </c>
    </row>
    <row r="149" spans="1:4" x14ac:dyDescent="0.4">
      <c r="A149" s="5">
        <v>45712</v>
      </c>
      <c r="B149" s="6">
        <v>22553.35</v>
      </c>
      <c r="C149" s="26">
        <f t="shared" si="5"/>
        <v>-1.069708155537406E-2</v>
      </c>
      <c r="D149" s="27">
        <f t="shared" si="4"/>
        <v>-2.695664551954263</v>
      </c>
    </row>
    <row r="150" spans="1:4" x14ac:dyDescent="0.4">
      <c r="A150" s="5">
        <v>45713</v>
      </c>
      <c r="B150" s="6">
        <v>22547.55</v>
      </c>
      <c r="C150" s="26">
        <f t="shared" si="5"/>
        <v>-2.5720107722782741E-4</v>
      </c>
      <c r="D150" s="27">
        <f t="shared" si="4"/>
        <v>-6.481467146141251E-2</v>
      </c>
    </row>
    <row r="151" spans="1:4" x14ac:dyDescent="0.4">
      <c r="A151" s="5">
        <v>45715</v>
      </c>
      <c r="B151" s="6">
        <v>22545.05</v>
      </c>
      <c r="C151" s="26">
        <f t="shared" si="5"/>
        <v>-1.108829387776427E-4</v>
      </c>
      <c r="D151" s="27">
        <f t="shared" si="4"/>
        <v>-2.7942500571965959E-2</v>
      </c>
    </row>
    <row r="152" spans="1:4" x14ac:dyDescent="0.4">
      <c r="A152" s="5">
        <v>45716</v>
      </c>
      <c r="B152" s="6">
        <v>22124.7</v>
      </c>
      <c r="C152" s="26">
        <f t="shared" si="5"/>
        <v>-1.8820898177206152E-2</v>
      </c>
      <c r="D152" s="27">
        <f t="shared" si="4"/>
        <v>-4.7428663406559499</v>
      </c>
    </row>
    <row r="153" spans="1:4" x14ac:dyDescent="0.4">
      <c r="A153" s="5">
        <v>45719</v>
      </c>
      <c r="B153" s="6">
        <v>22119.3</v>
      </c>
      <c r="C153" s="26">
        <f t="shared" si="5"/>
        <v>-2.4410089624874701E-4</v>
      </c>
      <c r="D153" s="27">
        <f t="shared" si="4"/>
        <v>-6.1513425854684244E-2</v>
      </c>
    </row>
    <row r="154" spans="1:4" x14ac:dyDescent="0.4">
      <c r="A154" s="5">
        <v>45720</v>
      </c>
      <c r="B154" s="6">
        <v>22082.65</v>
      </c>
      <c r="C154" s="26">
        <f t="shared" si="5"/>
        <v>-1.6582982605433554E-3</v>
      </c>
      <c r="D154" s="27">
        <f t="shared" si="4"/>
        <v>-0.41789116165692558</v>
      </c>
    </row>
    <row r="155" spans="1:4" x14ac:dyDescent="0.4">
      <c r="A155" s="5">
        <v>45721</v>
      </c>
      <c r="B155" s="6">
        <v>22337.3</v>
      </c>
      <c r="C155" s="26">
        <f t="shared" si="5"/>
        <v>1.1465694568782813E-2</v>
      </c>
      <c r="D155" s="27">
        <f t="shared" si="4"/>
        <v>2.889355031333269</v>
      </c>
    </row>
    <row r="156" spans="1:4" x14ac:dyDescent="0.4">
      <c r="A156" s="5">
        <v>45722</v>
      </c>
      <c r="B156" s="6">
        <v>22544.7</v>
      </c>
      <c r="C156" s="26">
        <f t="shared" si="5"/>
        <v>9.2420781725971422E-3</v>
      </c>
      <c r="D156" s="27">
        <f t="shared" si="4"/>
        <v>2.3290036994944798</v>
      </c>
    </row>
    <row r="157" spans="1:4" x14ac:dyDescent="0.4">
      <c r="A157" s="5">
        <v>45723</v>
      </c>
      <c r="B157" s="6">
        <v>22552.5</v>
      </c>
      <c r="C157" s="26">
        <f t="shared" si="5"/>
        <v>3.4591948403792664E-4</v>
      </c>
      <c r="D157" s="27">
        <f t="shared" si="4"/>
        <v>8.7171709977557507E-2</v>
      </c>
    </row>
    <row r="158" spans="1:4" x14ac:dyDescent="0.4">
      <c r="A158" s="5">
        <v>45726</v>
      </c>
      <c r="B158" s="6">
        <v>22460.3</v>
      </c>
      <c r="C158" s="26">
        <f t="shared" si="5"/>
        <v>-4.0966182483126905E-3</v>
      </c>
      <c r="D158" s="27">
        <f t="shared" si="4"/>
        <v>-1.032347798574798</v>
      </c>
    </row>
    <row r="159" spans="1:4" x14ac:dyDescent="0.4">
      <c r="A159" s="5">
        <v>45727</v>
      </c>
      <c r="B159" s="6">
        <v>22497.9</v>
      </c>
      <c r="C159" s="26">
        <f t="shared" si="5"/>
        <v>1.6726652208703832E-3</v>
      </c>
      <c r="D159" s="27">
        <f t="shared" si="4"/>
        <v>0.42151163565933658</v>
      </c>
    </row>
    <row r="160" spans="1:4" x14ac:dyDescent="0.4">
      <c r="A160" s="5">
        <v>45728</v>
      </c>
      <c r="B160" s="6">
        <v>22470.5</v>
      </c>
      <c r="C160" s="26">
        <f t="shared" si="5"/>
        <v>-1.2186336801356743E-3</v>
      </c>
      <c r="D160" s="27">
        <f t="shared" si="4"/>
        <v>-0.30709568739418991</v>
      </c>
    </row>
    <row r="161" spans="1:4" x14ac:dyDescent="0.4">
      <c r="A161" s="5">
        <v>45729</v>
      </c>
      <c r="B161" s="6">
        <v>22397.200000000001</v>
      </c>
      <c r="C161" s="26">
        <f t="shared" si="5"/>
        <v>-3.2673867932358361E-3</v>
      </c>
      <c r="D161" s="27">
        <f t="shared" si="4"/>
        <v>-0.82338147189543065</v>
      </c>
    </row>
    <row r="162" spans="1:4" x14ac:dyDescent="0.4">
      <c r="A162" s="5">
        <v>45733</v>
      </c>
      <c r="B162" s="6">
        <v>22508.75</v>
      </c>
      <c r="C162" s="26">
        <f t="shared" si="5"/>
        <v>4.9681714537350846E-3</v>
      </c>
      <c r="D162" s="27">
        <f t="shared" si="4"/>
        <v>1.2519792063412414</v>
      </c>
    </row>
    <row r="163" spans="1:4" x14ac:dyDescent="0.4">
      <c r="A163" s="5">
        <v>45734</v>
      </c>
      <c r="B163" s="6">
        <v>22834.3</v>
      </c>
      <c r="C163" s="26">
        <f t="shared" si="5"/>
        <v>1.4359668968781786E-2</v>
      </c>
      <c r="D163" s="27">
        <f t="shared" si="4"/>
        <v>3.61863658013301</v>
      </c>
    </row>
    <row r="164" spans="1:4" x14ac:dyDescent="0.4">
      <c r="A164" s="5">
        <v>45735</v>
      </c>
      <c r="B164" s="6">
        <v>22907.599999999999</v>
      </c>
      <c r="C164" s="26">
        <f t="shared" si="5"/>
        <v>3.2049417598595076E-3</v>
      </c>
      <c r="D164" s="27">
        <f t="shared" si="4"/>
        <v>0.80764532348459595</v>
      </c>
    </row>
    <row r="165" spans="1:4" x14ac:dyDescent="0.4">
      <c r="A165" s="5">
        <v>45736</v>
      </c>
      <c r="B165" s="6">
        <v>23190.65</v>
      </c>
      <c r="C165" s="26">
        <f t="shared" si="5"/>
        <v>1.228044696739064E-2</v>
      </c>
      <c r="D165" s="27">
        <f t="shared" si="4"/>
        <v>3.0946726357824414</v>
      </c>
    </row>
    <row r="166" spans="1:4" x14ac:dyDescent="0.4">
      <c r="A166" s="5">
        <v>45737</v>
      </c>
      <c r="B166" s="6">
        <v>23350.400000000001</v>
      </c>
      <c r="C166" s="26">
        <f t="shared" si="5"/>
        <v>6.8649343915537933E-3</v>
      </c>
      <c r="D166" s="27">
        <f t="shared" si="4"/>
        <v>1.729963466671556</v>
      </c>
    </row>
    <row r="167" spans="1:4" x14ac:dyDescent="0.4">
      <c r="A167" s="5">
        <v>45740</v>
      </c>
      <c r="B167" s="6">
        <v>23658.35</v>
      </c>
      <c r="C167" s="26">
        <f t="shared" si="5"/>
        <v>1.310200357491904E-2</v>
      </c>
      <c r="D167" s="27">
        <f t="shared" si="4"/>
        <v>3.301704900879598</v>
      </c>
    </row>
    <row r="168" spans="1:4" x14ac:dyDescent="0.4">
      <c r="A168" s="5">
        <v>45741</v>
      </c>
      <c r="B168" s="6">
        <v>23668.65</v>
      </c>
      <c r="C168" s="26">
        <f t="shared" si="5"/>
        <v>4.3526951476421065E-4</v>
      </c>
      <c r="D168" s="27">
        <f t="shared" si="4"/>
        <v>0.10968791772058109</v>
      </c>
    </row>
    <row r="169" spans="1:4" x14ac:dyDescent="0.4">
      <c r="A169" s="5">
        <v>45742</v>
      </c>
      <c r="B169" s="6">
        <v>23486.85</v>
      </c>
      <c r="C169" s="26">
        <f t="shared" si="5"/>
        <v>-7.710697617041672E-3</v>
      </c>
      <c r="D169" s="27">
        <f t="shared" si="4"/>
        <v>-1.9430957994945013</v>
      </c>
    </row>
    <row r="170" spans="1:4" x14ac:dyDescent="0.4">
      <c r="A170" s="5">
        <v>45743</v>
      </c>
      <c r="B170" s="6">
        <v>23591.95</v>
      </c>
      <c r="C170" s="26">
        <f t="shared" si="5"/>
        <v>4.4648620864278519E-3</v>
      </c>
      <c r="D170" s="27">
        <f t="shared" si="4"/>
        <v>1.1251452457798186</v>
      </c>
    </row>
    <row r="171" spans="1:4" x14ac:dyDescent="0.4">
      <c r="A171" s="5">
        <v>45744</v>
      </c>
      <c r="B171" s="6">
        <v>23519.35</v>
      </c>
      <c r="C171" s="26">
        <f t="shared" si="5"/>
        <v>-3.0820655541120134E-3</v>
      </c>
      <c r="D171" s="27">
        <f t="shared" si="4"/>
        <v>-0.77668051963622742</v>
      </c>
    </row>
    <row r="172" spans="1:4" x14ac:dyDescent="0.4">
      <c r="A172" s="5">
        <v>45748</v>
      </c>
      <c r="B172" s="6">
        <v>23165.7</v>
      </c>
      <c r="C172" s="26">
        <f t="shared" si="5"/>
        <v>-1.5150750180769317E-2</v>
      </c>
      <c r="D172" s="27">
        <f t="shared" si="4"/>
        <v>-3.8179890455538681</v>
      </c>
    </row>
    <row r="173" spans="1:4" x14ac:dyDescent="0.4">
      <c r="A173" s="5">
        <v>45749</v>
      </c>
      <c r="B173" s="6">
        <v>23332.35</v>
      </c>
      <c r="C173" s="26">
        <f t="shared" si="5"/>
        <v>7.1680732227189349E-3</v>
      </c>
      <c r="D173" s="27">
        <f t="shared" si="4"/>
        <v>1.8063544521251715</v>
      </c>
    </row>
    <row r="174" spans="1:4" x14ac:dyDescent="0.4">
      <c r="A174" s="5">
        <v>45750</v>
      </c>
      <c r="B174" s="6">
        <v>23250.1</v>
      </c>
      <c r="C174" s="26">
        <f t="shared" si="5"/>
        <v>-3.5313765366867989E-3</v>
      </c>
      <c r="D174" s="27">
        <f t="shared" si="4"/>
        <v>-0.88990688724507327</v>
      </c>
    </row>
    <row r="175" spans="1:4" x14ac:dyDescent="0.4">
      <c r="A175" s="5">
        <v>45751</v>
      </c>
      <c r="B175" s="6">
        <v>22904.45</v>
      </c>
      <c r="C175" s="26">
        <f t="shared" si="5"/>
        <v>-1.4978218273382259E-2</v>
      </c>
      <c r="D175" s="27">
        <f t="shared" si="4"/>
        <v>-3.7745110048923292</v>
      </c>
    </row>
    <row r="176" spans="1:4" x14ac:dyDescent="0.4">
      <c r="A176" s="5">
        <v>45754</v>
      </c>
      <c r="B176" s="6">
        <v>22161.599999999999</v>
      </c>
      <c r="C176" s="26">
        <f t="shared" si="5"/>
        <v>-3.2970153387305259E-2</v>
      </c>
      <c r="D176" s="27">
        <f t="shared" si="4"/>
        <v>-8.3084786536009254</v>
      </c>
    </row>
    <row r="177" spans="1:4" x14ac:dyDescent="0.4">
      <c r="A177" s="5">
        <v>45755</v>
      </c>
      <c r="B177" s="6">
        <v>22535.85</v>
      </c>
      <c r="C177" s="26">
        <f t="shared" si="5"/>
        <v>1.6746313096183522E-2</v>
      </c>
      <c r="D177" s="27">
        <f t="shared" si="4"/>
        <v>4.2200709002382473</v>
      </c>
    </row>
    <row r="178" spans="1:4" x14ac:dyDescent="0.4">
      <c r="A178" s="5">
        <v>45756</v>
      </c>
      <c r="B178" s="6">
        <v>22399.15</v>
      </c>
      <c r="C178" s="26">
        <f t="shared" si="5"/>
        <v>-6.0843628224417504E-3</v>
      </c>
      <c r="D178" s="27">
        <f t="shared" si="4"/>
        <v>-1.5332594312553212</v>
      </c>
    </row>
    <row r="179" spans="1:4" x14ac:dyDescent="0.4">
      <c r="A179" s="5">
        <v>45758</v>
      </c>
      <c r="B179" s="6">
        <v>22828.55</v>
      </c>
      <c r="C179" s="26">
        <f t="shared" si="5"/>
        <v>1.8988933890639957E-2</v>
      </c>
      <c r="D179" s="27">
        <f t="shared" si="4"/>
        <v>4.7852113404412693</v>
      </c>
    </row>
    <row r="180" spans="1:4" x14ac:dyDescent="0.4">
      <c r="A180" s="5">
        <v>45762</v>
      </c>
      <c r="B180" s="6">
        <v>23328.55</v>
      </c>
      <c r="C180" s="26">
        <f t="shared" si="5"/>
        <v>2.16659867627985E-2</v>
      </c>
      <c r="D180" s="27">
        <f t="shared" si="4"/>
        <v>5.4598286642252223</v>
      </c>
    </row>
    <row r="181" spans="1:4" x14ac:dyDescent="0.4">
      <c r="A181" s="5">
        <v>45763</v>
      </c>
      <c r="B181" s="6">
        <v>23437.200000000001</v>
      </c>
      <c r="C181" s="26">
        <f t="shared" si="5"/>
        <v>4.6465712828317922E-3</v>
      </c>
      <c r="D181" s="27">
        <f t="shared" si="4"/>
        <v>1.1709359632736116</v>
      </c>
    </row>
    <row r="182" spans="1:4" x14ac:dyDescent="0.4">
      <c r="A182" s="5">
        <v>45764</v>
      </c>
      <c r="B182" s="6">
        <v>23851.65</v>
      </c>
      <c r="C182" s="26">
        <f t="shared" si="5"/>
        <v>1.7528893682587383E-2</v>
      </c>
      <c r="D182" s="27">
        <f t="shared" si="4"/>
        <v>4.4172812080120201</v>
      </c>
    </row>
    <row r="183" spans="1:4" x14ac:dyDescent="0.4">
      <c r="A183" s="5">
        <v>45768</v>
      </c>
      <c r="B183" s="6">
        <v>24125.55</v>
      </c>
      <c r="C183" s="26">
        <f t="shared" si="5"/>
        <v>1.1418047561345738E-2</v>
      </c>
      <c r="D183" s="27">
        <f t="shared" si="4"/>
        <v>2.8773479854591257</v>
      </c>
    </row>
    <row r="184" spans="1:4" x14ac:dyDescent="0.4">
      <c r="A184" s="5">
        <v>45769</v>
      </c>
      <c r="B184" s="6">
        <v>24167.25</v>
      </c>
      <c r="C184" s="26">
        <f t="shared" si="5"/>
        <v>1.726965939596701E-3</v>
      </c>
      <c r="D184" s="27">
        <f t="shared" si="4"/>
        <v>0.43519541677836865</v>
      </c>
    </row>
    <row r="185" spans="1:4" x14ac:dyDescent="0.4">
      <c r="A185" s="5">
        <v>45770</v>
      </c>
      <c r="B185" s="6">
        <v>24328.95</v>
      </c>
      <c r="C185" s="26">
        <f t="shared" si="5"/>
        <v>6.6685884351257562E-3</v>
      </c>
      <c r="D185" s="27">
        <f t="shared" si="4"/>
        <v>1.6804842856516906</v>
      </c>
    </row>
    <row r="186" spans="1:4" x14ac:dyDescent="0.4">
      <c r="A186" s="5">
        <v>45771</v>
      </c>
      <c r="B186" s="6">
        <v>24246.7</v>
      </c>
      <c r="C186" s="26">
        <f t="shared" si="5"/>
        <v>-3.386473618159028E-3</v>
      </c>
      <c r="D186" s="27">
        <f t="shared" si="4"/>
        <v>-0.85339135177607506</v>
      </c>
    </row>
    <row r="187" spans="1:4" x14ac:dyDescent="0.4">
      <c r="A187" s="5">
        <v>45772</v>
      </c>
      <c r="B187" s="6">
        <v>24039.35</v>
      </c>
      <c r="C187" s="26">
        <f t="shared" si="5"/>
        <v>-8.588454617289994E-3</v>
      </c>
      <c r="D187" s="27">
        <f t="shared" si="4"/>
        <v>-2.1642905635570786</v>
      </c>
    </row>
    <row r="188" spans="1:4" x14ac:dyDescent="0.4">
      <c r="A188" s="5">
        <v>45775</v>
      </c>
      <c r="B188" s="6">
        <v>24328.5</v>
      </c>
      <c r="C188" s="26">
        <f t="shared" si="5"/>
        <v>1.1956431581801425E-2</v>
      </c>
      <c r="D188" s="27">
        <f t="shared" si="4"/>
        <v>3.0130207586139592</v>
      </c>
    </row>
    <row r="189" spans="1:4" x14ac:dyDescent="0.4">
      <c r="A189" s="5">
        <v>45776</v>
      </c>
      <c r="B189" s="6">
        <v>24335.95</v>
      </c>
      <c r="C189" s="26">
        <f t="shared" si="5"/>
        <v>3.0617833174725629E-4</v>
      </c>
      <c r="D189" s="27">
        <f t="shared" si="4"/>
        <v>7.7156939600308588E-2</v>
      </c>
    </row>
    <row r="190" spans="1:4" x14ac:dyDescent="0.4">
      <c r="A190" s="5">
        <v>45777</v>
      </c>
      <c r="B190" s="6">
        <v>24334.2</v>
      </c>
      <c r="C190" s="26">
        <f t="shared" si="5"/>
        <v>-7.1912661076828911E-5</v>
      </c>
      <c r="D190" s="27">
        <f t="shared" si="4"/>
        <v>-1.8121990591360885E-2</v>
      </c>
    </row>
    <row r="191" spans="1:4" x14ac:dyDescent="0.4">
      <c r="A191" s="5">
        <v>45779</v>
      </c>
      <c r="B191" s="6">
        <v>24346.7</v>
      </c>
      <c r="C191" s="26">
        <f t="shared" si="5"/>
        <v>5.1354844609369319E-4</v>
      </c>
      <c r="D191" s="27">
        <f t="shared" si="4"/>
        <v>0.12941420841561069</v>
      </c>
    </row>
    <row r="192" spans="1:4" x14ac:dyDescent="0.4">
      <c r="A192" s="5">
        <v>45782</v>
      </c>
      <c r="B192" s="6">
        <v>24461.15</v>
      </c>
      <c r="C192" s="26">
        <f t="shared" si="5"/>
        <v>4.6898279589179014E-3</v>
      </c>
      <c r="D192" s="27">
        <f t="shared" si="4"/>
        <v>1.1818366456473111</v>
      </c>
    </row>
    <row r="193" spans="1:4" x14ac:dyDescent="0.4">
      <c r="A193" s="5">
        <v>45783</v>
      </c>
      <c r="B193" s="6">
        <v>24379.599999999999</v>
      </c>
      <c r="C193" s="26">
        <f t="shared" si="5"/>
        <v>-3.3394276617622325E-3</v>
      </c>
      <c r="D193" s="27">
        <f t="shared" si="4"/>
        <v>-0.84153577076408259</v>
      </c>
    </row>
    <row r="194" spans="1:4" x14ac:dyDescent="0.4">
      <c r="A194" s="5">
        <v>45784</v>
      </c>
      <c r="B194" s="6">
        <v>24414.400000000001</v>
      </c>
      <c r="C194" s="26">
        <f t="shared" si="5"/>
        <v>1.4264051276974533E-3</v>
      </c>
      <c r="D194" s="27">
        <f t="shared" si="4"/>
        <v>0.35945409217975821</v>
      </c>
    </row>
    <row r="195" spans="1:4" x14ac:dyDescent="0.4">
      <c r="A195" s="5">
        <v>45785</v>
      </c>
      <c r="B195" s="6">
        <v>24273.8</v>
      </c>
      <c r="C195" s="26">
        <f t="shared" si="5"/>
        <v>-5.7755427734603581E-3</v>
      </c>
      <c r="D195" s="27">
        <f t="shared" ref="D195:D251" si="6">C195*252</f>
        <v>-1.4554367789120102</v>
      </c>
    </row>
    <row r="196" spans="1:4" x14ac:dyDescent="0.4">
      <c r="A196" s="5">
        <v>45786</v>
      </c>
      <c r="B196" s="6">
        <v>24008</v>
      </c>
      <c r="C196" s="26">
        <f t="shared" ref="C196:C251" si="7">LN(B196/B195)</f>
        <v>-1.1010471243807775E-2</v>
      </c>
      <c r="D196" s="27">
        <f t="shared" si="6"/>
        <v>-2.7746387534395591</v>
      </c>
    </row>
    <row r="197" spans="1:4" x14ac:dyDescent="0.4">
      <c r="A197" s="5">
        <v>45789</v>
      </c>
      <c r="B197" s="6">
        <v>24924.7</v>
      </c>
      <c r="C197" s="26">
        <f t="shared" si="7"/>
        <v>3.7472171529076455E-2</v>
      </c>
      <c r="D197" s="27">
        <f t="shared" si="6"/>
        <v>9.4429872253272666</v>
      </c>
    </row>
    <row r="198" spans="1:4" x14ac:dyDescent="0.4">
      <c r="A198" s="5">
        <v>45790</v>
      </c>
      <c r="B198" s="6">
        <v>24578.35</v>
      </c>
      <c r="C198" s="26">
        <f t="shared" si="7"/>
        <v>-1.3993305528556882E-2</v>
      </c>
      <c r="D198" s="27">
        <f t="shared" si="6"/>
        <v>-3.526312993196334</v>
      </c>
    </row>
    <row r="199" spans="1:4" x14ac:dyDescent="0.4">
      <c r="A199" s="5">
        <v>45791</v>
      </c>
      <c r="B199" s="6">
        <v>24666.9</v>
      </c>
      <c r="C199" s="26">
        <f t="shared" si="7"/>
        <v>3.5962898121936287E-3</v>
      </c>
      <c r="D199" s="27">
        <f t="shared" si="6"/>
        <v>0.90626503267279446</v>
      </c>
    </row>
    <row r="200" spans="1:4" x14ac:dyDescent="0.4">
      <c r="A200" s="5">
        <v>45792</v>
      </c>
      <c r="B200" s="6">
        <v>25062.1</v>
      </c>
      <c r="C200" s="26">
        <f t="shared" si="7"/>
        <v>1.5894480888894447E-2</v>
      </c>
      <c r="D200" s="27">
        <f t="shared" si="6"/>
        <v>4.005409184001401</v>
      </c>
    </row>
    <row r="201" spans="1:4" x14ac:dyDescent="0.4">
      <c r="A201" s="5">
        <v>45793</v>
      </c>
      <c r="B201" s="6">
        <v>25019.8</v>
      </c>
      <c r="C201" s="26">
        <f t="shared" si="7"/>
        <v>-1.6892334379733957E-3</v>
      </c>
      <c r="D201" s="27">
        <f t="shared" si="6"/>
        <v>-0.42568682636929572</v>
      </c>
    </row>
    <row r="202" spans="1:4" x14ac:dyDescent="0.4">
      <c r="A202" s="5">
        <v>45796</v>
      </c>
      <c r="B202" s="6">
        <v>24945.45</v>
      </c>
      <c r="C202" s="26">
        <f t="shared" si="7"/>
        <v>-2.976070564100508E-3</v>
      </c>
      <c r="D202" s="27">
        <f t="shared" si="6"/>
        <v>-0.74996978215332799</v>
      </c>
    </row>
    <row r="203" spans="1:4" x14ac:dyDescent="0.4">
      <c r="A203" s="5">
        <v>45797</v>
      </c>
      <c r="B203" s="6">
        <v>24683.9</v>
      </c>
      <c r="C203" s="26">
        <f t="shared" si="7"/>
        <v>-1.0540231594245037E-2</v>
      </c>
      <c r="D203" s="27">
        <f t="shared" si="6"/>
        <v>-2.6561383617497496</v>
      </c>
    </row>
    <row r="204" spans="1:4" x14ac:dyDescent="0.4">
      <c r="A204" s="5">
        <v>45798</v>
      </c>
      <c r="B204" s="6">
        <v>24813.45</v>
      </c>
      <c r="C204" s="26">
        <f t="shared" si="7"/>
        <v>5.2346356247726386E-3</v>
      </c>
      <c r="D204" s="27">
        <f t="shared" si="6"/>
        <v>1.3191281774427048</v>
      </c>
    </row>
    <row r="205" spans="1:4" x14ac:dyDescent="0.4">
      <c r="A205" s="5">
        <v>45799</v>
      </c>
      <c r="B205" s="6">
        <v>24609.7</v>
      </c>
      <c r="C205" s="26">
        <f t="shared" si="7"/>
        <v>-8.2451707060623922E-3</v>
      </c>
      <c r="D205" s="27">
        <f t="shared" si="6"/>
        <v>-2.077783017927723</v>
      </c>
    </row>
    <row r="206" spans="1:4" x14ac:dyDescent="0.4">
      <c r="A206" s="5">
        <v>45800</v>
      </c>
      <c r="B206" s="6">
        <v>24853.15</v>
      </c>
      <c r="C206" s="26">
        <f t="shared" si="7"/>
        <v>9.8438309105117507E-3</v>
      </c>
      <c r="D206" s="27">
        <f t="shared" si="6"/>
        <v>2.4806453894489611</v>
      </c>
    </row>
    <row r="207" spans="1:4" x14ac:dyDescent="0.4">
      <c r="A207" s="5">
        <v>45803</v>
      </c>
      <c r="B207" s="6">
        <v>25001.15</v>
      </c>
      <c r="C207" s="26">
        <f t="shared" si="7"/>
        <v>5.9373187376564407E-3</v>
      </c>
      <c r="D207" s="27">
        <f t="shared" si="6"/>
        <v>1.496204321889423</v>
      </c>
    </row>
    <row r="208" spans="1:4" x14ac:dyDescent="0.4">
      <c r="A208" s="5">
        <v>45804</v>
      </c>
      <c r="B208" s="6">
        <v>24826.2</v>
      </c>
      <c r="C208" s="26">
        <f t="shared" si="7"/>
        <v>-7.0222766786781181E-3</v>
      </c>
      <c r="D208" s="27">
        <f t="shared" si="6"/>
        <v>-1.7696137230268858</v>
      </c>
    </row>
    <row r="209" spans="1:4" x14ac:dyDescent="0.4">
      <c r="A209" s="5">
        <v>45805</v>
      </c>
      <c r="B209" s="6">
        <v>24752.45</v>
      </c>
      <c r="C209" s="26">
        <f t="shared" si="7"/>
        <v>-2.9750731170425774E-3</v>
      </c>
      <c r="D209" s="27">
        <f t="shared" si="6"/>
        <v>-0.74971842549472956</v>
      </c>
    </row>
    <row r="210" spans="1:4" x14ac:dyDescent="0.4">
      <c r="A210" s="5">
        <v>45806</v>
      </c>
      <c r="B210" s="6">
        <v>24833.599999999999</v>
      </c>
      <c r="C210" s="26">
        <f t="shared" si="7"/>
        <v>3.2731009002705618E-3</v>
      </c>
      <c r="D210" s="27">
        <f t="shared" si="6"/>
        <v>0.82482142686818161</v>
      </c>
    </row>
    <row r="211" spans="1:4" x14ac:dyDescent="0.4">
      <c r="A211" s="5">
        <v>45807</v>
      </c>
      <c r="B211" s="6">
        <v>24750.7</v>
      </c>
      <c r="C211" s="26">
        <f t="shared" si="7"/>
        <v>-3.3438034717525197E-3</v>
      </c>
      <c r="D211" s="27">
        <f t="shared" si="6"/>
        <v>-0.8426384748816349</v>
      </c>
    </row>
    <row r="212" spans="1:4" x14ac:dyDescent="0.4">
      <c r="A212" s="5">
        <v>45810</v>
      </c>
      <c r="B212" s="6">
        <v>24716.6</v>
      </c>
      <c r="C212" s="26">
        <f t="shared" si="7"/>
        <v>-1.3786887661705169E-3</v>
      </c>
      <c r="D212" s="27">
        <f t="shared" si="6"/>
        <v>-0.34742956907497025</v>
      </c>
    </row>
    <row r="213" spans="1:4" x14ac:dyDescent="0.4">
      <c r="A213" s="5">
        <v>45811</v>
      </c>
      <c r="B213" s="6">
        <v>24542.5</v>
      </c>
      <c r="C213" s="26">
        <f t="shared" si="7"/>
        <v>-7.0687740923206172E-3</v>
      </c>
      <c r="D213" s="27">
        <f t="shared" si="6"/>
        <v>-1.7813310712647956</v>
      </c>
    </row>
    <row r="214" spans="1:4" x14ac:dyDescent="0.4">
      <c r="A214" s="5">
        <v>45812</v>
      </c>
      <c r="B214" s="6">
        <v>24620.2</v>
      </c>
      <c r="C214" s="26">
        <f t="shared" si="7"/>
        <v>3.1609356156210005E-3</v>
      </c>
      <c r="D214" s="27">
        <f t="shared" si="6"/>
        <v>0.79655577513649212</v>
      </c>
    </row>
    <row r="215" spans="1:4" x14ac:dyDescent="0.4">
      <c r="A215" s="5">
        <v>45813</v>
      </c>
      <c r="B215" s="6">
        <v>24750.9</v>
      </c>
      <c r="C215" s="26">
        <f t="shared" si="7"/>
        <v>5.2946077897617046E-3</v>
      </c>
      <c r="D215" s="27">
        <f t="shared" si="6"/>
        <v>1.3342411630199495</v>
      </c>
    </row>
    <row r="216" spans="1:4" x14ac:dyDescent="0.4">
      <c r="A216" s="5">
        <v>45814</v>
      </c>
      <c r="B216" s="6">
        <v>25003.05</v>
      </c>
      <c r="C216" s="26">
        <f t="shared" si="7"/>
        <v>1.0135965436883998E-2</v>
      </c>
      <c r="D216" s="27">
        <f t="shared" si="6"/>
        <v>2.5542632900947675</v>
      </c>
    </row>
    <row r="217" spans="1:4" x14ac:dyDescent="0.4">
      <c r="A217" s="5">
        <v>45817</v>
      </c>
      <c r="B217" s="6">
        <v>25103.200000000001</v>
      </c>
      <c r="C217" s="26">
        <f t="shared" si="7"/>
        <v>3.9975106246084267E-3</v>
      </c>
      <c r="D217" s="27">
        <f t="shared" si="6"/>
        <v>1.0073726774013236</v>
      </c>
    </row>
    <row r="218" spans="1:4" x14ac:dyDescent="0.4">
      <c r="A218" s="5">
        <v>45818</v>
      </c>
      <c r="B218" s="6">
        <v>25104.25</v>
      </c>
      <c r="C218" s="26">
        <f t="shared" si="7"/>
        <v>4.1826462015294284E-5</v>
      </c>
      <c r="D218" s="27">
        <f t="shared" si="6"/>
        <v>1.054026842785416E-2</v>
      </c>
    </row>
    <row r="219" spans="1:4" x14ac:dyDescent="0.4">
      <c r="A219" s="5">
        <v>45819</v>
      </c>
      <c r="B219" s="6">
        <v>25141.4</v>
      </c>
      <c r="C219" s="26">
        <f t="shared" si="7"/>
        <v>1.4787352445249067E-3</v>
      </c>
      <c r="D219" s="27">
        <f t="shared" si="6"/>
        <v>0.37264128162027649</v>
      </c>
    </row>
    <row r="220" spans="1:4" x14ac:dyDescent="0.4">
      <c r="A220" s="5">
        <v>45820</v>
      </c>
      <c r="B220" s="6">
        <v>24888.2</v>
      </c>
      <c r="C220" s="26">
        <f t="shared" si="7"/>
        <v>-1.0122094193621185E-2</v>
      </c>
      <c r="D220" s="27">
        <f t="shared" si="6"/>
        <v>-2.5507677367925385</v>
      </c>
    </row>
    <row r="221" spans="1:4" x14ac:dyDescent="0.4">
      <c r="A221" s="5">
        <v>45821</v>
      </c>
      <c r="B221" s="6">
        <v>24718.6</v>
      </c>
      <c r="C221" s="26">
        <f t="shared" si="7"/>
        <v>-6.8377988828330826E-3</v>
      </c>
      <c r="D221" s="27">
        <f t="shared" si="6"/>
        <v>-1.7231253184739368</v>
      </c>
    </row>
    <row r="222" spans="1:4" x14ac:dyDescent="0.4">
      <c r="A222" s="5">
        <v>45824</v>
      </c>
      <c r="B222" s="6">
        <v>24946.5</v>
      </c>
      <c r="C222" s="26">
        <f t="shared" si="7"/>
        <v>9.177535114667245E-3</v>
      </c>
      <c r="D222" s="27">
        <f t="shared" si="6"/>
        <v>2.3127388488961458</v>
      </c>
    </row>
    <row r="223" spans="1:4" x14ac:dyDescent="0.4">
      <c r="A223" s="5">
        <v>45825</v>
      </c>
      <c r="B223" s="6">
        <v>24853.4</v>
      </c>
      <c r="C223" s="26">
        <f t="shared" si="7"/>
        <v>-3.7389676871053394E-3</v>
      </c>
      <c r="D223" s="27">
        <f t="shared" si="6"/>
        <v>-0.94221985715054557</v>
      </c>
    </row>
    <row r="224" spans="1:4" x14ac:dyDescent="0.4">
      <c r="A224" s="5">
        <v>45826</v>
      </c>
      <c r="B224" s="6">
        <v>24812.05</v>
      </c>
      <c r="C224" s="26">
        <f t="shared" si="7"/>
        <v>-1.6651418462635466E-3</v>
      </c>
      <c r="D224" s="27">
        <f t="shared" si="6"/>
        <v>-0.41961574525841377</v>
      </c>
    </row>
    <row r="225" spans="1:4" x14ac:dyDescent="0.4">
      <c r="A225" s="5">
        <v>45827</v>
      </c>
      <c r="B225" s="6">
        <v>24793.25</v>
      </c>
      <c r="C225" s="26">
        <f t="shared" si="7"/>
        <v>-7.5798355821293751E-4</v>
      </c>
      <c r="D225" s="27">
        <f t="shared" si="6"/>
        <v>-0.19101185666966025</v>
      </c>
    </row>
    <row r="226" spans="1:4" x14ac:dyDescent="0.4">
      <c r="A226" s="5">
        <v>45828</v>
      </c>
      <c r="B226" s="6">
        <v>25112.400000000001</v>
      </c>
      <c r="C226" s="26">
        <f t="shared" si="7"/>
        <v>1.2790309347901757E-2</v>
      </c>
      <c r="D226" s="27">
        <f t="shared" si="6"/>
        <v>3.2231579556712431</v>
      </c>
    </row>
    <row r="227" spans="1:4" x14ac:dyDescent="0.4">
      <c r="A227" s="5">
        <v>45831</v>
      </c>
      <c r="B227" s="6">
        <v>24971.9</v>
      </c>
      <c r="C227" s="26">
        <f t="shared" si="7"/>
        <v>-5.610555346030624E-3</v>
      </c>
      <c r="D227" s="27">
        <f t="shared" si="6"/>
        <v>-1.4138599471997173</v>
      </c>
    </row>
    <row r="228" spans="1:4" x14ac:dyDescent="0.4">
      <c r="A228" s="5">
        <v>45832</v>
      </c>
      <c r="B228" s="6">
        <v>25044.35</v>
      </c>
      <c r="C228" s="26">
        <f t="shared" si="7"/>
        <v>2.8970604822426802E-3</v>
      </c>
      <c r="D228" s="27">
        <f t="shared" si="6"/>
        <v>0.73005924152515544</v>
      </c>
    </row>
    <row r="229" spans="1:4" x14ac:dyDescent="0.4">
      <c r="A229" s="5">
        <v>45833</v>
      </c>
      <c r="B229" s="6">
        <v>25244.75</v>
      </c>
      <c r="C229" s="26">
        <f t="shared" si="7"/>
        <v>7.969960122065977E-3</v>
      </c>
      <c r="D229" s="27">
        <f t="shared" si="6"/>
        <v>2.0084299507606262</v>
      </c>
    </row>
    <row r="230" spans="1:4" x14ac:dyDescent="0.4">
      <c r="A230" s="5">
        <v>45834</v>
      </c>
      <c r="B230" s="6">
        <v>25549</v>
      </c>
      <c r="C230" s="26">
        <f t="shared" si="7"/>
        <v>1.1979963629751521E-2</v>
      </c>
      <c r="D230" s="27">
        <f t="shared" si="6"/>
        <v>3.0189508346973835</v>
      </c>
    </row>
    <row r="231" spans="1:4" x14ac:dyDescent="0.4">
      <c r="A231" s="5">
        <v>45835</v>
      </c>
      <c r="B231" s="6">
        <v>25637.8</v>
      </c>
      <c r="C231" s="26">
        <f t="shared" si="7"/>
        <v>3.4696479984903748E-3</v>
      </c>
      <c r="D231" s="27">
        <f t="shared" si="6"/>
        <v>0.87435129561957448</v>
      </c>
    </row>
    <row r="232" spans="1:4" x14ac:dyDescent="0.4">
      <c r="A232" s="5">
        <v>45838</v>
      </c>
      <c r="B232" s="6">
        <v>25517.05</v>
      </c>
      <c r="C232" s="26">
        <f t="shared" si="7"/>
        <v>-4.7209687553906882E-3</v>
      </c>
      <c r="D232" s="27">
        <f t="shared" si="6"/>
        <v>-1.1896841263584534</v>
      </c>
    </row>
    <row r="233" spans="1:4" x14ac:dyDescent="0.4">
      <c r="A233" s="5">
        <v>45839</v>
      </c>
      <c r="B233" s="6">
        <v>25541.8</v>
      </c>
      <c r="C233" s="26">
        <f t="shared" si="7"/>
        <v>9.6946961940914944E-4</v>
      </c>
      <c r="D233" s="27">
        <f t="shared" si="6"/>
        <v>0.24430634409110566</v>
      </c>
    </row>
    <row r="234" spans="1:4" x14ac:dyDescent="0.4">
      <c r="A234" s="5">
        <v>45840</v>
      </c>
      <c r="B234" s="6">
        <v>25453.4</v>
      </c>
      <c r="C234" s="26">
        <f t="shared" si="7"/>
        <v>-3.4669964446766102E-3</v>
      </c>
      <c r="D234" s="27">
        <f t="shared" si="6"/>
        <v>-0.8736831040585058</v>
      </c>
    </row>
    <row r="235" spans="1:4" x14ac:dyDescent="0.4">
      <c r="A235" s="5">
        <v>45841</v>
      </c>
      <c r="B235" s="6">
        <v>25405.3</v>
      </c>
      <c r="C235" s="26">
        <f t="shared" si="7"/>
        <v>-1.8915156833006601E-3</v>
      </c>
      <c r="D235" s="27">
        <f t="shared" si="6"/>
        <v>-0.47666195219176632</v>
      </c>
    </row>
    <row r="236" spans="1:4" x14ac:dyDescent="0.4">
      <c r="A236" s="5">
        <v>45842</v>
      </c>
      <c r="B236" s="6">
        <v>25461</v>
      </c>
      <c r="C236" s="26">
        <f t="shared" si="7"/>
        <v>2.1900559806014813E-3</v>
      </c>
      <c r="D236" s="27">
        <f t="shared" si="6"/>
        <v>0.55189410711157327</v>
      </c>
    </row>
    <row r="237" spans="1:4" x14ac:dyDescent="0.4">
      <c r="A237" s="5">
        <v>45845</v>
      </c>
      <c r="B237" s="6">
        <v>25461.3</v>
      </c>
      <c r="C237" s="26">
        <f t="shared" si="7"/>
        <v>1.1782657107136236E-5</v>
      </c>
      <c r="D237" s="27">
        <f t="shared" si="6"/>
        <v>2.9692295909983313E-3</v>
      </c>
    </row>
    <row r="238" spans="1:4" x14ac:dyDescent="0.4">
      <c r="A238" s="5">
        <v>45846</v>
      </c>
      <c r="B238" s="6">
        <v>25522.5</v>
      </c>
      <c r="C238" s="26">
        <f t="shared" si="7"/>
        <v>2.4007637482767337E-3</v>
      </c>
      <c r="D238" s="27">
        <f t="shared" si="6"/>
        <v>0.60499246456573685</v>
      </c>
    </row>
    <row r="239" spans="1:4" x14ac:dyDescent="0.4">
      <c r="A239" s="5">
        <v>45847</v>
      </c>
      <c r="B239" s="6">
        <v>25476.1</v>
      </c>
      <c r="C239" s="26">
        <f t="shared" si="7"/>
        <v>-1.8196582966253595E-3</v>
      </c>
      <c r="D239" s="27">
        <f t="shared" si="6"/>
        <v>-0.45855389074959058</v>
      </c>
    </row>
    <row r="240" spans="1:4" x14ac:dyDescent="0.4">
      <c r="A240" s="5">
        <v>45848</v>
      </c>
      <c r="B240" s="6">
        <v>25355.25</v>
      </c>
      <c r="C240" s="26">
        <f t="shared" si="7"/>
        <v>-4.7549485778671007E-3</v>
      </c>
      <c r="D240" s="27">
        <f t="shared" si="6"/>
        <v>-1.1982470416225093</v>
      </c>
    </row>
    <row r="241" spans="1:4" x14ac:dyDescent="0.4">
      <c r="A241" s="5">
        <v>45849</v>
      </c>
      <c r="B241" s="6">
        <v>25149.85</v>
      </c>
      <c r="C241" s="26">
        <f t="shared" si="7"/>
        <v>-8.1338768732905544E-3</v>
      </c>
      <c r="D241" s="27">
        <f t="shared" si="6"/>
        <v>-2.0497369720692196</v>
      </c>
    </row>
    <row r="242" spans="1:4" x14ac:dyDescent="0.4">
      <c r="A242" s="5">
        <v>45852</v>
      </c>
      <c r="B242" s="6">
        <v>25082.3</v>
      </c>
      <c r="C242" s="26">
        <f t="shared" si="7"/>
        <v>-2.6895142142431107E-3</v>
      </c>
      <c r="D242" s="27">
        <f t="shared" si="6"/>
        <v>-0.67775758198926395</v>
      </c>
    </row>
    <row r="243" spans="1:4" x14ac:dyDescent="0.4">
      <c r="A243" s="5">
        <v>45853</v>
      </c>
      <c r="B243" s="6">
        <v>25195.8</v>
      </c>
      <c r="C243" s="26">
        <f t="shared" si="7"/>
        <v>4.5148958612713751E-3</v>
      </c>
      <c r="D243" s="27">
        <f t="shared" si="6"/>
        <v>1.1377537570403866</v>
      </c>
    </row>
    <row r="244" spans="1:4" x14ac:dyDescent="0.4">
      <c r="A244" s="5">
        <v>45854</v>
      </c>
      <c r="B244" s="6">
        <v>25212.05</v>
      </c>
      <c r="C244" s="26">
        <f t="shared" si="7"/>
        <v>6.4474087122986417E-4</v>
      </c>
      <c r="D244" s="27">
        <f t="shared" si="6"/>
        <v>0.16247469954992577</v>
      </c>
    </row>
    <row r="245" spans="1:4" x14ac:dyDescent="0.4">
      <c r="A245" s="5">
        <v>45855</v>
      </c>
      <c r="B245" s="6">
        <v>25111.45</v>
      </c>
      <c r="C245" s="26">
        <f t="shared" si="7"/>
        <v>-3.9981374112852634E-3</v>
      </c>
      <c r="D245" s="27">
        <f t="shared" si="6"/>
        <v>-1.0075306276438865</v>
      </c>
    </row>
    <row r="246" spans="1:4" x14ac:dyDescent="0.4">
      <c r="A246" s="5">
        <v>45856</v>
      </c>
      <c r="B246" s="6">
        <v>24968.400000000001</v>
      </c>
      <c r="C246" s="26">
        <f t="shared" si="7"/>
        <v>-5.7128920738239268E-3</v>
      </c>
      <c r="D246" s="27">
        <f t="shared" si="6"/>
        <v>-1.4396488026036296</v>
      </c>
    </row>
    <row r="247" spans="1:4" x14ac:dyDescent="0.4">
      <c r="A247" s="5">
        <v>45859</v>
      </c>
      <c r="B247" s="6">
        <v>25090.7</v>
      </c>
      <c r="C247" s="26">
        <f t="shared" si="7"/>
        <v>4.8862342043243081E-3</v>
      </c>
      <c r="D247" s="27">
        <f t="shared" si="6"/>
        <v>1.2313310194897256</v>
      </c>
    </row>
    <row r="248" spans="1:4" x14ac:dyDescent="0.4">
      <c r="A248" s="5">
        <v>45860</v>
      </c>
      <c r="B248" s="6">
        <v>25060.9</v>
      </c>
      <c r="C248" s="26">
        <f t="shared" si="7"/>
        <v>-1.1883969208231818E-3</v>
      </c>
      <c r="D248" s="27">
        <f t="shared" si="6"/>
        <v>-0.29947602404744184</v>
      </c>
    </row>
    <row r="249" spans="1:4" x14ac:dyDescent="0.4">
      <c r="A249" s="5">
        <v>45861</v>
      </c>
      <c r="B249" s="6">
        <v>25219.9</v>
      </c>
      <c r="C249" s="26">
        <f t="shared" si="7"/>
        <v>6.3245027919540961E-3</v>
      </c>
      <c r="D249" s="27">
        <f t="shared" si="6"/>
        <v>1.5937747035724321</v>
      </c>
    </row>
    <row r="250" spans="1:4" x14ac:dyDescent="0.4">
      <c r="A250" s="5">
        <v>45862</v>
      </c>
      <c r="B250" s="6">
        <v>25062.1</v>
      </c>
      <c r="C250" s="26">
        <f t="shared" si="7"/>
        <v>-6.2766205821811125E-3</v>
      </c>
      <c r="D250" s="27">
        <f t="shared" si="6"/>
        <v>-1.5817083867096404</v>
      </c>
    </row>
    <row r="251" spans="1:4" x14ac:dyDescent="0.4">
      <c r="A251" s="5">
        <v>45863</v>
      </c>
      <c r="B251" s="6">
        <v>24837</v>
      </c>
      <c r="C251" s="26">
        <f t="shared" si="7"/>
        <v>-9.0222680148949828E-3</v>
      </c>
      <c r="D251" s="27">
        <f t="shared" si="6"/>
        <v>-2.2736115397535355</v>
      </c>
    </row>
  </sheetData>
  <autoFilter ref="A1:B251" xr:uid="{570551D2-E41D-464D-A9FF-EF90024DAD2E}"/>
  <mergeCells count="1"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Details</vt:lpstr>
      <vt:lpstr>Alpha - Beta Computation</vt:lpstr>
      <vt:lpstr>Markowitz Model</vt:lpstr>
      <vt:lpstr>Single Index Model</vt:lpstr>
      <vt:lpstr>Regression</vt:lpstr>
      <vt:lpstr>NTPC</vt:lpstr>
      <vt:lpstr>Dabur India</vt:lpstr>
      <vt:lpstr>HDFC Life Insurance</vt:lpstr>
      <vt:lpstr>Adani Enterprises</vt:lpstr>
      <vt:lpstr>Hindalco Industries</vt:lpstr>
      <vt:lpstr>NIFTY 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BABBAR</dc:creator>
  <cp:lastModifiedBy>ABHIMANYU BABBAR</cp:lastModifiedBy>
  <dcterms:created xsi:type="dcterms:W3CDTF">2025-07-26T07:15:07Z</dcterms:created>
  <dcterms:modified xsi:type="dcterms:W3CDTF">2026-03-03T10:40:30Z</dcterms:modified>
</cp:coreProperties>
</file>