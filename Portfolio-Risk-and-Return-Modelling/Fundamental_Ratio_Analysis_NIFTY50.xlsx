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 Documents\SIBMH Study Material\3rd Sem\Finance\SAPM\"/>
    </mc:Choice>
  </mc:AlternateContent>
  <xr:revisionPtr revIDLastSave="0" documentId="13_ncr:1_{82381680-3D23-4F40-8179-F13C2B6FFCD7}" xr6:coauthVersionLast="47" xr6:coauthVersionMax="47" xr10:uidLastSave="{00000000-0000-0000-0000-000000000000}"/>
  <bookViews>
    <workbookView xWindow="-98" yWindow="-98" windowWidth="21795" windowHeight="12975" xr2:uid="{E404528B-2338-4614-B55D-F13387BD4AEB}"/>
  </bookViews>
  <sheets>
    <sheet name="Details" sheetId="12" r:id="rId1"/>
    <sheet name="NTPC" sheetId="1" r:id="rId2"/>
    <sheet name="NTPC Ratio Analysis" sheetId="7" r:id="rId3"/>
    <sheet name="Dabur India" sheetId="2" r:id="rId4"/>
    <sheet name="Dabur India Ratio Analysis" sheetId="8" r:id="rId5"/>
    <sheet name="HDFC Life Insurance" sheetId="4" r:id="rId6"/>
    <sheet name="HDFC Life Ratio Analysis" sheetId="9" r:id="rId7"/>
    <sheet name="Adani Enterprises" sheetId="5" r:id="rId8"/>
    <sheet name="Adani Enterprise Ratio Analysis" sheetId="10" r:id="rId9"/>
    <sheet name="Hindalco Industries" sheetId="6" r:id="rId10"/>
    <sheet name="Hindalco Indus. Ratio Analysi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  <c r="E39" i="8"/>
  <c r="F39" i="8"/>
  <c r="G39" i="8"/>
  <c r="C39" i="8"/>
  <c r="C38" i="8"/>
  <c r="D38" i="8"/>
  <c r="E38" i="8"/>
  <c r="F38" i="8"/>
  <c r="G38" i="8"/>
  <c r="G26" i="8"/>
  <c r="F26" i="8"/>
  <c r="E26" i="8"/>
  <c r="D26" i="8"/>
  <c r="C26" i="8"/>
  <c r="D36" i="8" l="1"/>
  <c r="E36" i="8"/>
  <c r="F36" i="8"/>
  <c r="G36" i="8"/>
  <c r="C36" i="8"/>
  <c r="D35" i="8"/>
  <c r="E35" i="8"/>
  <c r="F35" i="8"/>
  <c r="G35" i="8"/>
  <c r="C35" i="8"/>
  <c r="D34" i="8"/>
  <c r="E34" i="8"/>
  <c r="F34" i="8"/>
  <c r="G34" i="8"/>
  <c r="C34" i="8"/>
  <c r="D33" i="8"/>
  <c r="E33" i="8"/>
  <c r="F33" i="8"/>
  <c r="G33" i="8"/>
  <c r="C33" i="8"/>
  <c r="D32" i="8"/>
  <c r="E32" i="8"/>
  <c r="F32" i="8"/>
  <c r="G32" i="8"/>
  <c r="C32" i="8"/>
  <c r="D40" i="8"/>
  <c r="E40" i="8"/>
  <c r="F40" i="8"/>
  <c r="G40" i="8"/>
  <c r="C40" i="8"/>
  <c r="D30" i="8"/>
  <c r="E30" i="8"/>
  <c r="F30" i="8"/>
  <c r="G30" i="8"/>
  <c r="C30" i="8"/>
  <c r="D24" i="8"/>
  <c r="E24" i="8"/>
  <c r="F24" i="8"/>
  <c r="G24" i="8"/>
  <c r="C24" i="8"/>
  <c r="D22" i="8"/>
  <c r="E22" i="8"/>
  <c r="F22" i="8"/>
  <c r="G22" i="8"/>
  <c r="C22" i="8"/>
  <c r="D21" i="8"/>
  <c r="E21" i="8"/>
  <c r="F21" i="8"/>
  <c r="G21" i="8"/>
  <c r="C21" i="8"/>
  <c r="D20" i="8"/>
  <c r="E20" i="8"/>
  <c r="F20" i="8"/>
  <c r="G20" i="8"/>
  <c r="C20" i="8"/>
  <c r="D15" i="8"/>
  <c r="E15" i="8"/>
  <c r="F15" i="8"/>
  <c r="G15" i="8"/>
  <c r="D16" i="8"/>
  <c r="E16" i="8"/>
  <c r="F16" i="8"/>
  <c r="G16" i="8"/>
  <c r="D17" i="8"/>
  <c r="E17" i="8"/>
  <c r="F17" i="8"/>
  <c r="G17" i="8"/>
  <c r="C17" i="8"/>
  <c r="C16" i="8"/>
  <c r="C15" i="8"/>
  <c r="D14" i="8"/>
  <c r="E14" i="8"/>
  <c r="F14" i="8"/>
  <c r="G14" i="8"/>
  <c r="C14" i="8"/>
  <c r="D13" i="8"/>
  <c r="E13" i="8"/>
  <c r="F13" i="8"/>
  <c r="G13" i="8"/>
  <c r="C13" i="8"/>
  <c r="D18" i="8"/>
  <c r="E18" i="8"/>
  <c r="F18" i="8"/>
  <c r="G18" i="8"/>
  <c r="C18" i="8"/>
  <c r="C12" i="8"/>
  <c r="D12" i="8"/>
  <c r="E12" i="8"/>
  <c r="F12" i="8"/>
  <c r="G12" i="8"/>
  <c r="D10" i="8"/>
  <c r="E10" i="8"/>
  <c r="F10" i="8"/>
  <c r="G10" i="8"/>
  <c r="C10" i="8"/>
  <c r="D9" i="8"/>
  <c r="E9" i="8"/>
  <c r="F9" i="8"/>
  <c r="G9" i="8"/>
  <c r="C9" i="8"/>
  <c r="D8" i="8"/>
  <c r="E8" i="8"/>
  <c r="F8" i="8"/>
  <c r="G8" i="8"/>
  <c r="C8" i="8"/>
  <c r="D7" i="8"/>
  <c r="E7" i="8"/>
  <c r="F7" i="8"/>
  <c r="G7" i="8"/>
  <c r="C7" i="8"/>
  <c r="D5" i="8"/>
  <c r="E5" i="8"/>
  <c r="F5" i="8"/>
  <c r="G5" i="8"/>
  <c r="C5" i="8"/>
  <c r="D4" i="8"/>
  <c r="E4" i="8"/>
  <c r="F4" i="8"/>
  <c r="G4" i="8"/>
  <c r="C4" i="8"/>
  <c r="D39" i="11"/>
  <c r="E39" i="11"/>
  <c r="F39" i="11"/>
  <c r="G39" i="11"/>
  <c r="C39" i="11"/>
  <c r="D38" i="11"/>
  <c r="E38" i="11"/>
  <c r="F38" i="11"/>
  <c r="G38" i="11"/>
  <c r="C38" i="11"/>
  <c r="D15" i="11"/>
  <c r="E15" i="11"/>
  <c r="F15" i="11"/>
  <c r="G15" i="11"/>
  <c r="D16" i="11"/>
  <c r="E16" i="11"/>
  <c r="F16" i="11"/>
  <c r="G16" i="11"/>
  <c r="D17" i="11"/>
  <c r="E17" i="11"/>
  <c r="F17" i="11"/>
  <c r="G17" i="11"/>
  <c r="C17" i="11"/>
  <c r="C16" i="11"/>
  <c r="C15" i="11"/>
  <c r="D18" i="11"/>
  <c r="E18" i="11"/>
  <c r="F18" i="11"/>
  <c r="G18" i="11"/>
  <c r="C18" i="11"/>
  <c r="D12" i="11"/>
  <c r="E12" i="11"/>
  <c r="F12" i="11"/>
  <c r="G12" i="11"/>
  <c r="C12" i="11"/>
  <c r="G26" i="11"/>
  <c r="F26" i="11"/>
  <c r="E26" i="11"/>
  <c r="D26" i="11"/>
  <c r="C26" i="11"/>
  <c r="D39" i="10"/>
  <c r="E39" i="10"/>
  <c r="F39" i="10"/>
  <c r="G39" i="10"/>
  <c r="C39" i="10"/>
  <c r="C38" i="10"/>
  <c r="D38" i="10"/>
  <c r="E38" i="10"/>
  <c r="F38" i="10"/>
  <c r="G38" i="10"/>
  <c r="D18" i="10"/>
  <c r="E18" i="10"/>
  <c r="F18" i="10"/>
  <c r="G18" i="10"/>
  <c r="C18" i="10"/>
  <c r="C12" i="10"/>
  <c r="D12" i="10"/>
  <c r="E12" i="10"/>
  <c r="F12" i="10"/>
  <c r="G12" i="10"/>
  <c r="G26" i="10"/>
  <c r="F26" i="10"/>
  <c r="E26" i="10"/>
  <c r="D26" i="10"/>
  <c r="C26" i="10"/>
  <c r="G26" i="9"/>
  <c r="F26" i="9"/>
  <c r="E26" i="9"/>
  <c r="D26" i="9"/>
  <c r="C26" i="9"/>
  <c r="D39" i="9"/>
  <c r="E39" i="9"/>
  <c r="F39" i="9"/>
  <c r="G39" i="9"/>
  <c r="C39" i="9"/>
  <c r="C38" i="9"/>
  <c r="D38" i="9"/>
  <c r="E38" i="9"/>
  <c r="F38" i="9"/>
  <c r="G38" i="9"/>
  <c r="G18" i="9"/>
  <c r="F18" i="9"/>
  <c r="E18" i="9"/>
  <c r="D18" i="9"/>
  <c r="C18" i="9"/>
  <c r="G12" i="9"/>
  <c r="F12" i="9"/>
  <c r="E12" i="9"/>
  <c r="D12" i="9"/>
  <c r="C12" i="9"/>
  <c r="G26" i="7"/>
  <c r="F26" i="7"/>
  <c r="E26" i="7"/>
  <c r="D26" i="7"/>
  <c r="C26" i="7"/>
  <c r="D39" i="7"/>
  <c r="E39" i="7"/>
  <c r="F39" i="7"/>
  <c r="G39" i="7"/>
  <c r="C39" i="7"/>
  <c r="C38" i="7"/>
  <c r="D38" i="7"/>
  <c r="E38" i="7"/>
  <c r="F38" i="7"/>
  <c r="G38" i="7"/>
  <c r="G18" i="7"/>
  <c r="F18" i="7"/>
  <c r="E18" i="7"/>
  <c r="D18" i="7"/>
  <c r="C18" i="7"/>
  <c r="G12" i="7"/>
  <c r="F12" i="7"/>
  <c r="E12" i="7"/>
  <c r="D12" i="7"/>
  <c r="C12" i="7"/>
  <c r="D32" i="7"/>
  <c r="E32" i="7"/>
  <c r="F32" i="7"/>
  <c r="G32" i="7"/>
  <c r="D33" i="7"/>
  <c r="E33" i="7"/>
  <c r="F33" i="7"/>
  <c r="G33" i="7"/>
  <c r="D34" i="7"/>
  <c r="E34" i="7"/>
  <c r="F34" i="7"/>
  <c r="G34" i="7"/>
  <c r="D35" i="7"/>
  <c r="E35" i="7"/>
  <c r="F35" i="7"/>
  <c r="G35" i="7"/>
  <c r="D36" i="7"/>
  <c r="E36" i="7"/>
  <c r="F36" i="7"/>
  <c r="G36" i="7"/>
  <c r="C36" i="7"/>
  <c r="C35" i="7"/>
  <c r="C34" i="7"/>
  <c r="C33" i="7"/>
  <c r="C32" i="7"/>
  <c r="D16" i="7"/>
  <c r="E16" i="7"/>
  <c r="F16" i="7"/>
  <c r="G16" i="7"/>
  <c r="D17" i="7"/>
  <c r="E17" i="7"/>
  <c r="F17" i="7"/>
  <c r="G17" i="7"/>
  <c r="C17" i="7"/>
  <c r="C16" i="7"/>
  <c r="D15" i="7"/>
  <c r="E15" i="7"/>
  <c r="F15" i="7"/>
  <c r="G15" i="7"/>
  <c r="C15" i="7"/>
  <c r="D14" i="7"/>
  <c r="E14" i="7"/>
  <c r="F14" i="7"/>
  <c r="G14" i="7"/>
  <c r="C14" i="7"/>
  <c r="D13" i="7"/>
  <c r="E13" i="7"/>
  <c r="F13" i="7"/>
  <c r="G13" i="7"/>
  <c r="C13" i="7"/>
  <c r="D35" i="9"/>
  <c r="E35" i="9"/>
  <c r="F35" i="9"/>
  <c r="G35" i="9"/>
  <c r="D36" i="9"/>
  <c r="E36" i="9"/>
  <c r="F36" i="9"/>
  <c r="G36" i="9"/>
  <c r="C36" i="9"/>
  <c r="C35" i="9"/>
  <c r="D34" i="9"/>
  <c r="E34" i="9"/>
  <c r="F34" i="9"/>
  <c r="G34" i="9"/>
  <c r="C34" i="9"/>
  <c r="D33" i="9"/>
  <c r="E33" i="9"/>
  <c r="F33" i="9"/>
  <c r="G33" i="9"/>
  <c r="C33" i="9"/>
  <c r="D32" i="9"/>
  <c r="E32" i="9"/>
  <c r="F32" i="9"/>
  <c r="G32" i="9"/>
  <c r="C32" i="9"/>
  <c r="D17" i="9"/>
  <c r="E17" i="9"/>
  <c r="F17" i="9"/>
  <c r="G17" i="9"/>
  <c r="C17" i="9"/>
  <c r="D16" i="9"/>
  <c r="E16" i="9"/>
  <c r="F16" i="9"/>
  <c r="G16" i="9"/>
  <c r="C16" i="9"/>
  <c r="D15" i="9"/>
  <c r="E15" i="9"/>
  <c r="F15" i="9"/>
  <c r="G15" i="9"/>
  <c r="C15" i="9"/>
  <c r="D14" i="9"/>
  <c r="E14" i="9"/>
  <c r="F14" i="9"/>
  <c r="G14" i="9"/>
  <c r="C14" i="9"/>
  <c r="D13" i="9"/>
  <c r="E13" i="9"/>
  <c r="F13" i="9"/>
  <c r="G13" i="9"/>
  <c r="C13" i="9"/>
  <c r="D36" i="10"/>
  <c r="E36" i="10"/>
  <c r="F36" i="10"/>
  <c r="G36" i="10"/>
  <c r="C36" i="10"/>
  <c r="D35" i="10"/>
  <c r="E35" i="10"/>
  <c r="F35" i="10"/>
  <c r="G35" i="10"/>
  <c r="C35" i="10"/>
  <c r="D34" i="10"/>
  <c r="E34" i="10"/>
  <c r="F34" i="10"/>
  <c r="G34" i="10"/>
  <c r="C34" i="10"/>
  <c r="D33" i="10"/>
  <c r="E33" i="10"/>
  <c r="F33" i="10"/>
  <c r="G33" i="10"/>
  <c r="C33" i="10"/>
  <c r="D32" i="10"/>
  <c r="E32" i="10"/>
  <c r="F32" i="10"/>
  <c r="G32" i="10"/>
  <c r="C32" i="10"/>
  <c r="D15" i="10"/>
  <c r="E15" i="10"/>
  <c r="F15" i="10"/>
  <c r="G15" i="10"/>
  <c r="D16" i="10"/>
  <c r="E16" i="10"/>
  <c r="F16" i="10"/>
  <c r="G16" i="10"/>
  <c r="D17" i="10"/>
  <c r="E17" i="10"/>
  <c r="F17" i="10"/>
  <c r="G17" i="10"/>
  <c r="C17" i="10"/>
  <c r="C16" i="10"/>
  <c r="C15" i="10"/>
  <c r="D14" i="10"/>
  <c r="E14" i="10"/>
  <c r="F14" i="10"/>
  <c r="G14" i="10"/>
  <c r="C14" i="10"/>
  <c r="D13" i="10"/>
  <c r="E13" i="10"/>
  <c r="F13" i="10"/>
  <c r="G13" i="10"/>
  <c r="C13" i="10"/>
  <c r="D14" i="11"/>
  <c r="E14" i="11"/>
  <c r="F14" i="11"/>
  <c r="G14" i="11"/>
  <c r="C14" i="11"/>
  <c r="D13" i="11"/>
  <c r="E13" i="11"/>
  <c r="F13" i="11"/>
  <c r="G13" i="11"/>
  <c r="C13" i="11"/>
  <c r="D40" i="11"/>
  <c r="E40" i="11"/>
  <c r="F40" i="11"/>
  <c r="G40" i="11"/>
  <c r="C40" i="11"/>
  <c r="D36" i="11"/>
  <c r="E36" i="11"/>
  <c r="F36" i="11"/>
  <c r="G36" i="11"/>
  <c r="C36" i="11"/>
  <c r="G35" i="11"/>
  <c r="D35" i="11"/>
  <c r="E35" i="11"/>
  <c r="F35" i="11"/>
  <c r="C35" i="11"/>
  <c r="D34" i="11"/>
  <c r="E34" i="11"/>
  <c r="F34" i="11"/>
  <c r="G34" i="11"/>
  <c r="C34" i="11"/>
  <c r="D33" i="11"/>
  <c r="E33" i="11"/>
  <c r="F33" i="11"/>
  <c r="G33" i="11"/>
  <c r="C33" i="11"/>
  <c r="D32" i="11"/>
  <c r="E32" i="11"/>
  <c r="F32" i="11"/>
  <c r="G32" i="11"/>
  <c r="C32" i="11"/>
  <c r="D30" i="11"/>
  <c r="E30" i="11"/>
  <c r="F30" i="11"/>
  <c r="G30" i="11"/>
  <c r="C30" i="11"/>
  <c r="D24" i="11"/>
  <c r="E24" i="11"/>
  <c r="F24" i="11"/>
  <c r="G24" i="11"/>
  <c r="C24" i="11"/>
  <c r="D22" i="11"/>
  <c r="E22" i="11"/>
  <c r="F22" i="11"/>
  <c r="G22" i="11"/>
  <c r="C22" i="11"/>
  <c r="D21" i="11"/>
  <c r="E21" i="11"/>
  <c r="F21" i="11"/>
  <c r="G21" i="11"/>
  <c r="C21" i="11"/>
  <c r="D20" i="11"/>
  <c r="E20" i="11"/>
  <c r="F20" i="11"/>
  <c r="G20" i="11"/>
  <c r="C20" i="11"/>
  <c r="D10" i="11"/>
  <c r="E10" i="11"/>
  <c r="F10" i="11"/>
  <c r="G10" i="11"/>
  <c r="C10" i="11"/>
  <c r="D9" i="11"/>
  <c r="E9" i="11"/>
  <c r="F9" i="11"/>
  <c r="G9" i="11"/>
  <c r="C9" i="11"/>
  <c r="D8" i="11"/>
  <c r="E8" i="11"/>
  <c r="F8" i="11"/>
  <c r="G8" i="11"/>
  <c r="C8" i="11"/>
  <c r="D7" i="11"/>
  <c r="E7" i="11"/>
  <c r="F7" i="11"/>
  <c r="G7" i="11"/>
  <c r="C7" i="11"/>
  <c r="G5" i="11"/>
  <c r="D5" i="11"/>
  <c r="E5" i="11"/>
  <c r="F5" i="11"/>
  <c r="C5" i="11"/>
  <c r="D4" i="11"/>
  <c r="E4" i="11"/>
  <c r="F4" i="11"/>
  <c r="G4" i="11"/>
  <c r="C4" i="11"/>
  <c r="D40" i="10"/>
  <c r="E40" i="10"/>
  <c r="F40" i="10"/>
  <c r="G40" i="10"/>
  <c r="C40" i="10"/>
  <c r="D30" i="10"/>
  <c r="E30" i="10"/>
  <c r="F30" i="10"/>
  <c r="G30" i="10"/>
  <c r="C30" i="10"/>
  <c r="F27" i="7"/>
  <c r="D24" i="7"/>
  <c r="E24" i="7"/>
  <c r="F24" i="7"/>
  <c r="G24" i="7"/>
  <c r="C24" i="7"/>
  <c r="D24" i="10"/>
  <c r="E24" i="10"/>
  <c r="F24" i="10"/>
  <c r="G24" i="10"/>
  <c r="C24" i="10"/>
  <c r="D22" i="10"/>
  <c r="E22" i="10"/>
  <c r="F22" i="10"/>
  <c r="G22" i="10"/>
  <c r="C22" i="10"/>
  <c r="D21" i="10"/>
  <c r="E21" i="10"/>
  <c r="F21" i="10"/>
  <c r="G21" i="10"/>
  <c r="C21" i="10"/>
  <c r="D20" i="10"/>
  <c r="E20" i="10"/>
  <c r="F20" i="10"/>
  <c r="G20" i="10"/>
  <c r="C20" i="10"/>
  <c r="D10" i="10"/>
  <c r="E10" i="10"/>
  <c r="F10" i="10"/>
  <c r="G10" i="10"/>
  <c r="C10" i="10"/>
  <c r="D9" i="10"/>
  <c r="E9" i="10"/>
  <c r="F9" i="10"/>
  <c r="G9" i="10"/>
  <c r="C9" i="10"/>
  <c r="D8" i="10"/>
  <c r="E8" i="10"/>
  <c r="F8" i="10"/>
  <c r="G8" i="10"/>
  <c r="C8" i="10"/>
  <c r="D7" i="10"/>
  <c r="E7" i="10"/>
  <c r="F7" i="10"/>
  <c r="G7" i="10"/>
  <c r="C7" i="10"/>
  <c r="D5" i="10"/>
  <c r="E5" i="10"/>
  <c r="F5" i="10"/>
  <c r="G5" i="10"/>
  <c r="C5" i="10"/>
  <c r="D4" i="10"/>
  <c r="E4" i="10"/>
  <c r="F4" i="10"/>
  <c r="G4" i="10"/>
  <c r="C4" i="10"/>
  <c r="D40" i="9"/>
  <c r="E40" i="9"/>
  <c r="F40" i="9"/>
  <c r="G40" i="9"/>
  <c r="C40" i="9"/>
  <c r="D30" i="9"/>
  <c r="E30" i="9"/>
  <c r="F30" i="9"/>
  <c r="G30" i="9"/>
  <c r="C30" i="9"/>
  <c r="D24" i="9"/>
  <c r="E24" i="9"/>
  <c r="F24" i="9"/>
  <c r="G24" i="9"/>
  <c r="C24" i="9"/>
  <c r="D22" i="9"/>
  <c r="E22" i="9"/>
  <c r="F22" i="9"/>
  <c r="G22" i="9"/>
  <c r="C22" i="9"/>
  <c r="D21" i="9"/>
  <c r="E21" i="9"/>
  <c r="F21" i="9"/>
  <c r="G21" i="9"/>
  <c r="C21" i="9"/>
  <c r="D20" i="9"/>
  <c r="E20" i="9"/>
  <c r="F20" i="9"/>
  <c r="G20" i="9"/>
  <c r="C20" i="9"/>
  <c r="D10" i="9"/>
  <c r="E10" i="9"/>
  <c r="F10" i="9"/>
  <c r="G10" i="9"/>
  <c r="C10" i="9"/>
  <c r="D9" i="9"/>
  <c r="E9" i="9"/>
  <c r="F9" i="9"/>
  <c r="G9" i="9"/>
  <c r="C9" i="9"/>
  <c r="D8" i="9"/>
  <c r="E8" i="9"/>
  <c r="F8" i="9"/>
  <c r="G8" i="9"/>
  <c r="C8" i="9"/>
  <c r="D7" i="9"/>
  <c r="E7" i="9"/>
  <c r="F7" i="9"/>
  <c r="G7" i="9"/>
  <c r="C7" i="9"/>
  <c r="D5" i="9"/>
  <c r="E5" i="9"/>
  <c r="F5" i="9"/>
  <c r="G5" i="9"/>
  <c r="C5" i="9"/>
  <c r="D4" i="9"/>
  <c r="E4" i="9"/>
  <c r="F4" i="9"/>
  <c r="G4" i="9"/>
  <c r="C4" i="9"/>
  <c r="D40" i="7"/>
  <c r="E40" i="7"/>
  <c r="F40" i="7"/>
  <c r="G40" i="7"/>
  <c r="C40" i="7"/>
  <c r="D30" i="7"/>
  <c r="E30" i="7"/>
  <c r="F30" i="7"/>
  <c r="G30" i="7"/>
  <c r="C30" i="7"/>
  <c r="D21" i="7"/>
  <c r="E21" i="7"/>
  <c r="F21" i="7"/>
  <c r="G21" i="7"/>
  <c r="C21" i="7"/>
  <c r="D22" i="7"/>
  <c r="E22" i="7"/>
  <c r="F22" i="7"/>
  <c r="G22" i="7"/>
  <c r="C22" i="7"/>
  <c r="D20" i="7"/>
  <c r="E20" i="7"/>
  <c r="F20" i="7"/>
  <c r="G20" i="7"/>
  <c r="C20" i="7"/>
  <c r="D10" i="7"/>
  <c r="E10" i="7"/>
  <c r="F10" i="7"/>
  <c r="G10" i="7"/>
  <c r="C10" i="7"/>
  <c r="D9" i="7"/>
  <c r="E9" i="7"/>
  <c r="F9" i="7"/>
  <c r="G9" i="7"/>
  <c r="C9" i="7"/>
  <c r="D8" i="7"/>
  <c r="E8" i="7"/>
  <c r="F8" i="7"/>
  <c r="G8" i="7"/>
  <c r="C8" i="7"/>
  <c r="D7" i="7"/>
  <c r="E7" i="7"/>
  <c r="F7" i="7"/>
  <c r="G7" i="7"/>
  <c r="C7" i="7"/>
  <c r="D5" i="7"/>
  <c r="E5" i="7"/>
  <c r="F5" i="7"/>
  <c r="G5" i="7"/>
  <c r="C5" i="7"/>
  <c r="D4" i="7"/>
  <c r="E4" i="7"/>
  <c r="F4" i="7"/>
  <c r="G4" i="7"/>
  <c r="C4" i="7"/>
  <c r="D27" i="8" l="1"/>
  <c r="D28" i="8"/>
  <c r="D25" i="8"/>
  <c r="E27" i="8"/>
  <c r="E28" i="8"/>
  <c r="E25" i="8"/>
  <c r="F27" i="8"/>
  <c r="F25" i="8"/>
  <c r="F28" i="8"/>
  <c r="G27" i="8"/>
  <c r="G28" i="8"/>
  <c r="G25" i="8"/>
  <c r="C27" i="8"/>
  <c r="C25" i="8"/>
  <c r="C28" i="8"/>
  <c r="D25" i="11"/>
  <c r="D27" i="11"/>
  <c r="D28" i="11"/>
  <c r="E28" i="11"/>
  <c r="E25" i="11"/>
  <c r="E27" i="11"/>
  <c r="F27" i="11"/>
  <c r="F28" i="11"/>
  <c r="F25" i="11"/>
  <c r="G27" i="11"/>
  <c r="G28" i="11"/>
  <c r="G25" i="11"/>
  <c r="C25" i="11"/>
  <c r="C28" i="11"/>
  <c r="C27" i="11"/>
  <c r="D28" i="7"/>
  <c r="D27" i="7"/>
  <c r="D25" i="7"/>
  <c r="E25" i="7"/>
  <c r="E27" i="7"/>
  <c r="E28" i="7"/>
  <c r="F25" i="7"/>
  <c r="F28" i="7"/>
  <c r="G27" i="7"/>
  <c r="G25" i="7"/>
  <c r="G28" i="7"/>
  <c r="C25" i="7"/>
  <c r="C27" i="7"/>
  <c r="C28" i="7"/>
  <c r="D28" i="10"/>
  <c r="D27" i="10"/>
  <c r="D25" i="10"/>
  <c r="E25" i="10"/>
  <c r="E27" i="10"/>
  <c r="E28" i="10"/>
  <c r="F25" i="10"/>
  <c r="F28" i="10"/>
  <c r="F27" i="10"/>
  <c r="G27" i="10"/>
  <c r="G25" i="10"/>
  <c r="G28" i="10"/>
  <c r="C28" i="10"/>
  <c r="C25" i="10"/>
  <c r="C27" i="10"/>
  <c r="D28" i="9"/>
  <c r="D27" i="9"/>
  <c r="D25" i="9"/>
  <c r="E28" i="9"/>
  <c r="E25" i="9"/>
  <c r="E27" i="9"/>
  <c r="F28" i="9"/>
  <c r="F25" i="9"/>
  <c r="F27" i="9"/>
  <c r="G28" i="9"/>
  <c r="G27" i="9"/>
  <c r="G25" i="9"/>
  <c r="C25" i="9"/>
  <c r="C27" i="9"/>
  <c r="C28" i="9"/>
</calcChain>
</file>

<file path=xl/sharedStrings.xml><?xml version="1.0" encoding="utf-8"?>
<sst xmlns="http://schemas.openxmlformats.org/spreadsheetml/2006/main" count="947" uniqueCount="191">
  <si>
    <t>NTPC</t>
  </si>
  <si>
    <t>Consolidated Profit &amp; Loss account</t>
  </si>
  <si>
    <t>------------------- in Rs. Cr. -------------------</t>
  </si>
  <si>
    <t>Mar '25</t>
  </si>
  <si>
    <t>Mar '24</t>
  </si>
  <si>
    <t>Mar '23</t>
  </si>
  <si>
    <t>Mar '22</t>
  </si>
  <si>
    <t>Mar '21</t>
  </si>
  <si>
    <t>12 mths</t>
  </si>
  <si>
    <t>Income</t>
  </si>
  <si>
    <t>Sales Turnover</t>
  </si>
  <si>
    <t>Net Sales</t>
  </si>
  <si>
    <t>Other Income</t>
  </si>
  <si>
    <t>Total Income</t>
  </si>
  <si>
    <t>Expenditure</t>
  </si>
  <si>
    <t>Raw Materials</t>
  </si>
  <si>
    <t>Power &amp; Fuel Cost</t>
  </si>
  <si>
    <t>Employee Cost</t>
  </si>
  <si>
    <t>Selling and Admin Expenses</t>
  </si>
  <si>
    <t>Miscellaneous Expenses</t>
  </si>
  <si>
    <t>Total Expenses</t>
  </si>
  <si>
    <t>Operating Profit</t>
  </si>
  <si>
    <t>PBDIT</t>
  </si>
  <si>
    <t>Interest</t>
  </si>
  <si>
    <t>PBDT</t>
  </si>
  <si>
    <t>Depreciation</t>
  </si>
  <si>
    <t>Profit Before Tax</t>
  </si>
  <si>
    <t>PBT (Post Extra-ord Items)</t>
  </si>
  <si>
    <t>Tax</t>
  </si>
  <si>
    <t>Reported Net Profit</t>
  </si>
  <si>
    <t>Minority Interest</t>
  </si>
  <si>
    <t>Share Of P/L Of Associates</t>
  </si>
  <si>
    <t>Net P/L After Minority Interest &amp; Share Of Associates</t>
  </si>
  <si>
    <t>Total Value Addition</t>
  </si>
  <si>
    <t>Equity Dividend</t>
  </si>
  <si>
    <t>Per share data (annualised)</t>
  </si>
  <si>
    <t>Shares in issue (lakhs)</t>
  </si>
  <si>
    <t>Earning Per Share (Rs)</t>
  </si>
  <si>
    <t>Book Value (Rs)</t>
  </si>
  <si>
    <t>Consolidated Balance Sheet</t>
  </si>
  <si>
    <t>Mar 25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</si>
  <si>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</si>
  <si>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</si>
  <si>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</si>
  <si>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</si>
  <si>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</si>
  <si>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</si>
  <si>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</si>
  <si>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</si>
  <si>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</si>
  <si>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</si>
  <si>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</si>
  <si>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</si>
  <si>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</si>
  <si>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</si>
  <si>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</si>
  <si>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</si>
  <si>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</si>
  <si>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</si>
  <si>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</si>
  <si>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</si>
  <si>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</si>
  <si>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</si>
  <si>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</si>
  <si>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</si>
  <si>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</si>
  <si>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Intangible Assets Under Development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</si>
  <si>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</si>
  <si>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</si>
  <si>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</si>
  <si>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</si>
  <si>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</si>
  <si>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</si>
  <si>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</si>
  <si>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</si>
  <si>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</si>
  <si>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</si>
  <si>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</si>
  <si>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</si>
  <si>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</si>
  <si>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</si>
  <si>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</si>
  <si>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</si>
  <si>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</si>
  <si>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</si>
  <si>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</si>
  <si>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</si>
  <si>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</si>
  <si>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</si>
  <si>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</si>
  <si>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</si>
  <si>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Unquoted Book Value</t>
  </si>
  <si>
    <t>Employees Stock Options</t>
  </si>
  <si>
    <t>HDFC Life Insurance Company</t>
  </si>
  <si>
    <t>Equity Share Application Money</t>
  </si>
  <si>
    <t>Hindalco Industries</t>
  </si>
  <si>
    <t>Stock Adjustments</t>
  </si>
  <si>
    <t>Hybrid/Debt/Other Securities</t>
  </si>
  <si>
    <t>Current Investments Quoted Market Value</t>
  </si>
  <si>
    <t>Adani Enterprises</t>
  </si>
  <si>
    <t>Other Manufacturing Expenses</t>
  </si>
  <si>
    <t>NTPC Ratio Analysis</t>
  </si>
  <si>
    <t>Ratio Type</t>
  </si>
  <si>
    <t>Leverage Ratios</t>
  </si>
  <si>
    <t>Debt-Equity Ratio</t>
  </si>
  <si>
    <t>Proprietary Ratio</t>
  </si>
  <si>
    <t>Interest Coverage Ratio</t>
  </si>
  <si>
    <t>Debt to Total Assets Ratio</t>
  </si>
  <si>
    <t>Gross Profit Ratio</t>
  </si>
  <si>
    <t>Operating Profit Ratio</t>
  </si>
  <si>
    <t>Net Profit Ratio</t>
  </si>
  <si>
    <t>Selling Expenses Ratio</t>
  </si>
  <si>
    <t xml:space="preserve"> = Long Term Debt/Shareholders Equity</t>
  </si>
  <si>
    <t xml:space="preserve"> = Total Debt/Total Assets</t>
  </si>
  <si>
    <t>Ratio Formula</t>
  </si>
  <si>
    <t xml:space="preserve"> = EBIT/Interest</t>
  </si>
  <si>
    <t xml:space="preserve"> = Shareholders Equity/Total Assets</t>
  </si>
  <si>
    <t xml:space="preserve"> = Gross Profit (Sales-COGS) / Sales</t>
  </si>
  <si>
    <t xml:space="preserve"> = EBIT/Sales</t>
  </si>
  <si>
    <t xml:space="preserve"> = EAT/Sales</t>
  </si>
  <si>
    <t>Administrative Expenses Ratio</t>
  </si>
  <si>
    <t xml:space="preserve"> = Admin Expenses/Sales</t>
  </si>
  <si>
    <t xml:space="preserve"> = Selling Expenses/Sales</t>
  </si>
  <si>
    <t>Operating Expenses Ratio</t>
  </si>
  <si>
    <t>Operating Ratio</t>
  </si>
  <si>
    <t xml:space="preserve"> = (Admin Expenses + Selling Expenses) / Sales</t>
  </si>
  <si>
    <t xml:space="preserve"> = (COGS+Operating Expenses) / Sales</t>
  </si>
  <si>
    <t>Earnings Per Share</t>
  </si>
  <si>
    <t xml:space="preserve">Return on Assets </t>
  </si>
  <si>
    <t xml:space="preserve"> = EAT/Total Assets</t>
  </si>
  <si>
    <t>Return on Capital Employed</t>
  </si>
  <si>
    <t xml:space="preserve"> = EBIT/Total Capital Employed</t>
  </si>
  <si>
    <t>Return on Equity</t>
  </si>
  <si>
    <t xml:space="preserve"> = EAT/Shareholders Equity</t>
  </si>
  <si>
    <t>Earnings Yield</t>
  </si>
  <si>
    <t>Dividend Yield</t>
  </si>
  <si>
    <t>Dividend Payout Ratio</t>
  </si>
  <si>
    <t>Price to Earnings Ratio</t>
  </si>
  <si>
    <t xml:space="preserve"> = EPS/Market Price Per Share</t>
  </si>
  <si>
    <t xml:space="preserve"> = DPS/MPS</t>
  </si>
  <si>
    <t xml:space="preserve"> = DPS/EPS</t>
  </si>
  <si>
    <t xml:space="preserve"> = Net Profit Available to Equity Shareholders/Number of Equity Shares</t>
  </si>
  <si>
    <t xml:space="preserve"> = MPS/EPS</t>
  </si>
  <si>
    <t>Return on Investment (ROI)</t>
  </si>
  <si>
    <t>Activity or Efficiency Ratios</t>
  </si>
  <si>
    <t>Current Assets Turnover</t>
  </si>
  <si>
    <t xml:space="preserve"> = Sales/Current Assets</t>
  </si>
  <si>
    <t>Fixed Assets Turnover</t>
  </si>
  <si>
    <t xml:space="preserve"> = Sales/Fixed Assets</t>
  </si>
  <si>
    <t>Total Assets Turnover</t>
  </si>
  <si>
    <t xml:space="preserve"> = Sales/Total Assets</t>
  </si>
  <si>
    <t>Inventory Turnover</t>
  </si>
  <si>
    <t xml:space="preserve"> = Sales / Average Inventory</t>
  </si>
  <si>
    <t>Debtors Turnover</t>
  </si>
  <si>
    <t xml:space="preserve"> = Sales / Average Debtors</t>
  </si>
  <si>
    <t>Assessment of Risk</t>
  </si>
  <si>
    <t>DTL</t>
  </si>
  <si>
    <t>DOL</t>
  </si>
  <si>
    <t>DFL</t>
  </si>
  <si>
    <t xml:space="preserve"> = Contribution/EBT</t>
  </si>
  <si>
    <t xml:space="preserve"> = Contribution/EBIT</t>
  </si>
  <si>
    <t xml:space="preserve"> = EBIT/EBT</t>
  </si>
  <si>
    <t>Profitability Ratios related to Sales</t>
  </si>
  <si>
    <t>Profitability Ratios related to Investment</t>
  </si>
  <si>
    <t>Profitability Ratios related to Equity Shares</t>
  </si>
  <si>
    <t>Profitability Ratios related to Earning Power</t>
  </si>
  <si>
    <t>HDFC Life Insurance Ratio Analysis</t>
  </si>
  <si>
    <t>Liquidity Ratios</t>
  </si>
  <si>
    <t>Current Ratio</t>
  </si>
  <si>
    <t>Quick Ratio</t>
  </si>
  <si>
    <t xml:space="preserve"> = Current Assets/Current Liabilities</t>
  </si>
  <si>
    <t xml:space="preserve"> = (Current Assets - Inventory - Prepaid Expenses)/Current Liabilities</t>
  </si>
  <si>
    <t>Hindalco Industries Ratio Analysis</t>
  </si>
  <si>
    <t>Adani Enterprises Ratio Analysis</t>
  </si>
  <si>
    <t>No inventory.</t>
  </si>
  <si>
    <t>No debtors.</t>
  </si>
  <si>
    <t>No inventory and prepaid expenses.</t>
  </si>
  <si>
    <t>8r78</t>
  </si>
  <si>
    <t>COGS computed from Finbox.</t>
  </si>
  <si>
    <t>MPS from NSE.</t>
  </si>
  <si>
    <t>COGS from Finbox.</t>
  </si>
  <si>
    <t>No selling and admin expenses.</t>
  </si>
  <si>
    <t>Dabur India</t>
  </si>
  <si>
    <t>Excise Duty</t>
  </si>
  <si>
    <t>Dabur India Ratio Analysis</t>
  </si>
  <si>
    <t>Securities Analysis and Portfolio Management</t>
  </si>
  <si>
    <t>Abhimanyu Babbar</t>
  </si>
  <si>
    <t>Fundamental Analysis: NTPC, Dabur India, HDFC Life Insurance, Adani Enterprises and Hindalco Industries</t>
  </si>
  <si>
    <t>Topic:</t>
  </si>
  <si>
    <t>Subject:</t>
  </si>
  <si>
    <t>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</si>
</sst>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0.000%"/>
    <numFmt numFmtId="165" formatCode="0.00000000"/>
    <numFmt numFmtId="166" formatCode="0.000000"/>
    <numFmt numFmtId="167" formatCode="#,##0.0000"/>
    <numFmt numFmtId="168" formatCode="0.0000%"/>
    <numFmt numFmtId="169" formatCode="#,##0.0000000"/>
    <numFmt numFmtId="170" formatCode="#,##0.000000000"/>
    <numFmt numFmtId="171" formatCode="0.00000%"/>
    <numFmt numFmtId="172" formatCode="0.000000%"/>
  </numFmts>
  <fonts count="10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1" xfId="0" applyFont="1" applyBorder="1"/>
    <xf numFmtId="0" fontId="1" fillId="2" borderId="6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3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4" fontId="2" fillId="2" borderId="11" xfId="0" applyNumberFormat="1" applyFont="1" applyFill="1" applyBorder="1" applyAlignment="1">
      <alignment horizontal="right" vertical="center" wrapText="1"/>
    </xf>
    <xf numFmtId="4" fontId="1" fillId="2" borderId="11" xfId="0" applyNumberFormat="1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4" fontId="2" fillId="2" borderId="5" xfId="0" applyNumberFormat="1" applyFont="1" applyFill="1" applyBorder="1" applyAlignment="1">
      <alignment horizontal="right" vertical="center" wrapText="1"/>
    </xf>
    <xf numFmtId="4" fontId="1" fillId="2" borderId="5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4" fontId="2" fillId="2" borderId="6" xfId="0" applyNumberFormat="1" applyFont="1" applyFill="1" applyBorder="1" applyAlignment="1">
      <alignment horizontal="right" vertical="center" wrapText="1"/>
    </xf>
    <xf numFmtId="4" fontId="3" fillId="3" borderId="6" xfId="0" applyNumberFormat="1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right" vertical="center" wrapText="1"/>
    </xf>
    <xf numFmtId="17" fontId="1" fillId="2" borderId="10" xfId="0" applyNumberFormat="1" applyFont="1" applyFill="1" applyBorder="1" applyAlignment="1">
      <alignment horizontal="right" vertical="center" wrapText="1"/>
    </xf>
    <xf numFmtId="17" fontId="1" fillId="2" borderId="4" xfId="0" applyNumberFormat="1" applyFont="1" applyFill="1" applyBorder="1" applyAlignment="1">
      <alignment horizontal="right" vertical="center" wrapText="1"/>
    </xf>
    <xf numFmtId="4" fontId="3" fillId="3" borderId="11" xfId="0" applyNumberFormat="1" applyFont="1" applyFill="1" applyBorder="1" applyAlignment="1">
      <alignment horizontal="right" vertical="center" wrapText="1"/>
    </xf>
    <xf numFmtId="4" fontId="3" fillId="3" borderId="5" xfId="0" applyNumberFormat="1" applyFont="1" applyFill="1" applyBorder="1" applyAlignment="1">
      <alignment horizontal="right" vertical="center" wrapText="1"/>
    </xf>
    <xf numFmtId="17" fontId="1" fillId="2" borderId="5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4" fontId="2" fillId="2" borderId="0" xfId="0" applyNumberFormat="1" applyFont="1" applyFill="1" applyAlignment="1">
      <alignment horizontal="right" vertical="center" wrapText="1"/>
    </xf>
    <xf numFmtId="4" fontId="3" fillId="3" borderId="0" xfId="0" applyNumberFormat="1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17" fontId="1" fillId="2" borderId="3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4" fontId="1" fillId="2" borderId="6" xfId="0" applyNumberFormat="1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4" fontId="2" fillId="2" borderId="14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4" fontId="2" fillId="2" borderId="1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2" fillId="2" borderId="13" xfId="0" applyFont="1" applyFill="1" applyBorder="1"/>
    <xf numFmtId="0" fontId="1" fillId="2" borderId="15" xfId="0" applyFont="1" applyFill="1" applyBorder="1" applyAlignment="1">
      <alignment vertical="center" wrapText="1"/>
    </xf>
    <xf numFmtId="0" fontId="2" fillId="2" borderId="14" xfId="0" applyFont="1" applyFill="1" applyBorder="1"/>
    <xf numFmtId="0" fontId="2" fillId="2" borderId="12" xfId="0" applyFont="1" applyFill="1" applyBorder="1"/>
    <xf numFmtId="4" fontId="2" fillId="2" borderId="15" xfId="0" applyNumberFormat="1" applyFont="1" applyFill="1" applyBorder="1" applyAlignment="1">
      <alignment horizontal="right" vertical="center" wrapText="1"/>
    </xf>
    <xf numFmtId="4" fontId="2" fillId="2" borderId="12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10" fontId="6" fillId="0" borderId="1" xfId="1" applyNumberFormat="1" applyFont="1" applyBorder="1"/>
    <xf numFmtId="164" fontId="6" fillId="0" borderId="1" xfId="1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4" fontId="6" fillId="0" borderId="1" xfId="0" applyNumberFormat="1" applyFont="1" applyBorder="1"/>
    <xf numFmtId="168" fontId="6" fillId="0" borderId="1" xfId="1" applyNumberFormat="1" applyFont="1" applyBorder="1"/>
    <xf numFmtId="2" fontId="6" fillId="0" borderId="1" xfId="0" applyNumberFormat="1" applyFont="1" applyBorder="1"/>
    <xf numFmtId="2" fontId="6" fillId="0" borderId="1" xfId="1" applyNumberFormat="1" applyFont="1" applyBorder="1"/>
    <xf numFmtId="4" fontId="2" fillId="2" borderId="1" xfId="0" applyNumberFormat="1" applyFont="1" applyFill="1" applyBorder="1" applyAlignment="1">
      <alignment horizontal="right" vertical="center" wrapText="1"/>
    </xf>
    <xf numFmtId="17" fontId="1" fillId="0" borderId="1" xfId="0" applyNumberFormat="1" applyFont="1" applyBorder="1" applyAlignment="1">
      <alignment horizontal="center"/>
    </xf>
    <xf numFmtId="0" fontId="1" fillId="3" borderId="11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167" fontId="6" fillId="0" borderId="1" xfId="0" applyNumberFormat="1" applyFont="1" applyBorder="1"/>
    <xf numFmtId="10" fontId="6" fillId="0" borderId="1" xfId="1" applyNumberFormat="1" applyFont="1" applyFill="1" applyBorder="1"/>
    <xf numFmtId="0" fontId="1" fillId="3" borderId="6" xfId="0" applyFont="1" applyFill="1" applyBorder="1" applyAlignment="1">
      <alignment vertical="center" wrapText="1"/>
    </xf>
    <xf numFmtId="0" fontId="4" fillId="0" borderId="0" xfId="0" applyFont="1"/>
    <xf numFmtId="164" fontId="6" fillId="0" borderId="1" xfId="1" applyNumberFormat="1" applyFont="1" applyFill="1" applyBorder="1"/>
    <xf numFmtId="168" fontId="6" fillId="0" borderId="1" xfId="1" applyNumberFormat="1" applyFont="1" applyFill="1" applyBorder="1"/>
    <xf numFmtId="169" fontId="6" fillId="0" borderId="1" xfId="0" applyNumberFormat="1" applyFont="1" applyBorder="1"/>
    <xf numFmtId="170" fontId="6" fillId="0" borderId="1" xfId="0" applyNumberFormat="1" applyFont="1" applyBorder="1"/>
    <xf numFmtId="0" fontId="2" fillId="2" borderId="0" xfId="0" applyFont="1" applyFill="1"/>
    <xf numFmtId="0" fontId="2" fillId="2" borderId="16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4" fontId="2" fillId="2" borderId="0" xfId="0" applyNumberFormat="1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4" fontId="2" fillId="2" borderId="6" xfId="0" applyNumberFormat="1" applyFont="1" applyFill="1" applyBorder="1" applyAlignment="1">
      <alignment horizontal="right" vertical="center"/>
    </xf>
    <xf numFmtId="4" fontId="3" fillId="3" borderId="6" xfId="0" applyNumberFormat="1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17" fontId="1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4" fontId="2" fillId="2" borderId="5" xfId="0" applyNumberFormat="1" applyFont="1" applyFill="1" applyBorder="1" applyAlignment="1">
      <alignment horizontal="right" vertical="center"/>
    </xf>
    <xf numFmtId="4" fontId="3" fillId="3" borderId="5" xfId="0" applyNumberFormat="1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right" vertical="center"/>
    </xf>
    <xf numFmtId="4" fontId="2" fillId="2" borderId="11" xfId="0" applyNumberFormat="1" applyFont="1" applyFill="1" applyBorder="1" applyAlignment="1">
      <alignment horizontal="right" vertical="center"/>
    </xf>
    <xf numFmtId="4" fontId="3" fillId="3" borderId="11" xfId="0" applyNumberFormat="1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17" fontId="1" fillId="2" borderId="6" xfId="0" applyNumberFormat="1" applyFont="1" applyFill="1" applyBorder="1" applyAlignment="1">
      <alignment horizontal="right" vertical="center"/>
    </xf>
    <xf numFmtId="17" fontId="1" fillId="2" borderId="1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172" fontId="6" fillId="0" borderId="1" xfId="1" applyNumberFormat="1" applyFont="1" applyFill="1" applyBorder="1"/>
    <xf numFmtId="171" fontId="6" fillId="0" borderId="1" xfId="1" applyNumberFormat="1" applyFont="1" applyFill="1" applyBorder="1"/>
    <xf numFmtId="0" fontId="6" fillId="5" borderId="0" xfId="0" applyFont="1" applyFill="1"/>
    <xf numFmtId="0" fontId="4" fillId="0" borderId="1" xfId="0" applyFont="1" applyBorder="1"/>
    <xf numFmtId="0" fontId="6" fillId="0" borderId="1" xfId="0" applyFont="1" applyBorder="1" applyAlignment="1">
      <alignment horizontal="left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6" fillId="0" borderId="7" xfId="0" applyFont="1" applyBorder="1"/>
    <xf numFmtId="0" fontId="6" fillId="0" borderId="8" xfId="0" applyFont="1" applyBorder="1"/>
    <xf numFmtId="0" fontId="6" fillId="0" borderId="10" xfId="0" applyFont="1" applyBorder="1" applyAlignme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B28320D2-070B-4EFA-9508-D1886729A4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040AD-D59D-C03D-FEA1-C69D8F98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32D86E-734B-61A7-D86E-C3096DC7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2EDACD-8963-E37C-D961-E8CF0C18E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76200</xdr:colOff>
      <xdr:row>21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572D71-0B5B-B4B7-55C6-2A7E8D99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77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4E78DA-EBBC-1E48-BF3B-8E0CEB5D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3520" y="914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6FB78-F6AE-3626-BDE2-AF8F0C8E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8A8E96-8A8D-1179-94AB-4C92BE52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DE982D-A388-27C5-4EC8-8760C26A1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58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428825-BA6E-96F4-09B4-82602DE5E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6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FE8225-C9A4-E140-181F-2F7A15B52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6ECF2-100E-33EA-ACD0-D43DEDCB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AE7170-B0F9-76C9-E5EB-1F5D93C1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363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76200</xdr:colOff>
      <xdr:row>0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653F29-F61D-A721-B4B9-E3C9303E0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020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6CCFD7-FE5F-4E8B-AE06-8AAE6E82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76200</xdr:colOff>
      <xdr:row>5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F1E503-D4BF-4AA8-A87A-65D6E287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76200</xdr:colOff>
      <xdr:row>19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460C880-1359-42FC-9DBE-D1F3D4CE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76200</xdr:colOff>
      <xdr:row>1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2D6E97-FA9C-489D-A7E1-D3329E46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0900" y="215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DB83EED-1BFC-4D1F-AADC-AAFBA4033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0900" y="742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76200</xdr:colOff>
      <xdr:row>18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AD70F3-EE78-46FD-AE21-9119C40BB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0900" y="4324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76200</xdr:colOff>
      <xdr:row>20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5A6B335-19B8-4A45-87A6-24E78C99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0900" y="4692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10A54D5-A76A-493D-9D8D-F86F29539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0100" y="742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76200</xdr:colOff>
      <xdr:row>5</xdr:row>
      <xdr:rowOff>76200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3CA94B3-A478-4F39-8C90-8A8E128E8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0100" y="1111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16E41E6-2EAE-6209-AAB2-C7F7266C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1850" y="742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76200</xdr:colOff>
      <xdr:row>5</xdr:row>
      <xdr:rowOff>76200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C1521FC-744E-91A3-EE7C-593A36D1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1850" y="1073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76200</xdr:colOff>
      <xdr:row>62</xdr:row>
      <xdr:rowOff>76200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B7C3635-9F79-041E-4A95-3240E0B1B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1850" y="15030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76200</xdr:colOff>
      <xdr:row>64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2581257-14D2-E4D0-EBCA-D4C8D25A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1850" y="15398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36F32B2-CE6B-2046-0D10-92CF35156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7319A1E-533C-3B88-2D70-957E0035D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76200</xdr:colOff>
      <xdr:row>21</xdr:row>
      <xdr:rowOff>76200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45ECE15-485A-468C-B0E3-7B9BAEA5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76200</xdr:colOff>
      <xdr:row>23</xdr:row>
      <xdr:rowOff>76200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C22D49E-0072-7400-7ABD-AC21E3651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696E7-20D2-6CA3-1AE0-86528E4E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1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8151C8-A6DF-C6BD-95D2-EF9AA1CF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78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76200</xdr:colOff>
      <xdr:row>17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B3A452-B35F-E848-D42F-AEC2B751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01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BE5BBA-238D-535C-E8C0-826143E96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58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3</xdr:row>
      <xdr:rowOff>0</xdr:rowOff>
    </xdr:from>
    <xdr:ext cx="76200" cy="76200"/>
    <xdr:pic>
      <xdr:nvPicPr>
        <xdr:cNvPr id="6" name="Picture 5">
          <a:extLst>
            <a:ext uri="{FF2B5EF4-FFF2-40B4-BE49-F238E27FC236}">
              <a16:creationId xmlns:a16="http://schemas.microsoft.com/office/drawing/2014/main" id="{42836B38-C478-412A-B99E-B574353E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3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</xdr:row>
      <xdr:rowOff>0</xdr:rowOff>
    </xdr:from>
    <xdr:ext cx="76200" cy="76200"/>
    <xdr:pic>
      <xdr:nvPicPr>
        <xdr:cNvPr id="7" name="Picture 6">
          <a:extLst>
            <a:ext uri="{FF2B5EF4-FFF2-40B4-BE49-F238E27FC236}">
              <a16:creationId xmlns:a16="http://schemas.microsoft.com/office/drawing/2014/main" id="{1A20B4F6-CBE5-4252-913B-942BC06B2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96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</xdr:row>
      <xdr:rowOff>0</xdr:rowOff>
    </xdr:from>
    <xdr:ext cx="76200" cy="76200"/>
    <xdr:pic>
      <xdr:nvPicPr>
        <xdr:cNvPr id="8" name="Picture 7">
          <a:extLst>
            <a:ext uri="{FF2B5EF4-FFF2-40B4-BE49-F238E27FC236}">
              <a16:creationId xmlns:a16="http://schemas.microsoft.com/office/drawing/2014/main" id="{F1B38ED1-A6CD-4327-A6CC-4E22819C5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3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</xdr:row>
      <xdr:rowOff>0</xdr:rowOff>
    </xdr:from>
    <xdr:ext cx="76200" cy="76200"/>
    <xdr:pic>
      <xdr:nvPicPr>
        <xdr:cNvPr id="9" name="Picture 8">
          <a:extLst>
            <a:ext uri="{FF2B5EF4-FFF2-40B4-BE49-F238E27FC236}">
              <a16:creationId xmlns:a16="http://schemas.microsoft.com/office/drawing/2014/main" id="{C3A0CC26-5BFD-4253-9850-1D0B8156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96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17</xdr:row>
      <xdr:rowOff>0</xdr:rowOff>
    </xdr:from>
    <xdr:ext cx="76200" cy="76200"/>
    <xdr:pic>
      <xdr:nvPicPr>
        <xdr:cNvPr id="10" name="Picture 9">
          <a:extLst>
            <a:ext uri="{FF2B5EF4-FFF2-40B4-BE49-F238E27FC236}">
              <a16:creationId xmlns:a16="http://schemas.microsoft.com/office/drawing/2014/main" id="{CEFB201A-0F0B-4261-8FC4-0D69AB25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252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19</xdr:row>
      <xdr:rowOff>0</xdr:rowOff>
    </xdr:from>
    <xdr:ext cx="76200" cy="76200"/>
    <xdr:pic>
      <xdr:nvPicPr>
        <xdr:cNvPr id="11" name="Picture 10">
          <a:extLst>
            <a:ext uri="{FF2B5EF4-FFF2-40B4-BE49-F238E27FC236}">
              <a16:creationId xmlns:a16="http://schemas.microsoft.com/office/drawing/2014/main" id="{37742CEE-78D1-4B85-9A0F-2B1F78BC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281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CC26B4-DBDA-C8B7-4355-D59975714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63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0C578F-19EA-366A-AA4D-6E4DF5FDB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76200</xdr:colOff>
      <xdr:row>21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D65755-0C58-86D7-DBE9-3F47FB35B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6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76200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9EBB8D-31A4-5678-FBCB-BDB15B61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73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CF66FC-9501-A1F7-A8B2-C77F257F5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7320" y="6781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76200</xdr:colOff>
      <xdr:row>5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ABEBE4-0734-5EBE-72CC-540543F88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7320" y="10439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6200" cy="76200"/>
    <xdr:pic>
      <xdr:nvPicPr>
        <xdr:cNvPr id="2" name="Picture 1">
          <a:extLst>
            <a:ext uri="{FF2B5EF4-FFF2-40B4-BE49-F238E27FC236}">
              <a16:creationId xmlns:a16="http://schemas.microsoft.com/office/drawing/2014/main" id="{D6707C0B-3BB3-4B40-BBD1-DEA6EE8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76200" cy="76200"/>
    <xdr:pic>
      <xdr:nvPicPr>
        <xdr:cNvPr id="3" name="Picture 2">
          <a:extLst>
            <a:ext uri="{FF2B5EF4-FFF2-40B4-BE49-F238E27FC236}">
              <a16:creationId xmlns:a16="http://schemas.microsoft.com/office/drawing/2014/main" id="{D1F850F0-B658-4929-A76F-D6CAD33F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76200" cy="76200"/>
    <xdr:pic>
      <xdr:nvPicPr>
        <xdr:cNvPr id="4" name="Picture 3">
          <a:extLst>
            <a:ext uri="{FF2B5EF4-FFF2-40B4-BE49-F238E27FC236}">
              <a16:creationId xmlns:a16="http://schemas.microsoft.com/office/drawing/2014/main" id="{6A8D6B6A-07EE-4314-88E3-71FAE4A64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76200" cy="76200"/>
    <xdr:pic>
      <xdr:nvPicPr>
        <xdr:cNvPr id="5" name="Picture 4">
          <a:extLst>
            <a:ext uri="{FF2B5EF4-FFF2-40B4-BE49-F238E27FC236}">
              <a16:creationId xmlns:a16="http://schemas.microsoft.com/office/drawing/2014/main" id="{FA1BFB73-4D32-4AFC-AA64-901E780A4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0</xdr:colOff>
      <xdr:row>3</xdr:row>
      <xdr:rowOff>0</xdr:rowOff>
    </xdr:from>
    <xdr:to>
      <xdr:col>7</xdr:col>
      <xdr:colOff>76200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CDF330-272F-1B64-19F2-4B82529C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1580" y="7848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76200</xdr:colOff>
      <xdr:row>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F09142-AA4A-F1A5-E0F8-356345F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1580" y="11506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BB07-0EC8-4EB6-A25B-D6D39FAAF36B}">
  <sheetPr>
    <tabColor rgb="FF00B050"/>
  </sheetPr>
  <dimension ref="A1:I3"/>
  <sheetViews>
    <sheetView showGridLines="0" tabSelected="1" zoomScale="180" zoomScaleNormal="180" workbookViewId="0">
      <pane xSplit="9" ySplit="3" topLeftCell="J4" activePane="bottomRight" state="frozen"/>
      <selection pane="topRight" activeCell="M1" sqref="M1"/>
      <selection pane="bottomLeft" activeCell="A17" sqref="A17"/>
      <selection pane="bottomRight" activeCell="B9" sqref="B9"/>
    </sheetView>
  </sheetViews>
  <sheetFormatPr defaultColWidth="8.73046875" defaultRowHeight="13.15" x14ac:dyDescent="0.4"/>
  <cols>
    <col min="1" max="1" width="15.19921875" style="129" customWidth="1"/>
    <col min="2" max="2" width="13" style="129" customWidth="1"/>
    <col min="3" max="3" width="14.796875" style="129" customWidth="1"/>
    <col min="4" max="16384" width="8.73046875" style="129"/>
  </cols>
  <sheetData>
    <row r="1" spans="1:9" x14ac:dyDescent="0.4">
      <c r="A1" s="130" t="s">
        <v>189</v>
      </c>
      <c r="B1" s="131" t="s">
        <v>185</v>
      </c>
      <c r="C1" s="131"/>
      <c r="D1" s="131"/>
      <c r="E1" s="131"/>
      <c r="F1" s="131"/>
      <c r="G1" s="131"/>
      <c r="H1" s="131"/>
      <c r="I1" s="131"/>
    </row>
    <row r="2" spans="1:9" x14ac:dyDescent="0.4">
      <c r="A2" s="130" t="s">
        <v>188</v>
      </c>
      <c r="B2" s="155" t="s">
        <v>187</v>
      </c>
      <c r="C2" s="155"/>
      <c r="D2" s="155"/>
      <c r="E2" s="155"/>
      <c r="F2" s="155"/>
      <c r="G2" s="155"/>
      <c r="H2" s="155"/>
      <c r="I2" s="155"/>
    </row>
    <row r="3" spans="1:9" x14ac:dyDescent="0.4">
      <c r="A3" s="152" t="s">
        <v>190</v>
      </c>
      <c r="B3" s="153" t="s">
        <v>186</v>
      </c>
      <c r="C3" s="154"/>
      <c r="D3" s="154"/>
      <c r="E3" s="154"/>
      <c r="F3" s="154"/>
      <c r="G3" s="154"/>
      <c r="H3" s="154"/>
      <c r="I3" s="154"/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2DE7-22F0-4EC3-B1FE-6D56A864C3CA}">
  <dimension ref="A1:N58"/>
  <sheetViews>
    <sheetView showGridLines="0" zoomScale="106" workbookViewId="0">
      <selection activeCell="N41" sqref="N41"/>
    </sheetView>
  </sheetViews>
  <sheetFormatPr defaultColWidth="8.73046875" defaultRowHeight="11.65" x14ac:dyDescent="0.35"/>
  <cols>
    <col min="1" max="1" width="21.33203125" style="1" bestFit="1" customWidth="1"/>
    <col min="2" max="2" width="11.33203125" style="1" bestFit="1" customWidth="1"/>
    <col min="3" max="6" width="8.9296875" style="1" bestFit="1" customWidth="1"/>
    <col min="7" max="7" width="8.73046875" style="1"/>
    <col min="8" max="8" width="27.73046875" style="1" customWidth="1"/>
    <col min="9" max="9" width="11.9296875" style="1" bestFit="1" customWidth="1"/>
    <col min="10" max="13" width="8.9296875" style="1" bestFit="1" customWidth="1"/>
    <col min="14" max="16384" width="8.73046875" style="1"/>
  </cols>
  <sheetData>
    <row r="1" spans="1:13" ht="15" x14ac:dyDescent="0.35">
      <c r="A1" s="137" t="s">
        <v>0</v>
      </c>
      <c r="B1" s="138"/>
      <c r="C1" s="138"/>
      <c r="D1" s="138"/>
      <c r="E1" s="138"/>
      <c r="F1" s="139"/>
      <c r="H1" s="137" t="s">
        <v>0</v>
      </c>
      <c r="I1" s="138"/>
      <c r="J1" s="138"/>
      <c r="K1" s="138"/>
      <c r="L1" s="138"/>
      <c r="M1" s="139"/>
    </row>
    <row r="2" spans="1:13" ht="34.5" customHeight="1" x14ac:dyDescent="0.35">
      <c r="A2" s="5" t="s">
        <v>1</v>
      </c>
      <c r="B2" s="132" t="s">
        <v>2</v>
      </c>
      <c r="C2" s="132"/>
      <c r="D2" s="132"/>
      <c r="E2" s="132"/>
      <c r="F2" s="133"/>
      <c r="H2" s="17" t="s">
        <v>39</v>
      </c>
      <c r="I2" s="134" t="s">
        <v>2</v>
      </c>
      <c r="J2" s="135"/>
      <c r="K2" s="135"/>
      <c r="L2" s="135"/>
      <c r="M2" s="136"/>
    </row>
    <row r="3" spans="1:13" x14ac:dyDescent="0.35">
      <c r="A3" s="6"/>
      <c r="B3" s="18" t="s">
        <v>3</v>
      </c>
      <c r="C3" s="18" t="s">
        <v>4</v>
      </c>
      <c r="D3" s="18" t="s">
        <v>5</v>
      </c>
      <c r="E3" s="18" t="s">
        <v>6</v>
      </c>
      <c r="F3" s="24" t="s">
        <v>7</v>
      </c>
      <c r="H3" s="8"/>
      <c r="I3" s="30" t="s">
        <v>40</v>
      </c>
      <c r="J3" s="35">
        <v>45352</v>
      </c>
      <c r="K3" s="35">
        <v>44986</v>
      </c>
      <c r="L3" s="36">
        <v>44621</v>
      </c>
      <c r="M3" s="39">
        <v>44256</v>
      </c>
    </row>
    <row r="4" spans="1:13" x14ac:dyDescent="0.35">
      <c r="A4" s="11"/>
      <c r="B4" s="11"/>
      <c r="C4" s="11"/>
      <c r="D4" s="11"/>
      <c r="E4" s="11"/>
      <c r="F4" s="12"/>
      <c r="H4" s="17"/>
      <c r="I4" s="29"/>
      <c r="J4" s="17"/>
      <c r="K4" s="17"/>
      <c r="L4" s="16"/>
      <c r="M4" s="16"/>
    </row>
    <row r="5" spans="1:13" x14ac:dyDescent="0.35">
      <c r="A5" s="7"/>
      <c r="B5" s="19" t="s">
        <v>8</v>
      </c>
      <c r="C5" s="19" t="s">
        <v>8</v>
      </c>
      <c r="D5" s="19" t="s">
        <v>8</v>
      </c>
      <c r="E5" s="19" t="s">
        <v>8</v>
      </c>
      <c r="F5" s="25" t="s">
        <v>8</v>
      </c>
      <c r="H5" s="7"/>
      <c r="I5" s="31" t="s">
        <v>8</v>
      </c>
      <c r="J5" s="19" t="s">
        <v>8</v>
      </c>
      <c r="K5" s="19" t="s">
        <v>8</v>
      </c>
      <c r="L5" s="25" t="s">
        <v>8</v>
      </c>
      <c r="M5" s="25" t="s">
        <v>8</v>
      </c>
    </row>
    <row r="6" spans="1:13" x14ac:dyDescent="0.35">
      <c r="A6" s="11"/>
      <c r="B6" s="11"/>
      <c r="C6" s="11"/>
      <c r="D6" s="11"/>
      <c r="E6" s="11"/>
      <c r="F6" s="12"/>
      <c r="H6" s="17"/>
      <c r="I6" s="29"/>
      <c r="J6" s="17"/>
      <c r="K6" s="17"/>
      <c r="L6" s="16"/>
      <c r="M6" s="16"/>
    </row>
    <row r="7" spans="1:13" x14ac:dyDescent="0.35">
      <c r="A7" s="8" t="s">
        <v>9</v>
      </c>
      <c r="B7" s="8"/>
      <c r="C7" s="22"/>
      <c r="D7" s="22"/>
      <c r="E7" s="22"/>
      <c r="F7" s="24"/>
      <c r="H7" s="8" t="s">
        <v>41</v>
      </c>
      <c r="I7" s="4"/>
      <c r="J7" s="22"/>
      <c r="K7" s="22"/>
      <c r="L7" s="24"/>
      <c r="M7" s="24"/>
    </row>
    <row r="8" spans="1:13" x14ac:dyDescent="0.35">
      <c r="A8" s="7" t="s">
        <v>10</v>
      </c>
      <c r="B8" s="20">
        <v>188138.06</v>
      </c>
      <c r="C8" s="20">
        <v>178500.88</v>
      </c>
      <c r="D8" s="20">
        <v>176206.93</v>
      </c>
      <c r="E8" s="20">
        <v>132669.28</v>
      </c>
      <c r="F8" s="26">
        <v>111531.15</v>
      </c>
      <c r="H8" s="8" t="s">
        <v>42</v>
      </c>
      <c r="I8" s="4"/>
      <c r="J8" s="22"/>
      <c r="K8" s="22"/>
      <c r="L8" s="24"/>
      <c r="M8" s="24"/>
    </row>
    <row r="9" spans="1:13" x14ac:dyDescent="0.35">
      <c r="A9" s="7" t="s">
        <v>11</v>
      </c>
      <c r="B9" s="20">
        <v>188138.06</v>
      </c>
      <c r="C9" s="20">
        <v>178500.88</v>
      </c>
      <c r="D9" s="20">
        <v>176206.93</v>
      </c>
      <c r="E9" s="20">
        <v>132669.28</v>
      </c>
      <c r="F9" s="26">
        <v>111531.15</v>
      </c>
      <c r="H9" s="7" t="s">
        <v>43</v>
      </c>
      <c r="I9" s="32">
        <v>9696.67</v>
      </c>
      <c r="J9" s="20">
        <v>9696.67</v>
      </c>
      <c r="K9" s="20">
        <v>9696.67</v>
      </c>
      <c r="L9" s="26">
        <v>9696.67</v>
      </c>
      <c r="M9" s="26">
        <v>9696.67</v>
      </c>
    </row>
    <row r="10" spans="1:13" x14ac:dyDescent="0.35">
      <c r="A10" s="7" t="s">
        <v>12</v>
      </c>
      <c r="B10" s="20">
        <v>6426.31</v>
      </c>
      <c r="C10" s="20">
        <v>3541.9</v>
      </c>
      <c r="D10" s="20">
        <v>1272.58</v>
      </c>
      <c r="E10" s="20">
        <v>3709.15</v>
      </c>
      <c r="F10" s="26">
        <v>4280.91</v>
      </c>
      <c r="H10" s="17" t="s">
        <v>44</v>
      </c>
      <c r="I10" s="33">
        <v>9696.67</v>
      </c>
      <c r="J10" s="37">
        <v>9696.67</v>
      </c>
      <c r="K10" s="37">
        <v>9696.67</v>
      </c>
      <c r="L10" s="38">
        <v>9696.67</v>
      </c>
      <c r="M10" s="38">
        <v>9696.67</v>
      </c>
    </row>
    <row r="11" spans="1:13" x14ac:dyDescent="0.35">
      <c r="A11" s="8" t="s">
        <v>13</v>
      </c>
      <c r="B11" s="21">
        <v>194564.37</v>
      </c>
      <c r="C11" s="21">
        <v>182042.78</v>
      </c>
      <c r="D11" s="21">
        <v>177479.51</v>
      </c>
      <c r="E11" s="21">
        <v>136378.43</v>
      </c>
      <c r="F11" s="27">
        <v>115812.06</v>
      </c>
      <c r="H11" s="7" t="s">
        <v>45</v>
      </c>
      <c r="I11" s="32">
        <v>174374.49</v>
      </c>
      <c r="J11" s="20">
        <v>151012.6</v>
      </c>
      <c r="K11" s="20">
        <v>137326.5</v>
      </c>
      <c r="L11" s="26">
        <v>125677.07</v>
      </c>
      <c r="M11" s="26">
        <v>116041.8</v>
      </c>
    </row>
    <row r="12" spans="1:13" x14ac:dyDescent="0.35">
      <c r="A12" s="8" t="s">
        <v>14</v>
      </c>
      <c r="B12" s="8"/>
      <c r="C12" s="22"/>
      <c r="D12" s="22"/>
      <c r="E12" s="22"/>
      <c r="F12" s="24"/>
      <c r="H12" s="17" t="s">
        <v>46</v>
      </c>
      <c r="I12" s="33">
        <v>174374.49</v>
      </c>
      <c r="J12" s="37">
        <v>151012.6</v>
      </c>
      <c r="K12" s="37">
        <v>137326.5</v>
      </c>
      <c r="L12" s="38">
        <v>125677.07</v>
      </c>
      <c r="M12" s="38">
        <v>116041.8</v>
      </c>
    </row>
    <row r="13" spans="1:13" x14ac:dyDescent="0.35">
      <c r="A13" s="7" t="s">
        <v>15</v>
      </c>
      <c r="B13" s="19">
        <v>0</v>
      </c>
      <c r="C13" s="19">
        <v>282.38</v>
      </c>
      <c r="D13" s="19">
        <v>251.96</v>
      </c>
      <c r="E13" s="19">
        <v>0</v>
      </c>
      <c r="F13" s="25">
        <v>99.49</v>
      </c>
      <c r="H13" s="17" t="s">
        <v>47</v>
      </c>
      <c r="I13" s="33">
        <v>184071.16</v>
      </c>
      <c r="J13" s="37">
        <v>160709.26999999999</v>
      </c>
      <c r="K13" s="37">
        <v>147023.17000000001</v>
      </c>
      <c r="L13" s="38">
        <v>135373.74</v>
      </c>
      <c r="M13" s="38">
        <v>125738.47</v>
      </c>
    </row>
    <row r="14" spans="1:13" x14ac:dyDescent="0.35">
      <c r="A14" s="7" t="s">
        <v>16</v>
      </c>
      <c r="B14" s="20">
        <v>101514.84</v>
      </c>
      <c r="C14" s="20">
        <v>105329.61</v>
      </c>
      <c r="D14" s="20">
        <v>110429.88</v>
      </c>
      <c r="E14" s="20">
        <v>75337.66</v>
      </c>
      <c r="F14" s="26">
        <v>62245.57</v>
      </c>
      <c r="H14" s="7" t="s">
        <v>30</v>
      </c>
      <c r="I14" s="32">
        <v>7051.52</v>
      </c>
      <c r="J14" s="20">
        <v>4413.01</v>
      </c>
      <c r="K14" s="20">
        <v>3930.45</v>
      </c>
      <c r="L14" s="26">
        <v>3760.41</v>
      </c>
      <c r="M14" s="26">
        <v>3523.71</v>
      </c>
    </row>
    <row r="15" spans="1:13" x14ac:dyDescent="0.35">
      <c r="A15" s="7" t="s">
        <v>17</v>
      </c>
      <c r="B15" s="20">
        <v>6796.13</v>
      </c>
      <c r="C15" s="20">
        <v>6592.03</v>
      </c>
      <c r="D15" s="20">
        <v>6528.34</v>
      </c>
      <c r="E15" s="20">
        <v>6310.09</v>
      </c>
      <c r="F15" s="26">
        <v>5953.93</v>
      </c>
      <c r="H15" s="8" t="s">
        <v>48</v>
      </c>
      <c r="I15" s="4"/>
      <c r="J15" s="22"/>
      <c r="K15" s="22"/>
      <c r="L15" s="24"/>
      <c r="M15" s="24"/>
    </row>
    <row r="16" spans="1:13" ht="19.25" customHeight="1" x14ac:dyDescent="0.35">
      <c r="A16" s="7" t="s">
        <v>18</v>
      </c>
      <c r="B16" s="19">
        <v>0</v>
      </c>
      <c r="C16" s="19">
        <v>85.78</v>
      </c>
      <c r="D16" s="19">
        <v>47.52</v>
      </c>
      <c r="E16" s="19">
        <v>0</v>
      </c>
      <c r="F16" s="25">
        <v>10.39</v>
      </c>
      <c r="H16" s="7" t="s">
        <v>49</v>
      </c>
      <c r="I16" s="32">
        <v>201053.88</v>
      </c>
      <c r="J16" s="20">
        <v>190214.97</v>
      </c>
      <c r="K16" s="20">
        <v>187883.57</v>
      </c>
      <c r="L16" s="26">
        <v>181871.19</v>
      </c>
      <c r="M16" s="26">
        <v>181271.91</v>
      </c>
    </row>
    <row r="17" spans="1:13" ht="19.25" customHeight="1" x14ac:dyDescent="0.35">
      <c r="A17" s="7" t="s">
        <v>19</v>
      </c>
      <c r="B17" s="20">
        <v>25699.52</v>
      </c>
      <c r="C17" s="20">
        <v>15118.37</v>
      </c>
      <c r="D17" s="20">
        <v>11220.32</v>
      </c>
      <c r="E17" s="20">
        <v>10741.97</v>
      </c>
      <c r="F17" s="26">
        <v>9247.94</v>
      </c>
      <c r="H17" s="7" t="s">
        <v>50</v>
      </c>
      <c r="I17" s="32">
        <v>18998.88</v>
      </c>
      <c r="J17" s="20">
        <v>15231.83</v>
      </c>
      <c r="K17" s="20">
        <v>12690</v>
      </c>
      <c r="L17" s="26">
        <v>10951.67</v>
      </c>
      <c r="M17" s="26">
        <v>9887.82</v>
      </c>
    </row>
    <row r="18" spans="1:13" x14ac:dyDescent="0.35">
      <c r="A18" s="7" t="s">
        <v>20</v>
      </c>
      <c r="B18" s="20">
        <v>134010.49</v>
      </c>
      <c r="C18" s="20">
        <v>127408.17</v>
      </c>
      <c r="D18" s="20">
        <v>128478.02</v>
      </c>
      <c r="E18" s="20">
        <v>92389.72</v>
      </c>
      <c r="F18" s="26">
        <v>77557.320000000007</v>
      </c>
      <c r="H18" s="7" t="s">
        <v>51</v>
      </c>
      <c r="I18" s="32">
        <v>6347.98</v>
      </c>
      <c r="J18" s="20">
        <v>5188.29</v>
      </c>
      <c r="K18" s="20">
        <v>5090.92</v>
      </c>
      <c r="L18" s="26">
        <v>4033.84</v>
      </c>
      <c r="M18" s="26">
        <v>4165.74</v>
      </c>
    </row>
    <row r="19" spans="1:13" x14ac:dyDescent="0.35">
      <c r="A19" s="8"/>
      <c r="B19" s="22" t="s">
        <v>3</v>
      </c>
      <c r="C19" s="22" t="s">
        <v>4</v>
      </c>
      <c r="D19" s="22" t="s">
        <v>5</v>
      </c>
      <c r="E19" s="22" t="s">
        <v>6</v>
      </c>
      <c r="F19" s="24" t="s">
        <v>7</v>
      </c>
      <c r="H19" s="7" t="s">
        <v>52</v>
      </c>
      <c r="I19" s="32">
        <v>2138.71</v>
      </c>
      <c r="J19" s="20">
        <v>2084.0300000000002</v>
      </c>
      <c r="K19" s="20">
        <v>1917.89</v>
      </c>
      <c r="L19" s="26">
        <v>1655.19</v>
      </c>
      <c r="M19" s="26">
        <v>1042.3900000000001</v>
      </c>
    </row>
    <row r="20" spans="1:13" x14ac:dyDescent="0.35">
      <c r="A20" s="11"/>
      <c r="B20" s="11"/>
      <c r="C20" s="11"/>
      <c r="D20" s="11"/>
      <c r="E20" s="11"/>
      <c r="F20" s="12"/>
      <c r="H20" s="17" t="s">
        <v>53</v>
      </c>
      <c r="I20" s="33">
        <v>228539.45</v>
      </c>
      <c r="J20" s="37">
        <v>212719.12</v>
      </c>
      <c r="K20" s="37">
        <v>207582.38</v>
      </c>
      <c r="L20" s="38">
        <v>198511.89</v>
      </c>
      <c r="M20" s="38">
        <v>196367.86</v>
      </c>
    </row>
    <row r="21" spans="1:13" x14ac:dyDescent="0.35">
      <c r="A21" s="7"/>
      <c r="B21" s="19" t="s">
        <v>8</v>
      </c>
      <c r="C21" s="19" t="s">
        <v>8</v>
      </c>
      <c r="D21" s="19" t="s">
        <v>8</v>
      </c>
      <c r="E21" s="19" t="s">
        <v>8</v>
      </c>
      <c r="F21" s="25" t="s">
        <v>8</v>
      </c>
      <c r="H21" s="8" t="s">
        <v>54</v>
      </c>
      <c r="I21" s="4"/>
      <c r="J21" s="22"/>
      <c r="K21" s="22"/>
      <c r="L21" s="24"/>
      <c r="M21" s="24"/>
    </row>
    <row r="22" spans="1:13" x14ac:dyDescent="0.35">
      <c r="A22" s="11"/>
      <c r="B22" s="11"/>
      <c r="C22" s="11"/>
      <c r="D22" s="11"/>
      <c r="E22" s="11"/>
      <c r="F22" s="12"/>
      <c r="H22" s="7" t="s">
        <v>55</v>
      </c>
      <c r="I22" s="32">
        <v>46521.24</v>
      </c>
      <c r="J22" s="20">
        <v>44825.33</v>
      </c>
      <c r="K22" s="20">
        <v>31921.61</v>
      </c>
      <c r="L22" s="26">
        <v>27684.07</v>
      </c>
      <c r="M22" s="26">
        <v>15964.62</v>
      </c>
    </row>
    <row r="23" spans="1:13" x14ac:dyDescent="0.35">
      <c r="A23" s="8" t="s">
        <v>21</v>
      </c>
      <c r="B23" s="21">
        <v>54127.57</v>
      </c>
      <c r="C23" s="21">
        <v>51092.71</v>
      </c>
      <c r="D23" s="21">
        <v>47728.91</v>
      </c>
      <c r="E23" s="21">
        <v>40279.56</v>
      </c>
      <c r="F23" s="27">
        <v>33973.83</v>
      </c>
      <c r="H23" s="7" t="s">
        <v>56</v>
      </c>
      <c r="I23" s="32">
        <v>11159.96</v>
      </c>
      <c r="J23" s="20">
        <v>11337.95</v>
      </c>
      <c r="K23" s="20">
        <v>13822.35</v>
      </c>
      <c r="L23" s="26">
        <v>11277.32</v>
      </c>
      <c r="M23" s="26">
        <v>8726.2800000000007</v>
      </c>
    </row>
    <row r="24" spans="1:13" x14ac:dyDescent="0.35">
      <c r="A24" s="7" t="s">
        <v>22</v>
      </c>
      <c r="B24" s="20">
        <v>60553.88</v>
      </c>
      <c r="C24" s="20">
        <v>54634.61</v>
      </c>
      <c r="D24" s="20">
        <v>49001.49</v>
      </c>
      <c r="E24" s="20">
        <v>43988.71</v>
      </c>
      <c r="F24" s="26">
        <v>38254.74</v>
      </c>
      <c r="H24" s="7" t="s">
        <v>57</v>
      </c>
      <c r="I24" s="32">
        <v>39104.519999999997</v>
      </c>
      <c r="J24" s="20">
        <v>39131.56</v>
      </c>
      <c r="K24" s="20">
        <v>33524.230000000003</v>
      </c>
      <c r="L24" s="26">
        <v>32033.61</v>
      </c>
      <c r="M24" s="26">
        <v>40531.67</v>
      </c>
    </row>
    <row r="25" spans="1:13" x14ac:dyDescent="0.35">
      <c r="A25" s="7" t="s">
        <v>23</v>
      </c>
      <c r="B25" s="20">
        <v>13168.07</v>
      </c>
      <c r="C25" s="20">
        <v>12048.21</v>
      </c>
      <c r="D25" s="20">
        <v>11156.06</v>
      </c>
      <c r="E25" s="20">
        <v>9315.98</v>
      </c>
      <c r="F25" s="26">
        <v>9224.14</v>
      </c>
      <c r="H25" s="7" t="s">
        <v>58</v>
      </c>
      <c r="I25" s="32">
        <v>7716.74</v>
      </c>
      <c r="J25" s="20">
        <v>7060.33</v>
      </c>
      <c r="K25" s="20">
        <v>8217.26</v>
      </c>
      <c r="L25" s="26">
        <v>7875.69</v>
      </c>
      <c r="M25" s="26">
        <v>8113.6</v>
      </c>
    </row>
    <row r="26" spans="1:13" x14ac:dyDescent="0.35">
      <c r="A26" s="7" t="s">
        <v>24</v>
      </c>
      <c r="B26" s="20">
        <v>47385.81</v>
      </c>
      <c r="C26" s="20">
        <v>42586.400000000001</v>
      </c>
      <c r="D26" s="20">
        <v>37845.43</v>
      </c>
      <c r="E26" s="20">
        <v>34672.730000000003</v>
      </c>
      <c r="F26" s="26">
        <v>29030.6</v>
      </c>
      <c r="H26" s="17" t="s">
        <v>59</v>
      </c>
      <c r="I26" s="33">
        <v>104502.46</v>
      </c>
      <c r="J26" s="37">
        <v>102355.17</v>
      </c>
      <c r="K26" s="37">
        <v>87485.45</v>
      </c>
      <c r="L26" s="38">
        <v>78870.69</v>
      </c>
      <c r="M26" s="38">
        <v>73336.17</v>
      </c>
    </row>
    <row r="27" spans="1:13" x14ac:dyDescent="0.35">
      <c r="A27" s="7" t="s">
        <v>25</v>
      </c>
      <c r="B27" s="20">
        <v>17401.189999999999</v>
      </c>
      <c r="C27" s="20">
        <v>16203.63</v>
      </c>
      <c r="D27" s="20">
        <v>14792.27</v>
      </c>
      <c r="E27" s="20">
        <v>13787.83</v>
      </c>
      <c r="F27" s="26">
        <v>12450.31</v>
      </c>
      <c r="H27" s="17" t="s">
        <v>60</v>
      </c>
      <c r="I27" s="33">
        <v>524164.59</v>
      </c>
      <c r="J27" s="37">
        <v>480196.57</v>
      </c>
      <c r="K27" s="37">
        <v>446021.45</v>
      </c>
      <c r="L27" s="38">
        <v>416516.73</v>
      </c>
      <c r="M27" s="38">
        <v>398966.21</v>
      </c>
    </row>
    <row r="28" spans="1:13" x14ac:dyDescent="0.35">
      <c r="A28" s="7" t="s">
        <v>26</v>
      </c>
      <c r="B28" s="20">
        <v>29984.62</v>
      </c>
      <c r="C28" s="20">
        <v>26382.77</v>
      </c>
      <c r="D28" s="20">
        <v>23053.16</v>
      </c>
      <c r="E28" s="20">
        <v>20884.900000000001</v>
      </c>
      <c r="F28" s="26">
        <v>16580.29</v>
      </c>
      <c r="H28" s="8" t="s">
        <v>61</v>
      </c>
      <c r="I28" s="4"/>
      <c r="J28" s="22"/>
      <c r="K28" s="22"/>
      <c r="L28" s="24"/>
      <c r="M28" s="24"/>
    </row>
    <row r="29" spans="1:13" ht="19.25" customHeight="1" x14ac:dyDescent="0.35">
      <c r="A29" s="7" t="s">
        <v>27</v>
      </c>
      <c r="B29" s="20">
        <v>29984.62</v>
      </c>
      <c r="C29" s="20">
        <v>26382.77</v>
      </c>
      <c r="D29" s="20">
        <v>23053.16</v>
      </c>
      <c r="E29" s="20">
        <v>20884.900000000001</v>
      </c>
      <c r="F29" s="26">
        <v>16580.29</v>
      </c>
      <c r="H29" s="8" t="s">
        <v>62</v>
      </c>
      <c r="I29" s="4"/>
      <c r="J29" s="22"/>
      <c r="K29" s="22"/>
      <c r="L29" s="24"/>
      <c r="M29" s="24"/>
    </row>
    <row r="30" spans="1:13" x14ac:dyDescent="0.35">
      <c r="A30" s="7" t="s">
        <v>28</v>
      </c>
      <c r="B30" s="20">
        <v>8245.18</v>
      </c>
      <c r="C30" s="20">
        <v>6809.2</v>
      </c>
      <c r="D30" s="20">
        <v>6796.12</v>
      </c>
      <c r="E30" s="20">
        <v>5047.1000000000004</v>
      </c>
      <c r="F30" s="26">
        <v>2420.5300000000002</v>
      </c>
      <c r="H30" s="7" t="s">
        <v>63</v>
      </c>
      <c r="I30" s="32">
        <v>271019.21000000002</v>
      </c>
      <c r="J30" s="20">
        <v>258423.86</v>
      </c>
      <c r="K30" s="20">
        <v>239882.5</v>
      </c>
      <c r="L30" s="26">
        <v>224343.75</v>
      </c>
      <c r="M30" s="26">
        <v>202598.05</v>
      </c>
    </row>
    <row r="31" spans="1:13" x14ac:dyDescent="0.35">
      <c r="A31" s="8" t="s">
        <v>29</v>
      </c>
      <c r="B31" s="21">
        <v>21739.439999999999</v>
      </c>
      <c r="C31" s="21">
        <v>19176.29</v>
      </c>
      <c r="D31" s="21">
        <v>16132.78</v>
      </c>
      <c r="E31" s="21">
        <v>15655.77</v>
      </c>
      <c r="F31" s="27">
        <v>13950.76</v>
      </c>
      <c r="H31" s="7" t="s">
        <v>64</v>
      </c>
      <c r="I31" s="31">
        <v>500.75</v>
      </c>
      <c r="J31" s="19">
        <v>509.77</v>
      </c>
      <c r="K31" s="19">
        <v>541.91999999999996</v>
      </c>
      <c r="L31" s="25">
        <v>579.27</v>
      </c>
      <c r="M31" s="25">
        <v>647.13</v>
      </c>
    </row>
    <row r="32" spans="1:13" x14ac:dyDescent="0.35">
      <c r="A32" s="7" t="s">
        <v>30</v>
      </c>
      <c r="B32" s="19">
        <v>530.69000000000005</v>
      </c>
      <c r="C32" s="19">
        <v>0</v>
      </c>
      <c r="D32" s="19">
        <v>0</v>
      </c>
      <c r="E32" s="19">
        <v>0</v>
      </c>
      <c r="F32" s="25">
        <v>0</v>
      </c>
      <c r="H32" s="7" t="s">
        <v>65</v>
      </c>
      <c r="I32" s="32">
        <v>100775.9</v>
      </c>
      <c r="J32" s="20">
        <v>87592.8</v>
      </c>
      <c r="K32" s="20">
        <v>89133.119999999995</v>
      </c>
      <c r="L32" s="26">
        <v>91025.21</v>
      </c>
      <c r="M32" s="26">
        <v>97404.160000000003</v>
      </c>
    </row>
    <row r="33" spans="1:14" ht="17.45" customHeight="1" x14ac:dyDescent="0.35">
      <c r="A33" s="7" t="s">
        <v>31</v>
      </c>
      <c r="B33" s="20">
        <v>-2213.71</v>
      </c>
      <c r="C33" s="20">
        <v>-1635.6</v>
      </c>
      <c r="D33" s="19">
        <v>-779.77</v>
      </c>
      <c r="E33" s="20">
        <v>-1020.13</v>
      </c>
      <c r="F33" s="25">
        <v>-683.87</v>
      </c>
      <c r="H33" s="7" t="s">
        <v>66</v>
      </c>
      <c r="I33" s="31">
        <v>0</v>
      </c>
      <c r="J33" s="19">
        <v>71.650000000000006</v>
      </c>
      <c r="K33" s="19">
        <v>45.88</v>
      </c>
      <c r="L33" s="25">
        <v>101.05</v>
      </c>
      <c r="M33" s="25">
        <v>101.87</v>
      </c>
    </row>
    <row r="34" spans="1:14" ht="24.7" customHeight="1" x14ac:dyDescent="0.35">
      <c r="A34" s="7" t="s">
        <v>32</v>
      </c>
      <c r="B34" s="20">
        <v>19720.54</v>
      </c>
      <c r="C34" s="20">
        <v>20332.25</v>
      </c>
      <c r="D34" s="20">
        <v>17534.47</v>
      </c>
      <c r="E34" s="20">
        <v>15473.81</v>
      </c>
      <c r="F34" s="26">
        <v>14578.4</v>
      </c>
      <c r="H34" s="17" t="s">
        <v>67</v>
      </c>
      <c r="I34" s="33">
        <v>372295.86</v>
      </c>
      <c r="J34" s="37">
        <v>346598.08</v>
      </c>
      <c r="K34" s="37">
        <v>329603.42</v>
      </c>
      <c r="L34" s="38">
        <v>316049.28000000003</v>
      </c>
      <c r="M34" s="38">
        <v>300751.21000000002</v>
      </c>
    </row>
    <row r="35" spans="1:14" x14ac:dyDescent="0.35">
      <c r="A35" s="7" t="s">
        <v>33</v>
      </c>
      <c r="B35" s="20">
        <v>134010.49</v>
      </c>
      <c r="C35" s="20">
        <v>127125.79</v>
      </c>
      <c r="D35" s="20">
        <v>128226.06</v>
      </c>
      <c r="E35" s="20">
        <v>92389.72</v>
      </c>
      <c r="F35" s="26">
        <v>77457.83</v>
      </c>
      <c r="H35" s="7" t="s">
        <v>68</v>
      </c>
      <c r="I35" s="32">
        <v>19653.580000000002</v>
      </c>
      <c r="J35" s="20">
        <v>15834.56</v>
      </c>
      <c r="K35" s="20">
        <v>13884.79</v>
      </c>
      <c r="L35" s="26">
        <v>10626.24</v>
      </c>
      <c r="M35" s="26">
        <v>10089.26</v>
      </c>
    </row>
    <row r="36" spans="1:14" x14ac:dyDescent="0.35">
      <c r="A36" s="7" t="s">
        <v>34</v>
      </c>
      <c r="B36" s="19">
        <v>0</v>
      </c>
      <c r="C36" s="20">
        <v>7272.5</v>
      </c>
      <c r="D36" s="20">
        <v>4121.08</v>
      </c>
      <c r="E36" s="20">
        <v>3878.67</v>
      </c>
      <c r="F36" s="26">
        <v>5531.06</v>
      </c>
      <c r="H36" s="7" t="s">
        <v>69</v>
      </c>
      <c r="I36" s="31">
        <v>944.33</v>
      </c>
      <c r="J36" s="20">
        <v>1169.9000000000001</v>
      </c>
      <c r="K36" s="19">
        <v>937.85</v>
      </c>
      <c r="L36" s="25">
        <v>995.7</v>
      </c>
      <c r="M36" s="26">
        <v>1075.8900000000001</v>
      </c>
    </row>
    <row r="37" spans="1:14" ht="19.25" customHeight="1" x14ac:dyDescent="0.35">
      <c r="A37" s="8" t="s">
        <v>35</v>
      </c>
      <c r="B37" s="8"/>
      <c r="C37" s="22"/>
      <c r="D37" s="22"/>
      <c r="E37" s="22"/>
      <c r="F37" s="24"/>
      <c r="H37" s="7" t="s">
        <v>70</v>
      </c>
      <c r="I37" s="31">
        <v>823.07</v>
      </c>
      <c r="J37" s="19">
        <v>570.19000000000005</v>
      </c>
      <c r="K37" s="19">
        <v>553.77</v>
      </c>
      <c r="L37" s="25">
        <v>559.80999999999995</v>
      </c>
      <c r="M37" s="25">
        <v>554.97</v>
      </c>
    </row>
    <row r="38" spans="1:14" ht="19.25" customHeight="1" x14ac:dyDescent="0.35">
      <c r="A38" s="7" t="s">
        <v>36</v>
      </c>
      <c r="B38" s="20">
        <v>96966.7</v>
      </c>
      <c r="C38" s="20">
        <v>96966.66</v>
      </c>
      <c r="D38" s="20">
        <v>96966.66</v>
      </c>
      <c r="E38" s="20">
        <v>96966.66</v>
      </c>
      <c r="F38" s="26">
        <v>96966.66</v>
      </c>
      <c r="H38" s="7" t="s">
        <v>71</v>
      </c>
      <c r="I38" s="32">
        <v>18665.25</v>
      </c>
      <c r="J38" s="20">
        <v>18014.509999999998</v>
      </c>
      <c r="K38" s="20">
        <v>19873.29</v>
      </c>
      <c r="L38" s="26">
        <v>16891.84</v>
      </c>
      <c r="M38" s="26">
        <v>18124.349999999999</v>
      </c>
    </row>
    <row r="39" spans="1:14" ht="19.25" customHeight="1" x14ac:dyDescent="0.35">
      <c r="A39" s="8" t="s">
        <v>37</v>
      </c>
      <c r="B39" s="22" t="s">
        <v>177</v>
      </c>
      <c r="C39" s="22">
        <v>19.78</v>
      </c>
      <c r="D39" s="22">
        <v>16.64</v>
      </c>
      <c r="E39" s="22">
        <v>16.149999999999999</v>
      </c>
      <c r="F39" s="24">
        <v>14.39</v>
      </c>
      <c r="H39" s="17" t="s">
        <v>72</v>
      </c>
      <c r="I39" s="33">
        <v>412382.09</v>
      </c>
      <c r="J39" s="37">
        <v>382187.24</v>
      </c>
      <c r="K39" s="37">
        <v>364853.12</v>
      </c>
      <c r="L39" s="38">
        <v>345122.87</v>
      </c>
      <c r="M39" s="38">
        <v>330595.68</v>
      </c>
    </row>
    <row r="40" spans="1:14" x14ac:dyDescent="0.35">
      <c r="A40" s="10" t="s">
        <v>38</v>
      </c>
      <c r="B40" s="23">
        <v>189.83</v>
      </c>
      <c r="C40" s="23">
        <v>165.74</v>
      </c>
      <c r="D40" s="23">
        <v>151.62</v>
      </c>
      <c r="E40" s="23">
        <v>139.61000000000001</v>
      </c>
      <c r="F40" s="28">
        <v>129.66999999999999</v>
      </c>
      <c r="H40" s="8" t="s">
        <v>73</v>
      </c>
      <c r="I40" s="4"/>
      <c r="J40" s="22"/>
      <c r="K40" s="22"/>
      <c r="L40" s="24"/>
      <c r="M40" s="24"/>
    </row>
    <row r="41" spans="1:14" x14ac:dyDescent="0.35">
      <c r="H41" s="7" t="s">
        <v>74</v>
      </c>
      <c r="I41" s="31">
        <v>50</v>
      </c>
      <c r="J41" s="19">
        <v>50</v>
      </c>
      <c r="K41" s="19">
        <v>50</v>
      </c>
      <c r="L41" s="25">
        <v>0</v>
      </c>
      <c r="M41" s="25">
        <v>499.99</v>
      </c>
      <c r="N41" s="74">
        <v>43891</v>
      </c>
    </row>
    <row r="42" spans="1:14" x14ac:dyDescent="0.35">
      <c r="H42" s="7" t="s">
        <v>75</v>
      </c>
      <c r="I42" s="32">
        <v>18722.259999999998</v>
      </c>
      <c r="J42" s="20">
        <v>18019.12</v>
      </c>
      <c r="K42" s="20">
        <v>14240.37</v>
      </c>
      <c r="L42" s="26">
        <v>10139.290000000001</v>
      </c>
      <c r="M42" s="26">
        <v>9809.6</v>
      </c>
      <c r="N42" s="73">
        <v>10731.86</v>
      </c>
    </row>
    <row r="43" spans="1:14" x14ac:dyDescent="0.35">
      <c r="H43" s="7" t="s">
        <v>76</v>
      </c>
      <c r="I43" s="32">
        <v>34720.300000000003</v>
      </c>
      <c r="J43" s="20">
        <v>33349.68</v>
      </c>
      <c r="K43" s="20">
        <v>28825.22</v>
      </c>
      <c r="L43" s="26">
        <v>27342.080000000002</v>
      </c>
      <c r="M43" s="26">
        <v>17718.07</v>
      </c>
      <c r="N43" s="73">
        <v>15668.11</v>
      </c>
    </row>
    <row r="44" spans="1:14" x14ac:dyDescent="0.35">
      <c r="H44" s="7" t="s">
        <v>77</v>
      </c>
      <c r="I44" s="32">
        <v>11457.1</v>
      </c>
      <c r="J44" s="20">
        <v>6847.34</v>
      </c>
      <c r="K44" s="20">
        <v>4948.53</v>
      </c>
      <c r="L44" s="26">
        <v>4458.08</v>
      </c>
      <c r="M44" s="26">
        <v>4387.8</v>
      </c>
    </row>
    <row r="45" spans="1:14" x14ac:dyDescent="0.35">
      <c r="H45" s="7" t="s">
        <v>78</v>
      </c>
      <c r="I45" s="31">
        <v>297.86</v>
      </c>
      <c r="J45" s="19">
        <v>271.12</v>
      </c>
      <c r="K45" s="19">
        <v>268.77999999999997</v>
      </c>
      <c r="L45" s="25">
        <v>270.37</v>
      </c>
      <c r="M45" s="25">
        <v>259.13</v>
      </c>
    </row>
    <row r="46" spans="1:14" x14ac:dyDescent="0.35">
      <c r="H46" s="7" t="s">
        <v>79</v>
      </c>
      <c r="I46" s="32">
        <v>46534.98</v>
      </c>
      <c r="J46" s="20">
        <v>39472.07</v>
      </c>
      <c r="K46" s="20">
        <v>32835.43</v>
      </c>
      <c r="L46" s="26">
        <v>29184.04</v>
      </c>
      <c r="M46" s="26">
        <v>35695.94</v>
      </c>
    </row>
    <row r="47" spans="1:14" x14ac:dyDescent="0.35">
      <c r="H47" s="17" t="s">
        <v>80</v>
      </c>
      <c r="I47" s="33">
        <v>111782.5</v>
      </c>
      <c r="J47" s="37">
        <v>98009.33</v>
      </c>
      <c r="K47" s="37">
        <v>81168.33</v>
      </c>
      <c r="L47" s="38">
        <v>71393.86</v>
      </c>
      <c r="M47" s="38">
        <v>68370.53</v>
      </c>
    </row>
    <row r="48" spans="1:14" x14ac:dyDescent="0.35">
      <c r="H48" s="17" t="s">
        <v>81</v>
      </c>
      <c r="I48" s="33">
        <v>524164.59</v>
      </c>
      <c r="J48" s="37">
        <v>480196.57</v>
      </c>
      <c r="K48" s="37">
        <v>446021.45</v>
      </c>
      <c r="L48" s="38">
        <v>416516.73</v>
      </c>
      <c r="M48" s="38">
        <v>398966.21</v>
      </c>
    </row>
    <row r="49" spans="8:13" ht="19.25" customHeight="1" x14ac:dyDescent="0.35">
      <c r="H49" s="8" t="s">
        <v>82</v>
      </c>
      <c r="I49" s="4"/>
      <c r="J49" s="22"/>
      <c r="K49" s="22"/>
      <c r="L49" s="24"/>
      <c r="M49" s="24"/>
    </row>
    <row r="50" spans="8:13" ht="19.25" customHeight="1" x14ac:dyDescent="0.35">
      <c r="H50" s="8" t="s">
        <v>83</v>
      </c>
      <c r="I50" s="4"/>
      <c r="J50" s="22"/>
      <c r="K50" s="22"/>
      <c r="L50" s="24"/>
      <c r="M50" s="24"/>
    </row>
    <row r="51" spans="8:13" x14ac:dyDescent="0.35">
      <c r="H51" s="7" t="s">
        <v>84</v>
      </c>
      <c r="I51" s="31">
        <v>0</v>
      </c>
      <c r="J51" s="20">
        <v>427806.67</v>
      </c>
      <c r="K51" s="20">
        <v>389024.57</v>
      </c>
      <c r="L51" s="26">
        <v>101896.02</v>
      </c>
      <c r="M51" s="26">
        <v>126940.73</v>
      </c>
    </row>
    <row r="52" spans="8:13" x14ac:dyDescent="0.35">
      <c r="H52" s="8" t="s">
        <v>85</v>
      </c>
      <c r="I52" s="4"/>
      <c r="J52" s="22"/>
      <c r="K52" s="22"/>
      <c r="L52" s="24"/>
      <c r="M52" s="24"/>
    </row>
    <row r="53" spans="8:13" x14ac:dyDescent="0.35">
      <c r="H53" s="7" t="s">
        <v>86</v>
      </c>
      <c r="I53" s="31">
        <v>0</v>
      </c>
      <c r="J53" s="20">
        <v>1616.11</v>
      </c>
      <c r="K53" s="20">
        <v>1616.11</v>
      </c>
      <c r="L53" s="26">
        <v>1616.11</v>
      </c>
      <c r="M53" s="26">
        <v>1616.11</v>
      </c>
    </row>
    <row r="54" spans="8:13" ht="19.25" customHeight="1" x14ac:dyDescent="0.35">
      <c r="H54" s="8" t="s">
        <v>87</v>
      </c>
      <c r="I54" s="4"/>
      <c r="J54" s="22"/>
      <c r="K54" s="22"/>
      <c r="L54" s="24"/>
      <c r="M54" s="24"/>
    </row>
    <row r="55" spans="8:13" ht="23.25" x14ac:dyDescent="0.35">
      <c r="H55" s="7" t="s">
        <v>88</v>
      </c>
      <c r="I55" s="31">
        <v>0</v>
      </c>
      <c r="J55" s="19">
        <v>0</v>
      </c>
      <c r="K55" s="19">
        <v>0</v>
      </c>
      <c r="L55" s="25">
        <v>98.7</v>
      </c>
      <c r="M55" s="25">
        <v>93.3</v>
      </c>
    </row>
    <row r="56" spans="8:13" ht="23.25" x14ac:dyDescent="0.35">
      <c r="H56" s="7" t="s">
        <v>89</v>
      </c>
      <c r="I56" s="31">
        <v>0</v>
      </c>
      <c r="J56" s="19">
        <v>0</v>
      </c>
      <c r="K56" s="19">
        <v>0</v>
      </c>
      <c r="L56" s="25">
        <v>5.4</v>
      </c>
      <c r="M56" s="25">
        <v>3.78</v>
      </c>
    </row>
    <row r="57" spans="8:13" x14ac:dyDescent="0.35">
      <c r="H57" s="8" t="s">
        <v>90</v>
      </c>
      <c r="I57" s="4"/>
      <c r="J57" s="22"/>
      <c r="K57" s="22"/>
      <c r="L57" s="24"/>
      <c r="M57" s="24"/>
    </row>
    <row r="58" spans="8:13" ht="23.25" x14ac:dyDescent="0.35">
      <c r="H58" s="10" t="s">
        <v>91</v>
      </c>
      <c r="I58" s="34">
        <v>0</v>
      </c>
      <c r="J58" s="23">
        <v>0</v>
      </c>
      <c r="K58" s="23">
        <v>0</v>
      </c>
      <c r="L58" s="28">
        <v>0</v>
      </c>
      <c r="M58" s="28">
        <v>499.99</v>
      </c>
    </row>
  </sheetData>
  <mergeCells count="4">
    <mergeCell ref="B2:F2"/>
    <mergeCell ref="I2:M2"/>
    <mergeCell ref="A1:F1"/>
    <mergeCell ref="H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251A-0FC6-4DE5-A4AF-60F23F852517}">
  <sheetPr>
    <tabColor rgb="FF0070C0"/>
  </sheetPr>
  <dimension ref="A1:H40"/>
  <sheetViews>
    <sheetView showGridLines="0" zoomScale="96" zoomScaleNormal="96" workbookViewId="0">
      <pane ySplit="2" topLeftCell="A3" activePane="bottomLeft" state="frozen"/>
      <selection pane="bottomLeft" activeCell="H4" sqref="H4"/>
    </sheetView>
  </sheetViews>
  <sheetFormatPr defaultColWidth="8.73046875" defaultRowHeight="13.15" x14ac:dyDescent="0.4"/>
  <cols>
    <col min="1" max="1" width="22.59765625" style="2" bestFit="1" customWidth="1"/>
    <col min="2" max="2" width="54.73046875" style="2" bestFit="1" customWidth="1"/>
    <col min="3" max="3" width="11.9296875" style="2" bestFit="1" customWidth="1"/>
    <col min="4" max="16384" width="8.73046875" style="2"/>
  </cols>
  <sheetData>
    <row r="1" spans="1:8" ht="15" x14ac:dyDescent="0.4">
      <c r="A1" s="140" t="s">
        <v>101</v>
      </c>
      <c r="B1" s="140"/>
      <c r="C1" s="140"/>
      <c r="D1" s="140"/>
      <c r="E1" s="140"/>
      <c r="F1" s="140"/>
      <c r="G1" s="140"/>
    </row>
    <row r="2" spans="1:8" x14ac:dyDescent="0.4">
      <c r="A2" s="14" t="s">
        <v>102</v>
      </c>
      <c r="B2" s="14" t="s">
        <v>114</v>
      </c>
      <c r="C2" s="14">
        <v>2025</v>
      </c>
      <c r="D2" s="14">
        <v>2024</v>
      </c>
      <c r="E2" s="14">
        <v>2023</v>
      </c>
      <c r="F2" s="14">
        <v>2022</v>
      </c>
      <c r="G2" s="14">
        <v>2021</v>
      </c>
    </row>
    <row r="3" spans="1:8" x14ac:dyDescent="0.4">
      <c r="A3" s="141" t="s">
        <v>167</v>
      </c>
      <c r="B3" s="141"/>
      <c r="C3" s="141"/>
      <c r="D3" s="141"/>
      <c r="E3" s="141"/>
      <c r="F3" s="141"/>
      <c r="G3" s="141"/>
    </row>
    <row r="4" spans="1:8" x14ac:dyDescent="0.4">
      <c r="A4" s="13" t="s">
        <v>168</v>
      </c>
      <c r="B4" s="13" t="s">
        <v>170</v>
      </c>
      <c r="C4" s="64">
        <f>NTPC!I47/NTPC!I26</f>
        <v>1.0696638146125936</v>
      </c>
      <c r="D4" s="64">
        <f>NTPC!J47/NTPC!J26</f>
        <v>0.95754156824711445</v>
      </c>
      <c r="E4" s="64">
        <f>NTPC!K47/NTPC!K26</f>
        <v>0.9277923357541169</v>
      </c>
      <c r="F4" s="64">
        <f>NTPC!L47/NTPC!L26</f>
        <v>0.90520141259065945</v>
      </c>
      <c r="G4" s="64">
        <f>NTPC!M47/NTPC!M26</f>
        <v>0.93228934644391714</v>
      </c>
    </row>
    <row r="5" spans="1:8" x14ac:dyDescent="0.4">
      <c r="A5" s="13" t="s">
        <v>169</v>
      </c>
      <c r="B5" s="13" t="s">
        <v>171</v>
      </c>
      <c r="C5" s="64">
        <f>(NTPC!I47-NTPC!I42)/NTPC!I26</f>
        <v>0.8905076492936147</v>
      </c>
      <c r="D5" s="64">
        <f>(NTPC!J47-NTPC!J42)/NTPC!J26</f>
        <v>0.78149652821640581</v>
      </c>
      <c r="E5" s="64">
        <f>(NTPC!K47-NTPC!K42)/NTPC!K26</f>
        <v>0.76501818302357716</v>
      </c>
      <c r="F5" s="64">
        <f>(NTPC!L47-NTPC!L42)/NTPC!L26</f>
        <v>0.77664554475179559</v>
      </c>
      <c r="G5" s="64">
        <f>(NTPC!M47-NTPC!M42)/NTPC!M26</f>
        <v>0.7985272478778207</v>
      </c>
    </row>
    <row r="6" spans="1:8" x14ac:dyDescent="0.4">
      <c r="A6" s="141" t="s">
        <v>103</v>
      </c>
      <c r="B6" s="141"/>
      <c r="C6" s="141"/>
      <c r="D6" s="141"/>
      <c r="E6" s="141"/>
      <c r="F6" s="141"/>
      <c r="G6" s="141"/>
    </row>
    <row r="7" spans="1:8" x14ac:dyDescent="0.4">
      <c r="A7" s="3" t="s">
        <v>104</v>
      </c>
      <c r="B7" s="3" t="s">
        <v>112</v>
      </c>
      <c r="C7" s="3">
        <f>NTPC!I16/NTPC!I13</f>
        <v>1.092261710090815</v>
      </c>
      <c r="D7" s="3">
        <f>NTPC!J16/NTPC!J13</f>
        <v>1.1835967520728581</v>
      </c>
      <c r="E7" s="3">
        <f>NTPC!K16/NTPC!K13</f>
        <v>1.2779180995757335</v>
      </c>
      <c r="F7" s="3">
        <f>NTPC!L16/NTPC!L13</f>
        <v>1.3434746650273532</v>
      </c>
      <c r="G7" s="3">
        <f>NTPC!M16/NTPC!M13</f>
        <v>1.4416583087101347</v>
      </c>
    </row>
    <row r="8" spans="1:8" x14ac:dyDescent="0.4">
      <c r="A8" s="3" t="s">
        <v>107</v>
      </c>
      <c r="B8" s="3" t="s">
        <v>113</v>
      </c>
      <c r="C8" s="3">
        <f>(NTPC!I16+NTPC!I22)/NTPC!I48</f>
        <v>0.47232324488000987</v>
      </c>
      <c r="D8" s="3">
        <f>(NTPC!J16+NTPC!J22)/NTPC!J48</f>
        <v>0.48946684479649655</v>
      </c>
      <c r="E8" s="3">
        <f>(NTPC!K16+NTPC!K22)/NTPC!K48</f>
        <v>0.49281302502379648</v>
      </c>
      <c r="F8" s="3">
        <f>(NTPC!L16+NTPC!L22)/NTPC!L48</f>
        <v>0.50311366844736349</v>
      </c>
      <c r="G8" s="3">
        <f>(NTPC!M16+NTPC!M22)/NTPC!M48</f>
        <v>0.49436900934542799</v>
      </c>
    </row>
    <row r="9" spans="1:8" x14ac:dyDescent="0.4">
      <c r="A9" s="3" t="s">
        <v>105</v>
      </c>
      <c r="B9" s="3" t="s">
        <v>116</v>
      </c>
      <c r="C9" s="3">
        <f>NTPC!I13/NTPC!I48</f>
        <v>0.3511705359570359</v>
      </c>
      <c r="D9" s="3">
        <f>NTPC!J13/NTPC!J48</f>
        <v>0.33467392322273354</v>
      </c>
      <c r="E9" s="3">
        <f>NTPC!K13/NTPC!K48</f>
        <v>0.32963250982660142</v>
      </c>
      <c r="F9" s="3">
        <f>NTPC!L13/NTPC!L48</f>
        <v>0.32501393161326314</v>
      </c>
      <c r="G9" s="3">
        <f>NTPC!M13/NTPC!M48</f>
        <v>0.31516069995000329</v>
      </c>
    </row>
    <row r="10" spans="1:8" x14ac:dyDescent="0.4">
      <c r="A10" s="3" t="s">
        <v>106</v>
      </c>
      <c r="B10" s="3" t="s">
        <v>115</v>
      </c>
      <c r="C10" s="3">
        <f>NTPC!B23/NTPC!B25</f>
        <v>4.1105165753219719</v>
      </c>
      <c r="D10" s="3">
        <f>NTPC!C23/NTPC!C25</f>
        <v>4.2406888658149224</v>
      </c>
      <c r="E10" s="3">
        <f>NTPC!D23/NTPC!D25</f>
        <v>4.2782944874803475</v>
      </c>
      <c r="F10" s="3">
        <f>NTPC!E23/NTPC!E25</f>
        <v>4.3237061479307597</v>
      </c>
      <c r="G10" s="3">
        <f>NTPC!F23/NTPC!F25</f>
        <v>3.6831433607902748</v>
      </c>
    </row>
    <row r="11" spans="1:8" x14ac:dyDescent="0.4">
      <c r="A11" s="141" t="s">
        <v>162</v>
      </c>
      <c r="B11" s="141"/>
      <c r="C11" s="141"/>
      <c r="D11" s="141"/>
      <c r="E11" s="141"/>
      <c r="F11" s="141"/>
      <c r="G11" s="141"/>
    </row>
    <row r="12" spans="1:8" x14ac:dyDescent="0.4">
      <c r="A12" s="3" t="s">
        <v>108</v>
      </c>
      <c r="B12" s="3" t="s">
        <v>117</v>
      </c>
      <c r="C12" s="78">
        <f>(NTPC!B9-107030)/NTPC!B9</f>
        <v>0.43110926093316793</v>
      </c>
      <c r="D12" s="78">
        <f>(NTPC!C9-104030)/NTPC!C9</f>
        <v>0.41720175273085491</v>
      </c>
      <c r="E12" s="78">
        <f>(NTPC!D9-106010)/NTPC!D9</f>
        <v>0.39837780500460451</v>
      </c>
      <c r="F12" s="78">
        <f>(NTPC!E9-75360)/NTPC!E9</f>
        <v>0.43197098831017999</v>
      </c>
      <c r="G12" s="78">
        <f>(NTPC!F9-74450)/NTPC!F9</f>
        <v>0.33247348386526987</v>
      </c>
      <c r="H12" s="80" t="s">
        <v>178</v>
      </c>
    </row>
    <row r="13" spans="1:8" x14ac:dyDescent="0.4">
      <c r="A13" s="3" t="s">
        <v>109</v>
      </c>
      <c r="B13" s="3" t="s">
        <v>118</v>
      </c>
      <c r="C13" s="65">
        <f>NTPC!B23/NTPC!B9</f>
        <v>0.28770132954490973</v>
      </c>
      <c r="D13" s="65">
        <f>NTPC!C23/NTPC!C9</f>
        <v>0.28623225835077115</v>
      </c>
      <c r="E13" s="65">
        <f>NTPC!D23/NTPC!D9</f>
        <v>0.27086851805431267</v>
      </c>
      <c r="F13" s="65">
        <f>NTPC!E23/NTPC!E9</f>
        <v>0.30360879323382173</v>
      </c>
      <c r="G13" s="65">
        <f>NTPC!F23/NTPC!F9</f>
        <v>0.30461292652321798</v>
      </c>
    </row>
    <row r="14" spans="1:8" x14ac:dyDescent="0.4">
      <c r="A14" s="3" t="s">
        <v>110</v>
      </c>
      <c r="B14" s="3" t="s">
        <v>119</v>
      </c>
      <c r="C14" s="65">
        <f>NTPC!B31/NTPC!B9</f>
        <v>0.11555046331401525</v>
      </c>
      <c r="D14" s="65">
        <f>NTPC!C31/NTPC!C9</f>
        <v>0.107429666453185</v>
      </c>
      <c r="E14" s="65">
        <f>NTPC!D31/NTPC!D9</f>
        <v>9.1555876945361922E-2</v>
      </c>
      <c r="F14" s="65">
        <f>NTPC!E31/NTPC!E9</f>
        <v>0.11800599204276982</v>
      </c>
      <c r="G14" s="65">
        <f>NTPC!F31/NTPC!F9</f>
        <v>0.12508397878081595</v>
      </c>
    </row>
    <row r="15" spans="1:8" x14ac:dyDescent="0.4">
      <c r="A15" s="3" t="s">
        <v>120</v>
      </c>
      <c r="B15" s="3" t="s">
        <v>121</v>
      </c>
      <c r="C15" s="66">
        <f>NTPC!B16/NTPC!B9</f>
        <v>0</v>
      </c>
      <c r="D15" s="66">
        <f>NTPC!C16/NTPC!C9</f>
        <v>4.8055785495287195E-4</v>
      </c>
      <c r="E15" s="66">
        <f>NTPC!D16/NTPC!D9</f>
        <v>2.6968292336742943E-4</v>
      </c>
      <c r="F15" s="66">
        <f>NTPC!E16/NTPC!E9</f>
        <v>0</v>
      </c>
      <c r="G15" s="66">
        <f>NTPC!F16/NTPC!F9</f>
        <v>9.3157830794356558E-5</v>
      </c>
    </row>
    <row r="16" spans="1:8" x14ac:dyDescent="0.4">
      <c r="A16" s="3" t="s">
        <v>111</v>
      </c>
      <c r="B16" s="3" t="s">
        <v>122</v>
      </c>
      <c r="C16" s="66">
        <f>NTPC!B16/NTPC!B9</f>
        <v>0</v>
      </c>
      <c r="D16" s="66">
        <f>NTPC!C16/NTPC!C9</f>
        <v>4.8055785495287195E-4</v>
      </c>
      <c r="E16" s="66">
        <f>NTPC!D16/NTPC!D9</f>
        <v>2.6968292336742943E-4</v>
      </c>
      <c r="F16" s="66">
        <f>NTPC!E16/NTPC!E9</f>
        <v>0</v>
      </c>
      <c r="G16" s="66">
        <f>NTPC!F16/NTPC!F9</f>
        <v>9.3157830794356558E-5</v>
      </c>
    </row>
    <row r="17" spans="1:8" x14ac:dyDescent="0.4">
      <c r="A17" s="3" t="s">
        <v>123</v>
      </c>
      <c r="B17" s="3" t="s">
        <v>125</v>
      </c>
      <c r="C17" s="66">
        <f>NTPC!B16/NTPC!B9</f>
        <v>0</v>
      </c>
      <c r="D17" s="66">
        <f>NTPC!C16/NTPC!C9</f>
        <v>4.8055785495287195E-4</v>
      </c>
      <c r="E17" s="66">
        <f>NTPC!D16/NTPC!D9</f>
        <v>2.6968292336742943E-4</v>
      </c>
      <c r="F17" s="66">
        <f>NTPC!E16/NTPC!E9</f>
        <v>0</v>
      </c>
      <c r="G17" s="66">
        <f>NTPC!F16/NTPC!F9</f>
        <v>9.3157830794356558E-5</v>
      </c>
    </row>
    <row r="18" spans="1:8" x14ac:dyDescent="0.4">
      <c r="A18" s="3" t="s">
        <v>124</v>
      </c>
      <c r="B18" s="3" t="s">
        <v>126</v>
      </c>
      <c r="C18" s="78">
        <f>(107030+NTPC!B16)/NTPC!B9</f>
        <v>0.56889073906683207</v>
      </c>
      <c r="D18" s="78">
        <f>(104030+NTPC!C16)/NTPC!C9</f>
        <v>0.58327880512409802</v>
      </c>
      <c r="E18" s="78">
        <f>(106010+NTPC!D16)/NTPC!D9</f>
        <v>0.60189187791876297</v>
      </c>
      <c r="F18" s="78">
        <f>(75360+NTPC!E16)/NTPC!E9</f>
        <v>0.56802901168982001</v>
      </c>
      <c r="G18" s="78">
        <f>(74450+NTPC!F16)/NTPC!F9</f>
        <v>0.66761967396552446</v>
      </c>
      <c r="H18" s="80" t="s">
        <v>178</v>
      </c>
    </row>
    <row r="19" spans="1:8" x14ac:dyDescent="0.4">
      <c r="A19" s="141" t="s">
        <v>163</v>
      </c>
      <c r="B19" s="141"/>
      <c r="C19" s="141"/>
      <c r="D19" s="141"/>
      <c r="E19" s="141"/>
      <c r="F19" s="141"/>
      <c r="G19" s="141"/>
    </row>
    <row r="20" spans="1:8" x14ac:dyDescent="0.4">
      <c r="A20" s="3" t="s">
        <v>128</v>
      </c>
      <c r="B20" s="3" t="s">
        <v>129</v>
      </c>
      <c r="C20" s="66">
        <f>NTPC!B31/NTPC!I48</f>
        <v>4.1474453663495274E-2</v>
      </c>
      <c r="D20" s="66">
        <f>NTPC!C31/NTPC!J48</f>
        <v>3.9934250259221968E-2</v>
      </c>
      <c r="E20" s="66">
        <f>NTPC!D31/NTPC!K48</f>
        <v>3.6170412880367077E-2</v>
      </c>
      <c r="F20" s="66">
        <f>NTPC!E31/NTPC!L48</f>
        <v>3.7587373741266049E-2</v>
      </c>
      <c r="G20" s="66">
        <f>NTPC!F31/NTPC!M48</f>
        <v>3.496727204040663E-2</v>
      </c>
    </row>
    <row r="21" spans="1:8" x14ac:dyDescent="0.4">
      <c r="A21" s="3" t="s">
        <v>130</v>
      </c>
      <c r="B21" s="3" t="s">
        <v>131</v>
      </c>
      <c r="C21" s="66">
        <f>NTPC!B31/(NTPC!I48-NTPC!I26)</f>
        <v>5.1802243866988902E-2</v>
      </c>
      <c r="D21" s="66">
        <f>NTPC!C31/(NTPC!J48-NTPC!J26)</f>
        <v>5.075222037606255E-2</v>
      </c>
      <c r="E21" s="66">
        <f>NTPC!D31/(NTPC!K48-NTPC!K26)</f>
        <v>4.4996262578932106E-2</v>
      </c>
      <c r="F21" s="66">
        <f>NTPC!E31/(NTPC!L48-NTPC!L26)</f>
        <v>4.63674029762055E-2</v>
      </c>
      <c r="G21" s="66">
        <f>NTPC!F31/(NTPC!M48-NTPC!M26)</f>
        <v>4.2842361841063555E-2</v>
      </c>
    </row>
    <row r="22" spans="1:8" x14ac:dyDescent="0.4">
      <c r="A22" s="3" t="s">
        <v>132</v>
      </c>
      <c r="B22" s="3" t="s">
        <v>133</v>
      </c>
      <c r="C22" s="66">
        <f>NTPC!B31/NTPC!I13</f>
        <v>0.11810345520721442</v>
      </c>
      <c r="D22" s="66">
        <f>NTPC!C31/NTPC!J13</f>
        <v>0.11932286171171086</v>
      </c>
      <c r="E22" s="66">
        <f>NTPC!D31/NTPC!K13</f>
        <v>0.1097295072606583</v>
      </c>
      <c r="F22" s="66">
        <f>NTPC!E31/NTPC!L13</f>
        <v>0.11564850021872781</v>
      </c>
      <c r="G22" s="66">
        <f>NTPC!F31/NTPC!M13</f>
        <v>0.11095061042177466</v>
      </c>
    </row>
    <row r="23" spans="1:8" x14ac:dyDescent="0.4">
      <c r="A23" s="141" t="s">
        <v>164</v>
      </c>
      <c r="B23" s="141"/>
      <c r="C23" s="141"/>
      <c r="D23" s="141"/>
      <c r="E23" s="141"/>
      <c r="F23" s="141"/>
      <c r="G23" s="141"/>
    </row>
    <row r="24" spans="1:8" x14ac:dyDescent="0.4">
      <c r="A24" s="3" t="s">
        <v>127</v>
      </c>
      <c r="B24" s="3" t="s">
        <v>141</v>
      </c>
      <c r="C24" s="72">
        <f>NTPC!B31/NTPC!B38*100</f>
        <v>22.419490402375246</v>
      </c>
      <c r="D24" s="72">
        <f>NTPC!C31/NTPC!C38*100</f>
        <v>19.776168427374934</v>
      </c>
      <c r="E24" s="72">
        <f>NTPC!D31/NTPC!D38*100</f>
        <v>16.637450439150943</v>
      </c>
      <c r="F24" s="72">
        <f>NTPC!E31/NTPC!E38*100</f>
        <v>16.145518469956581</v>
      </c>
      <c r="G24" s="72">
        <f>NTPC!F31/NTPC!F38*100</f>
        <v>14.387171838238007</v>
      </c>
    </row>
    <row r="25" spans="1:8" x14ac:dyDescent="0.4">
      <c r="A25" s="3" t="s">
        <v>134</v>
      </c>
      <c r="B25" s="3" t="s">
        <v>138</v>
      </c>
      <c r="C25" s="78">
        <f>C24/357.6</f>
        <v>6.2694324391429648E-2</v>
      </c>
      <c r="D25" s="78">
        <f>D24/355.8</f>
        <v>5.5582260897624886E-2</v>
      </c>
      <c r="E25" s="78">
        <f>E24/175.1</f>
        <v>9.5016850023706134E-2</v>
      </c>
      <c r="F25" s="78">
        <f>F24/135</f>
        <v>0.11959643311078949</v>
      </c>
      <c r="G25" s="78">
        <f>G24/106.55</f>
        <v>0.1350274222265416</v>
      </c>
      <c r="H25" s="80" t="s">
        <v>179</v>
      </c>
    </row>
    <row r="26" spans="1:8" x14ac:dyDescent="0.4">
      <c r="A26" s="3" t="s">
        <v>135</v>
      </c>
      <c r="B26" s="3" t="s">
        <v>139</v>
      </c>
      <c r="C26" s="78">
        <f>(NTPC!B36/NTPC!B38*100)/357.6</f>
        <v>0</v>
      </c>
      <c r="D26" s="78">
        <f>(NTPC!C36/NTPC!C38*100)/355.8</f>
        <v>2.1079259459362419E-2</v>
      </c>
      <c r="E26" s="78">
        <f>(NTPC!D36/NTPC!D38*100)/175.1</f>
        <v>2.4271826696681837E-2</v>
      </c>
      <c r="F26" s="78">
        <f>(NTPC!E36/NTPC!E38*100)/135</f>
        <v>2.9629657130490917E-2</v>
      </c>
      <c r="G26" s="78">
        <f>(NTPC!F36/NTPC!F38*100)/106.55</f>
        <v>5.3534343217167761E-2</v>
      </c>
      <c r="H26" s="80" t="s">
        <v>179</v>
      </c>
    </row>
    <row r="27" spans="1:8" x14ac:dyDescent="0.4">
      <c r="A27" s="3" t="s">
        <v>136</v>
      </c>
      <c r="B27" s="3" t="s">
        <v>140</v>
      </c>
      <c r="C27" s="65">
        <f>(NTPC!B36/NTPC!B38)/C24</f>
        <v>0</v>
      </c>
      <c r="D27" s="65">
        <f>(NTPC!C36/NTPC!C38)/D24</f>
        <v>3.7924436895770768E-3</v>
      </c>
      <c r="E27" s="65">
        <f>(NTPC!D36/NTPC!D38)/E24</f>
        <v>2.554476041946893E-3</v>
      </c>
      <c r="F27" s="65">
        <f>(NTPC!E36/NTPC!E38)/F24</f>
        <v>2.477469967941532E-3</v>
      </c>
      <c r="G27" s="65">
        <f>(NTPC!F36/NTPC!F38)/G24</f>
        <v>3.9647015646459413E-3</v>
      </c>
      <c r="H27" s="80"/>
    </row>
    <row r="28" spans="1:8" x14ac:dyDescent="0.4">
      <c r="A28" s="3" t="s">
        <v>137</v>
      </c>
      <c r="B28" s="3" t="s">
        <v>142</v>
      </c>
      <c r="C28" s="71">
        <f>357.6/C24</f>
        <v>15.950407149402196</v>
      </c>
      <c r="D28" s="71">
        <f>355.8/D24</f>
        <v>17.991351626409489</v>
      </c>
      <c r="E28" s="71">
        <f>175.1/E24</f>
        <v>10.524449081931321</v>
      </c>
      <c r="F28" s="71">
        <f>135/F24</f>
        <v>8.3614533810856955</v>
      </c>
      <c r="G28" s="71">
        <f>106.55/G24</f>
        <v>7.4059030640624606</v>
      </c>
      <c r="H28" s="80" t="s">
        <v>179</v>
      </c>
    </row>
    <row r="29" spans="1:8" x14ac:dyDescent="0.4">
      <c r="A29" s="141" t="s">
        <v>165</v>
      </c>
      <c r="B29" s="141"/>
      <c r="C29" s="141"/>
      <c r="D29" s="141"/>
      <c r="E29" s="141"/>
      <c r="F29" s="141"/>
      <c r="G29" s="141"/>
    </row>
    <row r="30" spans="1:8" x14ac:dyDescent="0.4">
      <c r="A30" s="3" t="s">
        <v>143</v>
      </c>
      <c r="B30" s="3" t="s">
        <v>129</v>
      </c>
      <c r="C30" s="66">
        <f>NTPC!B31/NTPC!I48</f>
        <v>4.1474453663495274E-2</v>
      </c>
      <c r="D30" s="66">
        <f>NTPC!C31/NTPC!J48</f>
        <v>3.9934250259221968E-2</v>
      </c>
      <c r="E30" s="66">
        <f>NTPC!D31/NTPC!K48</f>
        <v>3.6170412880367077E-2</v>
      </c>
      <c r="F30" s="66">
        <f>NTPC!E31/NTPC!L48</f>
        <v>3.7587373741266049E-2</v>
      </c>
      <c r="G30" s="66">
        <f>NTPC!F31/NTPC!M48</f>
        <v>3.496727204040663E-2</v>
      </c>
    </row>
    <row r="31" spans="1:8" x14ac:dyDescent="0.4">
      <c r="A31" s="141" t="s">
        <v>144</v>
      </c>
      <c r="B31" s="141"/>
      <c r="C31" s="141"/>
      <c r="D31" s="141"/>
      <c r="E31" s="141"/>
      <c r="F31" s="141"/>
      <c r="G31" s="141"/>
    </row>
    <row r="32" spans="1:8" x14ac:dyDescent="0.4">
      <c r="A32" s="3" t="s">
        <v>145</v>
      </c>
      <c r="B32" s="3" t="s">
        <v>146</v>
      </c>
      <c r="C32" s="3">
        <f>NTPC!B9/NTPC!I47</f>
        <v>1.6830725739717756</v>
      </c>
      <c r="D32" s="3">
        <f>NTPC!C9/NTPC!J47</f>
        <v>1.8212641592387173</v>
      </c>
      <c r="E32" s="3">
        <f>NTPC!D9/NTPC!K47</f>
        <v>2.170882781498646</v>
      </c>
      <c r="F32" s="3">
        <f>NTPC!E9/NTPC!L47</f>
        <v>1.858272966330718</v>
      </c>
      <c r="G32" s="3">
        <f>NTPC!F9/NTPC!M47</f>
        <v>1.631275200002106</v>
      </c>
    </row>
    <row r="33" spans="1:7" x14ac:dyDescent="0.4">
      <c r="A33" s="3" t="s">
        <v>147</v>
      </c>
      <c r="B33" s="3" t="s">
        <v>148</v>
      </c>
      <c r="C33" s="3">
        <f>NTPC!B9/NTPC!I34</f>
        <v>0.5053455603830781</v>
      </c>
      <c r="D33" s="3">
        <f>NTPC!C9/NTPC!J34</f>
        <v>0.51500827702219243</v>
      </c>
      <c r="E33" s="3">
        <f>NTPC!D9/NTPC!K34</f>
        <v>0.53460285697278265</v>
      </c>
      <c r="F33" s="3">
        <f>NTPC!E9/NTPC!L34</f>
        <v>0.41977403017655979</v>
      </c>
      <c r="G33" s="3">
        <f>NTPC!F9/NTPC!M34</f>
        <v>0.3708418995221997</v>
      </c>
    </row>
    <row r="34" spans="1:7" x14ac:dyDescent="0.4">
      <c r="A34" s="3" t="s">
        <v>149</v>
      </c>
      <c r="B34" s="3" t="s">
        <v>150</v>
      </c>
      <c r="C34" s="3">
        <f>NTPC!B9/NTPC!I48</f>
        <v>0.3589293584291911</v>
      </c>
      <c r="D34" s="3">
        <f>NTPC!C9/NTPC!J48</f>
        <v>0.37172460436358384</v>
      </c>
      <c r="E34" s="3">
        <f>NTPC!D9/NTPC!K48</f>
        <v>0.39506380242474881</v>
      </c>
      <c r="F34" s="3">
        <f>NTPC!E9/NTPC!L48</f>
        <v>0.31852089110562259</v>
      </c>
      <c r="G34" s="3">
        <f>NTPC!F9/NTPC!M48</f>
        <v>0.27955036593199206</v>
      </c>
    </row>
    <row r="35" spans="1:7" x14ac:dyDescent="0.4">
      <c r="A35" s="3" t="s">
        <v>151</v>
      </c>
      <c r="B35" s="3" t="s">
        <v>152</v>
      </c>
      <c r="C35" s="3">
        <f>NTPC!B9/(AVERAGE(NTPC!I42:J42))</f>
        <v>10.241208141882533</v>
      </c>
      <c r="D35" s="3">
        <f>NTPC!C9/(AVERAGE(NTPC!J42:K42))</f>
        <v>11.066565528469297</v>
      </c>
      <c r="E35" s="3">
        <f>NTPC!D9/(AVERAGE(NTPC!K42:L42))</f>
        <v>14.455240967265333</v>
      </c>
      <c r="F35" s="3">
        <f>NTPC!E9/(AVERAGE(NTPC!L42:M42))</f>
        <v>13.300918497219644</v>
      </c>
      <c r="G35" s="3">
        <f>NTPC!F9/(AVERAGE(NTPC!M42:N42))</f>
        <v>10.859125884917624</v>
      </c>
    </row>
    <row r="36" spans="1:7" x14ac:dyDescent="0.4">
      <c r="A36" s="3" t="s">
        <v>153</v>
      </c>
      <c r="B36" s="3" t="s">
        <v>154</v>
      </c>
      <c r="C36" s="3">
        <f>NTPC!B9/(AVERAGE(NTPC!I43:J43))</f>
        <v>5.5277836132756306</v>
      </c>
      <c r="D36" s="3">
        <f>NTPC!C9/(AVERAGE(NTPC!J43:K43))</f>
        <v>5.741895202083156</v>
      </c>
      <c r="E36" s="3">
        <f>NTPC!D9/(AVERAGE(NTPC!K43:L43))</f>
        <v>6.2743599923799076</v>
      </c>
      <c r="F36" s="3">
        <f>NTPC!E9/(AVERAGE(NTPC!L43:M43))</f>
        <v>5.8885414274031485</v>
      </c>
      <c r="G36" s="3">
        <f>NTPC!F9/(AVERAGE(NTPC!M43:N43))</f>
        <v>6.6812765042301931</v>
      </c>
    </row>
    <row r="37" spans="1:7" x14ac:dyDescent="0.4">
      <c r="A37" s="141" t="s">
        <v>155</v>
      </c>
      <c r="B37" s="141"/>
      <c r="C37" s="141"/>
      <c r="D37" s="141"/>
      <c r="E37" s="141"/>
      <c r="F37" s="141"/>
      <c r="G37" s="141"/>
    </row>
    <row r="38" spans="1:7" x14ac:dyDescent="0.4">
      <c r="A38" s="3" t="s">
        <v>156</v>
      </c>
      <c r="B38" s="3" t="s">
        <v>159</v>
      </c>
      <c r="C38" s="69">
        <f>(NTPC!B9-NTPC!B13-NTPC!B14-NTPC!B15-NTPC!B16)/NTPC!B28</f>
        <v>2.662267855987503</v>
      </c>
      <c r="D38" s="69">
        <f>(NTPC!C9-NTPC!C13-NTPC!C14-NTPC!C15-NTPC!C16)/NTPC!C28</f>
        <v>2.5096333705672302</v>
      </c>
      <c r="E38" s="69">
        <f>(NTPC!D9-NTPC!D13-NTPC!D14-NTPC!D15-NTPC!D16)/NTPC!D28</f>
        <v>2.557099764197186</v>
      </c>
      <c r="F38" s="69">
        <f>(NTPC!E9-NTPC!E13-NTPC!E14-NTPC!E15-NTPC!E16)/NTPC!E28</f>
        <v>2.4429865596675109</v>
      </c>
      <c r="G38" s="69">
        <f>(NTPC!F9-NTPC!F13-NTPC!F14-NTPC!F15-NTPC!F16)/NTPC!F28</f>
        <v>2.6068162860842596</v>
      </c>
    </row>
    <row r="39" spans="1:7" x14ac:dyDescent="0.4">
      <c r="A39" s="3" t="s">
        <v>157</v>
      </c>
      <c r="B39" s="3" t="s">
        <v>160</v>
      </c>
      <c r="C39" s="3">
        <f>(NTPC!B9-NTPC!B13-NTPC!B14-NTPC!B15-NTPC!B16)/NTPC!B23</f>
        <v>1.4747953769215947</v>
      </c>
      <c r="D39" s="3">
        <f>(NTPC!C9-NTPC!C13-NTPC!C14-NTPC!C15-NTPC!C16)/NTPC!C23</f>
        <v>1.2959007263462832</v>
      </c>
      <c r="E39" s="3">
        <f>(NTPC!D9-NTPC!D13-NTPC!D14-NTPC!D15-NTPC!D16)/NTPC!D23</f>
        <v>1.2350843545348091</v>
      </c>
      <c r="F39" s="3">
        <f>(NTPC!E9-NTPC!E13-NTPC!E14-NTPC!E15-NTPC!E16)/NTPC!E23</f>
        <v>1.2666853858383755</v>
      </c>
      <c r="G39" s="3">
        <f>(NTPC!F9-NTPC!F13-NTPC!F14-NTPC!F15-NTPC!F16)/NTPC!F23</f>
        <v>1.2722077552045203</v>
      </c>
    </row>
    <row r="40" spans="1:7" x14ac:dyDescent="0.4">
      <c r="A40" s="3" t="s">
        <v>158</v>
      </c>
      <c r="B40" s="3" t="s">
        <v>161</v>
      </c>
      <c r="C40" s="3">
        <f>NTPC!B23/NTPC!B28</f>
        <v>1.8051777878125519</v>
      </c>
      <c r="D40" s="3">
        <f>NTPC!C23/NTPC!C28</f>
        <v>1.9365938451496942</v>
      </c>
      <c r="E40" s="3">
        <f>NTPC!D23/NTPC!D28</f>
        <v>2.0703847108162181</v>
      </c>
      <c r="F40" s="3">
        <f>NTPC!E23/NTPC!E28</f>
        <v>1.9286450976542859</v>
      </c>
      <c r="G40" s="3">
        <f>NTPC!F23/NTPC!F28</f>
        <v>2.0490492023963394</v>
      </c>
    </row>
  </sheetData>
  <mergeCells count="9">
    <mergeCell ref="A1:G1"/>
    <mergeCell ref="A3:G3"/>
    <mergeCell ref="A37:G37"/>
    <mergeCell ref="A6:G6"/>
    <mergeCell ref="A11:G11"/>
    <mergeCell ref="A19:G19"/>
    <mergeCell ref="A23:G23"/>
    <mergeCell ref="A29:G29"/>
    <mergeCell ref="A31:G31"/>
  </mergeCells>
  <pageMargins left="0.7" right="0.7" top="0.75" bottom="0.75" header="0.3" footer="0.3"/>
  <ignoredErrors>
    <ignoredError sqref="C35:G3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F0C2-A314-4F37-AB79-4ECCFE082A01}">
  <dimension ref="A1:R65"/>
  <sheetViews>
    <sheetView showGridLines="0" zoomScale="85" zoomScaleNormal="89" workbookViewId="0">
      <selection activeCell="N45" sqref="N45"/>
    </sheetView>
  </sheetViews>
  <sheetFormatPr defaultColWidth="8.73046875" defaultRowHeight="11.65" x14ac:dyDescent="0.35"/>
  <cols>
    <col min="1" max="1" width="23.06640625" style="1" customWidth="1"/>
    <col min="2" max="4" width="8.796875" style="1" bestFit="1" customWidth="1"/>
    <col min="5" max="7" width="8.796875" style="1" customWidth="1"/>
    <col min="8" max="8" width="36.9296875" style="1" bestFit="1" customWidth="1"/>
    <col min="9" max="16384" width="8.73046875" style="1"/>
  </cols>
  <sheetData>
    <row r="1" spans="1:18" ht="17.45" customHeight="1" x14ac:dyDescent="0.35">
      <c r="A1" s="137" t="s">
        <v>182</v>
      </c>
      <c r="B1" s="138"/>
      <c r="C1" s="138"/>
      <c r="D1" s="138"/>
      <c r="E1" s="138"/>
      <c r="F1" s="139"/>
      <c r="H1" s="142" t="s">
        <v>182</v>
      </c>
      <c r="I1" s="143"/>
      <c r="J1" s="143"/>
      <c r="K1" s="143"/>
      <c r="L1" s="143"/>
      <c r="M1" s="144"/>
      <c r="N1" s="85"/>
      <c r="O1" s="85"/>
      <c r="P1" s="85"/>
      <c r="Q1" s="85"/>
      <c r="R1" s="85"/>
    </row>
    <row r="2" spans="1:18" ht="27" customHeight="1" x14ac:dyDescent="0.35">
      <c r="A2" s="17" t="s">
        <v>1</v>
      </c>
      <c r="B2" s="132" t="s">
        <v>2</v>
      </c>
      <c r="C2" s="132"/>
      <c r="D2" s="132"/>
      <c r="E2" s="132"/>
      <c r="F2" s="132"/>
      <c r="H2" s="126" t="s">
        <v>39</v>
      </c>
      <c r="I2" s="145" t="s">
        <v>2</v>
      </c>
      <c r="J2" s="145"/>
      <c r="K2" s="145"/>
      <c r="L2" s="145"/>
      <c r="M2" s="146"/>
      <c r="N2" s="85"/>
      <c r="O2" s="85"/>
      <c r="P2" s="85"/>
      <c r="Q2" s="85"/>
      <c r="R2" s="85"/>
    </row>
    <row r="3" spans="1:18" x14ac:dyDescent="0.35">
      <c r="A3" s="8"/>
      <c r="B3" s="30" t="s">
        <v>3</v>
      </c>
      <c r="C3" s="18" t="s">
        <v>4</v>
      </c>
      <c r="D3" s="57" t="s">
        <v>5</v>
      </c>
      <c r="E3" s="30" t="s">
        <v>6</v>
      </c>
      <c r="F3" s="18" t="s">
        <v>7</v>
      </c>
      <c r="G3" s="85"/>
      <c r="H3" s="94"/>
      <c r="I3" s="98" t="s">
        <v>40</v>
      </c>
      <c r="J3" s="124">
        <v>45352</v>
      </c>
      <c r="K3" s="125">
        <v>44986</v>
      </c>
      <c r="L3" s="111">
        <v>44621</v>
      </c>
      <c r="M3" s="111">
        <v>44256</v>
      </c>
      <c r="N3" s="85"/>
      <c r="O3" s="85"/>
      <c r="P3" s="85"/>
      <c r="Q3" s="85"/>
      <c r="R3" s="85"/>
    </row>
    <row r="4" spans="1:18" x14ac:dyDescent="0.35">
      <c r="A4" s="75"/>
      <c r="B4" s="79"/>
      <c r="C4" s="75"/>
      <c r="D4" s="76"/>
      <c r="E4" s="79"/>
      <c r="F4" s="75"/>
      <c r="G4" s="85"/>
      <c r="H4" s="95"/>
      <c r="I4" s="92"/>
      <c r="J4" s="91"/>
      <c r="K4" s="95"/>
      <c r="L4" s="93"/>
      <c r="M4" s="93"/>
      <c r="N4" s="85"/>
      <c r="O4" s="85"/>
      <c r="P4" s="85"/>
      <c r="Q4" s="85"/>
      <c r="R4" s="85"/>
    </row>
    <row r="5" spans="1:18" x14ac:dyDescent="0.35">
      <c r="A5" s="7"/>
      <c r="B5" s="31" t="s">
        <v>8</v>
      </c>
      <c r="C5" s="19" t="s">
        <v>8</v>
      </c>
      <c r="D5" s="25" t="s">
        <v>8</v>
      </c>
      <c r="E5" s="31" t="s">
        <v>8</v>
      </c>
      <c r="F5" s="19" t="s">
        <v>8</v>
      </c>
      <c r="G5" s="85"/>
      <c r="H5" s="96"/>
      <c r="I5" s="99" t="s">
        <v>8</v>
      </c>
      <c r="J5" s="105" t="s">
        <v>8</v>
      </c>
      <c r="K5" s="118" t="s">
        <v>8</v>
      </c>
      <c r="L5" s="112" t="s">
        <v>8</v>
      </c>
      <c r="M5" s="112" t="s">
        <v>8</v>
      </c>
      <c r="N5" s="85"/>
      <c r="O5" s="85"/>
      <c r="P5" s="85"/>
      <c r="Q5" s="85"/>
      <c r="R5" s="85"/>
    </row>
    <row r="6" spans="1:18" x14ac:dyDescent="0.35">
      <c r="A6" s="75"/>
      <c r="B6" s="79"/>
      <c r="C6" s="75"/>
      <c r="D6" s="76"/>
      <c r="E6" s="79"/>
      <c r="F6" s="75"/>
      <c r="G6" s="85"/>
      <c r="H6" s="95"/>
      <c r="I6" s="92"/>
      <c r="J6" s="91"/>
      <c r="K6" s="95"/>
      <c r="L6" s="93"/>
      <c r="M6" s="93"/>
      <c r="N6" s="85"/>
      <c r="O6" s="85"/>
      <c r="P6" s="85"/>
      <c r="Q6" s="85"/>
      <c r="R6" s="85"/>
    </row>
    <row r="7" spans="1:18" ht="14.55" customHeight="1" x14ac:dyDescent="0.35">
      <c r="A7" s="8" t="s">
        <v>9</v>
      </c>
      <c r="B7" s="4"/>
      <c r="C7" s="22"/>
      <c r="D7" s="24"/>
      <c r="E7" s="50"/>
      <c r="F7" s="22"/>
      <c r="G7" s="85"/>
      <c r="H7" s="94" t="s">
        <v>41</v>
      </c>
      <c r="I7" s="100"/>
      <c r="J7" s="106"/>
      <c r="K7" s="119"/>
      <c r="L7" s="113"/>
      <c r="M7" s="113"/>
      <c r="N7" s="85"/>
      <c r="O7" s="85"/>
      <c r="P7" s="85"/>
      <c r="Q7" s="85"/>
      <c r="R7" s="85"/>
    </row>
    <row r="8" spans="1:18" ht="19.25" customHeight="1" x14ac:dyDescent="0.35">
      <c r="A8" s="7" t="s">
        <v>10</v>
      </c>
      <c r="B8" s="32">
        <v>12563.09</v>
      </c>
      <c r="C8" s="20">
        <v>12404.01</v>
      </c>
      <c r="D8" s="26">
        <v>11529.89</v>
      </c>
      <c r="E8" s="32">
        <v>10888.68</v>
      </c>
      <c r="F8" s="20">
        <v>9561.65</v>
      </c>
      <c r="G8" s="85"/>
      <c r="H8" s="94" t="s">
        <v>42</v>
      </c>
      <c r="I8" s="100"/>
      <c r="J8" s="106"/>
      <c r="K8" s="119"/>
      <c r="L8" s="113"/>
      <c r="M8" s="113"/>
      <c r="N8" s="85"/>
      <c r="O8" s="85"/>
      <c r="P8" s="85"/>
      <c r="Q8" s="85"/>
      <c r="R8" s="85"/>
    </row>
    <row r="9" spans="1:18" ht="19.25" customHeight="1" x14ac:dyDescent="0.35">
      <c r="A9" s="7" t="s">
        <v>183</v>
      </c>
      <c r="B9" s="31">
        <v>0</v>
      </c>
      <c r="C9" s="19">
        <v>0</v>
      </c>
      <c r="D9" s="25">
        <v>0</v>
      </c>
      <c r="E9" s="31">
        <v>0</v>
      </c>
      <c r="F9" s="19">
        <v>15.05</v>
      </c>
      <c r="G9" s="85"/>
      <c r="H9" s="96" t="s">
        <v>43</v>
      </c>
      <c r="I9" s="99">
        <v>177.23</v>
      </c>
      <c r="J9" s="105">
        <v>177.2</v>
      </c>
      <c r="K9" s="118">
        <v>177.18</v>
      </c>
      <c r="L9" s="112">
        <v>176.79</v>
      </c>
      <c r="M9" s="112">
        <v>176.74</v>
      </c>
      <c r="N9" s="85"/>
      <c r="O9" s="85"/>
      <c r="P9" s="85"/>
      <c r="Q9" s="85"/>
      <c r="R9" s="85"/>
    </row>
    <row r="10" spans="1:18" ht="16.05" customHeight="1" x14ac:dyDescent="0.35">
      <c r="A10" s="7" t="s">
        <v>11</v>
      </c>
      <c r="B10" s="32">
        <v>12563.09</v>
      </c>
      <c r="C10" s="20">
        <v>12404.01</v>
      </c>
      <c r="D10" s="26">
        <v>11529.89</v>
      </c>
      <c r="E10" s="32">
        <v>10888.68</v>
      </c>
      <c r="F10" s="20">
        <v>9546.6</v>
      </c>
      <c r="G10" s="85"/>
      <c r="H10" s="90" t="s">
        <v>44</v>
      </c>
      <c r="I10" s="101">
        <v>177.23</v>
      </c>
      <c r="J10" s="107">
        <v>177.2</v>
      </c>
      <c r="K10" s="120">
        <v>177.18</v>
      </c>
      <c r="L10" s="114">
        <v>176.79</v>
      </c>
      <c r="M10" s="114">
        <v>176.74</v>
      </c>
      <c r="N10" s="85"/>
      <c r="O10" s="85"/>
      <c r="P10" s="85"/>
      <c r="Q10" s="85"/>
      <c r="R10" s="85"/>
    </row>
    <row r="11" spans="1:18" ht="16.05" customHeight="1" x14ac:dyDescent="0.35">
      <c r="A11" s="7" t="s">
        <v>12</v>
      </c>
      <c r="B11" s="31">
        <v>553.20000000000005</v>
      </c>
      <c r="C11" s="19">
        <v>480.53</v>
      </c>
      <c r="D11" s="25">
        <v>443.83</v>
      </c>
      <c r="E11" s="31">
        <v>315.88</v>
      </c>
      <c r="F11" s="19">
        <v>329.49</v>
      </c>
      <c r="G11" s="85"/>
      <c r="H11" s="96" t="s">
        <v>45</v>
      </c>
      <c r="I11" s="102">
        <v>10623.46</v>
      </c>
      <c r="J11" s="108">
        <v>9689.1</v>
      </c>
      <c r="K11" s="121">
        <v>8737</v>
      </c>
      <c r="L11" s="115">
        <v>8056.3</v>
      </c>
      <c r="M11" s="115">
        <v>7486.79</v>
      </c>
      <c r="N11" s="85"/>
      <c r="O11" s="85"/>
      <c r="P11" s="85"/>
      <c r="Q11" s="85"/>
      <c r="R11" s="85"/>
    </row>
    <row r="12" spans="1:18" ht="19.25" customHeight="1" x14ac:dyDescent="0.35">
      <c r="A12" s="7" t="s">
        <v>96</v>
      </c>
      <c r="B12" s="31">
        <v>57.1</v>
      </c>
      <c r="C12" s="19">
        <v>-48.95</v>
      </c>
      <c r="D12" s="25">
        <v>90.79</v>
      </c>
      <c r="E12" s="31">
        <v>8.5500000000000007</v>
      </c>
      <c r="F12" s="19">
        <v>207.2</v>
      </c>
      <c r="G12" s="85"/>
      <c r="H12" s="90" t="s">
        <v>46</v>
      </c>
      <c r="I12" s="103">
        <v>10623.46</v>
      </c>
      <c r="J12" s="109">
        <v>9689.1</v>
      </c>
      <c r="K12" s="122">
        <v>8737</v>
      </c>
      <c r="L12" s="116">
        <v>8056.3</v>
      </c>
      <c r="M12" s="116">
        <v>7486.79</v>
      </c>
      <c r="N12" s="85"/>
      <c r="O12" s="85"/>
      <c r="P12" s="85"/>
      <c r="Q12" s="85"/>
      <c r="R12" s="85"/>
    </row>
    <row r="13" spans="1:18" ht="19.25" customHeight="1" x14ac:dyDescent="0.35">
      <c r="A13" s="8" t="s">
        <v>13</v>
      </c>
      <c r="B13" s="51">
        <v>13173.39</v>
      </c>
      <c r="C13" s="21">
        <v>12835.59</v>
      </c>
      <c r="D13" s="27">
        <v>12064.51</v>
      </c>
      <c r="E13" s="51">
        <v>11213.11</v>
      </c>
      <c r="F13" s="21">
        <v>10083.290000000001</v>
      </c>
      <c r="G13" s="85"/>
      <c r="H13" s="96" t="s">
        <v>92</v>
      </c>
      <c r="I13" s="99">
        <v>0</v>
      </c>
      <c r="J13" s="105">
        <v>0</v>
      </c>
      <c r="K13" s="118">
        <v>59.08</v>
      </c>
      <c r="L13" s="112">
        <v>148.21</v>
      </c>
      <c r="M13" s="112">
        <v>0</v>
      </c>
      <c r="N13" s="85"/>
      <c r="O13" s="85"/>
      <c r="P13" s="85"/>
      <c r="Q13" s="85"/>
      <c r="R13" s="85"/>
    </row>
    <row r="14" spans="1:18" ht="38.450000000000003" customHeight="1" x14ac:dyDescent="0.35">
      <c r="A14" s="8" t="s">
        <v>14</v>
      </c>
      <c r="B14" s="4"/>
      <c r="C14" s="22"/>
      <c r="D14" s="24"/>
      <c r="E14" s="50"/>
      <c r="F14" s="22"/>
      <c r="G14" s="85"/>
      <c r="H14" s="90" t="s">
        <v>47</v>
      </c>
      <c r="I14" s="103">
        <v>10800.69</v>
      </c>
      <c r="J14" s="109">
        <v>9866.2999999999993</v>
      </c>
      <c r="K14" s="122">
        <v>8973.26</v>
      </c>
      <c r="L14" s="116">
        <v>8381.2999999999993</v>
      </c>
      <c r="M14" s="116">
        <v>7663.53</v>
      </c>
      <c r="N14" s="85"/>
      <c r="O14" s="85"/>
      <c r="P14" s="85"/>
      <c r="Q14" s="85"/>
      <c r="R14" s="85"/>
    </row>
    <row r="15" spans="1:18" x14ac:dyDescent="0.35">
      <c r="A15" s="7" t="s">
        <v>15</v>
      </c>
      <c r="B15" s="32">
        <v>6640.59</v>
      </c>
      <c r="C15" s="20">
        <v>6447.46</v>
      </c>
      <c r="D15" s="26">
        <v>6406.88</v>
      </c>
      <c r="E15" s="32">
        <v>5685.19</v>
      </c>
      <c r="F15" s="20">
        <v>5014</v>
      </c>
      <c r="G15" s="85"/>
      <c r="H15" s="96" t="s">
        <v>30</v>
      </c>
      <c r="I15" s="99">
        <v>409.57</v>
      </c>
      <c r="J15" s="105">
        <v>436.78</v>
      </c>
      <c r="K15" s="118">
        <v>468.17</v>
      </c>
      <c r="L15" s="112">
        <v>40.549999999999997</v>
      </c>
      <c r="M15" s="112">
        <v>36.69</v>
      </c>
      <c r="N15" s="85"/>
      <c r="O15" s="85"/>
      <c r="P15" s="85"/>
      <c r="Q15" s="85"/>
      <c r="R15" s="85"/>
    </row>
    <row r="16" spans="1:18" ht="19.25" customHeight="1" x14ac:dyDescent="0.35">
      <c r="A16" s="7" t="s">
        <v>16</v>
      </c>
      <c r="B16" s="31">
        <v>155.94999999999999</v>
      </c>
      <c r="C16" s="19">
        <v>153.44</v>
      </c>
      <c r="D16" s="25">
        <v>150.59</v>
      </c>
      <c r="E16" s="31">
        <v>128.66</v>
      </c>
      <c r="F16" s="19">
        <v>104.01</v>
      </c>
      <c r="G16" s="85"/>
      <c r="H16" s="94" t="s">
        <v>48</v>
      </c>
      <c r="I16" s="100"/>
      <c r="J16" s="106"/>
      <c r="K16" s="119"/>
      <c r="L16" s="113"/>
      <c r="M16" s="113"/>
      <c r="N16" s="85"/>
      <c r="O16" s="85"/>
      <c r="P16" s="85"/>
      <c r="Q16" s="85"/>
      <c r="R16" s="85"/>
    </row>
    <row r="17" spans="1:18" ht="28.8" customHeight="1" x14ac:dyDescent="0.35">
      <c r="A17" s="7" t="s">
        <v>17</v>
      </c>
      <c r="B17" s="32">
        <v>1291.23</v>
      </c>
      <c r="C17" s="20">
        <v>1239.56</v>
      </c>
      <c r="D17" s="26">
        <v>1137</v>
      </c>
      <c r="E17" s="32">
        <v>1079.95</v>
      </c>
      <c r="F17" s="20">
        <v>1033.46</v>
      </c>
      <c r="G17" s="85"/>
      <c r="H17" s="96" t="s">
        <v>49</v>
      </c>
      <c r="I17" s="99">
        <v>304.02999999999997</v>
      </c>
      <c r="J17" s="105">
        <v>535.97</v>
      </c>
      <c r="K17" s="118">
        <v>298.83999999999997</v>
      </c>
      <c r="L17" s="112">
        <v>250.36</v>
      </c>
      <c r="M17" s="112">
        <v>134.13</v>
      </c>
      <c r="N17" s="85"/>
      <c r="O17" s="85"/>
      <c r="P17" s="85"/>
      <c r="Q17" s="85"/>
      <c r="R17" s="85"/>
    </row>
    <row r="18" spans="1:18" ht="19.25" customHeight="1" x14ac:dyDescent="0.35">
      <c r="A18" s="7" t="s">
        <v>18</v>
      </c>
      <c r="B18" s="31">
        <v>864.64</v>
      </c>
      <c r="C18" s="19">
        <v>849.06</v>
      </c>
      <c r="D18" s="25">
        <v>640.27</v>
      </c>
      <c r="E18" s="31">
        <v>777.94</v>
      </c>
      <c r="F18" s="19">
        <v>784.36</v>
      </c>
      <c r="G18" s="85"/>
      <c r="H18" s="96" t="s">
        <v>50</v>
      </c>
      <c r="I18" s="99">
        <v>144.27000000000001</v>
      </c>
      <c r="J18" s="105">
        <v>109.03</v>
      </c>
      <c r="K18" s="118">
        <v>90.99</v>
      </c>
      <c r="L18" s="112">
        <v>82.27</v>
      </c>
      <c r="M18" s="112">
        <v>13.91</v>
      </c>
      <c r="N18" s="85"/>
      <c r="O18" s="85"/>
      <c r="P18" s="85"/>
      <c r="Q18" s="85"/>
      <c r="R18" s="85"/>
    </row>
    <row r="19" spans="1:18" ht="16.05" customHeight="1" x14ac:dyDescent="0.35">
      <c r="A19" s="7" t="s">
        <v>19</v>
      </c>
      <c r="B19" s="32">
        <v>1351.44</v>
      </c>
      <c r="C19" s="20">
        <v>1265.31</v>
      </c>
      <c r="D19" s="26">
        <v>1121.82</v>
      </c>
      <c r="E19" s="31">
        <v>971.68</v>
      </c>
      <c r="F19" s="19">
        <v>815.29</v>
      </c>
      <c r="G19" s="85"/>
      <c r="H19" s="96" t="s">
        <v>51</v>
      </c>
      <c r="I19" s="99">
        <v>183.83</v>
      </c>
      <c r="J19" s="105">
        <v>175.86</v>
      </c>
      <c r="K19" s="118">
        <v>149.31</v>
      </c>
      <c r="L19" s="112">
        <v>143.83000000000001</v>
      </c>
      <c r="M19" s="112">
        <v>1.37</v>
      </c>
      <c r="N19" s="85"/>
      <c r="O19" s="85"/>
      <c r="P19" s="85"/>
      <c r="Q19" s="85"/>
      <c r="R19" s="85"/>
    </row>
    <row r="20" spans="1:18" ht="16.05" customHeight="1" x14ac:dyDescent="0.35">
      <c r="A20" s="7" t="s">
        <v>20</v>
      </c>
      <c r="B20" s="32">
        <v>10303.85</v>
      </c>
      <c r="C20" s="20">
        <v>9954.83</v>
      </c>
      <c r="D20" s="26">
        <v>9456.56</v>
      </c>
      <c r="E20" s="32">
        <v>8643.42</v>
      </c>
      <c r="F20" s="20">
        <v>7751.12</v>
      </c>
      <c r="G20" s="85"/>
      <c r="H20" s="96" t="s">
        <v>52</v>
      </c>
      <c r="I20" s="99">
        <v>71.45</v>
      </c>
      <c r="J20" s="105">
        <v>68.31</v>
      </c>
      <c r="K20" s="118">
        <v>64.37</v>
      </c>
      <c r="L20" s="112">
        <v>63.68</v>
      </c>
      <c r="M20" s="112">
        <v>63.31</v>
      </c>
      <c r="N20" s="85"/>
      <c r="O20" s="85"/>
      <c r="P20" s="85"/>
      <c r="Q20" s="85"/>
      <c r="R20" s="85"/>
    </row>
    <row r="21" spans="1:18" ht="24" customHeight="1" x14ac:dyDescent="0.35">
      <c r="A21" s="8"/>
      <c r="B21" s="50" t="s">
        <v>3</v>
      </c>
      <c r="C21" s="22" t="s">
        <v>4</v>
      </c>
      <c r="D21" s="24" t="s">
        <v>5</v>
      </c>
      <c r="E21" s="50" t="s">
        <v>6</v>
      </c>
      <c r="F21" s="22" t="s">
        <v>7</v>
      </c>
      <c r="G21" s="85"/>
      <c r="H21" s="90" t="s">
        <v>53</v>
      </c>
      <c r="I21" s="101">
        <v>703.58</v>
      </c>
      <c r="J21" s="107">
        <v>889.17</v>
      </c>
      <c r="K21" s="120">
        <v>603.51</v>
      </c>
      <c r="L21" s="114">
        <v>540.14</v>
      </c>
      <c r="M21" s="114">
        <v>212.72</v>
      </c>
      <c r="N21" s="85"/>
      <c r="O21" s="85"/>
      <c r="P21" s="85"/>
      <c r="Q21" s="85"/>
      <c r="R21" s="85"/>
    </row>
    <row r="22" spans="1:18" ht="14.55" customHeight="1" x14ac:dyDescent="0.35">
      <c r="A22" s="75"/>
      <c r="B22" s="79"/>
      <c r="C22" s="75"/>
      <c r="D22" s="76"/>
      <c r="E22" s="79"/>
      <c r="F22" s="75"/>
      <c r="G22" s="85"/>
      <c r="H22" s="94" t="s">
        <v>54</v>
      </c>
      <c r="I22" s="100"/>
      <c r="J22" s="106"/>
      <c r="K22" s="119"/>
      <c r="L22" s="113"/>
      <c r="M22" s="113"/>
      <c r="N22" s="85"/>
      <c r="O22" s="85"/>
      <c r="P22" s="85"/>
      <c r="Q22" s="85"/>
      <c r="R22" s="85"/>
    </row>
    <row r="23" spans="1:18" ht="19.25" customHeight="1" x14ac:dyDescent="0.35">
      <c r="A23" s="7"/>
      <c r="B23" s="31" t="s">
        <v>8</v>
      </c>
      <c r="C23" s="19" t="s">
        <v>8</v>
      </c>
      <c r="D23" s="25" t="s">
        <v>8</v>
      </c>
      <c r="E23" s="31" t="s">
        <v>8</v>
      </c>
      <c r="F23" s="19" t="s">
        <v>8</v>
      </c>
      <c r="G23" s="85"/>
      <c r="H23" s="96" t="s">
        <v>55</v>
      </c>
      <c r="I23" s="99">
        <v>426.09</v>
      </c>
      <c r="J23" s="105">
        <v>622.1</v>
      </c>
      <c r="K23" s="118">
        <v>700.18</v>
      </c>
      <c r="L23" s="112">
        <v>617.29</v>
      </c>
      <c r="M23" s="112">
        <v>349.14</v>
      </c>
      <c r="N23" s="85"/>
      <c r="O23" s="85"/>
      <c r="P23" s="85"/>
      <c r="Q23" s="85"/>
      <c r="R23" s="85"/>
    </row>
    <row r="24" spans="1:18" ht="28.8" customHeight="1" x14ac:dyDescent="0.35">
      <c r="A24" s="75"/>
      <c r="B24" s="79"/>
      <c r="C24" s="75"/>
      <c r="D24" s="76"/>
      <c r="E24" s="79"/>
      <c r="F24" s="75"/>
      <c r="G24" s="85"/>
      <c r="H24" s="96" t="s">
        <v>56</v>
      </c>
      <c r="I24" s="102">
        <v>2825.34</v>
      </c>
      <c r="J24" s="108">
        <v>2421.71</v>
      </c>
      <c r="K24" s="121">
        <v>2186.61</v>
      </c>
      <c r="L24" s="115">
        <v>2017.95</v>
      </c>
      <c r="M24" s="115">
        <v>1915.26</v>
      </c>
      <c r="N24" s="85"/>
      <c r="O24" s="85"/>
      <c r="P24" s="85"/>
      <c r="Q24" s="85"/>
      <c r="R24" s="85"/>
    </row>
    <row r="25" spans="1:18" ht="48" customHeight="1" x14ac:dyDescent="0.35">
      <c r="A25" s="8" t="s">
        <v>21</v>
      </c>
      <c r="B25" s="51">
        <v>2316.34</v>
      </c>
      <c r="C25" s="21">
        <v>2400.23</v>
      </c>
      <c r="D25" s="27">
        <v>2164.12</v>
      </c>
      <c r="E25" s="51">
        <v>2253.81</v>
      </c>
      <c r="F25" s="21">
        <v>2002.68</v>
      </c>
      <c r="G25" s="85"/>
      <c r="H25" s="96" t="s">
        <v>57</v>
      </c>
      <c r="I25" s="99">
        <v>806.48</v>
      </c>
      <c r="J25" s="105">
        <v>636.73</v>
      </c>
      <c r="K25" s="118">
        <v>508.63</v>
      </c>
      <c r="L25" s="112">
        <v>501.3</v>
      </c>
      <c r="M25" s="112">
        <v>481.95</v>
      </c>
      <c r="N25" s="85"/>
      <c r="O25" s="85"/>
      <c r="P25" s="85"/>
      <c r="Q25" s="85"/>
      <c r="R25" s="85"/>
    </row>
    <row r="26" spans="1:18" ht="19.25" customHeight="1" x14ac:dyDescent="0.35">
      <c r="A26" s="7" t="s">
        <v>22</v>
      </c>
      <c r="B26" s="32">
        <v>2869.54</v>
      </c>
      <c r="C26" s="20">
        <v>2880.76</v>
      </c>
      <c r="D26" s="26">
        <v>2607.9499999999998</v>
      </c>
      <c r="E26" s="32">
        <v>2569.69</v>
      </c>
      <c r="F26" s="20">
        <v>2332.17</v>
      </c>
      <c r="G26" s="85"/>
      <c r="H26" s="96" t="s">
        <v>58</v>
      </c>
      <c r="I26" s="99">
        <v>260.52999999999997</v>
      </c>
      <c r="J26" s="105">
        <v>249.89</v>
      </c>
      <c r="K26" s="118">
        <v>214.01</v>
      </c>
      <c r="L26" s="112">
        <v>186</v>
      </c>
      <c r="M26" s="112">
        <v>187.84</v>
      </c>
      <c r="N26" s="85"/>
      <c r="O26" s="85"/>
      <c r="P26" s="85"/>
      <c r="Q26" s="85"/>
      <c r="R26" s="85"/>
    </row>
    <row r="27" spans="1:18" ht="16.05" customHeight="1" x14ac:dyDescent="0.35">
      <c r="A27" s="7" t="s">
        <v>23</v>
      </c>
      <c r="B27" s="31">
        <v>163.5</v>
      </c>
      <c r="C27" s="19">
        <v>124.18</v>
      </c>
      <c r="D27" s="25">
        <v>78.239999999999995</v>
      </c>
      <c r="E27" s="31">
        <v>38.6</v>
      </c>
      <c r="F27" s="19">
        <v>30.81</v>
      </c>
      <c r="G27" s="85"/>
      <c r="H27" s="90" t="s">
        <v>59</v>
      </c>
      <c r="I27" s="103">
        <v>4318.4399999999996</v>
      </c>
      <c r="J27" s="109">
        <v>3930.43</v>
      </c>
      <c r="K27" s="122">
        <v>3609.43</v>
      </c>
      <c r="L27" s="116">
        <v>3322.54</v>
      </c>
      <c r="M27" s="116">
        <v>2934.19</v>
      </c>
      <c r="N27" s="85"/>
      <c r="O27" s="85"/>
      <c r="P27" s="85"/>
      <c r="Q27" s="85"/>
      <c r="R27" s="85"/>
    </row>
    <row r="28" spans="1:18" ht="19.25" customHeight="1" x14ac:dyDescent="0.35">
      <c r="A28" s="7" t="s">
        <v>24</v>
      </c>
      <c r="B28" s="32">
        <v>2706.04</v>
      </c>
      <c r="C28" s="20">
        <v>2756.58</v>
      </c>
      <c r="D28" s="26">
        <v>2529.71</v>
      </c>
      <c r="E28" s="32">
        <v>2531.09</v>
      </c>
      <c r="F28" s="20">
        <v>2301.36</v>
      </c>
      <c r="G28" s="85"/>
      <c r="H28" s="90" t="s">
        <v>60</v>
      </c>
      <c r="I28" s="103">
        <v>16232.28</v>
      </c>
      <c r="J28" s="109">
        <v>15122.68</v>
      </c>
      <c r="K28" s="122">
        <v>13654.37</v>
      </c>
      <c r="L28" s="116">
        <v>12284.53</v>
      </c>
      <c r="M28" s="116">
        <v>10847.13</v>
      </c>
      <c r="N28" s="85"/>
      <c r="O28" s="85"/>
      <c r="P28" s="85"/>
      <c r="Q28" s="85"/>
      <c r="R28" s="85"/>
    </row>
    <row r="29" spans="1:18" ht="19.25" customHeight="1" x14ac:dyDescent="0.35">
      <c r="A29" s="7" t="s">
        <v>25</v>
      </c>
      <c r="B29" s="31">
        <v>445.6</v>
      </c>
      <c r="C29" s="19">
        <v>399.21</v>
      </c>
      <c r="D29" s="25">
        <v>310.95999999999998</v>
      </c>
      <c r="E29" s="31">
        <v>252.89</v>
      </c>
      <c r="F29" s="19">
        <v>240.13</v>
      </c>
      <c r="G29" s="85"/>
      <c r="H29" s="94" t="s">
        <v>61</v>
      </c>
      <c r="I29" s="100"/>
      <c r="J29" s="106"/>
      <c r="K29" s="119"/>
      <c r="L29" s="113"/>
      <c r="M29" s="113"/>
      <c r="N29" s="85"/>
      <c r="O29" s="85"/>
      <c r="P29" s="85"/>
      <c r="Q29" s="85"/>
      <c r="R29" s="85"/>
    </row>
    <row r="30" spans="1:18" ht="19.25" customHeight="1" x14ac:dyDescent="0.35">
      <c r="A30" s="7" t="s">
        <v>26</v>
      </c>
      <c r="B30" s="32">
        <v>2260.44</v>
      </c>
      <c r="C30" s="20">
        <v>2357.37</v>
      </c>
      <c r="D30" s="26">
        <v>2218.75</v>
      </c>
      <c r="E30" s="32">
        <v>2278.1999999999998</v>
      </c>
      <c r="F30" s="20">
        <v>2061.23</v>
      </c>
      <c r="G30" s="85"/>
      <c r="H30" s="94" t="s">
        <v>62</v>
      </c>
      <c r="I30" s="100"/>
      <c r="J30" s="106"/>
      <c r="K30" s="119"/>
      <c r="L30" s="113"/>
      <c r="M30" s="113"/>
      <c r="N30" s="85"/>
      <c r="O30" s="85"/>
      <c r="P30" s="85"/>
      <c r="Q30" s="85"/>
      <c r="R30" s="85"/>
    </row>
    <row r="31" spans="1:18" x14ac:dyDescent="0.35">
      <c r="A31" s="7" t="s">
        <v>27</v>
      </c>
      <c r="B31" s="32">
        <v>2260.44</v>
      </c>
      <c r="C31" s="20">
        <v>2357.37</v>
      </c>
      <c r="D31" s="26">
        <v>2218.75</v>
      </c>
      <c r="E31" s="32">
        <v>2278.1999999999998</v>
      </c>
      <c r="F31" s="20">
        <v>2061.23</v>
      </c>
      <c r="G31" s="85"/>
      <c r="H31" s="96" t="s">
        <v>63</v>
      </c>
      <c r="I31" s="102">
        <v>2843.38</v>
      </c>
      <c r="J31" s="108">
        <v>2606.39</v>
      </c>
      <c r="K31" s="121">
        <v>2284.67</v>
      </c>
      <c r="L31" s="115">
        <v>2017.02</v>
      </c>
      <c r="M31" s="115">
        <v>1862.2</v>
      </c>
      <c r="N31" s="85"/>
      <c r="O31" s="85"/>
      <c r="P31" s="85"/>
      <c r="Q31" s="85"/>
      <c r="R31" s="85"/>
    </row>
    <row r="32" spans="1:18" ht="19.25" customHeight="1" x14ac:dyDescent="0.35">
      <c r="A32" s="7" t="s">
        <v>28</v>
      </c>
      <c r="B32" s="31">
        <v>517.47</v>
      </c>
      <c r="C32" s="19">
        <v>547.42999999999995</v>
      </c>
      <c r="D32" s="25">
        <v>517.35</v>
      </c>
      <c r="E32" s="31">
        <v>526.38</v>
      </c>
      <c r="F32" s="19">
        <v>361.07</v>
      </c>
      <c r="G32" s="85"/>
      <c r="H32" s="96" t="s">
        <v>64</v>
      </c>
      <c r="I32" s="99">
        <v>741.22</v>
      </c>
      <c r="J32" s="105">
        <v>803.49</v>
      </c>
      <c r="K32" s="118">
        <v>888.73</v>
      </c>
      <c r="L32" s="112">
        <v>39.729999999999997</v>
      </c>
      <c r="M32" s="112">
        <v>44.71</v>
      </c>
      <c r="N32" s="85"/>
      <c r="O32" s="85"/>
      <c r="P32" s="85"/>
      <c r="Q32" s="85"/>
      <c r="R32" s="85"/>
    </row>
    <row r="33" spans="1:18" ht="16.05" customHeight="1" x14ac:dyDescent="0.35">
      <c r="A33" s="8" t="s">
        <v>29</v>
      </c>
      <c r="B33" s="51">
        <v>1767.08</v>
      </c>
      <c r="C33" s="21">
        <v>1843.19</v>
      </c>
      <c r="D33" s="27">
        <v>1708.78</v>
      </c>
      <c r="E33" s="51">
        <v>1741.02</v>
      </c>
      <c r="F33" s="21">
        <v>1694.31</v>
      </c>
      <c r="G33" s="85"/>
      <c r="H33" s="96" t="s">
        <v>65</v>
      </c>
      <c r="I33" s="99">
        <v>166.41</v>
      </c>
      <c r="J33" s="105">
        <v>209.09</v>
      </c>
      <c r="K33" s="118">
        <v>175.13</v>
      </c>
      <c r="L33" s="112">
        <v>167.5</v>
      </c>
      <c r="M33" s="112">
        <v>147.30000000000001</v>
      </c>
      <c r="N33" s="85"/>
      <c r="O33" s="85"/>
      <c r="P33" s="85"/>
      <c r="Q33" s="85"/>
      <c r="R33" s="85"/>
    </row>
    <row r="34" spans="1:18" ht="24" customHeight="1" x14ac:dyDescent="0.35">
      <c r="A34" s="7" t="s">
        <v>31</v>
      </c>
      <c r="B34" s="31">
        <v>-0.55000000000000004</v>
      </c>
      <c r="C34" s="19">
        <v>0.51</v>
      </c>
      <c r="D34" s="25">
        <v>1.63</v>
      </c>
      <c r="E34" s="31">
        <v>1.8</v>
      </c>
      <c r="F34" s="19">
        <v>1.01</v>
      </c>
      <c r="G34" s="85"/>
      <c r="H34" s="96" t="s">
        <v>66</v>
      </c>
      <c r="I34" s="99">
        <v>2.58</v>
      </c>
      <c r="J34" s="105">
        <v>23.14</v>
      </c>
      <c r="K34" s="118">
        <v>0</v>
      </c>
      <c r="L34" s="112">
        <v>0</v>
      </c>
      <c r="M34" s="112">
        <v>0</v>
      </c>
      <c r="N34" s="85"/>
      <c r="O34" s="85"/>
      <c r="P34" s="85"/>
      <c r="Q34" s="85"/>
      <c r="R34" s="85"/>
    </row>
    <row r="35" spans="1:18" ht="23.25" x14ac:dyDescent="0.35">
      <c r="A35" s="7" t="s">
        <v>32</v>
      </c>
      <c r="B35" s="32">
        <v>1740.42</v>
      </c>
      <c r="C35" s="20">
        <v>1811.31</v>
      </c>
      <c r="D35" s="26">
        <v>1701.33</v>
      </c>
      <c r="E35" s="32">
        <v>1827.3</v>
      </c>
      <c r="F35" s="20">
        <v>1694.95</v>
      </c>
      <c r="G35" s="85"/>
      <c r="H35" s="90" t="s">
        <v>67</v>
      </c>
      <c r="I35" s="103">
        <v>3753.59</v>
      </c>
      <c r="J35" s="109">
        <v>3642.11</v>
      </c>
      <c r="K35" s="122">
        <v>3348.53</v>
      </c>
      <c r="L35" s="116">
        <v>2224.25</v>
      </c>
      <c r="M35" s="116">
        <v>2054.21</v>
      </c>
      <c r="N35" s="85"/>
      <c r="O35" s="85"/>
      <c r="P35" s="85"/>
      <c r="Q35" s="85"/>
      <c r="R35" s="85"/>
    </row>
    <row r="36" spans="1:18" ht="16.05" customHeight="1" x14ac:dyDescent="0.35">
      <c r="A36" s="7" t="s">
        <v>33</v>
      </c>
      <c r="B36" s="32">
        <v>3663.26</v>
      </c>
      <c r="C36" s="20">
        <v>3507.37</v>
      </c>
      <c r="D36" s="26">
        <v>3049.68</v>
      </c>
      <c r="E36" s="32">
        <v>2958.23</v>
      </c>
      <c r="F36" s="20">
        <v>2737.12</v>
      </c>
      <c r="G36" s="85"/>
      <c r="H36" s="96" t="s">
        <v>68</v>
      </c>
      <c r="I36" s="102">
        <v>5380.31</v>
      </c>
      <c r="J36" s="108">
        <v>5266.09</v>
      </c>
      <c r="K36" s="121">
        <v>5528.79</v>
      </c>
      <c r="L36" s="115">
        <v>5365.06</v>
      </c>
      <c r="M36" s="115">
        <v>3413.62</v>
      </c>
      <c r="N36" s="85"/>
      <c r="O36" s="85"/>
      <c r="P36" s="85"/>
      <c r="Q36" s="85"/>
      <c r="R36" s="85"/>
    </row>
    <row r="37" spans="1:18" ht="16.05" customHeight="1" x14ac:dyDescent="0.35">
      <c r="A37" s="7" t="s">
        <v>34</v>
      </c>
      <c r="B37" s="31">
        <v>974.78</v>
      </c>
      <c r="C37" s="19">
        <v>965.76</v>
      </c>
      <c r="D37" s="25">
        <v>921.31</v>
      </c>
      <c r="E37" s="31">
        <v>972.32</v>
      </c>
      <c r="F37" s="19">
        <v>592.09</v>
      </c>
      <c r="G37" s="85"/>
      <c r="H37" s="96" t="s">
        <v>69</v>
      </c>
      <c r="I37" s="99">
        <v>2.5299999999999998</v>
      </c>
      <c r="J37" s="105">
        <v>6.32</v>
      </c>
      <c r="K37" s="118">
        <v>2.09</v>
      </c>
      <c r="L37" s="112">
        <v>0.67</v>
      </c>
      <c r="M37" s="112">
        <v>17.95</v>
      </c>
      <c r="N37" s="85"/>
      <c r="O37" s="85"/>
      <c r="P37" s="85"/>
      <c r="Q37" s="85"/>
      <c r="R37" s="85"/>
    </row>
    <row r="38" spans="1:18" ht="24" customHeight="1" x14ac:dyDescent="0.35">
      <c r="A38" s="8" t="s">
        <v>35</v>
      </c>
      <c r="B38" s="4"/>
      <c r="C38" s="22"/>
      <c r="D38" s="24"/>
      <c r="E38" s="50"/>
      <c r="F38" s="22"/>
      <c r="G38" s="85"/>
      <c r="H38" s="96" t="s">
        <v>70</v>
      </c>
      <c r="I38" s="99">
        <v>0</v>
      </c>
      <c r="J38" s="105">
        <v>0</v>
      </c>
      <c r="K38" s="118">
        <v>0</v>
      </c>
      <c r="L38" s="112">
        <v>0</v>
      </c>
      <c r="M38" s="112">
        <v>22.48</v>
      </c>
      <c r="N38" s="85"/>
      <c r="O38" s="85"/>
      <c r="P38" s="85"/>
      <c r="Q38" s="85"/>
      <c r="R38" s="85"/>
    </row>
    <row r="39" spans="1:18" ht="16.05" customHeight="1" x14ac:dyDescent="0.35">
      <c r="A39" s="7" t="s">
        <v>36</v>
      </c>
      <c r="B39" s="32">
        <v>17723.18</v>
      </c>
      <c r="C39" s="20">
        <v>17720.39</v>
      </c>
      <c r="D39" s="26">
        <v>17717.63</v>
      </c>
      <c r="E39" s="32">
        <v>17678.560000000001</v>
      </c>
      <c r="F39" s="20">
        <v>17674.25</v>
      </c>
      <c r="G39" s="85"/>
      <c r="H39" s="96" t="s">
        <v>71</v>
      </c>
      <c r="I39" s="99">
        <v>158.30000000000001</v>
      </c>
      <c r="J39" s="105">
        <v>123.42</v>
      </c>
      <c r="K39" s="118">
        <v>120.75</v>
      </c>
      <c r="L39" s="112">
        <v>126.56</v>
      </c>
      <c r="M39" s="112">
        <v>226.92</v>
      </c>
      <c r="N39" s="85"/>
      <c r="O39" s="85"/>
      <c r="P39" s="85"/>
      <c r="Q39" s="85"/>
      <c r="R39" s="85"/>
    </row>
    <row r="40" spans="1:18" ht="16.05" customHeight="1" x14ac:dyDescent="0.35">
      <c r="A40" s="8" t="s">
        <v>37</v>
      </c>
      <c r="B40" s="50">
        <v>9.9700000000000006</v>
      </c>
      <c r="C40" s="22">
        <v>10.4</v>
      </c>
      <c r="D40" s="24">
        <v>9.64</v>
      </c>
      <c r="E40" s="50">
        <v>9.85</v>
      </c>
      <c r="F40" s="22">
        <v>9.59</v>
      </c>
      <c r="G40" s="85"/>
      <c r="H40" s="90" t="s">
        <v>72</v>
      </c>
      <c r="I40" s="103">
        <v>9699.82</v>
      </c>
      <c r="J40" s="109">
        <v>9443.06</v>
      </c>
      <c r="K40" s="122">
        <v>9405.41</v>
      </c>
      <c r="L40" s="116">
        <v>7967.69</v>
      </c>
      <c r="M40" s="116">
        <v>6071.19</v>
      </c>
      <c r="N40" s="85"/>
      <c r="O40" s="85"/>
      <c r="P40" s="85"/>
      <c r="Q40" s="85"/>
      <c r="R40" s="85"/>
    </row>
    <row r="41" spans="1:18" ht="14.55" customHeight="1" x14ac:dyDescent="0.35">
      <c r="A41" s="10" t="s">
        <v>38</v>
      </c>
      <c r="B41" s="34">
        <v>60.94</v>
      </c>
      <c r="C41" s="23">
        <v>55.68</v>
      </c>
      <c r="D41" s="28">
        <v>50.31</v>
      </c>
      <c r="E41" s="34">
        <v>46.57</v>
      </c>
      <c r="F41" s="23">
        <v>43.36</v>
      </c>
      <c r="G41" s="85"/>
      <c r="H41" s="94" t="s">
        <v>73</v>
      </c>
      <c r="I41" s="100"/>
      <c r="J41" s="106"/>
      <c r="K41" s="119"/>
      <c r="L41" s="113"/>
      <c r="M41" s="113"/>
      <c r="N41" s="85"/>
      <c r="O41" s="85"/>
      <c r="P41" s="85"/>
      <c r="Q41" s="85"/>
      <c r="R41" s="85"/>
    </row>
    <row r="42" spans="1:18" ht="16.05" customHeight="1" x14ac:dyDescent="0.35">
      <c r="H42" s="96" t="s">
        <v>74</v>
      </c>
      <c r="I42" s="102">
        <v>2087.5500000000002</v>
      </c>
      <c r="J42" s="108">
        <v>1666.6</v>
      </c>
      <c r="K42" s="118">
        <v>736.47</v>
      </c>
      <c r="L42" s="112">
        <v>854.56</v>
      </c>
      <c r="M42" s="112">
        <v>746.01</v>
      </c>
      <c r="N42" s="74">
        <v>43891</v>
      </c>
      <c r="O42" s="85"/>
      <c r="P42" s="85"/>
      <c r="Q42" s="85"/>
      <c r="R42" s="85"/>
    </row>
    <row r="43" spans="1:18" x14ac:dyDescent="0.35">
      <c r="H43" s="96" t="s">
        <v>75</v>
      </c>
      <c r="I43" s="102">
        <v>2300.11</v>
      </c>
      <c r="J43" s="108">
        <v>1946.97</v>
      </c>
      <c r="K43" s="121">
        <v>2024.2</v>
      </c>
      <c r="L43" s="115">
        <v>1911.37</v>
      </c>
      <c r="M43" s="115">
        <v>1734.28</v>
      </c>
      <c r="N43" s="73">
        <v>1379.57</v>
      </c>
      <c r="O43" s="85"/>
      <c r="P43" s="85"/>
      <c r="Q43" s="85"/>
      <c r="R43" s="85"/>
    </row>
    <row r="44" spans="1:18" ht="16.05" customHeight="1" x14ac:dyDescent="0.35">
      <c r="H44" s="96" t="s">
        <v>76</v>
      </c>
      <c r="I44" s="99">
        <v>888.5</v>
      </c>
      <c r="J44" s="105">
        <v>898.72</v>
      </c>
      <c r="K44" s="118">
        <v>848.75</v>
      </c>
      <c r="L44" s="112">
        <v>646.15</v>
      </c>
      <c r="M44" s="112">
        <v>561.58000000000004</v>
      </c>
      <c r="N44" s="73">
        <v>813.89</v>
      </c>
      <c r="O44" s="85"/>
      <c r="P44" s="85"/>
      <c r="Q44" s="85"/>
      <c r="R44" s="85"/>
    </row>
    <row r="45" spans="1:18" ht="16.05" customHeight="1" x14ac:dyDescent="0.35">
      <c r="H45" s="96" t="s">
        <v>77</v>
      </c>
      <c r="I45" s="99">
        <v>578.01</v>
      </c>
      <c r="J45" s="105">
        <v>666.36</v>
      </c>
      <c r="K45" s="118">
        <v>325.92</v>
      </c>
      <c r="L45" s="112">
        <v>570.14</v>
      </c>
      <c r="M45" s="115">
        <v>1329.03</v>
      </c>
      <c r="N45" s="85"/>
      <c r="O45" s="85"/>
      <c r="P45" s="85"/>
      <c r="Q45" s="85"/>
      <c r="R45" s="85"/>
    </row>
    <row r="46" spans="1:18" ht="24" customHeight="1" x14ac:dyDescent="0.35">
      <c r="H46" s="96" t="s">
        <v>78</v>
      </c>
      <c r="I46" s="99">
        <v>0</v>
      </c>
      <c r="J46" s="105">
        <v>0</v>
      </c>
      <c r="K46" s="118">
        <v>0</v>
      </c>
      <c r="L46" s="112">
        <v>0</v>
      </c>
      <c r="M46" s="112">
        <v>14.46</v>
      </c>
      <c r="N46" s="85"/>
      <c r="O46" s="85"/>
      <c r="P46" s="85"/>
      <c r="Q46" s="85"/>
      <c r="R46" s="85"/>
    </row>
    <row r="47" spans="1:18" ht="16.05" customHeight="1" x14ac:dyDescent="0.35">
      <c r="H47" s="96" t="s">
        <v>79</v>
      </c>
      <c r="I47" s="99">
        <v>678.29</v>
      </c>
      <c r="J47" s="105">
        <v>500.97</v>
      </c>
      <c r="K47" s="118">
        <v>313.62</v>
      </c>
      <c r="L47" s="112">
        <v>334.62</v>
      </c>
      <c r="M47" s="112">
        <v>390.58</v>
      </c>
      <c r="N47" s="85"/>
      <c r="O47" s="85"/>
      <c r="P47" s="85"/>
      <c r="Q47" s="85"/>
      <c r="R47" s="85"/>
    </row>
    <row r="48" spans="1:18" ht="16.05" customHeight="1" x14ac:dyDescent="0.35">
      <c r="H48" s="90" t="s">
        <v>80</v>
      </c>
      <c r="I48" s="103">
        <v>6532.46</v>
      </c>
      <c r="J48" s="109">
        <v>5679.62</v>
      </c>
      <c r="K48" s="122">
        <v>4248.96</v>
      </c>
      <c r="L48" s="116">
        <v>4316.84</v>
      </c>
      <c r="M48" s="116">
        <v>4775.9399999999996</v>
      </c>
      <c r="N48" s="85"/>
      <c r="O48" s="85"/>
      <c r="P48" s="85"/>
      <c r="Q48" s="85"/>
      <c r="R48" s="85"/>
    </row>
    <row r="49" spans="8:18" x14ac:dyDescent="0.35">
      <c r="H49" s="90" t="s">
        <v>81</v>
      </c>
      <c r="I49" s="103">
        <v>16232.28</v>
      </c>
      <c r="J49" s="109">
        <v>15122.68</v>
      </c>
      <c r="K49" s="122">
        <v>13654.37</v>
      </c>
      <c r="L49" s="116">
        <v>12284.53</v>
      </c>
      <c r="M49" s="116">
        <v>10847.13</v>
      </c>
      <c r="N49" s="85"/>
      <c r="O49" s="85"/>
      <c r="P49" s="85"/>
      <c r="Q49" s="85"/>
      <c r="R49" s="85"/>
    </row>
    <row r="50" spans="8:18" ht="16.05" customHeight="1" x14ac:dyDescent="0.35">
      <c r="H50" s="94" t="s">
        <v>82</v>
      </c>
      <c r="I50" s="100"/>
      <c r="J50" s="106"/>
      <c r="K50" s="119"/>
      <c r="L50" s="113"/>
      <c r="M50" s="113"/>
      <c r="N50" s="85"/>
      <c r="O50" s="85"/>
      <c r="P50" s="85"/>
      <c r="Q50" s="85"/>
      <c r="R50" s="85"/>
    </row>
    <row r="51" spans="8:18" ht="16.05" customHeight="1" x14ac:dyDescent="0.35">
      <c r="H51" s="94" t="s">
        <v>83</v>
      </c>
      <c r="I51" s="100"/>
      <c r="J51" s="106"/>
      <c r="K51" s="119"/>
      <c r="L51" s="113"/>
      <c r="M51" s="113"/>
      <c r="N51" s="85"/>
      <c r="O51" s="85"/>
      <c r="P51" s="85"/>
      <c r="Q51" s="85"/>
      <c r="R51" s="85"/>
    </row>
    <row r="52" spans="8:18" ht="16.05" customHeight="1" x14ac:dyDescent="0.35">
      <c r="H52" s="96" t="s">
        <v>84</v>
      </c>
      <c r="I52" s="99">
        <v>754.11</v>
      </c>
      <c r="J52" s="105">
        <v>593.44000000000005</v>
      </c>
      <c r="K52" s="118">
        <v>521.73</v>
      </c>
      <c r="L52" s="112">
        <v>555.05999999999995</v>
      </c>
      <c r="M52" s="112">
        <v>347.77</v>
      </c>
      <c r="N52" s="85"/>
      <c r="O52" s="85"/>
      <c r="P52" s="85"/>
      <c r="Q52" s="85"/>
      <c r="R52" s="85"/>
    </row>
    <row r="53" spans="8:18" ht="14.55" customHeight="1" x14ac:dyDescent="0.35">
      <c r="H53" s="94" t="s">
        <v>85</v>
      </c>
      <c r="I53" s="100"/>
      <c r="J53" s="106"/>
      <c r="K53" s="119"/>
      <c r="L53" s="113"/>
      <c r="M53" s="113"/>
      <c r="N53" s="85"/>
      <c r="O53" s="85"/>
      <c r="P53" s="85"/>
      <c r="Q53" s="85"/>
      <c r="R53" s="85"/>
    </row>
    <row r="54" spans="8:18" ht="16.05" customHeight="1" x14ac:dyDescent="0.35">
      <c r="H54" s="96" t="s">
        <v>86</v>
      </c>
      <c r="I54" s="99">
        <v>163.22999999999999</v>
      </c>
      <c r="J54" s="105">
        <v>163.22999999999999</v>
      </c>
      <c r="K54" s="118">
        <v>163.22999999999999</v>
      </c>
      <c r="L54" s="112">
        <v>163.22999999999999</v>
      </c>
      <c r="M54" s="112">
        <v>163.22999999999999</v>
      </c>
      <c r="N54" s="85"/>
      <c r="O54" s="85"/>
      <c r="P54" s="85"/>
      <c r="Q54" s="85"/>
      <c r="R54" s="85"/>
    </row>
    <row r="55" spans="8:18" ht="14.55" customHeight="1" x14ac:dyDescent="0.35">
      <c r="H55" s="94" t="s">
        <v>87</v>
      </c>
      <c r="I55" s="100"/>
      <c r="J55" s="106"/>
      <c r="K55" s="119"/>
      <c r="L55" s="113"/>
      <c r="M55" s="113"/>
      <c r="N55" s="85"/>
      <c r="O55" s="85"/>
      <c r="P55" s="85"/>
      <c r="Q55" s="85"/>
      <c r="R55" s="85"/>
    </row>
    <row r="56" spans="8:18" ht="32" customHeight="1" x14ac:dyDescent="0.35">
      <c r="H56" s="96" t="s">
        <v>88</v>
      </c>
      <c r="I56" s="102">
        <v>4167.16</v>
      </c>
      <c r="J56" s="108">
        <v>4337.9399999999996</v>
      </c>
      <c r="K56" s="121">
        <v>4652.16</v>
      </c>
      <c r="L56" s="115">
        <v>4229.01</v>
      </c>
      <c r="M56" s="115">
        <v>3024.07</v>
      </c>
      <c r="N56" s="85"/>
      <c r="O56" s="85"/>
      <c r="P56" s="85"/>
      <c r="Q56" s="85"/>
      <c r="R56" s="85"/>
    </row>
    <row r="57" spans="8:18" ht="32" customHeight="1" x14ac:dyDescent="0.35">
      <c r="H57" s="96" t="s">
        <v>89</v>
      </c>
      <c r="I57" s="102">
        <v>1212.48</v>
      </c>
      <c r="J57" s="105">
        <v>927.81</v>
      </c>
      <c r="K57" s="118">
        <v>888.85</v>
      </c>
      <c r="L57" s="115">
        <v>1142.1600000000001</v>
      </c>
      <c r="M57" s="112">
        <v>387.9</v>
      </c>
      <c r="N57" s="85"/>
      <c r="O57" s="85"/>
      <c r="P57" s="85"/>
      <c r="Q57" s="85"/>
      <c r="R57" s="85"/>
    </row>
    <row r="58" spans="8:18" ht="14.55" customHeight="1" x14ac:dyDescent="0.35">
      <c r="H58" s="94" t="s">
        <v>90</v>
      </c>
      <c r="I58" s="100"/>
      <c r="J58" s="106"/>
      <c r="K58" s="119"/>
      <c r="L58" s="113"/>
      <c r="M58" s="113"/>
      <c r="N58" s="85"/>
      <c r="O58" s="85"/>
      <c r="P58" s="85"/>
      <c r="Q58" s="85"/>
      <c r="R58" s="85"/>
    </row>
    <row r="59" spans="8:18" ht="32" customHeight="1" x14ac:dyDescent="0.35">
      <c r="H59" s="96" t="s">
        <v>98</v>
      </c>
      <c r="I59" s="102">
        <v>1628.36</v>
      </c>
      <c r="J59" s="108">
        <v>1286.3499999999999</v>
      </c>
      <c r="K59" s="118">
        <v>275.14999999999998</v>
      </c>
      <c r="L59" s="112">
        <v>678.49</v>
      </c>
      <c r="M59" s="112">
        <v>451.14</v>
      </c>
      <c r="N59" s="85"/>
      <c r="O59" s="85"/>
      <c r="P59" s="85"/>
      <c r="Q59" s="85"/>
      <c r="R59" s="85"/>
    </row>
    <row r="60" spans="8:18" ht="32" customHeight="1" x14ac:dyDescent="0.35">
      <c r="H60" s="97" t="s">
        <v>91</v>
      </c>
      <c r="I60" s="104">
        <v>459.18</v>
      </c>
      <c r="J60" s="110">
        <v>380.25</v>
      </c>
      <c r="K60" s="123">
        <v>462.83</v>
      </c>
      <c r="L60" s="117">
        <v>166.67</v>
      </c>
      <c r="M60" s="117">
        <v>320.19</v>
      </c>
      <c r="N60" s="85"/>
      <c r="O60" s="85"/>
      <c r="P60" s="85"/>
      <c r="Q60" s="85"/>
      <c r="R60" s="85"/>
    </row>
    <row r="61" spans="8:18" x14ac:dyDescent="0.35">
      <c r="H61" s="86"/>
      <c r="I61" s="87"/>
      <c r="J61" s="85"/>
      <c r="K61" s="85"/>
      <c r="L61" s="85"/>
      <c r="M61" s="85"/>
      <c r="N61" s="85"/>
      <c r="O61" s="85"/>
      <c r="P61" s="85"/>
      <c r="Q61" s="85"/>
      <c r="R61" s="85"/>
    </row>
    <row r="62" spans="8:18" x14ac:dyDescent="0.35">
      <c r="H62" s="88"/>
      <c r="I62" s="88"/>
      <c r="J62" s="88"/>
      <c r="K62" s="88"/>
      <c r="L62" s="88"/>
      <c r="M62" s="88"/>
      <c r="N62" s="85"/>
      <c r="O62" s="85"/>
      <c r="P62" s="85"/>
      <c r="Q62" s="85"/>
      <c r="R62" s="85"/>
    </row>
    <row r="63" spans="8:18" x14ac:dyDescent="0.35">
      <c r="H63" s="88"/>
      <c r="I63" s="88"/>
      <c r="J63" s="88"/>
      <c r="K63" s="88"/>
      <c r="L63" s="88"/>
      <c r="M63" s="88"/>
      <c r="N63" s="85"/>
      <c r="O63" s="85"/>
      <c r="P63" s="85"/>
      <c r="Q63" s="85"/>
      <c r="R63" s="85"/>
    </row>
    <row r="64" spans="8:18" ht="14.55" customHeight="1" x14ac:dyDescent="0.35">
      <c r="H64" s="89"/>
      <c r="I64" s="89"/>
      <c r="J64" s="89"/>
      <c r="K64" s="89"/>
      <c r="L64" s="89"/>
      <c r="M64" s="89"/>
      <c r="N64" s="85"/>
      <c r="O64" s="85"/>
      <c r="P64" s="85"/>
      <c r="Q64" s="85"/>
      <c r="R64" s="85"/>
    </row>
    <row r="65" spans="8:18" x14ac:dyDescent="0.35">
      <c r="H65" s="88"/>
      <c r="I65" s="88"/>
      <c r="J65" s="88"/>
      <c r="K65" s="88"/>
      <c r="L65" s="88"/>
      <c r="M65" s="88"/>
      <c r="N65" s="85"/>
      <c r="O65" s="85"/>
      <c r="P65" s="85"/>
      <c r="Q65" s="85"/>
      <c r="R65" s="85"/>
    </row>
  </sheetData>
  <mergeCells count="4">
    <mergeCell ref="B2:F2"/>
    <mergeCell ref="A1:F1"/>
    <mergeCell ref="H1:M1"/>
    <mergeCell ref="I2:M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A82B-E35C-446C-BFA6-CECB6DC3B11E}">
  <sheetPr>
    <tabColor rgb="FF0070C0"/>
  </sheetPr>
  <dimension ref="A1:H40"/>
  <sheetViews>
    <sheetView showGridLines="0" zoomScale="96" zoomScaleNormal="96" workbookViewId="0">
      <pane ySplit="2" topLeftCell="A3" activePane="bottomLeft" state="frozen"/>
      <selection pane="bottomLeft" activeCell="I9" sqref="I9"/>
    </sheetView>
  </sheetViews>
  <sheetFormatPr defaultColWidth="8.73046875" defaultRowHeight="13.15" x14ac:dyDescent="0.4"/>
  <cols>
    <col min="1" max="1" width="22.59765625" style="2" bestFit="1" customWidth="1"/>
    <col min="2" max="2" width="54.73046875" style="2" bestFit="1" customWidth="1"/>
    <col min="3" max="3" width="11.265625" style="2" bestFit="1" customWidth="1"/>
    <col min="4" max="7" width="10.796875" style="2" bestFit="1" customWidth="1"/>
    <col min="8" max="16384" width="8.73046875" style="2"/>
  </cols>
  <sheetData>
    <row r="1" spans="1:7" ht="15" x14ac:dyDescent="0.4">
      <c r="A1" s="140" t="s">
        <v>184</v>
      </c>
      <c r="B1" s="140"/>
      <c r="C1" s="140"/>
      <c r="D1" s="140"/>
      <c r="E1" s="140"/>
      <c r="F1" s="140"/>
      <c r="G1" s="140"/>
    </row>
    <row r="2" spans="1:7" x14ac:dyDescent="0.4">
      <c r="A2" s="14" t="s">
        <v>102</v>
      </c>
      <c r="B2" s="14" t="s">
        <v>114</v>
      </c>
      <c r="C2" s="14">
        <v>2025</v>
      </c>
      <c r="D2" s="14">
        <v>2024</v>
      </c>
      <c r="E2" s="14">
        <v>2023</v>
      </c>
      <c r="F2" s="14">
        <v>2022</v>
      </c>
      <c r="G2" s="14">
        <v>2021</v>
      </c>
    </row>
    <row r="3" spans="1:7" x14ac:dyDescent="0.4">
      <c r="A3" s="141" t="s">
        <v>167</v>
      </c>
      <c r="B3" s="141"/>
      <c r="C3" s="141"/>
      <c r="D3" s="141"/>
      <c r="E3" s="141"/>
      <c r="F3" s="141"/>
      <c r="G3" s="141"/>
    </row>
    <row r="4" spans="1:7" x14ac:dyDescent="0.4">
      <c r="A4" s="13" t="s">
        <v>168</v>
      </c>
      <c r="B4" s="13" t="s">
        <v>170</v>
      </c>
      <c r="C4" s="64">
        <f>'Dabur India'!I48/'Dabur India'!I27</f>
        <v>1.5126897676012636</v>
      </c>
      <c r="D4" s="64">
        <f>'Dabur India'!J48/'Dabur India'!J27</f>
        <v>1.4450378202893832</v>
      </c>
      <c r="E4" s="64">
        <f>'Dabur India'!K48/'Dabur India'!K27</f>
        <v>1.1771831009328344</v>
      </c>
      <c r="F4" s="64">
        <f>'Dabur India'!L48/'Dabur India'!L27</f>
        <v>1.2992590006440856</v>
      </c>
      <c r="G4" s="64">
        <f>'Dabur India'!M48/'Dabur India'!M27</f>
        <v>1.6276860053370776</v>
      </c>
    </row>
    <row r="5" spans="1:7" x14ac:dyDescent="0.4">
      <c r="A5" s="13" t="s">
        <v>169</v>
      </c>
      <c r="B5" s="13" t="s">
        <v>171</v>
      </c>
      <c r="C5" s="64">
        <f>('Dabur India'!I48-'Dabur India'!I43)/'Dabur India'!I27</f>
        <v>0.98006456035049716</v>
      </c>
      <c r="D5" s="64">
        <f>('Dabur India'!J48-'Dabur India'!J43)/'Dabur India'!J27</f>
        <v>0.94967980602631263</v>
      </c>
      <c r="E5" s="64">
        <f>('Dabur India'!K48-'Dabur India'!K43)/'Dabur India'!K27</f>
        <v>0.61637433057297142</v>
      </c>
      <c r="F5" s="64">
        <f>('Dabur India'!L48-'Dabur India'!L43)/'Dabur India'!L27</f>
        <v>0.72398526428575738</v>
      </c>
      <c r="G5" s="64">
        <f>('Dabur India'!M48-'Dabur India'!M43)/'Dabur India'!M27</f>
        <v>1.036626803308579</v>
      </c>
    </row>
    <row r="6" spans="1:7" x14ac:dyDescent="0.4">
      <c r="A6" s="141" t="s">
        <v>103</v>
      </c>
      <c r="B6" s="141"/>
      <c r="C6" s="141"/>
      <c r="D6" s="141"/>
      <c r="E6" s="141"/>
      <c r="F6" s="141"/>
      <c r="G6" s="141"/>
    </row>
    <row r="7" spans="1:7" x14ac:dyDescent="0.4">
      <c r="A7" s="3" t="s">
        <v>104</v>
      </c>
      <c r="B7" s="3" t="s">
        <v>112</v>
      </c>
      <c r="C7" s="77">
        <f>'Dabur India'!I17/'Dabur India'!I14</f>
        <v>2.8149127509446151E-2</v>
      </c>
      <c r="D7" s="77">
        <f>'Dabur India'!J17/'Dabur India'!J14</f>
        <v>5.4323302555162531E-2</v>
      </c>
      <c r="E7" s="77">
        <f>'Dabur India'!K17/'Dabur India'!K14</f>
        <v>3.3303392524010225E-2</v>
      </c>
      <c r="F7" s="77">
        <f>'Dabur India'!L17/'Dabur India'!L14</f>
        <v>2.9871261021559906E-2</v>
      </c>
      <c r="G7" s="77">
        <f>'Dabur India'!M17/'Dabur India'!M14</f>
        <v>1.7502378146885312E-2</v>
      </c>
    </row>
    <row r="8" spans="1:7" x14ac:dyDescent="0.4">
      <c r="A8" s="3" t="s">
        <v>107</v>
      </c>
      <c r="B8" s="3" t="s">
        <v>113</v>
      </c>
      <c r="C8" s="3">
        <f>('Dabur India'!I17+'Dabur India'!I23)/'Dabur India'!I49</f>
        <v>4.4979509964096227E-2</v>
      </c>
      <c r="D8" s="3">
        <f>('Dabur India'!J17+'Dabur India'!J23)/'Dabur India'!J49</f>
        <v>7.6578357804304539E-2</v>
      </c>
      <c r="E8" s="3">
        <f>('Dabur India'!K17+'Dabur India'!K23)/'Dabur India'!K49</f>
        <v>7.3164854914580454E-2</v>
      </c>
      <c r="F8" s="3">
        <f>('Dabur India'!L17+'Dabur India'!L23)/'Dabur India'!L49</f>
        <v>7.0629482772234672E-2</v>
      </c>
      <c r="G8" s="3">
        <f>('Dabur India'!M17+'Dabur India'!M23)/'Dabur India'!M49</f>
        <v>4.4552798758750012E-2</v>
      </c>
    </row>
    <row r="9" spans="1:7" x14ac:dyDescent="0.4">
      <c r="A9" s="3" t="s">
        <v>105</v>
      </c>
      <c r="B9" s="3" t="s">
        <v>116</v>
      </c>
      <c r="C9" s="3">
        <f>'Dabur India'!I14/'Dabur India'!I49</f>
        <v>0.66538342118297611</v>
      </c>
      <c r="D9" s="3">
        <f>'Dabur India'!J14/'Dabur India'!J49</f>
        <v>0.65241742865682528</v>
      </c>
      <c r="E9" s="3">
        <f>'Dabur India'!K14/'Dabur India'!K49</f>
        <v>0.65717129387880946</v>
      </c>
      <c r="F9" s="3">
        <f>'Dabur India'!L14/'Dabur India'!L49</f>
        <v>0.68226460434383729</v>
      </c>
      <c r="G9" s="3">
        <f>'Dabur India'!M14/'Dabur India'!M49</f>
        <v>0.7065030104737382</v>
      </c>
    </row>
    <row r="10" spans="1:7" x14ac:dyDescent="0.4">
      <c r="A10" s="3" t="s">
        <v>106</v>
      </c>
      <c r="B10" s="3" t="s">
        <v>115</v>
      </c>
      <c r="C10" s="3">
        <f>'Dabur India'!B25/'Dabur India'!B27</f>
        <v>14.167217125382264</v>
      </c>
      <c r="D10" s="3">
        <f>'Dabur India'!C25/'Dabur India'!C27</f>
        <v>19.328635851183765</v>
      </c>
      <c r="E10" s="3">
        <f>'Dabur India'!D25/'Dabur India'!D27</f>
        <v>27.66002044989775</v>
      </c>
      <c r="F10" s="3">
        <f>'Dabur India'!E25/'Dabur India'!E27</f>
        <v>58.388860103626939</v>
      </c>
      <c r="G10" s="3">
        <f>'Dabur India'!F25/'Dabur India'!F27</f>
        <v>65.000973709834469</v>
      </c>
    </row>
    <row r="11" spans="1:7" x14ac:dyDescent="0.4">
      <c r="A11" s="141" t="s">
        <v>162</v>
      </c>
      <c r="B11" s="141"/>
      <c r="C11" s="141"/>
      <c r="D11" s="141"/>
      <c r="E11" s="141"/>
      <c r="F11" s="141"/>
      <c r="G11" s="141"/>
    </row>
    <row r="12" spans="1:7" x14ac:dyDescent="0.4">
      <c r="A12" s="3" t="s">
        <v>108</v>
      </c>
      <c r="B12" s="3" t="s">
        <v>117</v>
      </c>
      <c r="C12" s="127">
        <f>('Dabur India'!B10-('Dabur India'!J43-'Dabur India'!I43+'Dabur India'!B15))/'Dabur India'!B10</f>
        <v>0.4995299723236879</v>
      </c>
      <c r="D12" s="127">
        <f>('Dabur India'!C10-('Dabur India'!K43-'Dabur India'!J43+'Dabur India'!C15))/'Dabur India'!C10</f>
        <v>0.47398542890565226</v>
      </c>
      <c r="E12" s="127">
        <f>('Dabur India'!D10-('Dabur India'!L43-'Dabur India'!K43+'Dabur India'!D15))/'Dabur India'!D10</f>
        <v>0.45411014328844418</v>
      </c>
      <c r="F12" s="127">
        <f>('Dabur India'!E10-('Dabur India'!M43-'Dabur India'!L43+'Dabur India'!E15))/'Dabur India'!E10</f>
        <v>0.49414437746356771</v>
      </c>
      <c r="G12" s="127">
        <f>('Dabur India'!F10-('Dabur India'!N43-'Dabur India'!M43+'Dabur India'!F15))/'Dabur India'!F10</f>
        <v>0.51194247166530493</v>
      </c>
    </row>
    <row r="13" spans="1:7" x14ac:dyDescent="0.4">
      <c r="A13" s="3" t="s">
        <v>109</v>
      </c>
      <c r="B13" s="3" t="s">
        <v>118</v>
      </c>
      <c r="C13" s="65">
        <f>'Dabur India'!B25/'Dabur India'!B10</f>
        <v>0.18437661435204239</v>
      </c>
      <c r="D13" s="65">
        <f>'Dabur India'!C25/'Dabur India'!C10</f>
        <v>0.19350435867110716</v>
      </c>
      <c r="E13" s="65">
        <f>'Dabur India'!D25/'Dabur India'!D10</f>
        <v>0.18769650014007072</v>
      </c>
      <c r="F13" s="65">
        <f>'Dabur India'!E25/'Dabur India'!E10</f>
        <v>0.2069865217822546</v>
      </c>
      <c r="G13" s="65">
        <f>'Dabur India'!F25/'Dabur India'!F10</f>
        <v>0.20977939790082334</v>
      </c>
    </row>
    <row r="14" spans="1:7" x14ac:dyDescent="0.4">
      <c r="A14" s="3" t="s">
        <v>110</v>
      </c>
      <c r="B14" s="3" t="s">
        <v>119</v>
      </c>
      <c r="C14" s="65">
        <f>'Dabur India'!B33/'Dabur India'!B10</f>
        <v>0.14065647862110356</v>
      </c>
      <c r="D14" s="65">
        <f>'Dabur India'!C33/'Dabur India'!C10</f>
        <v>0.14859630071243091</v>
      </c>
      <c r="E14" s="65">
        <f>'Dabur India'!D33/'Dabur India'!D10</f>
        <v>0.14820436274760646</v>
      </c>
      <c r="F14" s="65">
        <f>'Dabur India'!E33/'Dabur India'!E10</f>
        <v>0.15989265916529827</v>
      </c>
      <c r="G14" s="65">
        <f>'Dabur India'!F33/'Dabur India'!F10</f>
        <v>0.17747784551568097</v>
      </c>
    </row>
    <row r="15" spans="1:7" x14ac:dyDescent="0.4">
      <c r="A15" s="3" t="s">
        <v>120</v>
      </c>
      <c r="B15" s="3" t="s">
        <v>121</v>
      </c>
      <c r="C15" s="78">
        <f>'Dabur India'!B18/'Dabur India'!B10</f>
        <v>6.8823832353346187E-2</v>
      </c>
      <c r="D15" s="78">
        <f>'Dabur India'!C18/'Dabur India'!C10</f>
        <v>6.8450444654591533E-2</v>
      </c>
      <c r="E15" s="78">
        <f>'Dabur India'!D18/'Dabur India'!D10</f>
        <v>5.5531319032531966E-2</v>
      </c>
      <c r="F15" s="78">
        <f>'Dabur India'!E18/'Dabur India'!E10</f>
        <v>7.1444839962236009E-2</v>
      </c>
      <c r="G15" s="78">
        <f>'Dabur India'!F18/'Dabur India'!F10</f>
        <v>8.2161188276454439E-2</v>
      </c>
    </row>
    <row r="16" spans="1:7" x14ac:dyDescent="0.4">
      <c r="A16" s="3" t="s">
        <v>111</v>
      </c>
      <c r="B16" s="3" t="s">
        <v>122</v>
      </c>
      <c r="C16" s="78">
        <f>'Dabur India'!B18/'Dabur India'!B10</f>
        <v>6.8823832353346187E-2</v>
      </c>
      <c r="D16" s="78">
        <f>'Dabur India'!C18/'Dabur India'!C10</f>
        <v>6.8450444654591533E-2</v>
      </c>
      <c r="E16" s="78">
        <f>'Dabur India'!D18/'Dabur India'!D10</f>
        <v>5.5531319032531966E-2</v>
      </c>
      <c r="F16" s="78">
        <f>'Dabur India'!E18/'Dabur India'!E10</f>
        <v>7.1444839962236009E-2</v>
      </c>
      <c r="G16" s="78">
        <f>'Dabur India'!F18/'Dabur India'!F10</f>
        <v>8.2161188276454439E-2</v>
      </c>
    </row>
    <row r="17" spans="1:8" x14ac:dyDescent="0.4">
      <c r="A17" s="3" t="s">
        <v>123</v>
      </c>
      <c r="B17" s="3" t="s">
        <v>125</v>
      </c>
      <c r="C17" s="78">
        <f>'Dabur India'!B18/'Dabur India'!B10</f>
        <v>6.8823832353346187E-2</v>
      </c>
      <c r="D17" s="78">
        <f>'Dabur India'!C18/'Dabur India'!C10</f>
        <v>6.8450444654591533E-2</v>
      </c>
      <c r="E17" s="78">
        <f>'Dabur India'!D18/'Dabur India'!D10</f>
        <v>5.5531319032531966E-2</v>
      </c>
      <c r="F17" s="78">
        <f>'Dabur India'!E18/'Dabur India'!E10</f>
        <v>7.1444839962236009E-2</v>
      </c>
      <c r="G17" s="78">
        <f>'Dabur India'!F18/'Dabur India'!F10</f>
        <v>8.2161188276454439E-2</v>
      </c>
    </row>
    <row r="18" spans="1:8" x14ac:dyDescent="0.4">
      <c r="A18" s="3" t="s">
        <v>124</v>
      </c>
      <c r="B18" s="3" t="s">
        <v>126</v>
      </c>
      <c r="C18" s="128">
        <f>('Dabur India'!J43-'Dabur India'!I43+'Dabur India'!B15+'Dabur India'!B18)/'Dabur India'!B10</f>
        <v>0.56929386002965832</v>
      </c>
      <c r="D18" s="128">
        <f>('Dabur India'!K43-'Dabur India'!J43+'Dabur India'!C15+'Dabur India'!C18)/'Dabur India'!C10</f>
        <v>0.59446501574893928</v>
      </c>
      <c r="E18" s="128">
        <f>('Dabur India'!L43-'Dabur India'!K43+'Dabur India'!D15+'Dabur India'!D18)/'Dabur India'!D10</f>
        <v>0.60142117574408771</v>
      </c>
      <c r="F18" s="128">
        <f>('Dabur India'!M43-'Dabur India'!L43+'Dabur India'!E15+'Dabur India'!E18)/'Dabur India'!E10</f>
        <v>0.57730046249866829</v>
      </c>
      <c r="G18" s="128">
        <f>('Dabur India'!N43-'Dabur India'!M43+'Dabur India'!F15+'Dabur India'!F18)/'Dabur India'!F10</f>
        <v>0.57021871661114942</v>
      </c>
    </row>
    <row r="19" spans="1:8" x14ac:dyDescent="0.4">
      <c r="A19" s="141" t="s">
        <v>163</v>
      </c>
      <c r="B19" s="141"/>
      <c r="C19" s="141"/>
      <c r="D19" s="141"/>
      <c r="E19" s="141"/>
      <c r="F19" s="141"/>
      <c r="G19" s="141"/>
    </row>
    <row r="20" spans="1:8" x14ac:dyDescent="0.4">
      <c r="A20" s="3" t="s">
        <v>128</v>
      </c>
      <c r="B20" s="3" t="s">
        <v>129</v>
      </c>
      <c r="C20" s="66">
        <f>'Dabur India'!B33/'Dabur India'!I49</f>
        <v>0.10886209454247954</v>
      </c>
      <c r="D20" s="66">
        <f>'Dabur India'!C33/'Dabur India'!J49</f>
        <v>0.12188249701772437</v>
      </c>
      <c r="E20" s="66">
        <f>'Dabur India'!D33/'Dabur India'!K49</f>
        <v>0.12514528315843204</v>
      </c>
      <c r="F20" s="66">
        <f>'Dabur India'!E33/'Dabur India'!L49</f>
        <v>0.14172459182402583</v>
      </c>
      <c r="G20" s="66">
        <f>'Dabur India'!F33/'Dabur India'!M49</f>
        <v>0.15619892082053041</v>
      </c>
    </row>
    <row r="21" spans="1:8" x14ac:dyDescent="0.4">
      <c r="A21" s="3" t="s">
        <v>130</v>
      </c>
      <c r="B21" s="3" t="s">
        <v>131</v>
      </c>
      <c r="C21" s="78">
        <f>'Dabur India'!B25/('Dabur India'!I49-'Dabur India'!I27)</f>
        <v>0.19442429980594</v>
      </c>
      <c r="D21" s="78">
        <f>'Dabur India'!C25/('Dabur India'!J49-'Dabur India'!J27)</f>
        <v>0.21445464495521455</v>
      </c>
      <c r="E21" s="78">
        <f>'Dabur India'!D25/('Dabur India'!K49-'Dabur India'!K27)</f>
        <v>0.21544379558265153</v>
      </c>
      <c r="F21" s="78">
        <f>'Dabur India'!E25/('Dabur India'!L49-'Dabur India'!L27)</f>
        <v>0.2514854401756752</v>
      </c>
      <c r="G21" s="78">
        <f>'Dabur India'!F25/('Dabur India'!M49-'Dabur India'!M27)</f>
        <v>0.25308924369450553</v>
      </c>
    </row>
    <row r="22" spans="1:8" x14ac:dyDescent="0.4">
      <c r="A22" s="3" t="s">
        <v>132</v>
      </c>
      <c r="B22" s="3" t="s">
        <v>133</v>
      </c>
      <c r="C22" s="65">
        <f>'Dabur India'!B33/'Dabur India'!I14</f>
        <v>0.1636080657809825</v>
      </c>
      <c r="D22" s="65">
        <f>'Dabur India'!C33/'Dabur India'!J14</f>
        <v>0.18681673981127678</v>
      </c>
      <c r="E22" s="65">
        <f>'Dabur India'!D33/'Dabur India'!K14</f>
        <v>0.19043023382806248</v>
      </c>
      <c r="F22" s="65">
        <f>'Dabur India'!E33/'Dabur India'!L14</f>
        <v>0.20772672497106656</v>
      </c>
      <c r="G22" s="65">
        <f>'Dabur India'!F33/'Dabur India'!M14</f>
        <v>0.22108741010996238</v>
      </c>
    </row>
    <row r="23" spans="1:8" x14ac:dyDescent="0.4">
      <c r="A23" s="141" t="s">
        <v>164</v>
      </c>
      <c r="B23" s="141"/>
      <c r="C23" s="141"/>
      <c r="D23" s="141"/>
      <c r="E23" s="141"/>
      <c r="F23" s="141"/>
      <c r="G23" s="141"/>
    </row>
    <row r="24" spans="1:8" x14ac:dyDescent="0.4">
      <c r="A24" s="3" t="s">
        <v>127</v>
      </c>
      <c r="B24" s="3" t="s">
        <v>141</v>
      </c>
      <c r="C24" s="71">
        <f>'Dabur India'!B33/'Dabur India'!B39*100</f>
        <v>9.9704454843882413</v>
      </c>
      <c r="D24" s="71">
        <f>'Dabur India'!C33/'Dabur India'!C39*100</f>
        <v>10.40152050829581</v>
      </c>
      <c r="E24" s="71">
        <f>'Dabur India'!D33/'Dabur India'!D39*100</f>
        <v>9.644517918028539</v>
      </c>
      <c r="F24" s="71">
        <f>'Dabur India'!E33/'Dabur India'!E39*100</f>
        <v>9.8482003059072678</v>
      </c>
      <c r="G24" s="71">
        <f>'Dabur India'!F33/'Dabur India'!F39*100</f>
        <v>9.5863190800175406</v>
      </c>
    </row>
    <row r="25" spans="1:8" x14ac:dyDescent="0.4">
      <c r="A25" s="3" t="s">
        <v>134</v>
      </c>
      <c r="B25" s="3" t="s">
        <v>138</v>
      </c>
      <c r="C25" s="128">
        <f>C24/506.5</f>
        <v>1.9684986148841541E-2</v>
      </c>
      <c r="D25" s="128">
        <f>D24/523.15</f>
        <v>1.9882482095566874E-2</v>
      </c>
      <c r="E25" s="128">
        <f>E24/544.9</f>
        <v>1.7699610787352799E-2</v>
      </c>
      <c r="F25" s="128">
        <f>F24/536.2</f>
        <v>1.8366654804004602E-2</v>
      </c>
      <c r="G25" s="128">
        <f>G24/540.5</f>
        <v>1.7736020499569918E-2</v>
      </c>
      <c r="H25" s="80" t="s">
        <v>179</v>
      </c>
    </row>
    <row r="26" spans="1:8" x14ac:dyDescent="0.4">
      <c r="A26" s="3" t="s">
        <v>135</v>
      </c>
      <c r="B26" s="3" t="s">
        <v>139</v>
      </c>
      <c r="C26" s="128">
        <f>('Dabur India'!B37/'Dabur India'!B39*100)/506.5</f>
        <v>1.0858891956316501E-2</v>
      </c>
      <c r="D26" s="128">
        <f>('Dabur India'!C37/'Dabur India'!C39*100)/523.15</f>
        <v>1.0417648700684502E-2</v>
      </c>
      <c r="E26" s="128">
        <f>('Dabur India'!D37/'Dabur India'!D39*100)/544.9</f>
        <v>9.5429653989957779E-3</v>
      </c>
      <c r="F26" s="128">
        <f>('Dabur India'!E37/'Dabur India'!E39*100)/536.2</f>
        <v>1.0257358214741791E-2</v>
      </c>
      <c r="G26" s="128">
        <f>('Dabur India'!F37/'Dabur India'!F39*100)/540.5</f>
        <v>6.1979923258378639E-3</v>
      </c>
      <c r="H26" s="80" t="s">
        <v>179</v>
      </c>
    </row>
    <row r="27" spans="1:8" x14ac:dyDescent="0.4">
      <c r="A27" s="3" t="s">
        <v>136</v>
      </c>
      <c r="B27" s="3" t="s">
        <v>140</v>
      </c>
      <c r="C27" s="78">
        <f>('Dabur India'!B37/'Dabur India'!B39*100)/C24</f>
        <v>0.55163320279783601</v>
      </c>
      <c r="D27" s="78">
        <f>('Dabur India'!C37/'Dabur India'!C39*100)/D24</f>
        <v>0.52396117600464409</v>
      </c>
      <c r="E27" s="78">
        <f>('Dabur India'!D37/'Dabur India'!D39*100)/E24</f>
        <v>0.53916244338065755</v>
      </c>
      <c r="F27" s="78">
        <f>('Dabur India'!E37/'Dabur India'!E39*100)/F24</f>
        <v>0.55847721450643872</v>
      </c>
      <c r="G27" s="78">
        <f>('Dabur India'!F37/'Dabur India'!F39*100)/G24</f>
        <v>0.34945789141302358</v>
      </c>
      <c r="H27" s="80"/>
    </row>
    <row r="28" spans="1:8" x14ac:dyDescent="0.4">
      <c r="A28" s="3" t="s">
        <v>137</v>
      </c>
      <c r="B28" s="3" t="s">
        <v>142</v>
      </c>
      <c r="C28" s="3">
        <f>506.5/C24</f>
        <v>50.800137345224897</v>
      </c>
      <c r="D28" s="3">
        <f>523.15/D24</f>
        <v>50.295531271871049</v>
      </c>
      <c r="E28" s="3">
        <f>544.9/E24</f>
        <v>56.498417508397807</v>
      </c>
      <c r="F28" s="3">
        <f>536.2/F24</f>
        <v>54.446496145937445</v>
      </c>
      <c r="G28" s="3">
        <f>540.5/G24</f>
        <v>56.382433704575895</v>
      </c>
      <c r="H28" s="80" t="s">
        <v>179</v>
      </c>
    </row>
    <row r="29" spans="1:8" x14ac:dyDescent="0.4">
      <c r="A29" s="141" t="s">
        <v>165</v>
      </c>
      <c r="B29" s="141"/>
      <c r="C29" s="141"/>
      <c r="D29" s="141"/>
      <c r="E29" s="141"/>
      <c r="F29" s="141"/>
      <c r="G29" s="141"/>
    </row>
    <row r="30" spans="1:8" x14ac:dyDescent="0.4">
      <c r="A30" s="3" t="s">
        <v>143</v>
      </c>
      <c r="B30" s="3" t="s">
        <v>129</v>
      </c>
      <c r="C30" s="70">
        <f>'Dabur India'!B33/'Dabur India'!I49</f>
        <v>0.10886209454247954</v>
      </c>
      <c r="D30" s="70">
        <f>'Dabur India'!C33/'Dabur India'!J49</f>
        <v>0.12188249701772437</v>
      </c>
      <c r="E30" s="70">
        <f>'Dabur India'!D33/'Dabur India'!K49</f>
        <v>0.12514528315843204</v>
      </c>
      <c r="F30" s="70">
        <f>'Dabur India'!E33/'Dabur India'!L49</f>
        <v>0.14172459182402583</v>
      </c>
      <c r="G30" s="70">
        <f>'Dabur India'!F33/'Dabur India'!M49</f>
        <v>0.15619892082053041</v>
      </c>
    </row>
    <row r="31" spans="1:8" x14ac:dyDescent="0.4">
      <c r="A31" s="141" t="s">
        <v>144</v>
      </c>
      <c r="B31" s="141"/>
      <c r="C31" s="141"/>
      <c r="D31" s="141"/>
      <c r="E31" s="141"/>
      <c r="F31" s="141"/>
      <c r="G31" s="141"/>
    </row>
    <row r="32" spans="1:8" x14ac:dyDescent="0.4">
      <c r="A32" s="3" t="s">
        <v>145</v>
      </c>
      <c r="B32" s="3" t="s">
        <v>146</v>
      </c>
      <c r="C32" s="84">
        <f>'Dabur India'!B10/'Dabur India'!I48</f>
        <v>1.9231790167869378</v>
      </c>
      <c r="D32" s="84">
        <f>'Dabur India'!C10/'Dabur India'!J48</f>
        <v>2.1839506868417256</v>
      </c>
      <c r="E32" s="84">
        <f>'Dabur India'!D10/'Dabur India'!K48</f>
        <v>2.7135793229402019</v>
      </c>
      <c r="F32" s="84">
        <f>'Dabur India'!E10/'Dabur India'!L48</f>
        <v>2.5223728468046072</v>
      </c>
      <c r="G32" s="84">
        <f>'Dabur India'!F10/'Dabur India'!M48</f>
        <v>1.9988944584730965</v>
      </c>
    </row>
    <row r="33" spans="1:8" x14ac:dyDescent="0.4">
      <c r="A33" s="3" t="s">
        <v>147</v>
      </c>
      <c r="B33" s="3" t="s">
        <v>148</v>
      </c>
      <c r="C33" s="3">
        <f>'Dabur India'!B10/'Dabur India'!I35</f>
        <v>3.3469531834856765</v>
      </c>
      <c r="D33" s="3">
        <f>'Dabur India'!C10/'Dabur India'!J35</f>
        <v>3.4057208596115989</v>
      </c>
      <c r="E33" s="3">
        <f>'Dabur India'!D10/'Dabur India'!K35</f>
        <v>3.4432691360089347</v>
      </c>
      <c r="F33" s="3">
        <f>'Dabur India'!E10/'Dabur India'!L35</f>
        <v>4.895438911992807</v>
      </c>
      <c r="G33" s="3">
        <f>'Dabur India'!F10/'Dabur India'!M35</f>
        <v>4.6473340116151709</v>
      </c>
    </row>
    <row r="34" spans="1:8" x14ac:dyDescent="0.4">
      <c r="A34" s="3" t="s">
        <v>149</v>
      </c>
      <c r="B34" s="3" t="s">
        <v>150</v>
      </c>
      <c r="C34" s="3">
        <f>'Dabur India'!B10/'Dabur India'!I49</f>
        <v>0.77395720132969614</v>
      </c>
      <c r="D34" s="3">
        <f>'Dabur India'!C10/'Dabur India'!J49</f>
        <v>0.82022564783490759</v>
      </c>
      <c r="E34" s="3">
        <f>'Dabur India'!D10/'Dabur India'!K49</f>
        <v>0.84441025107712764</v>
      </c>
      <c r="F34" s="3">
        <f>'Dabur India'!E10/'Dabur India'!L49</f>
        <v>0.8863733492449446</v>
      </c>
      <c r="G34" s="3">
        <f>'Dabur India'!F10/'Dabur India'!M49</f>
        <v>0.8801037693841598</v>
      </c>
    </row>
    <row r="35" spans="1:8" x14ac:dyDescent="0.4">
      <c r="A35" s="3" t="s">
        <v>151</v>
      </c>
      <c r="B35" s="3" t="s">
        <v>152</v>
      </c>
      <c r="C35" s="67">
        <f>'Dabur India'!B10/(AVERAGE('Dabur India'!I43:J43))</f>
        <v>5.9161070665021613</v>
      </c>
      <c r="D35" s="67">
        <f>'Dabur India'!C10/(AVERAGE('Dabur India'!J43:K43))</f>
        <v>6.2470304721278618</v>
      </c>
      <c r="E35" s="67">
        <f>'Dabur India'!D10/(AVERAGE('Dabur India'!K43:L43))</f>
        <v>5.8593240623340455</v>
      </c>
      <c r="F35" s="67">
        <f>'Dabur India'!E10/(AVERAGE('Dabur India'!L43:M43))</f>
        <v>5.9735191255331701</v>
      </c>
      <c r="G35" s="67">
        <f>'Dabur India'!F10/(AVERAGE('Dabur India'!M43:N43))</f>
        <v>6.1317019124235275</v>
      </c>
      <c r="H35" s="80" t="s">
        <v>174</v>
      </c>
    </row>
    <row r="36" spans="1:8" x14ac:dyDescent="0.4">
      <c r="A36" s="3" t="s">
        <v>153</v>
      </c>
      <c r="B36" s="3" t="s">
        <v>154</v>
      </c>
      <c r="C36" s="67">
        <f>'Dabur India'!B10/(AVERAGE('Dabur India'!I44:J44))</f>
        <v>14.058806414431352</v>
      </c>
      <c r="D36" s="67">
        <f>'Dabur India'!C10/(AVERAGE('Dabur India'!J44:K44))</f>
        <v>14.19653556284228</v>
      </c>
      <c r="E36" s="67">
        <f>'Dabur India'!D10/(AVERAGE('Dabur India'!K44:L44))</f>
        <v>15.425633821660311</v>
      </c>
      <c r="F36" s="67">
        <f>'Dabur India'!E10/(AVERAGE('Dabur India'!L44:M44))</f>
        <v>18.031646146075698</v>
      </c>
      <c r="G36" s="67">
        <f>'Dabur India'!F10/(AVERAGE('Dabur India'!M44:N44))</f>
        <v>13.881218783397674</v>
      </c>
      <c r="H36" s="80" t="s">
        <v>175</v>
      </c>
    </row>
    <row r="37" spans="1:8" x14ac:dyDescent="0.4">
      <c r="A37" s="141" t="s">
        <v>155</v>
      </c>
      <c r="B37" s="141"/>
      <c r="C37" s="141"/>
      <c r="D37" s="141"/>
      <c r="E37" s="141"/>
      <c r="F37" s="141"/>
      <c r="G37" s="141"/>
    </row>
    <row r="38" spans="1:8" x14ac:dyDescent="0.4">
      <c r="A38" s="3" t="s">
        <v>156</v>
      </c>
      <c r="B38" s="3" t="s">
        <v>159</v>
      </c>
      <c r="C38" s="3">
        <f>('Dabur India'!B10-'Dabur India'!B15-'Dabur India'!B16-'Dabur India'!B17-'Dabur India'!B18)/'Dabur India'!B30</f>
        <v>1.5973350321176407</v>
      </c>
      <c r="D38" s="3">
        <f>('Dabur India'!C10-'Dabur India'!C15-'Dabur India'!C16-'Dabur India'!C17-'Dabur India'!C18)/'Dabur India'!C30</f>
        <v>1.5756924029745019</v>
      </c>
      <c r="E38" s="3">
        <f>('Dabur India'!D10-'Dabur India'!D15-'Dabur India'!D16-'Dabur India'!D17-'Dabur India'!D18)/'Dabur India'!D30</f>
        <v>1.4400676056338024</v>
      </c>
      <c r="F38" s="3">
        <f>('Dabur India'!E10-'Dabur India'!E15-'Dabur India'!E16-'Dabur India'!E17-'Dabur India'!E18)/'Dabur India'!E30</f>
        <v>1.4120533754718643</v>
      </c>
      <c r="G38" s="3">
        <f>('Dabur India'!F10-'Dabur India'!F15-'Dabur India'!F16-'Dabur India'!F17-'Dabur India'!F18)/'Dabur India'!F30</f>
        <v>1.2666078021375586</v>
      </c>
    </row>
    <row r="39" spans="1:8" x14ac:dyDescent="0.4">
      <c r="A39" s="3" t="s">
        <v>157</v>
      </c>
      <c r="B39" s="3" t="s">
        <v>160</v>
      </c>
      <c r="C39" s="3">
        <f>('Dabur India'!B10-'Dabur India'!B15-'Dabur India'!B16-'Dabur India'!B17-'Dabur India'!B18)/'Dabur India'!B25</f>
        <v>1.5587867066147456</v>
      </c>
      <c r="D39" s="3">
        <f>('Dabur India'!C10-'Dabur India'!C15-'Dabur India'!C16-'Dabur India'!C17-'Dabur India'!C18)/'Dabur India'!C25</f>
        <v>1.5475558592301575</v>
      </c>
      <c r="E39" s="3">
        <f>('Dabur India'!D10-'Dabur India'!D15-'Dabur India'!D16-'Dabur India'!D17-'Dabur India'!D18)/'Dabur India'!D25</f>
        <v>1.4764199767110877</v>
      </c>
      <c r="F39" s="3">
        <f>('Dabur India'!E10-'Dabur India'!E15-'Dabur India'!E16-'Dabur India'!E17-'Dabur India'!E18)/'Dabur India'!E25</f>
        <v>1.4273341586025445</v>
      </c>
      <c r="G39" s="3">
        <f>('Dabur India'!F10-'Dabur India'!F15-'Dabur India'!F16-'Dabur India'!F17-'Dabur India'!F18)/'Dabur India'!F25</f>
        <v>1.303638124912617</v>
      </c>
    </row>
    <row r="40" spans="1:8" x14ac:dyDescent="0.4">
      <c r="A40" s="3" t="s">
        <v>158</v>
      </c>
      <c r="B40" s="3" t="s">
        <v>161</v>
      </c>
      <c r="C40" s="3">
        <f>'Dabur India'!B25/'Dabur India'!B30</f>
        <v>1.0247296986427421</v>
      </c>
      <c r="D40" s="3">
        <f>'Dabur India'!C25/'Dabur India'!C30</f>
        <v>1.0181812782889408</v>
      </c>
      <c r="E40" s="3">
        <f>'Dabur India'!D25/'Dabur India'!D30</f>
        <v>0.97537802816901409</v>
      </c>
      <c r="F40" s="3">
        <f>'Dabur India'!E25/'Dabur India'!E30</f>
        <v>0.98929417961548594</v>
      </c>
      <c r="G40" s="3">
        <f>'Dabur India'!F25/'Dabur India'!F30</f>
        <v>0.97159463039059202</v>
      </c>
    </row>
  </sheetData>
  <mergeCells count="9">
    <mergeCell ref="A31:G31"/>
    <mergeCell ref="A37:G37"/>
    <mergeCell ref="A1:G1"/>
    <mergeCell ref="A3:G3"/>
    <mergeCell ref="A6:G6"/>
    <mergeCell ref="A11:G11"/>
    <mergeCell ref="A19:G19"/>
    <mergeCell ref="A23:G23"/>
    <mergeCell ref="A29:G29"/>
  </mergeCells>
  <pageMargins left="0.7" right="0.7" top="0.75" bottom="0.75" header="0.3" footer="0.3"/>
  <ignoredErrors>
    <ignoredError sqref="C35:G35 C36:G3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A058-4583-4763-8339-0DD4EF3F63F3}">
  <dimension ref="A1:M44"/>
  <sheetViews>
    <sheetView showGridLines="0" workbookViewId="0">
      <selection activeCell="B27" sqref="B27:B28"/>
    </sheetView>
  </sheetViews>
  <sheetFormatPr defaultColWidth="8.73046875" defaultRowHeight="11.65" x14ac:dyDescent="0.35"/>
  <cols>
    <col min="1" max="1" width="31.46484375" style="1" customWidth="1"/>
    <col min="2" max="7" width="8.73046875" style="1"/>
    <col min="8" max="8" width="30.53125" style="1" customWidth="1"/>
    <col min="9" max="16384" width="8.73046875" style="1"/>
  </cols>
  <sheetData>
    <row r="1" spans="1:13" ht="22.25" customHeight="1" x14ac:dyDescent="0.35">
      <c r="A1" s="147" t="s">
        <v>93</v>
      </c>
      <c r="B1" s="148"/>
      <c r="C1" s="148"/>
      <c r="D1" s="148"/>
      <c r="E1" s="148"/>
      <c r="F1" s="149"/>
      <c r="H1" s="147" t="s">
        <v>93</v>
      </c>
      <c r="I1" s="148"/>
      <c r="J1" s="148"/>
      <c r="K1" s="148"/>
      <c r="L1" s="148"/>
      <c r="M1" s="149"/>
    </row>
    <row r="2" spans="1:13" ht="27.7" customHeight="1" x14ac:dyDescent="0.35">
      <c r="A2" s="5" t="s">
        <v>1</v>
      </c>
      <c r="B2" s="135" t="s">
        <v>2</v>
      </c>
      <c r="C2" s="135"/>
      <c r="D2" s="135"/>
      <c r="E2" s="135"/>
      <c r="F2" s="136"/>
      <c r="H2" s="40" t="s">
        <v>39</v>
      </c>
      <c r="I2" s="132" t="s">
        <v>2</v>
      </c>
      <c r="J2" s="132"/>
      <c r="K2" s="132"/>
      <c r="L2" s="132"/>
      <c r="M2" s="133"/>
    </row>
    <row r="3" spans="1:13" x14ac:dyDescent="0.35">
      <c r="A3" s="8"/>
      <c r="B3" s="41" t="s">
        <v>3</v>
      </c>
      <c r="C3" s="30" t="s">
        <v>4</v>
      </c>
      <c r="D3" s="18" t="s">
        <v>5</v>
      </c>
      <c r="E3" s="57" t="s">
        <v>6</v>
      </c>
      <c r="F3" s="24" t="s">
        <v>7</v>
      </c>
      <c r="H3" s="8"/>
      <c r="I3" s="41" t="s">
        <v>40</v>
      </c>
      <c r="J3" s="49">
        <v>45352</v>
      </c>
      <c r="K3" s="35">
        <v>44986</v>
      </c>
      <c r="L3" s="36">
        <v>44621</v>
      </c>
      <c r="M3" s="39">
        <v>44256</v>
      </c>
    </row>
    <row r="4" spans="1:13" x14ac:dyDescent="0.35">
      <c r="A4" s="17"/>
      <c r="B4" s="15"/>
      <c r="C4" s="29"/>
      <c r="D4" s="17"/>
      <c r="E4" s="16"/>
      <c r="F4" s="16"/>
      <c r="H4" s="17"/>
      <c r="I4" s="15"/>
      <c r="J4" s="29"/>
      <c r="K4" s="17"/>
      <c r="L4" s="16"/>
      <c r="M4" s="16"/>
    </row>
    <row r="5" spans="1:13" x14ac:dyDescent="0.35">
      <c r="A5" s="7"/>
      <c r="B5" s="42" t="s">
        <v>8</v>
      </c>
      <c r="C5" s="31" t="s">
        <v>8</v>
      </c>
      <c r="D5" s="19" t="s">
        <v>8</v>
      </c>
      <c r="E5" s="25" t="s">
        <v>8</v>
      </c>
      <c r="F5" s="25" t="s">
        <v>8</v>
      </c>
      <c r="H5" s="7"/>
      <c r="I5" s="42" t="s">
        <v>8</v>
      </c>
      <c r="J5" s="31" t="s">
        <v>8</v>
      </c>
      <c r="K5" s="19" t="s">
        <v>8</v>
      </c>
      <c r="L5" s="25" t="s">
        <v>8</v>
      </c>
      <c r="M5" s="25" t="s">
        <v>8</v>
      </c>
    </row>
    <row r="6" spans="1:13" x14ac:dyDescent="0.35">
      <c r="A6" s="17"/>
      <c r="B6" s="15"/>
      <c r="C6" s="29"/>
      <c r="D6" s="17"/>
      <c r="E6" s="16"/>
      <c r="F6" s="16"/>
      <c r="H6" s="17"/>
      <c r="I6" s="15"/>
      <c r="J6" s="29"/>
      <c r="K6" s="17"/>
      <c r="L6" s="16"/>
      <c r="M6" s="16"/>
    </row>
    <row r="7" spans="1:13" x14ac:dyDescent="0.35">
      <c r="A7" s="8" t="s">
        <v>9</v>
      </c>
      <c r="B7" s="43"/>
      <c r="C7" s="50"/>
      <c r="D7" s="22"/>
      <c r="E7" s="24"/>
      <c r="F7" s="24"/>
      <c r="H7" s="8" t="s">
        <v>41</v>
      </c>
      <c r="I7" s="43"/>
      <c r="J7" s="50"/>
      <c r="K7" s="22"/>
      <c r="L7" s="24"/>
      <c r="M7" s="24"/>
    </row>
    <row r="8" spans="1:13" x14ac:dyDescent="0.35">
      <c r="A8" s="7" t="s">
        <v>10</v>
      </c>
      <c r="B8" s="44">
        <v>96921.74</v>
      </c>
      <c r="C8" s="32">
        <v>101481.79</v>
      </c>
      <c r="D8" s="20">
        <v>70207.08</v>
      </c>
      <c r="E8" s="26">
        <v>67125.84</v>
      </c>
      <c r="F8" s="26">
        <v>71482.649999999994</v>
      </c>
      <c r="H8" s="8" t="s">
        <v>42</v>
      </c>
      <c r="I8" s="43"/>
      <c r="J8" s="50"/>
      <c r="K8" s="22"/>
      <c r="L8" s="24"/>
      <c r="M8" s="24"/>
    </row>
    <row r="9" spans="1:13" x14ac:dyDescent="0.35">
      <c r="A9" s="7" t="s">
        <v>11</v>
      </c>
      <c r="B9" s="44">
        <v>96921.74</v>
      </c>
      <c r="C9" s="32">
        <v>101481.79</v>
      </c>
      <c r="D9" s="20">
        <v>70207.08</v>
      </c>
      <c r="E9" s="26">
        <v>67125.84</v>
      </c>
      <c r="F9" s="26">
        <v>71482.649999999994</v>
      </c>
      <c r="H9" s="7" t="s">
        <v>43</v>
      </c>
      <c r="I9" s="44">
        <v>2152.9899999999998</v>
      </c>
      <c r="J9" s="32">
        <v>2150.94</v>
      </c>
      <c r="K9" s="20">
        <v>2149.4</v>
      </c>
      <c r="L9" s="26">
        <v>2112.62</v>
      </c>
      <c r="M9" s="26">
        <v>2020.94</v>
      </c>
    </row>
    <row r="10" spans="1:13" x14ac:dyDescent="0.35">
      <c r="A10" s="7" t="s">
        <v>12</v>
      </c>
      <c r="B10" s="42">
        <v>417.19</v>
      </c>
      <c r="C10" s="31">
        <v>548.77</v>
      </c>
      <c r="D10" s="20">
        <v>1547.37</v>
      </c>
      <c r="E10" s="25">
        <v>828.11</v>
      </c>
      <c r="F10" s="25">
        <v>337.5</v>
      </c>
      <c r="H10" s="17" t="s">
        <v>44</v>
      </c>
      <c r="I10" s="45">
        <v>2152.9899999999998</v>
      </c>
      <c r="J10" s="33">
        <v>2150.94</v>
      </c>
      <c r="K10" s="37">
        <v>2149.4</v>
      </c>
      <c r="L10" s="38">
        <v>2112.62</v>
      </c>
      <c r="M10" s="38">
        <v>2020.94</v>
      </c>
    </row>
    <row r="11" spans="1:13" x14ac:dyDescent="0.35">
      <c r="A11" s="8" t="s">
        <v>13</v>
      </c>
      <c r="B11" s="46">
        <v>97338.93</v>
      </c>
      <c r="C11" s="51">
        <v>102030.56</v>
      </c>
      <c r="D11" s="21">
        <v>71754.45</v>
      </c>
      <c r="E11" s="27">
        <v>67953.95</v>
      </c>
      <c r="F11" s="27">
        <v>71820.149999999994</v>
      </c>
      <c r="H11" s="7" t="s">
        <v>45</v>
      </c>
      <c r="I11" s="44">
        <v>14000.99</v>
      </c>
      <c r="J11" s="32">
        <v>12515.41</v>
      </c>
      <c r="K11" s="20">
        <v>10840.59</v>
      </c>
      <c r="L11" s="26">
        <v>13497.39</v>
      </c>
      <c r="M11" s="26">
        <v>9171.8799999999992</v>
      </c>
    </row>
    <row r="12" spans="1:13" x14ac:dyDescent="0.35">
      <c r="A12" s="8" t="s">
        <v>14</v>
      </c>
      <c r="B12" s="43"/>
      <c r="C12" s="50"/>
      <c r="D12" s="22"/>
      <c r="E12" s="24"/>
      <c r="F12" s="24"/>
      <c r="H12" s="17" t="s">
        <v>46</v>
      </c>
      <c r="I12" s="45">
        <v>14000.99</v>
      </c>
      <c r="J12" s="33">
        <v>12515.41</v>
      </c>
      <c r="K12" s="37">
        <v>10840.59</v>
      </c>
      <c r="L12" s="38">
        <v>13497.39</v>
      </c>
      <c r="M12" s="38">
        <v>9171.8799999999992</v>
      </c>
    </row>
    <row r="13" spans="1:13" x14ac:dyDescent="0.35">
      <c r="A13" s="7" t="s">
        <v>17</v>
      </c>
      <c r="B13" s="44">
        <v>3213.39</v>
      </c>
      <c r="C13" s="32">
        <v>3267.07</v>
      </c>
      <c r="D13" s="20">
        <v>3067.88</v>
      </c>
      <c r="E13" s="26">
        <v>2132.85</v>
      </c>
      <c r="F13" s="26">
        <v>1678.83</v>
      </c>
      <c r="H13" s="17" t="s">
        <v>47</v>
      </c>
      <c r="I13" s="45">
        <v>16153.98</v>
      </c>
      <c r="J13" s="33">
        <v>14666.35</v>
      </c>
      <c r="K13" s="37">
        <v>12989.99</v>
      </c>
      <c r="L13" s="38">
        <v>15610.01</v>
      </c>
      <c r="M13" s="38">
        <v>11192.83</v>
      </c>
    </row>
    <row r="14" spans="1:13" x14ac:dyDescent="0.35">
      <c r="A14" s="7" t="s">
        <v>18</v>
      </c>
      <c r="B14" s="44">
        <v>1043.49</v>
      </c>
      <c r="C14" s="32">
        <v>1770.07</v>
      </c>
      <c r="D14" s="20">
        <v>2469.3200000000002</v>
      </c>
      <c r="E14" s="26">
        <v>1890.75</v>
      </c>
      <c r="F14" s="26">
        <v>1410.25</v>
      </c>
      <c r="H14" s="7" t="s">
        <v>94</v>
      </c>
      <c r="I14" s="42">
        <v>0.64</v>
      </c>
      <c r="J14" s="31">
        <v>0</v>
      </c>
      <c r="K14" s="19">
        <v>3.15</v>
      </c>
      <c r="L14" s="25">
        <v>3.32</v>
      </c>
      <c r="M14" s="25">
        <v>1.97</v>
      </c>
    </row>
    <row r="15" spans="1:13" x14ac:dyDescent="0.35">
      <c r="A15" s="7" t="s">
        <v>19</v>
      </c>
      <c r="B15" s="44">
        <v>91562.1</v>
      </c>
      <c r="C15" s="32">
        <v>95857.66</v>
      </c>
      <c r="D15" s="20">
        <v>64617.81</v>
      </c>
      <c r="E15" s="26">
        <v>62361.37</v>
      </c>
      <c r="F15" s="26">
        <v>67033.289999999994</v>
      </c>
      <c r="H15" s="8" t="s">
        <v>48</v>
      </c>
      <c r="I15" s="43"/>
      <c r="J15" s="50"/>
      <c r="K15" s="22"/>
      <c r="L15" s="24"/>
      <c r="M15" s="24"/>
    </row>
    <row r="16" spans="1:13" x14ac:dyDescent="0.35">
      <c r="A16" s="7" t="s">
        <v>20</v>
      </c>
      <c r="B16" s="44">
        <v>95818.98</v>
      </c>
      <c r="C16" s="32">
        <v>100894.8</v>
      </c>
      <c r="D16" s="20">
        <v>70155.009999999995</v>
      </c>
      <c r="E16" s="26">
        <v>66384.97</v>
      </c>
      <c r="F16" s="26">
        <v>70122.37</v>
      </c>
      <c r="H16" s="7" t="s">
        <v>49</v>
      </c>
      <c r="I16" s="44">
        <v>2950</v>
      </c>
      <c r="J16" s="31">
        <v>950</v>
      </c>
      <c r="K16" s="19">
        <v>950</v>
      </c>
      <c r="L16" s="25">
        <v>600</v>
      </c>
      <c r="M16" s="25">
        <v>600</v>
      </c>
    </row>
    <row r="17" spans="1:13" x14ac:dyDescent="0.35">
      <c r="A17" s="8"/>
      <c r="B17" s="41" t="s">
        <v>3</v>
      </c>
      <c r="C17" s="50" t="s">
        <v>4</v>
      </c>
      <c r="D17" s="22" t="s">
        <v>5</v>
      </c>
      <c r="E17" s="24" t="s">
        <v>6</v>
      </c>
      <c r="F17" s="24" t="s">
        <v>7</v>
      </c>
      <c r="H17" s="7" t="s">
        <v>51</v>
      </c>
      <c r="I17" s="44">
        <v>222825.24</v>
      </c>
      <c r="J17" s="32">
        <v>186108.56</v>
      </c>
      <c r="K17" s="20">
        <v>150374.04999999999</v>
      </c>
      <c r="L17" s="26">
        <v>128861.47</v>
      </c>
      <c r="M17" s="26">
        <v>90362.880000000005</v>
      </c>
    </row>
    <row r="18" spans="1:13" x14ac:dyDescent="0.35">
      <c r="A18" s="17"/>
      <c r="B18" s="15"/>
      <c r="C18" s="29"/>
      <c r="D18" s="17"/>
      <c r="E18" s="16"/>
      <c r="F18" s="16"/>
      <c r="H18" s="7" t="s">
        <v>52</v>
      </c>
      <c r="I18" s="44">
        <v>97776.29</v>
      </c>
      <c r="J18" s="32">
        <v>92119.83</v>
      </c>
      <c r="K18" s="20">
        <v>75383.56</v>
      </c>
      <c r="L18" s="26">
        <v>78711.89</v>
      </c>
      <c r="M18" s="26">
        <v>70963.520000000004</v>
      </c>
    </row>
    <row r="19" spans="1:13" x14ac:dyDescent="0.35">
      <c r="A19" s="7"/>
      <c r="B19" s="42" t="s">
        <v>8</v>
      </c>
      <c r="C19" s="31" t="s">
        <v>8</v>
      </c>
      <c r="D19" s="19" t="s">
        <v>8</v>
      </c>
      <c r="E19" s="25" t="s">
        <v>8</v>
      </c>
      <c r="F19" s="25" t="s">
        <v>8</v>
      </c>
      <c r="H19" s="17" t="s">
        <v>53</v>
      </c>
      <c r="I19" s="45">
        <v>323551.53000000003</v>
      </c>
      <c r="J19" s="33">
        <v>279178.39</v>
      </c>
      <c r="K19" s="37">
        <v>226707.61</v>
      </c>
      <c r="L19" s="38">
        <v>208173.36</v>
      </c>
      <c r="M19" s="38">
        <v>161926.39999999999</v>
      </c>
    </row>
    <row r="20" spans="1:13" x14ac:dyDescent="0.35">
      <c r="A20" s="17"/>
      <c r="B20" s="15"/>
      <c r="C20" s="29"/>
      <c r="D20" s="17"/>
      <c r="E20" s="16"/>
      <c r="F20" s="16"/>
      <c r="H20" s="8" t="s">
        <v>54</v>
      </c>
      <c r="I20" s="43"/>
      <c r="J20" s="50"/>
      <c r="K20" s="22"/>
      <c r="L20" s="24"/>
      <c r="M20" s="24"/>
    </row>
    <row r="21" spans="1:13" x14ac:dyDescent="0.35">
      <c r="A21" s="8" t="s">
        <v>21</v>
      </c>
      <c r="B21" s="46">
        <v>1102.76</v>
      </c>
      <c r="C21" s="50">
        <v>586.99</v>
      </c>
      <c r="D21" s="22">
        <v>52.07</v>
      </c>
      <c r="E21" s="24">
        <v>740.87</v>
      </c>
      <c r="F21" s="27">
        <v>1360.28</v>
      </c>
      <c r="H21" s="7" t="s">
        <v>57</v>
      </c>
      <c r="I21" s="44">
        <v>9587.8700000000008</v>
      </c>
      <c r="J21" s="32">
        <v>8728.61</v>
      </c>
      <c r="K21" s="20">
        <v>8043.03</v>
      </c>
      <c r="L21" s="26">
        <v>6836</v>
      </c>
      <c r="M21" s="26">
        <v>6440.04</v>
      </c>
    </row>
    <row r="22" spans="1:13" x14ac:dyDescent="0.35">
      <c r="A22" s="7" t="s">
        <v>22</v>
      </c>
      <c r="B22" s="44">
        <v>1519.95</v>
      </c>
      <c r="C22" s="32">
        <v>1135.76</v>
      </c>
      <c r="D22" s="20">
        <v>1599.44</v>
      </c>
      <c r="E22" s="26">
        <v>1568.98</v>
      </c>
      <c r="F22" s="26">
        <v>1697.78</v>
      </c>
      <c r="H22" s="7" t="s">
        <v>58</v>
      </c>
      <c r="I22" s="42">
        <v>117.56</v>
      </c>
      <c r="J22" s="31">
        <v>113.59</v>
      </c>
      <c r="K22" s="19">
        <v>128.21</v>
      </c>
      <c r="L22" s="25">
        <v>111.76</v>
      </c>
      <c r="M22" s="25">
        <v>80.010000000000005</v>
      </c>
    </row>
    <row r="23" spans="1:13" x14ac:dyDescent="0.35">
      <c r="A23" s="7" t="s">
        <v>23</v>
      </c>
      <c r="B23" s="42">
        <v>127.46</v>
      </c>
      <c r="C23" s="31">
        <v>80.010000000000005</v>
      </c>
      <c r="D23" s="19">
        <v>82.41</v>
      </c>
      <c r="E23" s="25">
        <v>25.57</v>
      </c>
      <c r="F23" s="25">
        <v>18.43</v>
      </c>
      <c r="H23" s="17" t="s">
        <v>59</v>
      </c>
      <c r="I23" s="45">
        <v>9705.43</v>
      </c>
      <c r="J23" s="33">
        <v>8842.2099999999991</v>
      </c>
      <c r="K23" s="37">
        <v>8171.24</v>
      </c>
      <c r="L23" s="38">
        <v>6947.76</v>
      </c>
      <c r="M23" s="38">
        <v>6520.06</v>
      </c>
    </row>
    <row r="24" spans="1:13" x14ac:dyDescent="0.35">
      <c r="A24" s="7" t="s">
        <v>24</v>
      </c>
      <c r="B24" s="44">
        <v>1392.49</v>
      </c>
      <c r="C24" s="32">
        <v>1055.75</v>
      </c>
      <c r="D24" s="20">
        <v>1517.03</v>
      </c>
      <c r="E24" s="26">
        <v>1543.41</v>
      </c>
      <c r="F24" s="26">
        <v>1679.35</v>
      </c>
      <c r="H24" s="17" t="s">
        <v>60</v>
      </c>
      <c r="I24" s="45">
        <v>349411.58</v>
      </c>
      <c r="J24" s="33">
        <v>302686.95</v>
      </c>
      <c r="K24" s="37">
        <v>247871.99</v>
      </c>
      <c r="L24" s="38">
        <v>230734.45</v>
      </c>
      <c r="M24" s="38">
        <v>179641.26</v>
      </c>
    </row>
    <row r="25" spans="1:13" x14ac:dyDescent="0.35">
      <c r="A25" s="7" t="s">
        <v>25</v>
      </c>
      <c r="B25" s="42">
        <v>102.75</v>
      </c>
      <c r="C25" s="31">
        <v>78.47</v>
      </c>
      <c r="D25" s="19">
        <v>75.709999999999994</v>
      </c>
      <c r="E25" s="25">
        <v>56.16</v>
      </c>
      <c r="F25" s="25">
        <v>50.69</v>
      </c>
      <c r="H25" s="8" t="s">
        <v>61</v>
      </c>
      <c r="I25" s="43"/>
      <c r="J25" s="50"/>
      <c r="K25" s="22"/>
      <c r="L25" s="24"/>
      <c r="M25" s="24"/>
    </row>
    <row r="26" spans="1:13" x14ac:dyDescent="0.35">
      <c r="A26" s="7" t="s">
        <v>26</v>
      </c>
      <c r="B26" s="44">
        <v>1289.74</v>
      </c>
      <c r="C26" s="31">
        <v>977.28</v>
      </c>
      <c r="D26" s="20">
        <v>1441.32</v>
      </c>
      <c r="E26" s="26">
        <v>1487.25</v>
      </c>
      <c r="F26" s="26">
        <v>1628.66</v>
      </c>
      <c r="H26" s="8" t="s">
        <v>62</v>
      </c>
      <c r="I26" s="43"/>
      <c r="J26" s="50"/>
      <c r="K26" s="22"/>
      <c r="L26" s="24"/>
      <c r="M26" s="24"/>
    </row>
    <row r="27" spans="1:13" ht="21.7" customHeight="1" x14ac:dyDescent="0.35">
      <c r="A27" s="7" t="s">
        <v>27</v>
      </c>
      <c r="B27" s="44">
        <v>1289.74</v>
      </c>
      <c r="C27" s="31">
        <v>977.28</v>
      </c>
      <c r="D27" s="20">
        <v>1441.32</v>
      </c>
      <c r="E27" s="26">
        <v>1487.25</v>
      </c>
      <c r="F27" s="26">
        <v>1628.66</v>
      </c>
      <c r="H27" s="7" t="s">
        <v>63</v>
      </c>
      <c r="I27" s="42">
        <v>445.4</v>
      </c>
      <c r="J27" s="31">
        <v>316.52</v>
      </c>
      <c r="K27" s="19">
        <v>293.61</v>
      </c>
      <c r="L27" s="25">
        <v>292.01</v>
      </c>
      <c r="M27" s="25">
        <v>327.27999999999997</v>
      </c>
    </row>
    <row r="28" spans="1:13" x14ac:dyDescent="0.35">
      <c r="A28" s="7" t="s">
        <v>28</v>
      </c>
      <c r="B28" s="42">
        <v>-521.08000000000004</v>
      </c>
      <c r="C28" s="31">
        <v>-596.79999999999995</v>
      </c>
      <c r="D28" s="19">
        <v>73.05</v>
      </c>
      <c r="E28" s="25">
        <v>160.32</v>
      </c>
      <c r="F28" s="25">
        <v>267.8</v>
      </c>
      <c r="H28" s="7" t="s">
        <v>64</v>
      </c>
      <c r="I28" s="42">
        <v>54.03</v>
      </c>
      <c r="J28" s="31">
        <v>76.150000000000006</v>
      </c>
      <c r="K28" s="19">
        <v>57.98</v>
      </c>
      <c r="L28" s="25">
        <v>58.17</v>
      </c>
      <c r="M28" s="25">
        <v>0</v>
      </c>
    </row>
    <row r="29" spans="1:13" x14ac:dyDescent="0.35">
      <c r="A29" s="8" t="s">
        <v>29</v>
      </c>
      <c r="B29" s="46">
        <v>1810.82</v>
      </c>
      <c r="C29" s="51">
        <v>1574.08</v>
      </c>
      <c r="D29" s="21">
        <v>1368.28</v>
      </c>
      <c r="E29" s="27">
        <v>1326.93</v>
      </c>
      <c r="F29" s="27">
        <v>1360.87</v>
      </c>
      <c r="H29" s="7" t="s">
        <v>65</v>
      </c>
      <c r="I29" s="42">
        <v>109.17</v>
      </c>
      <c r="J29" s="31">
        <v>27.67</v>
      </c>
      <c r="K29" s="19">
        <v>30.79</v>
      </c>
      <c r="L29" s="25">
        <v>19.8</v>
      </c>
      <c r="M29" s="25">
        <v>14.24</v>
      </c>
    </row>
    <row r="30" spans="1:13" ht="28.8" customHeight="1" x14ac:dyDescent="0.35">
      <c r="A30" s="7" t="s">
        <v>32</v>
      </c>
      <c r="B30" s="44">
        <v>1759.5</v>
      </c>
      <c r="C30" s="32">
        <v>1550.12</v>
      </c>
      <c r="D30" s="20">
        <v>1258.22</v>
      </c>
      <c r="E30" s="26">
        <v>1264.58</v>
      </c>
      <c r="F30" s="26">
        <v>1468.42</v>
      </c>
      <c r="H30" s="17" t="s">
        <v>67</v>
      </c>
      <c r="I30" s="47">
        <v>608.6</v>
      </c>
      <c r="J30" s="53">
        <v>420.34</v>
      </c>
      <c r="K30" s="52">
        <v>382.38</v>
      </c>
      <c r="L30" s="55">
        <v>369.99</v>
      </c>
      <c r="M30" s="55">
        <v>341.52</v>
      </c>
    </row>
    <row r="31" spans="1:13" x14ac:dyDescent="0.35">
      <c r="A31" s="7" t="s">
        <v>33</v>
      </c>
      <c r="B31" s="44">
        <v>95818.98</v>
      </c>
      <c r="C31" s="32">
        <v>100894.8</v>
      </c>
      <c r="D31" s="20">
        <v>70155.009999999995</v>
      </c>
      <c r="E31" s="26">
        <v>66384.97</v>
      </c>
      <c r="F31" s="26">
        <v>70122.36</v>
      </c>
      <c r="H31" s="7" t="s">
        <v>68</v>
      </c>
      <c r="I31" s="44">
        <v>336398.81</v>
      </c>
      <c r="J31" s="32">
        <v>292284.25</v>
      </c>
      <c r="K31" s="20">
        <v>238842.71</v>
      </c>
      <c r="L31" s="26">
        <v>217191.54</v>
      </c>
      <c r="M31" s="26">
        <v>173820.96</v>
      </c>
    </row>
    <row r="32" spans="1:13" x14ac:dyDescent="0.35">
      <c r="A32" s="7" t="s">
        <v>34</v>
      </c>
      <c r="B32" s="42">
        <v>430.2</v>
      </c>
      <c r="C32" s="31">
        <v>408.43</v>
      </c>
      <c r="D32" s="19">
        <v>359.22</v>
      </c>
      <c r="E32" s="25">
        <v>408.47</v>
      </c>
      <c r="F32" s="25">
        <v>0</v>
      </c>
      <c r="H32" s="7" t="s">
        <v>70</v>
      </c>
      <c r="I32" s="44">
        <v>2378.3000000000002</v>
      </c>
      <c r="J32" s="32">
        <v>1897.22</v>
      </c>
      <c r="K32" s="20">
        <v>1585.31</v>
      </c>
      <c r="L32" s="26">
        <v>1271.93</v>
      </c>
      <c r="M32" s="25">
        <v>424.05</v>
      </c>
    </row>
    <row r="33" spans="1:13" ht="19.25" customHeight="1" x14ac:dyDescent="0.35">
      <c r="A33" s="8" t="s">
        <v>35</v>
      </c>
      <c r="B33" s="43"/>
      <c r="C33" s="50"/>
      <c r="D33" s="22"/>
      <c r="E33" s="24"/>
      <c r="F33" s="24"/>
      <c r="H33" s="17" t="s">
        <v>72</v>
      </c>
      <c r="I33" s="45">
        <v>339385.71</v>
      </c>
      <c r="J33" s="33">
        <v>294601.8</v>
      </c>
      <c r="K33" s="37">
        <v>240810.41</v>
      </c>
      <c r="L33" s="38">
        <v>224447.62</v>
      </c>
      <c r="M33" s="38">
        <v>174586.54</v>
      </c>
    </row>
    <row r="34" spans="1:13" x14ac:dyDescent="0.35">
      <c r="A34" s="7" t="s">
        <v>36</v>
      </c>
      <c r="B34" s="44">
        <v>21529.88</v>
      </c>
      <c r="C34" s="32">
        <v>21509.439999999999</v>
      </c>
      <c r="D34" s="20">
        <v>21493.96</v>
      </c>
      <c r="E34" s="26">
        <v>21126.19</v>
      </c>
      <c r="F34" s="26">
        <v>20209.439999999999</v>
      </c>
      <c r="H34" s="8" t="s">
        <v>73</v>
      </c>
      <c r="I34" s="43"/>
      <c r="J34" s="50"/>
      <c r="K34" s="22"/>
      <c r="L34" s="24"/>
      <c r="M34" s="24"/>
    </row>
    <row r="35" spans="1:13" x14ac:dyDescent="0.35">
      <c r="A35" s="8" t="s">
        <v>37</v>
      </c>
      <c r="B35" s="41">
        <v>8.41</v>
      </c>
      <c r="C35" s="50">
        <v>7.32</v>
      </c>
      <c r="D35" s="22">
        <v>6.37</v>
      </c>
      <c r="E35" s="24">
        <v>6.28</v>
      </c>
      <c r="F35" s="24">
        <v>6.73</v>
      </c>
      <c r="H35" s="7" t="s">
        <v>77</v>
      </c>
      <c r="I35" s="44">
        <v>1820.95</v>
      </c>
      <c r="J35" s="32">
        <v>1558.61</v>
      </c>
      <c r="K35" s="20">
        <v>1168.55</v>
      </c>
      <c r="L35" s="26">
        <v>1375.15</v>
      </c>
      <c r="M35" s="26">
        <v>1099.26</v>
      </c>
    </row>
    <row r="36" spans="1:13" x14ac:dyDescent="0.35">
      <c r="A36" s="10" t="s">
        <v>38</v>
      </c>
      <c r="B36" s="48">
        <v>75.03</v>
      </c>
      <c r="C36" s="34">
        <v>68.19</v>
      </c>
      <c r="D36" s="23">
        <v>60.44</v>
      </c>
      <c r="E36" s="28">
        <v>73.89</v>
      </c>
      <c r="F36" s="28">
        <v>55.38</v>
      </c>
      <c r="H36" s="7" t="s">
        <v>78</v>
      </c>
      <c r="I36" s="44">
        <v>8204.92</v>
      </c>
      <c r="J36" s="32">
        <v>6526.54</v>
      </c>
      <c r="K36" s="20">
        <v>5893.03</v>
      </c>
      <c r="L36" s="26">
        <v>4911.68</v>
      </c>
      <c r="M36" s="26">
        <v>3955.46</v>
      </c>
    </row>
    <row r="37" spans="1:13" x14ac:dyDescent="0.35">
      <c r="H37" s="17" t="s">
        <v>80</v>
      </c>
      <c r="I37" s="45">
        <v>10025.870000000001</v>
      </c>
      <c r="J37" s="33">
        <v>8085.15</v>
      </c>
      <c r="K37" s="37">
        <v>7061.58</v>
      </c>
      <c r="L37" s="38">
        <v>6286.83</v>
      </c>
      <c r="M37" s="38">
        <v>5054.72</v>
      </c>
    </row>
    <row r="38" spans="1:13" x14ac:dyDescent="0.35">
      <c r="H38" s="17" t="s">
        <v>81</v>
      </c>
      <c r="I38" s="45">
        <v>349411.58</v>
      </c>
      <c r="J38" s="33">
        <v>302686.95</v>
      </c>
      <c r="K38" s="37">
        <v>247871.99</v>
      </c>
      <c r="L38" s="38">
        <v>230734.45</v>
      </c>
      <c r="M38" s="38">
        <v>179641.26</v>
      </c>
    </row>
    <row r="39" spans="1:13" x14ac:dyDescent="0.35">
      <c r="H39" s="8" t="s">
        <v>82</v>
      </c>
      <c r="I39" s="43"/>
      <c r="J39" s="50"/>
      <c r="K39" s="22"/>
      <c r="L39" s="24"/>
      <c r="M39" s="24"/>
    </row>
    <row r="40" spans="1:13" ht="11.55" customHeight="1" x14ac:dyDescent="0.35">
      <c r="H40" s="8" t="s">
        <v>83</v>
      </c>
      <c r="I40" s="43"/>
      <c r="J40" s="50"/>
      <c r="K40" s="22"/>
      <c r="L40" s="24"/>
      <c r="M40" s="24"/>
    </row>
    <row r="41" spans="1:13" x14ac:dyDescent="0.35">
      <c r="H41" s="7" t="s">
        <v>84</v>
      </c>
      <c r="I41" s="44">
        <v>3288.9</v>
      </c>
      <c r="J41" s="32">
        <v>2726.42</v>
      </c>
      <c r="K41" s="20">
        <v>1441.58</v>
      </c>
      <c r="L41" s="26">
        <v>1795.21</v>
      </c>
      <c r="M41" s="26">
        <v>2023.49</v>
      </c>
    </row>
    <row r="42" spans="1:13" x14ac:dyDescent="0.35">
      <c r="H42" s="8" t="s">
        <v>85</v>
      </c>
      <c r="I42" s="43"/>
      <c r="J42" s="50"/>
      <c r="K42" s="22"/>
      <c r="L42" s="24"/>
      <c r="M42" s="24"/>
    </row>
    <row r="43" spans="1:13" x14ac:dyDescent="0.35">
      <c r="H43" s="8" t="s">
        <v>87</v>
      </c>
      <c r="I43" s="43"/>
      <c r="J43" s="50"/>
      <c r="K43" s="22"/>
      <c r="L43" s="24"/>
      <c r="M43" s="24"/>
    </row>
    <row r="44" spans="1:13" x14ac:dyDescent="0.35">
      <c r="H44" s="9" t="s">
        <v>90</v>
      </c>
      <c r="I44" s="59"/>
      <c r="J44" s="60"/>
      <c r="K44" s="61"/>
      <c r="L44" s="58"/>
      <c r="M44" s="58"/>
    </row>
  </sheetData>
  <mergeCells count="4">
    <mergeCell ref="A1:F1"/>
    <mergeCell ref="B2:F2"/>
    <mergeCell ref="H1:M1"/>
    <mergeCell ref="I2:M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164E-DA57-4BA0-B48C-8628F0211358}">
  <sheetPr>
    <tabColor rgb="FF0070C0"/>
  </sheetPr>
  <dimension ref="A1:H40"/>
  <sheetViews>
    <sheetView showGridLines="0" zoomScale="96" zoomScaleNormal="96" workbookViewId="0">
      <pane ySplit="2" topLeftCell="A3" activePane="bottomLeft" state="frozen"/>
      <selection pane="bottomLeft" activeCell="G35" sqref="G35"/>
    </sheetView>
  </sheetViews>
  <sheetFormatPr defaultColWidth="8.73046875" defaultRowHeight="13.15" x14ac:dyDescent="0.4"/>
  <cols>
    <col min="1" max="1" width="22.59765625" style="2" bestFit="1" customWidth="1"/>
    <col min="2" max="2" width="54.73046875" style="2" bestFit="1" customWidth="1"/>
    <col min="3" max="7" width="9.46484375" style="2" bestFit="1" customWidth="1"/>
    <col min="8" max="16384" width="8.73046875" style="2"/>
  </cols>
  <sheetData>
    <row r="1" spans="1:8" ht="15" x14ac:dyDescent="0.4">
      <c r="A1" s="140" t="s">
        <v>166</v>
      </c>
      <c r="B1" s="140"/>
      <c r="C1" s="140"/>
      <c r="D1" s="140"/>
      <c r="E1" s="140"/>
      <c r="F1" s="140"/>
      <c r="G1" s="140"/>
    </row>
    <row r="2" spans="1:8" x14ac:dyDescent="0.4">
      <c r="A2" s="14" t="s">
        <v>102</v>
      </c>
      <c r="B2" s="14" t="s">
        <v>114</v>
      </c>
      <c r="C2" s="14">
        <v>2025</v>
      </c>
      <c r="D2" s="14">
        <v>2024</v>
      </c>
      <c r="E2" s="14">
        <v>2023</v>
      </c>
      <c r="F2" s="14">
        <v>2022</v>
      </c>
      <c r="G2" s="14">
        <v>2021</v>
      </c>
    </row>
    <row r="3" spans="1:8" x14ac:dyDescent="0.4">
      <c r="A3" s="141" t="s">
        <v>167</v>
      </c>
      <c r="B3" s="141"/>
      <c r="C3" s="141"/>
      <c r="D3" s="141"/>
      <c r="E3" s="141"/>
      <c r="F3" s="141"/>
      <c r="G3" s="141"/>
    </row>
    <row r="4" spans="1:8" x14ac:dyDescent="0.4">
      <c r="A4" s="13" t="s">
        <v>168</v>
      </c>
      <c r="B4" s="13" t="s">
        <v>170</v>
      </c>
      <c r="C4" s="64">
        <f>'HDFC Life Insurance'!I37/'HDFC Life Insurance'!I23</f>
        <v>1.0330165690752497</v>
      </c>
      <c r="D4" s="64">
        <f>'HDFC Life Insurance'!J37/'HDFC Life Insurance'!J23</f>
        <v>0.91438113322348147</v>
      </c>
      <c r="E4" s="64">
        <f>'HDFC Life Insurance'!K37/'HDFC Life Insurance'!K23</f>
        <v>0.86419931369045577</v>
      </c>
      <c r="F4" s="64">
        <f>'HDFC Life Insurance'!L37/'HDFC Life Insurance'!L23</f>
        <v>0.90487149815192236</v>
      </c>
      <c r="G4" s="64">
        <f>'HDFC Life Insurance'!M37/'HDFC Life Insurance'!M23</f>
        <v>0.77525666941715254</v>
      </c>
    </row>
    <row r="5" spans="1:8" x14ac:dyDescent="0.4">
      <c r="A5" s="13" t="s">
        <v>169</v>
      </c>
      <c r="B5" s="13" t="s">
        <v>171</v>
      </c>
      <c r="C5" s="64">
        <f>('HDFC Life Insurance'!I37/'HDFC Life Insurance'!I23)</f>
        <v>1.0330165690752497</v>
      </c>
      <c r="D5" s="64">
        <f>('HDFC Life Insurance'!J37/'HDFC Life Insurance'!J23)</f>
        <v>0.91438113322348147</v>
      </c>
      <c r="E5" s="64">
        <f>('HDFC Life Insurance'!K37/'HDFC Life Insurance'!K23)</f>
        <v>0.86419931369045577</v>
      </c>
      <c r="F5" s="64">
        <f>('HDFC Life Insurance'!L37/'HDFC Life Insurance'!L23)</f>
        <v>0.90487149815192236</v>
      </c>
      <c r="G5" s="64">
        <f>('HDFC Life Insurance'!M37/'HDFC Life Insurance'!M23)</f>
        <v>0.77525666941715254</v>
      </c>
      <c r="H5" s="80" t="s">
        <v>176</v>
      </c>
    </row>
    <row r="6" spans="1:8" x14ac:dyDescent="0.4">
      <c r="A6" s="141" t="s">
        <v>103</v>
      </c>
      <c r="B6" s="141"/>
      <c r="C6" s="141"/>
      <c r="D6" s="141"/>
      <c r="E6" s="141"/>
      <c r="F6" s="141"/>
      <c r="G6" s="141"/>
    </row>
    <row r="7" spans="1:8" x14ac:dyDescent="0.4">
      <c r="A7" s="3" t="s">
        <v>104</v>
      </c>
      <c r="B7" s="3" t="s">
        <v>112</v>
      </c>
      <c r="C7" s="3">
        <f>'HDFC Life Insurance'!I16/'HDFC Life Insurance'!I13</f>
        <v>0.18261753450233317</v>
      </c>
      <c r="D7" s="3">
        <f>'HDFC Life Insurance'!J16/'HDFC Life Insurance'!J13</f>
        <v>6.4774125804988966E-2</v>
      </c>
      <c r="E7" s="3">
        <f>'HDFC Life Insurance'!K16/'HDFC Life Insurance'!K13</f>
        <v>7.3133235668387739E-2</v>
      </c>
      <c r="F7" s="3">
        <f>'HDFC Life Insurance'!L16/'HDFC Life Insurance'!L13</f>
        <v>3.8436874800208326E-2</v>
      </c>
      <c r="G7" s="3">
        <f>'HDFC Life Insurance'!M16/'HDFC Life Insurance'!M13</f>
        <v>5.3605745821208757E-2</v>
      </c>
    </row>
    <row r="8" spans="1:8" x14ac:dyDescent="0.4">
      <c r="A8" s="3" t="s">
        <v>107</v>
      </c>
      <c r="B8" s="3" t="s">
        <v>113</v>
      </c>
      <c r="C8" s="3">
        <f>'HDFC Life Insurance'!I16/'HDFC Life Insurance'!I38</f>
        <v>8.4427654057716121E-3</v>
      </c>
      <c r="D8" s="3">
        <f>'HDFC Life Insurance'!J16/'HDFC Life Insurance'!J38</f>
        <v>3.1385561881673457E-3</v>
      </c>
      <c r="E8" s="3">
        <f>'HDFC Life Insurance'!K16/'HDFC Life Insurance'!K38</f>
        <v>3.8326234440607832E-3</v>
      </c>
      <c r="F8" s="3">
        <f>'HDFC Life Insurance'!L16/'HDFC Life Insurance'!L38</f>
        <v>2.6003919224025715E-3</v>
      </c>
      <c r="G8" s="3">
        <f>'HDFC Life Insurance'!M16/'HDFC Life Insurance'!M38</f>
        <v>3.339989933270341E-3</v>
      </c>
    </row>
    <row r="9" spans="1:8" x14ac:dyDescent="0.4">
      <c r="A9" s="3" t="s">
        <v>105</v>
      </c>
      <c r="B9" s="3" t="s">
        <v>116</v>
      </c>
      <c r="C9" s="3">
        <f>'HDFC Life Insurance'!I13/'HDFC Life Insurance'!I38</f>
        <v>4.6231953732042877E-2</v>
      </c>
      <c r="D9" s="3">
        <f>'HDFC Life Insurance'!J13/'HDFC Life Insurance'!J38</f>
        <v>4.8453856368766479E-2</v>
      </c>
      <c r="E9" s="3">
        <f>'HDFC Life Insurance'!K13/'HDFC Life Insurance'!K38</f>
        <v>5.2406042328542249E-2</v>
      </c>
      <c r="F9" s="3">
        <f>'HDFC Life Insurance'!L13/'HDFC Life Insurance'!L38</f>
        <v>6.765357318770561E-2</v>
      </c>
      <c r="G9" s="3">
        <f>'HDFC Life Insurance'!M13/'HDFC Life Insurance'!M38</f>
        <v>6.2306565874677117E-2</v>
      </c>
    </row>
    <row r="10" spans="1:8" x14ac:dyDescent="0.4">
      <c r="A10" s="3" t="s">
        <v>106</v>
      </c>
      <c r="B10" s="3" t="s">
        <v>115</v>
      </c>
      <c r="C10" s="3">
        <f>'HDFC Life Insurance'!B21/'HDFC Life Insurance'!B23</f>
        <v>8.6518123332810291</v>
      </c>
      <c r="D10" s="3">
        <f>'HDFC Life Insurance'!C21/'HDFC Life Insurance'!C23</f>
        <v>7.3364579427571552</v>
      </c>
      <c r="E10" s="3">
        <f>'HDFC Life Insurance'!D21/'HDFC Life Insurance'!D23</f>
        <v>0.63184079601990051</v>
      </c>
      <c r="F10" s="3">
        <f>'HDFC Life Insurance'!E21/'HDFC Life Insurance'!E23</f>
        <v>28.974188502150959</v>
      </c>
      <c r="G10" s="3">
        <f>'HDFC Life Insurance'!F21/'HDFC Life Insurance'!F23</f>
        <v>73.80792186652198</v>
      </c>
    </row>
    <row r="11" spans="1:8" x14ac:dyDescent="0.4">
      <c r="A11" s="141" t="s">
        <v>162</v>
      </c>
      <c r="B11" s="141"/>
      <c r="C11" s="141"/>
      <c r="D11" s="141"/>
      <c r="E11" s="141"/>
      <c r="F11" s="141"/>
      <c r="G11" s="141"/>
    </row>
    <row r="12" spans="1:8" x14ac:dyDescent="0.4">
      <c r="A12" s="3" t="s">
        <v>108</v>
      </c>
      <c r="B12" s="3" t="s">
        <v>117</v>
      </c>
      <c r="C12" s="78">
        <f>('HDFC Life Insurance'!B9 - 88950)/'HDFC Life Insurance'!B9</f>
        <v>8.2249245628483403E-2</v>
      </c>
      <c r="D12" s="78">
        <f>('HDFC Life Insurance'!C9 - 93490)/'HDFC Life Insurance'!C9</f>
        <v>7.8750975914003818E-2</v>
      </c>
      <c r="E12" s="78">
        <f>('HDFC Life Insurance'!D9 - 60360)/'HDFC Life Insurance'!D9</f>
        <v>0.14025764922853937</v>
      </c>
      <c r="F12" s="78">
        <f>('HDFC Life Insurance'!E9 - 59810)/'HDFC Life Insurance'!E9</f>
        <v>0.10898694154143913</v>
      </c>
      <c r="G12" s="78">
        <f>('HDFC Life Insurance'!F9 - 59550)/'HDFC Life Insurance'!F9</f>
        <v>0.1669307167543452</v>
      </c>
      <c r="H12" s="80" t="s">
        <v>180</v>
      </c>
    </row>
    <row r="13" spans="1:8" x14ac:dyDescent="0.4">
      <c r="A13" s="3" t="s">
        <v>109</v>
      </c>
      <c r="B13" s="3" t="s">
        <v>118</v>
      </c>
      <c r="C13" s="70">
        <f>'HDFC Life Insurance'!B21/'HDFC Life Insurance'!B9</f>
        <v>1.1377839481627135E-2</v>
      </c>
      <c r="D13" s="70">
        <f>'HDFC Life Insurance'!C21/'HDFC Life Insurance'!C9</f>
        <v>5.7841904444137227E-3</v>
      </c>
      <c r="E13" s="70">
        <f>'HDFC Life Insurance'!D21/'HDFC Life Insurance'!D9</f>
        <v>7.4166309152866067E-4</v>
      </c>
      <c r="F13" s="70">
        <f>'HDFC Life Insurance'!E21/'HDFC Life Insurance'!E9</f>
        <v>1.1037031342922488E-2</v>
      </c>
      <c r="G13" s="70">
        <f>'HDFC Life Insurance'!F21/'HDFC Life Insurance'!F9</f>
        <v>1.9029512755892514E-2</v>
      </c>
    </row>
    <row r="14" spans="1:8" x14ac:dyDescent="0.4">
      <c r="A14" s="3" t="s">
        <v>110</v>
      </c>
      <c r="B14" s="3" t="s">
        <v>119</v>
      </c>
      <c r="C14" s="70">
        <f>'HDFC Life Insurance'!B29/'HDFC Life Insurance'!B9</f>
        <v>1.8683321203271833E-2</v>
      </c>
      <c r="D14" s="70">
        <f>'HDFC Life Insurance'!C29/'HDFC Life Insurance'!C9</f>
        <v>1.5510960143686863E-2</v>
      </c>
      <c r="E14" s="70">
        <f>'HDFC Life Insurance'!D29/'HDFC Life Insurance'!D9</f>
        <v>1.9489202513478698E-2</v>
      </c>
      <c r="F14" s="70">
        <f>'HDFC Life Insurance'!E29/'HDFC Life Insurance'!E9</f>
        <v>1.9767797319184387E-2</v>
      </c>
      <c r="G14" s="70">
        <f>'HDFC Life Insurance'!F29/'HDFC Life Insurance'!F9</f>
        <v>1.9037766506977569E-2</v>
      </c>
    </row>
    <row r="15" spans="1:8" x14ac:dyDescent="0.4">
      <c r="A15" s="3" t="s">
        <v>120</v>
      </c>
      <c r="B15" s="3" t="s">
        <v>121</v>
      </c>
      <c r="C15" s="70">
        <f>'HDFC Life Insurance'!B14/'HDFC Life Insurance'!B9</f>
        <v>1.0766315173458503E-2</v>
      </c>
      <c r="D15" s="70">
        <f>'HDFC Life Insurance'!C14/'HDFC Life Insurance'!C9</f>
        <v>1.7442242593474159E-2</v>
      </c>
      <c r="E15" s="70">
        <f>'HDFC Life Insurance'!D14/'HDFC Life Insurance'!D9</f>
        <v>3.5171951318869833E-2</v>
      </c>
      <c r="F15" s="70">
        <f>'HDFC Life Insurance'!E14/'HDFC Life Insurance'!E9</f>
        <v>2.8167245281399831E-2</v>
      </c>
      <c r="G15" s="70">
        <f>'HDFC Life Insurance'!F14/'HDFC Life Insurance'!F9</f>
        <v>1.9728563504570692E-2</v>
      </c>
    </row>
    <row r="16" spans="1:8" x14ac:dyDescent="0.4">
      <c r="A16" s="3" t="s">
        <v>111</v>
      </c>
      <c r="B16" s="3" t="s">
        <v>122</v>
      </c>
      <c r="C16" s="70">
        <f>'HDFC Life Insurance'!B14/'HDFC Life Insurance'!B9</f>
        <v>1.0766315173458503E-2</v>
      </c>
      <c r="D16" s="70">
        <f>'HDFC Life Insurance'!C14/'HDFC Life Insurance'!C9</f>
        <v>1.7442242593474159E-2</v>
      </c>
      <c r="E16" s="70">
        <f>'HDFC Life Insurance'!D14/'HDFC Life Insurance'!D9</f>
        <v>3.5171951318869833E-2</v>
      </c>
      <c r="F16" s="70">
        <f>'HDFC Life Insurance'!E14/'HDFC Life Insurance'!E9</f>
        <v>2.8167245281399831E-2</v>
      </c>
      <c r="G16" s="70">
        <f>'HDFC Life Insurance'!F14/'HDFC Life Insurance'!F9</f>
        <v>1.9728563504570692E-2</v>
      </c>
    </row>
    <row r="17" spans="1:8" x14ac:dyDescent="0.4">
      <c r="A17" s="3" t="s">
        <v>123</v>
      </c>
      <c r="B17" s="3" t="s">
        <v>125</v>
      </c>
      <c r="C17" s="70">
        <f>'HDFC Life Insurance'!B14/'HDFC Life Insurance'!B9</f>
        <v>1.0766315173458503E-2</v>
      </c>
      <c r="D17" s="70">
        <f>'HDFC Life Insurance'!C14/'HDFC Life Insurance'!C9</f>
        <v>1.7442242593474159E-2</v>
      </c>
      <c r="E17" s="70">
        <f>'HDFC Life Insurance'!D14/'HDFC Life Insurance'!D9</f>
        <v>3.5171951318869833E-2</v>
      </c>
      <c r="F17" s="70">
        <f>'HDFC Life Insurance'!E14/'HDFC Life Insurance'!E9</f>
        <v>2.8167245281399831E-2</v>
      </c>
      <c r="G17" s="70">
        <f>'HDFC Life Insurance'!F14/'HDFC Life Insurance'!F9</f>
        <v>1.9728563504570692E-2</v>
      </c>
    </row>
    <row r="18" spans="1:8" x14ac:dyDescent="0.4">
      <c r="A18" s="3" t="s">
        <v>124</v>
      </c>
      <c r="B18" s="3" t="s">
        <v>126</v>
      </c>
      <c r="C18" s="78">
        <f>(88950+'HDFC Life Insurance'!B14)/'HDFC Life Insurance'!B9</f>
        <v>0.92851706954497515</v>
      </c>
      <c r="D18" s="78">
        <f>(93490+'HDFC Life Insurance'!C14)/'HDFC Life Insurance'!C9</f>
        <v>0.93869126667947045</v>
      </c>
      <c r="E18" s="78">
        <f>(60360+'HDFC Life Insurance'!D14)/'HDFC Life Insurance'!D9</f>
        <v>0.89491430209033052</v>
      </c>
      <c r="F18" s="78">
        <f>(59810+'HDFC Life Insurance'!E14)/'HDFC Life Insurance'!E9</f>
        <v>0.91918030373996074</v>
      </c>
      <c r="G18" s="78">
        <f>(59550+'HDFC Life Insurance'!F14)/'HDFC Life Insurance'!F9</f>
        <v>0.85279784675022552</v>
      </c>
      <c r="H18" s="80" t="s">
        <v>180</v>
      </c>
    </row>
    <row r="19" spans="1:8" x14ac:dyDescent="0.4">
      <c r="A19" s="141" t="s">
        <v>163</v>
      </c>
      <c r="B19" s="141"/>
      <c r="C19" s="141"/>
      <c r="D19" s="141"/>
      <c r="E19" s="141"/>
      <c r="F19" s="141"/>
      <c r="G19" s="141"/>
    </row>
    <row r="20" spans="1:8" x14ac:dyDescent="0.4">
      <c r="A20" s="3" t="s">
        <v>128</v>
      </c>
      <c r="B20" s="3" t="s">
        <v>129</v>
      </c>
      <c r="C20" s="66">
        <f>'HDFC Life Insurance'!B29/'HDFC Life Insurance'!I38</f>
        <v>5.1824842210438466E-3</v>
      </c>
      <c r="D20" s="66">
        <f>'HDFC Life Insurance'!C29/'HDFC Life Insurance'!J38</f>
        <v>5.2003563417583739E-3</v>
      </c>
      <c r="E20" s="66">
        <f>'HDFC Life Insurance'!D29/'HDFC Life Insurance'!K38</f>
        <v>5.5201073747784086E-3</v>
      </c>
      <c r="F20" s="66">
        <f>'HDFC Life Insurance'!E29/'HDFC Life Insurance'!L38</f>
        <v>5.7508967559894066E-3</v>
      </c>
      <c r="G20" s="66">
        <f>'HDFC Life Insurance'!F29/'HDFC Life Insurance'!M38</f>
        <v>7.5754868341493479E-3</v>
      </c>
    </row>
    <row r="21" spans="1:8" x14ac:dyDescent="0.4">
      <c r="A21" s="3" t="s">
        <v>130</v>
      </c>
      <c r="B21" s="3" t="s">
        <v>131</v>
      </c>
      <c r="C21" s="66">
        <f>'HDFC Life Insurance'!B21/('HDFC Life Insurance'!I38-'HDFC Life Insurance'!I23)</f>
        <v>3.2462173557941177E-3</v>
      </c>
      <c r="D21" s="66">
        <f>'HDFC Life Insurance'!C21/('HDFC Life Insurance'!J38-'HDFC Life Insurance'!J23)</f>
        <v>1.9976195592270938E-3</v>
      </c>
      <c r="E21" s="66">
        <f>'HDFC Life Insurance'!D21/('HDFC Life Insurance'!K38-'HDFC Life Insurance'!K23)</f>
        <v>2.1722919098083758E-4</v>
      </c>
      <c r="F21" s="66">
        <f>'HDFC Life Insurance'!E21/('HDFC Life Insurance'!L38-'HDFC Life Insurance'!L23)</f>
        <v>3.3106079722614425E-3</v>
      </c>
      <c r="G21" s="66">
        <f>'HDFC Life Insurance'!F21/('HDFC Life Insurance'!M38-'HDFC Life Insurance'!M23)</f>
        <v>7.8573854617458739E-3</v>
      </c>
    </row>
    <row r="22" spans="1:8" x14ac:dyDescent="0.4">
      <c r="A22" s="3" t="s">
        <v>132</v>
      </c>
      <c r="B22" s="3" t="s">
        <v>133</v>
      </c>
      <c r="C22" s="65">
        <f>'HDFC Life Insurance'!B29/'HDFC Life Insurance'!I13</f>
        <v>0.11209745214492033</v>
      </c>
      <c r="D22" s="65">
        <f>'HDFC Life Insurance'!C29/'HDFC Life Insurance'!J13</f>
        <v>0.10732595362854425</v>
      </c>
      <c r="E22" s="65">
        <f>'HDFC Life Insurance'!D29/'HDFC Life Insurance'!K13</f>
        <v>0.10533341442141218</v>
      </c>
      <c r="F22" s="65">
        <f>'HDFC Life Insurance'!E29/'HDFC Life Insurance'!L13</f>
        <v>8.5005070464400728E-2</v>
      </c>
      <c r="G22" s="65">
        <f>'HDFC Life Insurance'!F29/'HDFC Life Insurance'!M13</f>
        <v>0.12158408552618059</v>
      </c>
    </row>
    <row r="23" spans="1:8" x14ac:dyDescent="0.4">
      <c r="A23" s="141" t="s">
        <v>164</v>
      </c>
      <c r="B23" s="141"/>
      <c r="C23" s="141"/>
      <c r="D23" s="141"/>
      <c r="E23" s="141"/>
      <c r="F23" s="141"/>
      <c r="G23" s="141"/>
    </row>
    <row r="24" spans="1:8" x14ac:dyDescent="0.4">
      <c r="A24" s="3" t="s">
        <v>127</v>
      </c>
      <c r="B24" s="3" t="s">
        <v>141</v>
      </c>
      <c r="C24" s="69">
        <f>'HDFC Life Insurance'!B29/'HDFC Life Insurance'!B34*100</f>
        <v>8.4107296464262689</v>
      </c>
      <c r="D24" s="69">
        <f>'HDFC Life Insurance'!C29/'HDFC Life Insurance'!C34*100</f>
        <v>7.3180891738697058</v>
      </c>
      <c r="E24" s="69">
        <f>'HDFC Life Insurance'!D29/'HDFC Life Insurance'!D34*100</f>
        <v>6.3658813917956483</v>
      </c>
      <c r="F24" s="69">
        <f>'HDFC Life Insurance'!E29/'HDFC Life Insurance'!E34*100</f>
        <v>6.2809716281071042</v>
      </c>
      <c r="G24" s="69">
        <f>'HDFC Life Insurance'!F29/'HDFC Life Insurance'!F34*100</f>
        <v>6.7338332977064184</v>
      </c>
    </row>
    <row r="25" spans="1:8" x14ac:dyDescent="0.4">
      <c r="A25" s="3" t="s">
        <v>134</v>
      </c>
      <c r="B25" s="3" t="s">
        <v>138</v>
      </c>
      <c r="C25" s="78">
        <f>C24/685.7</f>
        <v>1.2265902940682905E-2</v>
      </c>
      <c r="D25" s="78">
        <f>D24/633.35</f>
        <v>1.1554573575226502E-2</v>
      </c>
      <c r="E25" s="78">
        <f>E24/499.2</f>
        <v>1.2752166249590642E-2</v>
      </c>
      <c r="F25" s="78">
        <f>F24/550.35</f>
        <v>1.1412685796506049E-2</v>
      </c>
      <c r="G25" s="78">
        <f>G24/691</f>
        <v>9.7450554235982891E-3</v>
      </c>
      <c r="H25" s="80" t="s">
        <v>179</v>
      </c>
    </row>
    <row r="26" spans="1:8" x14ac:dyDescent="0.4">
      <c r="A26" s="3" t="s">
        <v>135</v>
      </c>
      <c r="B26" s="3" t="s">
        <v>139</v>
      </c>
      <c r="C26" s="78">
        <f>('HDFC Life Insurance'!B32/'HDFC Life Insurance'!B34*100)/685.7</f>
        <v>2.9140342193491268E-3</v>
      </c>
      <c r="D26" s="78">
        <f>('HDFC Life Insurance'!C32/'HDFC Life Insurance'!C34*100)/633.35</f>
        <v>2.9980906213977437E-3</v>
      </c>
      <c r="E26" s="78">
        <f>('HDFC Life Insurance'!D32/'HDFC Life Insurance'!D34*100)/499.2</f>
        <v>3.3478770136068283E-3</v>
      </c>
      <c r="F26" s="78">
        <f>('HDFC Life Insurance'!E32/'HDFC Life Insurance'!E34*100)/550.35</f>
        <v>3.5131768573314535E-3</v>
      </c>
      <c r="G26" s="78">
        <f>('HDFC Life Insurance'!F32/'HDFC Life Insurance'!F34*100)/691</f>
        <v>0</v>
      </c>
      <c r="H26" s="80" t="s">
        <v>179</v>
      </c>
    </row>
    <row r="27" spans="1:8" x14ac:dyDescent="0.4">
      <c r="A27" s="3" t="s">
        <v>136</v>
      </c>
      <c r="B27" s="3" t="s">
        <v>140</v>
      </c>
      <c r="C27" s="65">
        <f>('HDFC Life Insurance'!B32/'HDFC Life Insurance'!B34*100)/C24</f>
        <v>0.23757192873946609</v>
      </c>
      <c r="D27" s="65">
        <f>('HDFC Life Insurance'!C32/'HDFC Life Insurance'!C34*100)/D24</f>
        <v>0.25947219963407198</v>
      </c>
      <c r="E27" s="65">
        <f>('HDFC Life Insurance'!D32/'HDFC Life Insurance'!D34*100)/E24</f>
        <v>0.26253398427222502</v>
      </c>
      <c r="F27" s="65">
        <f>('HDFC Life Insurance'!E32/'HDFC Life Insurance'!E34*100)/F24</f>
        <v>0.30783085769407575</v>
      </c>
      <c r="G27" s="65">
        <f>('HDFC Life Insurance'!F32/'HDFC Life Insurance'!F34*100)/G24</f>
        <v>0</v>
      </c>
      <c r="H27" s="80"/>
    </row>
    <row r="28" spans="1:8" x14ac:dyDescent="0.4">
      <c r="A28" s="3" t="s">
        <v>137</v>
      </c>
      <c r="B28" s="3" t="s">
        <v>142</v>
      </c>
      <c r="C28" s="3">
        <f>685.7/C24</f>
        <v>81.52681501198353</v>
      </c>
      <c r="D28" s="3">
        <f>633.35/D24</f>
        <v>86.545816121162844</v>
      </c>
      <c r="E28" s="3">
        <f>499.2/E24</f>
        <v>78.418049171222265</v>
      </c>
      <c r="F28" s="3">
        <f>550.35/F24</f>
        <v>87.621793662815662</v>
      </c>
      <c r="G28" s="3">
        <f>691/G24</f>
        <v>102.61614290858054</v>
      </c>
      <c r="H28" s="80" t="s">
        <v>179</v>
      </c>
    </row>
    <row r="29" spans="1:8" x14ac:dyDescent="0.4">
      <c r="A29" s="141" t="s">
        <v>165</v>
      </c>
      <c r="B29" s="141"/>
      <c r="C29" s="141"/>
      <c r="D29" s="141"/>
      <c r="E29" s="141"/>
      <c r="F29" s="141"/>
      <c r="G29" s="141"/>
    </row>
    <row r="30" spans="1:8" x14ac:dyDescent="0.4">
      <c r="A30" s="3" t="s">
        <v>143</v>
      </c>
      <c r="B30" s="3" t="s">
        <v>129</v>
      </c>
      <c r="C30" s="70">
        <f>'HDFC Life Insurance'!B29/'HDFC Life Insurance'!I38</f>
        <v>5.1824842210438466E-3</v>
      </c>
      <c r="D30" s="70">
        <f>'HDFC Life Insurance'!C29/'HDFC Life Insurance'!J38</f>
        <v>5.2003563417583739E-3</v>
      </c>
      <c r="E30" s="70">
        <f>'HDFC Life Insurance'!D29/'HDFC Life Insurance'!K38</f>
        <v>5.5201073747784086E-3</v>
      </c>
      <c r="F30" s="70">
        <f>'HDFC Life Insurance'!E29/'HDFC Life Insurance'!L38</f>
        <v>5.7508967559894066E-3</v>
      </c>
      <c r="G30" s="70">
        <f>'HDFC Life Insurance'!F29/'HDFC Life Insurance'!M38</f>
        <v>7.5754868341493479E-3</v>
      </c>
    </row>
    <row r="31" spans="1:8" x14ac:dyDescent="0.4">
      <c r="A31" s="141" t="s">
        <v>144</v>
      </c>
      <c r="B31" s="141"/>
      <c r="C31" s="141"/>
      <c r="D31" s="141"/>
      <c r="E31" s="141"/>
      <c r="F31" s="141"/>
      <c r="G31" s="141"/>
    </row>
    <row r="32" spans="1:8" x14ac:dyDescent="0.4">
      <c r="A32" s="3" t="s">
        <v>145</v>
      </c>
      <c r="B32" s="3" t="s">
        <v>146</v>
      </c>
      <c r="C32" s="3">
        <f>'HDFC Life Insurance'!B9/'HDFC Life Insurance'!I37</f>
        <v>9.6671650440310906</v>
      </c>
      <c r="D32" s="3">
        <f>'HDFC Life Insurance'!C9/'HDFC Life Insurance'!J37</f>
        <v>12.551627366220787</v>
      </c>
      <c r="E32" s="3">
        <f>'HDFC Life Insurance'!D9/'HDFC Life Insurance'!K37</f>
        <v>9.9421206019049571</v>
      </c>
      <c r="F32" s="3">
        <f>'HDFC Life Insurance'!E9/'HDFC Life Insurance'!L37</f>
        <v>10.677215703303572</v>
      </c>
      <c r="G32" s="3">
        <f>'HDFC Life Insurance'!F9/'HDFC Life Insurance'!M37</f>
        <v>14.141762550645732</v>
      </c>
    </row>
    <row r="33" spans="1:7" x14ac:dyDescent="0.4">
      <c r="A33" s="3" t="s">
        <v>147</v>
      </c>
      <c r="B33" s="3" t="s">
        <v>148</v>
      </c>
      <c r="C33" s="3">
        <f>'HDFC Life Insurance'!B9/'HDFC Life Insurance'!I30</f>
        <v>159.25359842260926</v>
      </c>
      <c r="D33" s="3">
        <f>'HDFC Life Insurance'!C9/'HDFC Life Insurance'!J30</f>
        <v>241.42786791644858</v>
      </c>
      <c r="E33" s="3">
        <f>'HDFC Life Insurance'!D9/'HDFC Life Insurance'!K30</f>
        <v>183.60552330142789</v>
      </c>
      <c r="F33" s="3">
        <f>'HDFC Life Insurance'!E9/'HDFC Life Insurance'!L30</f>
        <v>181.42609259709721</v>
      </c>
      <c r="G33" s="3">
        <f>'HDFC Life Insurance'!F9/'HDFC Life Insurance'!M30</f>
        <v>209.30736120871398</v>
      </c>
    </row>
    <row r="34" spans="1:7" x14ac:dyDescent="0.4">
      <c r="A34" s="3" t="s">
        <v>149</v>
      </c>
      <c r="B34" s="3" t="s">
        <v>150</v>
      </c>
      <c r="C34" s="69">
        <f>'HDFC Life Insurance'!B9/'HDFC Life Insurance'!I38</f>
        <v>0.27738559780989513</v>
      </c>
      <c r="D34" s="69">
        <f>'HDFC Life Insurance'!C9/'HDFC Life Insurance'!J38</f>
        <v>0.33526978946399899</v>
      </c>
      <c r="E34" s="69">
        <f>'HDFC Life Insurance'!D9/'HDFC Life Insurance'!K38</f>
        <v>0.28323926394426413</v>
      </c>
      <c r="F34" s="69">
        <f>'HDFC Life Insurance'!E9/'HDFC Life Insurance'!L38</f>
        <v>0.29092248686747901</v>
      </c>
      <c r="G34" s="69">
        <f>'HDFC Life Insurance'!F9/'HDFC Life Insurance'!M38</f>
        <v>0.39791888567247852</v>
      </c>
    </row>
    <row r="35" spans="1:7" x14ac:dyDescent="0.4">
      <c r="A35" s="3" t="s">
        <v>151</v>
      </c>
      <c r="B35" s="3" t="s">
        <v>152</v>
      </c>
      <c r="C35" s="68">
        <f>IFERROR('HDFC Life Insurance'!B9/0,0)</f>
        <v>0</v>
      </c>
      <c r="D35" s="68">
        <f>IFERROR('HDFC Life Insurance'!C9/0,0)</f>
        <v>0</v>
      </c>
      <c r="E35" s="68">
        <f>IFERROR('HDFC Life Insurance'!D9/0,0)</f>
        <v>0</v>
      </c>
      <c r="F35" s="68">
        <f>IFERROR('HDFC Life Insurance'!E9/0,0)</f>
        <v>0</v>
      </c>
      <c r="G35" s="68">
        <f>IFERROR('HDFC Life Insurance'!F9/0,0)</f>
        <v>0</v>
      </c>
    </row>
    <row r="36" spans="1:7" x14ac:dyDescent="0.4">
      <c r="A36" s="3" t="s">
        <v>153</v>
      </c>
      <c r="B36" s="3" t="s">
        <v>154</v>
      </c>
      <c r="C36" s="68">
        <f>IFERROR('HDFC Life Insurance'!B9/0,0)</f>
        <v>0</v>
      </c>
      <c r="D36" s="68">
        <f>IFERROR('HDFC Life Insurance'!C9/0,0)</f>
        <v>0</v>
      </c>
      <c r="E36" s="68">
        <f>IFERROR('HDFC Life Insurance'!D9/0,0)</f>
        <v>0</v>
      </c>
      <c r="F36" s="68">
        <f>IFERROR('HDFC Life Insurance'!E9/0,0)</f>
        <v>0</v>
      </c>
      <c r="G36" s="68">
        <f>IFERROR('HDFC Life Insurance'!F9/0,0)</f>
        <v>0</v>
      </c>
    </row>
    <row r="37" spans="1:7" x14ac:dyDescent="0.4">
      <c r="A37" s="141" t="s">
        <v>155</v>
      </c>
      <c r="B37" s="141"/>
      <c r="C37" s="141"/>
      <c r="D37" s="141"/>
      <c r="E37" s="141"/>
      <c r="F37" s="141"/>
      <c r="G37" s="141"/>
    </row>
    <row r="38" spans="1:7" x14ac:dyDescent="0.4">
      <c r="A38" s="3" t="s">
        <v>156</v>
      </c>
      <c r="B38" s="3" t="s">
        <v>159</v>
      </c>
      <c r="C38" s="3">
        <f>('HDFC Life Insurance'!B9-'HDFC Life Insurance'!B14-'HDFC Life Insurance'!B13-'HDFC Life Insurance'!B15)/'HDFC Life Insurance'!B26</f>
        <v>0.85502504380727495</v>
      </c>
      <c r="D38" s="3">
        <f>('HDFC Life Insurance'!C9-'HDFC Life Insurance'!C14-'HDFC Life Insurance'!C13-'HDFC Life Insurance'!C15)/'HDFC Life Insurance'!C26</f>
        <v>0.60063646037980534</v>
      </c>
      <c r="E38" s="3">
        <f>('HDFC Life Insurance'!D9-'HDFC Life Insurance'!D14-'HDFC Life Insurance'!D13-'HDFC Life Insurance'!D15)/'HDFC Life Insurance'!D26</f>
        <v>3.6126606166569333E-2</v>
      </c>
      <c r="F38" s="3">
        <f>('HDFC Life Insurance'!E9-'HDFC Life Insurance'!E14-'HDFC Life Insurance'!E13-'HDFC Life Insurance'!E15)/'HDFC Life Insurance'!E26</f>
        <v>0.49814758782988422</v>
      </c>
      <c r="G38" s="3">
        <f>('HDFC Life Insurance'!F9-'HDFC Life Insurance'!F14-'HDFC Life Insurance'!F13-'HDFC Life Insurance'!F15)/'HDFC Life Insurance'!F26</f>
        <v>0.83521422519126076</v>
      </c>
    </row>
    <row r="39" spans="1:7" x14ac:dyDescent="0.4">
      <c r="A39" s="3" t="s">
        <v>157</v>
      </c>
      <c r="B39" s="3" t="s">
        <v>160</v>
      </c>
      <c r="C39" s="68">
        <f>('HDFC Life Insurance'!B9-'HDFC Life Insurance'!B14-'HDFC Life Insurance'!B13-'HDFC Life Insurance'!B15)/'HDFC Life Insurance'!B21</f>
        <v>0.99999999999999523</v>
      </c>
      <c r="D39" s="68">
        <f>('HDFC Life Insurance'!C9-'HDFC Life Insurance'!C14-'HDFC Life Insurance'!C13-'HDFC Life Insurance'!C15)/'HDFC Life Insurance'!C21</f>
        <v>0.99999999999995937</v>
      </c>
      <c r="E39" s="68">
        <f>('HDFC Life Insurance'!D9-'HDFC Life Insurance'!D14-'HDFC Life Insurance'!D13-'HDFC Life Insurance'!D15)/'HDFC Life Insurance'!D21</f>
        <v>0.99999999999999445</v>
      </c>
      <c r="F39" s="68">
        <f>('HDFC Life Insurance'!E9-'HDFC Life Insurance'!E14-'HDFC Life Insurance'!E13-'HDFC Life Insurance'!E15)/'HDFC Life Insurance'!E21</f>
        <v>0.99999999999999367</v>
      </c>
      <c r="G39" s="68">
        <f>('HDFC Life Insurance'!F9-'HDFC Life Insurance'!F14-'HDFC Life Insurance'!F13-'HDFC Life Insurance'!F15)/'HDFC Life Insurance'!F21</f>
        <v>0.99999999999999911</v>
      </c>
    </row>
    <row r="40" spans="1:7" x14ac:dyDescent="0.4">
      <c r="A40" s="3" t="s">
        <v>158</v>
      </c>
      <c r="B40" s="3" t="s">
        <v>161</v>
      </c>
      <c r="C40" s="3">
        <f>'HDFC Life Insurance'!B21/'HDFC Life Insurance'!B29</f>
        <v>0.60898377530621484</v>
      </c>
      <c r="D40" s="3">
        <f>'HDFC Life Insurance'!C21/'HDFC Life Insurance'!C29</f>
        <v>0.37290989022158977</v>
      </c>
      <c r="E40" s="3">
        <f>'HDFC Life Insurance'!D21/'HDFC Life Insurance'!D29</f>
        <v>3.8055076446341395E-2</v>
      </c>
      <c r="F40" s="3">
        <f>'HDFC Life Insurance'!E21/'HDFC Life Insurance'!E29</f>
        <v>0.55833389854777571</v>
      </c>
      <c r="G40" s="3">
        <f>'HDFC Life Insurance'!F21/'HDFC Life Insurance'!F29</f>
        <v>0.99956645381263465</v>
      </c>
    </row>
  </sheetData>
  <mergeCells count="9">
    <mergeCell ref="A31:G31"/>
    <mergeCell ref="A37:G37"/>
    <mergeCell ref="A3:G3"/>
    <mergeCell ref="A1:G1"/>
    <mergeCell ref="A6:G6"/>
    <mergeCell ref="A11:G11"/>
    <mergeCell ref="A19:G19"/>
    <mergeCell ref="A23:G23"/>
    <mergeCell ref="A29:G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09E6-90AB-4625-9713-157E0C6AA49C}">
  <dimension ref="A1:N59"/>
  <sheetViews>
    <sheetView showGridLines="0" workbookViewId="0">
      <selection activeCell="G6" sqref="G6"/>
    </sheetView>
  </sheetViews>
  <sheetFormatPr defaultColWidth="8.73046875" defaultRowHeight="11.65" x14ac:dyDescent="0.35"/>
  <cols>
    <col min="1" max="1" width="22.9296875" style="1" customWidth="1"/>
    <col min="2" max="7" width="8.73046875" style="1"/>
    <col min="8" max="8" width="18.53125" style="1" bestFit="1" customWidth="1"/>
    <col min="9" max="16384" width="8.73046875" style="1"/>
  </cols>
  <sheetData>
    <row r="1" spans="1:13" ht="19.8" customHeight="1" x14ac:dyDescent="0.35">
      <c r="A1" s="147" t="s">
        <v>99</v>
      </c>
      <c r="B1" s="148"/>
      <c r="C1" s="148"/>
      <c r="D1" s="148"/>
      <c r="E1" s="148"/>
      <c r="F1" s="149"/>
      <c r="H1" s="137" t="s">
        <v>99</v>
      </c>
      <c r="I1" s="138"/>
      <c r="J1" s="138"/>
      <c r="K1" s="138"/>
      <c r="L1" s="138"/>
      <c r="M1" s="139"/>
    </row>
    <row r="2" spans="1:13" ht="24.5" customHeight="1" x14ac:dyDescent="0.35">
      <c r="A2" s="5" t="s">
        <v>1</v>
      </c>
      <c r="B2" s="135" t="s">
        <v>2</v>
      </c>
      <c r="C2" s="135"/>
      <c r="D2" s="135"/>
      <c r="E2" s="135"/>
      <c r="F2" s="136"/>
      <c r="H2" s="40" t="s">
        <v>39</v>
      </c>
      <c r="I2" s="150" t="s">
        <v>2</v>
      </c>
      <c r="J2" s="150"/>
      <c r="K2" s="150"/>
      <c r="L2" s="150"/>
      <c r="M2" s="151"/>
    </row>
    <row r="3" spans="1:13" x14ac:dyDescent="0.35">
      <c r="A3" s="8"/>
      <c r="B3" s="41" t="s">
        <v>3</v>
      </c>
      <c r="C3" s="30" t="s">
        <v>4</v>
      </c>
      <c r="D3" s="18" t="s">
        <v>5</v>
      </c>
      <c r="E3" s="57" t="s">
        <v>6</v>
      </c>
      <c r="F3" s="24" t="s">
        <v>7</v>
      </c>
      <c r="H3" s="8"/>
      <c r="I3" s="41" t="s">
        <v>40</v>
      </c>
      <c r="J3" s="49">
        <v>45352</v>
      </c>
      <c r="K3" s="35">
        <v>44986</v>
      </c>
      <c r="L3" s="36">
        <v>44621</v>
      </c>
      <c r="M3" s="39">
        <v>44256</v>
      </c>
    </row>
    <row r="4" spans="1:13" x14ac:dyDescent="0.35">
      <c r="A4" s="17"/>
      <c r="B4" s="15"/>
      <c r="C4" s="29"/>
      <c r="D4" s="17"/>
      <c r="E4" s="16"/>
      <c r="F4" s="16"/>
      <c r="H4" s="17"/>
      <c r="I4" s="15"/>
      <c r="J4" s="29"/>
      <c r="K4" s="17"/>
      <c r="L4" s="16"/>
      <c r="M4" s="16"/>
    </row>
    <row r="5" spans="1:13" x14ac:dyDescent="0.35">
      <c r="A5" s="7"/>
      <c r="B5" s="42" t="s">
        <v>8</v>
      </c>
      <c r="C5" s="31" t="s">
        <v>8</v>
      </c>
      <c r="D5" s="19" t="s">
        <v>8</v>
      </c>
      <c r="E5" s="25" t="s">
        <v>8</v>
      </c>
      <c r="F5" s="25" t="s">
        <v>8</v>
      </c>
      <c r="H5" s="7"/>
      <c r="I5" s="42" t="s">
        <v>8</v>
      </c>
      <c r="J5" s="31" t="s">
        <v>8</v>
      </c>
      <c r="K5" s="19" t="s">
        <v>8</v>
      </c>
      <c r="L5" s="25" t="s">
        <v>8</v>
      </c>
      <c r="M5" s="25" t="s">
        <v>8</v>
      </c>
    </row>
    <row r="6" spans="1:13" x14ac:dyDescent="0.35">
      <c r="A6" s="17"/>
      <c r="B6" s="15"/>
      <c r="C6" s="29"/>
      <c r="D6" s="17"/>
      <c r="E6" s="16"/>
      <c r="F6" s="16"/>
      <c r="H6" s="17"/>
      <c r="I6" s="15"/>
      <c r="J6" s="29"/>
      <c r="K6" s="17"/>
      <c r="L6" s="16"/>
      <c r="M6" s="16"/>
    </row>
    <row r="7" spans="1:13" ht="11.55" customHeight="1" x14ac:dyDescent="0.35">
      <c r="A7" s="8" t="s">
        <v>9</v>
      </c>
      <c r="B7" s="43"/>
      <c r="C7" s="50"/>
      <c r="D7" s="22"/>
      <c r="E7" s="24"/>
      <c r="F7" s="24"/>
      <c r="H7" s="8" t="s">
        <v>41</v>
      </c>
      <c r="I7" s="43"/>
      <c r="J7" s="50"/>
      <c r="K7" s="22"/>
      <c r="L7" s="24"/>
      <c r="M7" s="24"/>
    </row>
    <row r="8" spans="1:13" ht="11.55" customHeight="1" x14ac:dyDescent="0.35">
      <c r="A8" s="7" t="s">
        <v>10</v>
      </c>
      <c r="B8" s="44">
        <v>97894.75</v>
      </c>
      <c r="C8" s="32">
        <v>96420.98</v>
      </c>
      <c r="D8" s="20">
        <v>136977.76</v>
      </c>
      <c r="E8" s="26">
        <v>69420.179999999993</v>
      </c>
      <c r="F8" s="26">
        <v>39537.129999999997</v>
      </c>
      <c r="H8" s="8" t="s">
        <v>42</v>
      </c>
      <c r="I8" s="43"/>
      <c r="J8" s="50"/>
      <c r="K8" s="22"/>
      <c r="L8" s="24"/>
      <c r="M8" s="24"/>
    </row>
    <row r="9" spans="1:13" x14ac:dyDescent="0.35">
      <c r="A9" s="7" t="s">
        <v>11</v>
      </c>
      <c r="B9" s="44">
        <v>97894.75</v>
      </c>
      <c r="C9" s="32">
        <v>96420.98</v>
      </c>
      <c r="D9" s="20">
        <v>136977.76</v>
      </c>
      <c r="E9" s="26">
        <v>69420.179999999993</v>
      </c>
      <c r="F9" s="26">
        <v>39537.129999999997</v>
      </c>
      <c r="H9" s="7" t="s">
        <v>43</v>
      </c>
      <c r="I9" s="42">
        <v>115.42</v>
      </c>
      <c r="J9" s="31">
        <v>114</v>
      </c>
      <c r="K9" s="19">
        <v>114</v>
      </c>
      <c r="L9" s="25">
        <v>109.98</v>
      </c>
      <c r="M9" s="25">
        <v>109.98</v>
      </c>
    </row>
    <row r="10" spans="1:13" x14ac:dyDescent="0.35">
      <c r="A10" s="7" t="s">
        <v>12</v>
      </c>
      <c r="B10" s="44">
        <v>6374.44</v>
      </c>
      <c r="C10" s="32">
        <v>1145.58</v>
      </c>
      <c r="D10" s="19">
        <v>828.04</v>
      </c>
      <c r="E10" s="26">
        <v>1010.08</v>
      </c>
      <c r="F10" s="25">
        <v>491.09</v>
      </c>
      <c r="H10" s="17" t="s">
        <v>44</v>
      </c>
      <c r="I10" s="47">
        <v>115.42</v>
      </c>
      <c r="J10" s="53">
        <v>114</v>
      </c>
      <c r="K10" s="52">
        <v>114</v>
      </c>
      <c r="L10" s="55">
        <v>109.98</v>
      </c>
      <c r="M10" s="55">
        <v>109.98</v>
      </c>
    </row>
    <row r="11" spans="1:13" x14ac:dyDescent="0.35">
      <c r="A11" s="7" t="s">
        <v>96</v>
      </c>
      <c r="B11" s="44">
        <v>-1844.54</v>
      </c>
      <c r="C11" s="32">
        <v>1116.49</v>
      </c>
      <c r="D11" s="19">
        <v>327.16000000000003</v>
      </c>
      <c r="E11" s="26">
        <v>3933.82</v>
      </c>
      <c r="F11" s="25">
        <v>-456.74</v>
      </c>
      <c r="H11" s="7" t="s">
        <v>45</v>
      </c>
      <c r="I11" s="44">
        <v>47574.55</v>
      </c>
      <c r="J11" s="32">
        <v>35160.97</v>
      </c>
      <c r="K11" s="20">
        <v>31759.89</v>
      </c>
      <c r="L11" s="26">
        <v>21506.53</v>
      </c>
      <c r="M11" s="26">
        <v>17048.59</v>
      </c>
    </row>
    <row r="12" spans="1:13" ht="22.5" x14ac:dyDescent="0.35">
      <c r="A12" s="8" t="s">
        <v>13</v>
      </c>
      <c r="B12" s="46">
        <v>102424.65</v>
      </c>
      <c r="C12" s="51">
        <v>98683.05</v>
      </c>
      <c r="D12" s="21">
        <v>138132.96</v>
      </c>
      <c r="E12" s="27">
        <v>74364.08</v>
      </c>
      <c r="F12" s="27">
        <v>39571.480000000003</v>
      </c>
      <c r="H12" s="17" t="s">
        <v>46</v>
      </c>
      <c r="I12" s="45">
        <v>47574.55</v>
      </c>
      <c r="J12" s="33">
        <v>35160.97</v>
      </c>
      <c r="K12" s="37">
        <v>31759.89</v>
      </c>
      <c r="L12" s="38">
        <v>21506.53</v>
      </c>
      <c r="M12" s="38">
        <v>17048.59</v>
      </c>
    </row>
    <row r="13" spans="1:13" x14ac:dyDescent="0.35">
      <c r="A13" s="8" t="s">
        <v>14</v>
      </c>
      <c r="B13" s="43"/>
      <c r="C13" s="50"/>
      <c r="D13" s="22"/>
      <c r="E13" s="24"/>
      <c r="F13" s="24"/>
      <c r="H13" s="17" t="s">
        <v>47</v>
      </c>
      <c r="I13" s="45">
        <v>47689.97</v>
      </c>
      <c r="J13" s="33">
        <v>35274.97</v>
      </c>
      <c r="K13" s="37">
        <v>31873.89</v>
      </c>
      <c r="L13" s="38">
        <v>21616.51</v>
      </c>
      <c r="M13" s="38">
        <v>17158.57</v>
      </c>
    </row>
    <row r="14" spans="1:13" ht="23.25" x14ac:dyDescent="0.35">
      <c r="A14" s="7" t="s">
        <v>15</v>
      </c>
      <c r="B14" s="44">
        <v>49524.73</v>
      </c>
      <c r="C14" s="32">
        <v>51507.72</v>
      </c>
      <c r="D14" s="20">
        <v>103239.89</v>
      </c>
      <c r="E14" s="26">
        <v>57651.32</v>
      </c>
      <c r="F14" s="26">
        <v>29791.08</v>
      </c>
      <c r="H14" s="7" t="s">
        <v>97</v>
      </c>
      <c r="I14" s="44">
        <v>2624</v>
      </c>
      <c r="J14" s="32">
        <v>3801.12</v>
      </c>
      <c r="K14" s="20">
        <v>1177.1199999999999</v>
      </c>
      <c r="L14" s="25">
        <v>640</v>
      </c>
      <c r="M14" s="25">
        <v>0</v>
      </c>
    </row>
    <row r="15" spans="1:13" x14ac:dyDescent="0.35">
      <c r="A15" s="7" t="s">
        <v>16</v>
      </c>
      <c r="B15" s="44">
        <v>1955.65</v>
      </c>
      <c r="C15" s="31">
        <v>26.46</v>
      </c>
      <c r="D15" s="19">
        <v>0</v>
      </c>
      <c r="E15" s="25">
        <v>58.98</v>
      </c>
      <c r="F15" s="25">
        <v>13.4</v>
      </c>
      <c r="H15" s="7" t="s">
        <v>30</v>
      </c>
      <c r="I15" s="44">
        <v>6156.48</v>
      </c>
      <c r="J15" s="32">
        <v>5110.2</v>
      </c>
      <c r="K15" s="20">
        <v>4839.04</v>
      </c>
      <c r="L15" s="26">
        <v>4671.8599999999997</v>
      </c>
      <c r="M15" s="26">
        <v>1751.44</v>
      </c>
    </row>
    <row r="16" spans="1:13" ht="11.55" customHeight="1" x14ac:dyDescent="0.35">
      <c r="A16" s="7" t="s">
        <v>17</v>
      </c>
      <c r="B16" s="44">
        <v>3118.9</v>
      </c>
      <c r="C16" s="32">
        <v>2330.9499999999998</v>
      </c>
      <c r="D16" s="20">
        <v>1877.33</v>
      </c>
      <c r="E16" s="26">
        <v>1180.56</v>
      </c>
      <c r="F16" s="25">
        <v>829.31</v>
      </c>
      <c r="H16" s="8" t="s">
        <v>48</v>
      </c>
      <c r="I16" s="43"/>
      <c r="J16" s="50"/>
      <c r="K16" s="22"/>
      <c r="L16" s="24"/>
      <c r="M16" s="24"/>
    </row>
    <row r="17" spans="1:13" ht="19.25" customHeight="1" x14ac:dyDescent="0.35">
      <c r="A17" s="7" t="s">
        <v>100</v>
      </c>
      <c r="B17" s="42">
        <v>0</v>
      </c>
      <c r="C17" s="31">
        <v>0</v>
      </c>
      <c r="D17" s="19">
        <v>0</v>
      </c>
      <c r="E17" s="26">
        <v>3101.16</v>
      </c>
      <c r="F17" s="26">
        <v>1777.54</v>
      </c>
      <c r="H17" s="7" t="s">
        <v>49</v>
      </c>
      <c r="I17" s="44">
        <v>64601.26</v>
      </c>
      <c r="J17" s="32">
        <v>43718.15</v>
      </c>
      <c r="K17" s="20">
        <v>32590.03</v>
      </c>
      <c r="L17" s="26">
        <v>20803.43</v>
      </c>
      <c r="M17" s="26">
        <v>9523.2999999999993</v>
      </c>
    </row>
    <row r="18" spans="1:13" ht="23.45" customHeight="1" x14ac:dyDescent="0.35">
      <c r="A18" s="7" t="s">
        <v>18</v>
      </c>
      <c r="B18" s="42">
        <v>823.13</v>
      </c>
      <c r="C18" s="31">
        <v>678.93</v>
      </c>
      <c r="D18" s="19">
        <v>0</v>
      </c>
      <c r="E18" s="25">
        <v>147.80000000000001</v>
      </c>
      <c r="F18" s="25">
        <v>166.91</v>
      </c>
      <c r="H18" s="7" t="s">
        <v>50</v>
      </c>
      <c r="I18" s="44">
        <v>3362.35</v>
      </c>
      <c r="J18" s="32">
        <v>2933.84</v>
      </c>
      <c r="K18" s="20">
        <v>2979.91</v>
      </c>
      <c r="L18" s="26">
        <v>2606.27</v>
      </c>
      <c r="M18" s="25">
        <v>26.14</v>
      </c>
    </row>
    <row r="19" spans="1:13" ht="23.25" x14ac:dyDescent="0.35">
      <c r="A19" s="7" t="s">
        <v>19</v>
      </c>
      <c r="B19" s="44">
        <v>26375.77</v>
      </c>
      <c r="C19" s="32">
        <v>31616.81</v>
      </c>
      <c r="D19" s="20">
        <v>23359.72</v>
      </c>
      <c r="E19" s="26">
        <v>7500.98</v>
      </c>
      <c r="F19" s="26">
        <v>3997.1</v>
      </c>
      <c r="H19" s="7" t="s">
        <v>51</v>
      </c>
      <c r="I19" s="44">
        <v>25829.75</v>
      </c>
      <c r="J19" s="32">
        <v>24795.43</v>
      </c>
      <c r="K19" s="20">
        <v>22823.29</v>
      </c>
      <c r="L19" s="26">
        <v>7293.37</v>
      </c>
      <c r="M19" s="26">
        <v>1623.5</v>
      </c>
    </row>
    <row r="20" spans="1:13" x14ac:dyDescent="0.35">
      <c r="A20" s="7" t="s">
        <v>20</v>
      </c>
      <c r="B20" s="44">
        <v>81798.179999999993</v>
      </c>
      <c r="C20" s="32">
        <v>86160.87</v>
      </c>
      <c r="D20" s="20">
        <v>128476.94</v>
      </c>
      <c r="E20" s="26">
        <v>69640.800000000003</v>
      </c>
      <c r="F20" s="26">
        <v>36575.339999999997</v>
      </c>
      <c r="H20" s="7" t="s">
        <v>52</v>
      </c>
      <c r="I20" s="42">
        <v>488.58</v>
      </c>
      <c r="J20" s="31">
        <v>446.45</v>
      </c>
      <c r="K20" s="19">
        <v>401.49</v>
      </c>
      <c r="L20" s="25">
        <v>278.97000000000003</v>
      </c>
      <c r="M20" s="25">
        <v>76.819999999999993</v>
      </c>
    </row>
    <row r="21" spans="1:13" ht="22.5" x14ac:dyDescent="0.35">
      <c r="A21" s="8"/>
      <c r="B21" s="41" t="s">
        <v>3</v>
      </c>
      <c r="C21" s="50" t="s">
        <v>4</v>
      </c>
      <c r="D21" s="22" t="s">
        <v>5</v>
      </c>
      <c r="E21" s="24" t="s">
        <v>6</v>
      </c>
      <c r="F21" s="24" t="s">
        <v>7</v>
      </c>
      <c r="H21" s="17" t="s">
        <v>53</v>
      </c>
      <c r="I21" s="45">
        <v>94281.94</v>
      </c>
      <c r="J21" s="33">
        <v>71893.87</v>
      </c>
      <c r="K21" s="37">
        <v>58794.720000000001</v>
      </c>
      <c r="L21" s="38">
        <v>30982.04</v>
      </c>
      <c r="M21" s="38">
        <v>11249.76</v>
      </c>
    </row>
    <row r="22" spans="1:13" ht="11.55" customHeight="1" x14ac:dyDescent="0.35">
      <c r="A22" s="17"/>
      <c r="B22" s="15"/>
      <c r="C22" s="29"/>
      <c r="D22" s="17"/>
      <c r="E22" s="16"/>
      <c r="F22" s="16"/>
      <c r="H22" s="8" t="s">
        <v>54</v>
      </c>
      <c r="I22" s="43"/>
      <c r="J22" s="50"/>
      <c r="K22" s="22"/>
      <c r="L22" s="24"/>
      <c r="M22" s="24"/>
    </row>
    <row r="23" spans="1:13" x14ac:dyDescent="0.35">
      <c r="A23" s="7"/>
      <c r="B23" s="42" t="s">
        <v>8</v>
      </c>
      <c r="C23" s="31" t="s">
        <v>8</v>
      </c>
      <c r="D23" s="19" t="s">
        <v>8</v>
      </c>
      <c r="E23" s="25" t="s">
        <v>8</v>
      </c>
      <c r="F23" s="25" t="s">
        <v>8</v>
      </c>
      <c r="H23" s="7" t="s">
        <v>55</v>
      </c>
      <c r="I23" s="44">
        <v>11635.15</v>
      </c>
      <c r="J23" s="32">
        <v>6405.73</v>
      </c>
      <c r="K23" s="20">
        <v>5729.59</v>
      </c>
      <c r="L23" s="26">
        <v>20220.34</v>
      </c>
      <c r="M23" s="26">
        <v>5770.01</v>
      </c>
    </row>
    <row r="24" spans="1:13" x14ac:dyDescent="0.35">
      <c r="A24" s="17"/>
      <c r="B24" s="15"/>
      <c r="C24" s="29"/>
      <c r="D24" s="17"/>
      <c r="E24" s="16"/>
      <c r="F24" s="16"/>
      <c r="H24" s="7" t="s">
        <v>56</v>
      </c>
      <c r="I24" s="44">
        <v>20867.68</v>
      </c>
      <c r="J24" s="32">
        <v>24669.26</v>
      </c>
      <c r="K24" s="20">
        <v>28546.85</v>
      </c>
      <c r="L24" s="26">
        <v>17647.82</v>
      </c>
      <c r="M24" s="26">
        <v>11756.34</v>
      </c>
    </row>
    <row r="25" spans="1:13" x14ac:dyDescent="0.35">
      <c r="A25" s="8" t="s">
        <v>21</v>
      </c>
      <c r="B25" s="46">
        <v>14252.03</v>
      </c>
      <c r="C25" s="51">
        <v>11376.6</v>
      </c>
      <c r="D25" s="21">
        <v>8827.98</v>
      </c>
      <c r="E25" s="27">
        <v>3713.2</v>
      </c>
      <c r="F25" s="27">
        <v>2505.0500000000002</v>
      </c>
      <c r="H25" s="7" t="s">
        <v>57</v>
      </c>
      <c r="I25" s="44">
        <v>14660.16</v>
      </c>
      <c r="J25" s="32">
        <v>13424.08</v>
      </c>
      <c r="K25" s="20">
        <v>10405.59</v>
      </c>
      <c r="L25" s="26">
        <v>5885.89</v>
      </c>
      <c r="M25" s="26">
        <v>3891.98</v>
      </c>
    </row>
    <row r="26" spans="1:13" x14ac:dyDescent="0.35">
      <c r="A26" s="7" t="s">
        <v>22</v>
      </c>
      <c r="B26" s="44">
        <v>20626.47</v>
      </c>
      <c r="C26" s="32">
        <v>12522.18</v>
      </c>
      <c r="D26" s="20">
        <v>9656.02</v>
      </c>
      <c r="E26" s="26">
        <v>4723.28</v>
      </c>
      <c r="F26" s="26">
        <v>2996.14</v>
      </c>
      <c r="H26" s="7" t="s">
        <v>58</v>
      </c>
      <c r="I26" s="42">
        <v>220.16</v>
      </c>
      <c r="J26" s="31">
        <v>152.62</v>
      </c>
      <c r="K26" s="19">
        <v>121.02</v>
      </c>
      <c r="L26" s="25">
        <v>95.73</v>
      </c>
      <c r="M26" s="25">
        <v>64.760000000000005</v>
      </c>
    </row>
    <row r="27" spans="1:13" x14ac:dyDescent="0.35">
      <c r="A27" s="7" t="s">
        <v>23</v>
      </c>
      <c r="B27" s="44">
        <v>5978.02</v>
      </c>
      <c r="C27" s="32">
        <v>4554.7</v>
      </c>
      <c r="D27" s="20">
        <v>3969.98</v>
      </c>
      <c r="E27" s="26">
        <v>2525.88</v>
      </c>
      <c r="F27" s="26">
        <v>1376.85</v>
      </c>
      <c r="H27" s="17" t="s">
        <v>59</v>
      </c>
      <c r="I27" s="45">
        <v>47383.15</v>
      </c>
      <c r="J27" s="33">
        <v>44651.69</v>
      </c>
      <c r="K27" s="37">
        <v>44803.05</v>
      </c>
      <c r="L27" s="38">
        <v>43849.78</v>
      </c>
      <c r="M27" s="38">
        <v>21483.09</v>
      </c>
    </row>
    <row r="28" spans="1:13" ht="22.5" x14ac:dyDescent="0.35">
      <c r="A28" s="7" t="s">
        <v>24</v>
      </c>
      <c r="B28" s="44">
        <v>14648.45</v>
      </c>
      <c r="C28" s="32">
        <v>7967.48</v>
      </c>
      <c r="D28" s="20">
        <v>5686.04</v>
      </c>
      <c r="E28" s="26">
        <v>2197.4</v>
      </c>
      <c r="F28" s="26">
        <v>1619.29</v>
      </c>
      <c r="H28" s="17" t="s">
        <v>60</v>
      </c>
      <c r="I28" s="45">
        <v>198135.54</v>
      </c>
      <c r="J28" s="33">
        <v>160731.85</v>
      </c>
      <c r="K28" s="37">
        <v>141487.82</v>
      </c>
      <c r="L28" s="38">
        <v>101760.19</v>
      </c>
      <c r="M28" s="38">
        <v>51642.86</v>
      </c>
    </row>
    <row r="29" spans="1:13" x14ac:dyDescent="0.35">
      <c r="A29" s="7" t="s">
        <v>25</v>
      </c>
      <c r="B29" s="44">
        <v>4211.33</v>
      </c>
      <c r="C29" s="32">
        <v>3042.15</v>
      </c>
      <c r="D29" s="20">
        <v>2436.14</v>
      </c>
      <c r="E29" s="26">
        <v>1247.78</v>
      </c>
      <c r="F29" s="25">
        <v>537.14</v>
      </c>
      <c r="H29" s="8" t="s">
        <v>61</v>
      </c>
      <c r="I29" s="43"/>
      <c r="J29" s="50"/>
      <c r="K29" s="22"/>
      <c r="L29" s="24"/>
      <c r="M29" s="24"/>
    </row>
    <row r="30" spans="1:13" ht="11.55" customHeight="1" x14ac:dyDescent="0.35">
      <c r="A30" s="7" t="s">
        <v>26</v>
      </c>
      <c r="B30" s="44">
        <v>10437.120000000001</v>
      </c>
      <c r="C30" s="32">
        <v>4925.33</v>
      </c>
      <c r="D30" s="20">
        <v>3249.9</v>
      </c>
      <c r="E30" s="25">
        <v>949.62</v>
      </c>
      <c r="F30" s="26">
        <v>1082.1500000000001</v>
      </c>
      <c r="H30" s="8" t="s">
        <v>62</v>
      </c>
      <c r="I30" s="43"/>
      <c r="J30" s="50"/>
      <c r="K30" s="22"/>
      <c r="L30" s="24"/>
      <c r="M30" s="24"/>
    </row>
    <row r="31" spans="1:13" ht="19.25" customHeight="1" x14ac:dyDescent="0.35">
      <c r="A31" s="7" t="s">
        <v>27</v>
      </c>
      <c r="B31" s="44">
        <v>10437.120000000001</v>
      </c>
      <c r="C31" s="32">
        <v>4925.33</v>
      </c>
      <c r="D31" s="20">
        <v>3249.9</v>
      </c>
      <c r="E31" s="25">
        <v>949.62</v>
      </c>
      <c r="F31" s="26">
        <v>1082.1500000000001</v>
      </c>
      <c r="H31" s="7" t="s">
        <v>63</v>
      </c>
      <c r="I31" s="44">
        <v>67377.820000000007</v>
      </c>
      <c r="J31" s="32">
        <v>58939.76</v>
      </c>
      <c r="K31" s="20">
        <v>49858.23</v>
      </c>
      <c r="L31" s="26">
        <v>20821.32</v>
      </c>
      <c r="M31" s="26">
        <v>5678.88</v>
      </c>
    </row>
    <row r="32" spans="1:13" x14ac:dyDescent="0.35">
      <c r="A32" s="7" t="s">
        <v>28</v>
      </c>
      <c r="B32" s="44">
        <v>2968.52</v>
      </c>
      <c r="C32" s="32">
        <v>1631.51</v>
      </c>
      <c r="D32" s="20">
        <v>1040.96</v>
      </c>
      <c r="E32" s="25">
        <v>476.68</v>
      </c>
      <c r="F32" s="25">
        <v>339.65</v>
      </c>
      <c r="H32" s="7" t="s">
        <v>64</v>
      </c>
      <c r="I32" s="44">
        <v>8796.27</v>
      </c>
      <c r="J32" s="32">
        <v>5998.53</v>
      </c>
      <c r="K32" s="20">
        <v>6135.74</v>
      </c>
      <c r="L32" s="26">
        <v>9000.5300000000007</v>
      </c>
      <c r="M32" s="26">
        <v>5006.76</v>
      </c>
    </row>
    <row r="33" spans="1:14" x14ac:dyDescent="0.35">
      <c r="A33" s="8" t="s">
        <v>29</v>
      </c>
      <c r="B33" s="46">
        <v>6591.27</v>
      </c>
      <c r="C33" s="51">
        <v>3294.63</v>
      </c>
      <c r="D33" s="21">
        <v>2208.94</v>
      </c>
      <c r="E33" s="24">
        <v>464.23</v>
      </c>
      <c r="F33" s="24">
        <v>623.20000000000005</v>
      </c>
      <c r="H33" s="7" t="s">
        <v>65</v>
      </c>
      <c r="I33" s="44">
        <v>31856.6</v>
      </c>
      <c r="J33" s="32">
        <v>21930.98</v>
      </c>
      <c r="K33" s="20">
        <v>17698.96</v>
      </c>
      <c r="L33" s="26">
        <v>19564.169999999998</v>
      </c>
      <c r="M33" s="26">
        <v>8686.27</v>
      </c>
    </row>
    <row r="34" spans="1:14" ht="23.25" x14ac:dyDescent="0.35">
      <c r="A34" s="7" t="s">
        <v>30</v>
      </c>
      <c r="B34" s="42">
        <v>0</v>
      </c>
      <c r="C34" s="31">
        <v>0</v>
      </c>
      <c r="D34" s="19">
        <v>-51.34</v>
      </c>
      <c r="E34" s="25">
        <v>0</v>
      </c>
      <c r="F34" s="25">
        <v>0</v>
      </c>
      <c r="H34" s="7" t="s">
        <v>66</v>
      </c>
      <c r="I34" s="44">
        <v>19659.21</v>
      </c>
      <c r="J34" s="32">
        <v>13248.52</v>
      </c>
      <c r="K34" s="20">
        <v>6326.25</v>
      </c>
      <c r="L34" s="26">
        <v>3980.25</v>
      </c>
      <c r="M34" s="25">
        <v>139.19</v>
      </c>
    </row>
    <row r="35" spans="1:14" ht="20.45" customHeight="1" x14ac:dyDescent="0.35">
      <c r="A35" s="7" t="s">
        <v>31</v>
      </c>
      <c r="B35" s="42">
        <v>-507.73</v>
      </c>
      <c r="C35" s="31">
        <v>-40.64</v>
      </c>
      <c r="D35" s="19">
        <v>-212.66</v>
      </c>
      <c r="E35" s="25">
        <v>-312.33</v>
      </c>
      <c r="F35" s="25">
        <v>-299.44</v>
      </c>
      <c r="H35" s="17" t="s">
        <v>67</v>
      </c>
      <c r="I35" s="45">
        <v>127689.9</v>
      </c>
      <c r="J35" s="33">
        <v>100117.79</v>
      </c>
      <c r="K35" s="37">
        <v>80019.179999999993</v>
      </c>
      <c r="L35" s="38">
        <v>53366.27</v>
      </c>
      <c r="M35" s="38">
        <v>19511.099999999999</v>
      </c>
    </row>
    <row r="36" spans="1:14" ht="21" customHeight="1" x14ac:dyDescent="0.35">
      <c r="A36" s="7" t="s">
        <v>32</v>
      </c>
      <c r="B36" s="44">
        <v>4072.22</v>
      </c>
      <c r="C36" s="32">
        <v>4049.41</v>
      </c>
      <c r="D36" s="20">
        <v>2842.26</v>
      </c>
      <c r="E36" s="25">
        <v>787.7</v>
      </c>
      <c r="F36" s="26">
        <v>1304.6500000000001</v>
      </c>
      <c r="H36" s="7" t="s">
        <v>68</v>
      </c>
      <c r="I36" s="44">
        <v>7631.02</v>
      </c>
      <c r="J36" s="32">
        <v>7246.21</v>
      </c>
      <c r="K36" s="20">
        <v>6145.17</v>
      </c>
      <c r="L36" s="26">
        <v>4229.1899999999996</v>
      </c>
      <c r="M36" s="26">
        <v>5473.43</v>
      </c>
    </row>
    <row r="37" spans="1:14" ht="19.25" customHeight="1" x14ac:dyDescent="0.35">
      <c r="A37" s="7" t="s">
        <v>33</v>
      </c>
      <c r="B37" s="44">
        <v>32273.45</v>
      </c>
      <c r="C37" s="32">
        <v>34653.15</v>
      </c>
      <c r="D37" s="20">
        <v>25237.05</v>
      </c>
      <c r="E37" s="26">
        <v>11989.48</v>
      </c>
      <c r="F37" s="26">
        <v>6784.26</v>
      </c>
      <c r="H37" s="7" t="s">
        <v>69</v>
      </c>
      <c r="I37" s="42">
        <v>292.66000000000003</v>
      </c>
      <c r="J37" s="31">
        <v>145.61000000000001</v>
      </c>
      <c r="K37" s="19">
        <v>209.34</v>
      </c>
      <c r="L37" s="25">
        <v>173.83</v>
      </c>
      <c r="M37" s="25">
        <v>76.540000000000006</v>
      </c>
    </row>
    <row r="38" spans="1:14" ht="23.25" x14ac:dyDescent="0.35">
      <c r="A38" s="7" t="s">
        <v>34</v>
      </c>
      <c r="B38" s="42">
        <v>148.19999999999999</v>
      </c>
      <c r="C38" s="31">
        <v>136.80000000000001</v>
      </c>
      <c r="D38" s="19">
        <v>0</v>
      </c>
      <c r="E38" s="25">
        <v>109.98</v>
      </c>
      <c r="F38" s="25">
        <v>0</v>
      </c>
      <c r="H38" s="7" t="s">
        <v>70</v>
      </c>
      <c r="I38" s="44">
        <v>3903.4</v>
      </c>
      <c r="J38" s="32">
        <v>2300</v>
      </c>
      <c r="K38" s="20">
        <v>4577.03</v>
      </c>
      <c r="L38" s="26">
        <v>6236.53</v>
      </c>
      <c r="M38" s="26">
        <v>3199.01</v>
      </c>
    </row>
    <row r="39" spans="1:14" ht="19.25" customHeight="1" x14ac:dyDescent="0.35">
      <c r="A39" s="8" t="s">
        <v>35</v>
      </c>
      <c r="B39" s="43"/>
      <c r="C39" s="50"/>
      <c r="D39" s="22"/>
      <c r="E39" s="24"/>
      <c r="F39" s="24"/>
      <c r="H39" s="7" t="s">
        <v>71</v>
      </c>
      <c r="I39" s="44">
        <v>16788.04</v>
      </c>
      <c r="J39" s="32">
        <v>13022.14</v>
      </c>
      <c r="K39" s="20">
        <v>12528.21</v>
      </c>
      <c r="L39" s="26">
        <v>6508.06</v>
      </c>
      <c r="M39" s="26">
        <v>3267.5</v>
      </c>
    </row>
    <row r="40" spans="1:14" x14ac:dyDescent="0.35">
      <c r="A40" s="7" t="s">
        <v>36</v>
      </c>
      <c r="B40" s="44">
        <v>11541.81</v>
      </c>
      <c r="C40" s="32">
        <v>11400.01</v>
      </c>
      <c r="D40" s="20">
        <v>11400</v>
      </c>
      <c r="E40" s="26">
        <v>10998.1</v>
      </c>
      <c r="F40" s="26">
        <v>10998.1</v>
      </c>
      <c r="H40" s="17" t="s">
        <v>72</v>
      </c>
      <c r="I40" s="45">
        <v>157391.07</v>
      </c>
      <c r="J40" s="33">
        <v>123871.76</v>
      </c>
      <c r="K40" s="37">
        <v>104366.09</v>
      </c>
      <c r="L40" s="38">
        <v>70814.8</v>
      </c>
      <c r="M40" s="38">
        <v>31679.55</v>
      </c>
    </row>
    <row r="41" spans="1:14" x14ac:dyDescent="0.35">
      <c r="A41" s="8" t="s">
        <v>37</v>
      </c>
      <c r="B41" s="41">
        <v>57.11</v>
      </c>
      <c r="C41" s="50">
        <v>28.9</v>
      </c>
      <c r="D41" s="22">
        <v>19.38</v>
      </c>
      <c r="E41" s="24">
        <v>4.22</v>
      </c>
      <c r="F41" s="24">
        <v>5.67</v>
      </c>
      <c r="H41" s="8" t="s">
        <v>73</v>
      </c>
      <c r="I41" s="43"/>
      <c r="J41" s="50"/>
      <c r="K41" s="22"/>
      <c r="L41" s="24"/>
      <c r="M41" s="24"/>
    </row>
    <row r="42" spans="1:14" x14ac:dyDescent="0.35">
      <c r="A42" s="10" t="s">
        <v>38</v>
      </c>
      <c r="B42" s="48">
        <v>413.19</v>
      </c>
      <c r="C42" s="34">
        <v>309.43</v>
      </c>
      <c r="D42" s="23">
        <v>289.92</v>
      </c>
      <c r="E42" s="28">
        <v>196.55</v>
      </c>
      <c r="F42" s="28">
        <v>156.01</v>
      </c>
      <c r="H42" s="7" t="s">
        <v>74</v>
      </c>
      <c r="I42" s="44">
        <v>2255.59</v>
      </c>
      <c r="J42" s="32">
        <v>1454.48</v>
      </c>
      <c r="K42" s="19">
        <v>165</v>
      </c>
      <c r="L42" s="25">
        <v>63.02</v>
      </c>
      <c r="M42" s="25">
        <v>29.51</v>
      </c>
      <c r="N42" s="74">
        <v>43891</v>
      </c>
    </row>
    <row r="43" spans="1:14" x14ac:dyDescent="0.35">
      <c r="H43" s="7" t="s">
        <v>75</v>
      </c>
      <c r="I43" s="44">
        <v>10287.39</v>
      </c>
      <c r="J43" s="32">
        <v>9486.86</v>
      </c>
      <c r="K43" s="20">
        <v>6918.05</v>
      </c>
      <c r="L43" s="26">
        <v>6788.28</v>
      </c>
      <c r="M43" s="26">
        <v>1757.04</v>
      </c>
      <c r="N43" s="73">
        <v>2562.37</v>
      </c>
    </row>
    <row r="44" spans="1:14" x14ac:dyDescent="0.35">
      <c r="H44" s="7" t="s">
        <v>76</v>
      </c>
      <c r="I44" s="44">
        <v>9616.4699999999993</v>
      </c>
      <c r="J44" s="32">
        <v>9792.93</v>
      </c>
      <c r="K44" s="20">
        <v>12552.88</v>
      </c>
      <c r="L44" s="26">
        <v>13712.19</v>
      </c>
      <c r="M44" s="26">
        <v>11982.65</v>
      </c>
      <c r="N44" s="73">
        <v>13146.53</v>
      </c>
    </row>
    <row r="45" spans="1:14" ht="23.25" x14ac:dyDescent="0.35">
      <c r="H45" s="7" t="s">
        <v>77</v>
      </c>
      <c r="I45" s="44">
        <v>6962.46</v>
      </c>
      <c r="J45" s="32">
        <v>7068.48</v>
      </c>
      <c r="K45" s="20">
        <v>5373.69</v>
      </c>
      <c r="L45" s="26">
        <v>3915.86</v>
      </c>
      <c r="M45" s="26">
        <v>1810.82</v>
      </c>
    </row>
    <row r="46" spans="1:14" ht="23.25" x14ac:dyDescent="0.35">
      <c r="H46" s="7" t="s">
        <v>78</v>
      </c>
      <c r="I46" s="44">
        <v>1416.01</v>
      </c>
      <c r="J46" s="32">
        <v>1382.67</v>
      </c>
      <c r="K46" s="20">
        <v>4522.63</v>
      </c>
      <c r="L46" s="26">
        <v>1452.84</v>
      </c>
      <c r="M46" s="26">
        <v>1413.1</v>
      </c>
    </row>
    <row r="47" spans="1:14" x14ac:dyDescent="0.35">
      <c r="H47" s="7" t="s">
        <v>79</v>
      </c>
      <c r="I47" s="44">
        <v>10206.549999999999</v>
      </c>
      <c r="J47" s="32">
        <v>7674.67</v>
      </c>
      <c r="K47" s="20">
        <v>7589.48</v>
      </c>
      <c r="L47" s="26">
        <v>5013.2</v>
      </c>
      <c r="M47" s="26">
        <v>2970.19</v>
      </c>
    </row>
    <row r="48" spans="1:14" x14ac:dyDescent="0.35">
      <c r="H48" s="17" t="s">
        <v>80</v>
      </c>
      <c r="I48" s="45">
        <v>40744.47</v>
      </c>
      <c r="J48" s="33">
        <v>36860.089999999997</v>
      </c>
      <c r="K48" s="37">
        <v>37121.730000000003</v>
      </c>
      <c r="L48" s="38">
        <v>30945.39</v>
      </c>
      <c r="M48" s="38">
        <v>19963.310000000001</v>
      </c>
    </row>
    <row r="49" spans="8:13" x14ac:dyDescent="0.35">
      <c r="H49" s="17" t="s">
        <v>81</v>
      </c>
      <c r="I49" s="45">
        <v>198135.54</v>
      </c>
      <c r="J49" s="33">
        <v>160731.85</v>
      </c>
      <c r="K49" s="37">
        <v>141487.82</v>
      </c>
      <c r="L49" s="38">
        <v>101760.19</v>
      </c>
      <c r="M49" s="38">
        <v>51642.86</v>
      </c>
    </row>
    <row r="50" spans="8:13" ht="19.25" customHeight="1" x14ac:dyDescent="0.35">
      <c r="H50" s="8" t="s">
        <v>82</v>
      </c>
      <c r="I50" s="43"/>
      <c r="J50" s="50"/>
      <c r="K50" s="22"/>
      <c r="L50" s="24"/>
      <c r="M50" s="24"/>
    </row>
    <row r="51" spans="8:13" ht="19.25" customHeight="1" x14ac:dyDescent="0.35">
      <c r="H51" s="8" t="s">
        <v>83</v>
      </c>
      <c r="I51" s="43"/>
      <c r="J51" s="50"/>
      <c r="K51" s="22"/>
      <c r="L51" s="24"/>
      <c r="M51" s="24"/>
    </row>
    <row r="52" spans="8:13" x14ac:dyDescent="0.35">
      <c r="H52" s="7" t="s">
        <v>84</v>
      </c>
      <c r="I52" s="44">
        <v>37242.910000000003</v>
      </c>
      <c r="J52" s="32">
        <v>35441.43</v>
      </c>
      <c r="K52" s="20">
        <v>42708.91</v>
      </c>
      <c r="L52" s="26">
        <v>23396.58</v>
      </c>
      <c r="M52" s="26">
        <v>12661.1</v>
      </c>
    </row>
    <row r="53" spans="8:13" x14ac:dyDescent="0.35">
      <c r="H53" s="8" t="s">
        <v>85</v>
      </c>
      <c r="I53" s="43"/>
      <c r="J53" s="50"/>
      <c r="K53" s="22"/>
      <c r="L53" s="24"/>
      <c r="M53" s="24"/>
    </row>
    <row r="54" spans="8:13" x14ac:dyDescent="0.35">
      <c r="H54" s="7" t="s">
        <v>86</v>
      </c>
      <c r="I54" s="42">
        <v>41.84</v>
      </c>
      <c r="J54" s="31">
        <v>41.84</v>
      </c>
      <c r="K54" s="19">
        <v>41.84</v>
      </c>
      <c r="L54" s="25">
        <v>41.84</v>
      </c>
      <c r="M54" s="25">
        <v>41.84</v>
      </c>
    </row>
    <row r="55" spans="8:13" ht="19.25" customHeight="1" x14ac:dyDescent="0.35">
      <c r="H55" s="8" t="s">
        <v>87</v>
      </c>
      <c r="I55" s="43"/>
      <c r="J55" s="50"/>
      <c r="K55" s="22"/>
      <c r="L55" s="24"/>
      <c r="M55" s="24"/>
    </row>
    <row r="56" spans="8:13" ht="23.25" x14ac:dyDescent="0.35">
      <c r="H56" s="7" t="s">
        <v>88</v>
      </c>
      <c r="I56" s="44">
        <v>10218.280000000001</v>
      </c>
      <c r="J56" s="31">
        <v>0</v>
      </c>
      <c r="K56" s="19">
        <v>0</v>
      </c>
      <c r="L56" s="25">
        <v>0</v>
      </c>
      <c r="M56" s="25">
        <v>0</v>
      </c>
    </row>
    <row r="57" spans="8:13" ht="23.25" x14ac:dyDescent="0.35">
      <c r="H57" s="7" t="s">
        <v>89</v>
      </c>
      <c r="I57" s="44">
        <v>4571.82</v>
      </c>
      <c r="J57" s="31">
        <v>171.26</v>
      </c>
      <c r="K57" s="19">
        <v>168.9</v>
      </c>
      <c r="L57" s="26">
        <v>4229.1899999999996</v>
      </c>
      <c r="M57" s="26">
        <v>5473.43</v>
      </c>
    </row>
    <row r="58" spans="8:13" ht="11.55" customHeight="1" x14ac:dyDescent="0.35">
      <c r="H58" s="8" t="s">
        <v>90</v>
      </c>
      <c r="I58" s="43"/>
      <c r="J58" s="50"/>
      <c r="K58" s="22"/>
      <c r="L58" s="24"/>
      <c r="M58" s="24"/>
    </row>
    <row r="59" spans="8:13" ht="23.25" x14ac:dyDescent="0.35">
      <c r="H59" s="10" t="s">
        <v>91</v>
      </c>
      <c r="I59" s="62">
        <v>2255.59</v>
      </c>
      <c r="J59" s="54">
        <v>1454.48</v>
      </c>
      <c r="K59" s="23">
        <v>165</v>
      </c>
      <c r="L59" s="28">
        <v>63.02</v>
      </c>
      <c r="M59" s="28">
        <v>29.51</v>
      </c>
    </row>
  </sheetData>
  <mergeCells count="4">
    <mergeCell ref="A1:F1"/>
    <mergeCell ref="H1:M1"/>
    <mergeCell ref="B2:F2"/>
    <mergeCell ref="I2:M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D641-4077-4692-A182-CB33E7B5B9FD}">
  <sheetPr>
    <tabColor rgb="FF0070C0"/>
  </sheetPr>
  <dimension ref="A1:H40"/>
  <sheetViews>
    <sheetView showGridLines="0" zoomScale="96" zoomScaleNormal="96" workbookViewId="0">
      <pane ySplit="2" topLeftCell="A3" activePane="bottomLeft" state="frozen"/>
      <selection pane="bottomLeft" activeCell="H22" sqref="H22"/>
    </sheetView>
  </sheetViews>
  <sheetFormatPr defaultColWidth="8.73046875" defaultRowHeight="13.15" x14ac:dyDescent="0.4"/>
  <cols>
    <col min="1" max="1" width="22.59765625" style="2" bestFit="1" customWidth="1"/>
    <col min="2" max="2" width="54.73046875" style="2" bestFit="1" customWidth="1"/>
    <col min="3" max="16384" width="8.73046875" style="2"/>
  </cols>
  <sheetData>
    <row r="1" spans="1:7" ht="15" x14ac:dyDescent="0.4">
      <c r="A1" s="140" t="s">
        <v>173</v>
      </c>
      <c r="B1" s="140"/>
      <c r="C1" s="140"/>
      <c r="D1" s="140"/>
      <c r="E1" s="140"/>
      <c r="F1" s="140"/>
      <c r="G1" s="140"/>
    </row>
    <row r="2" spans="1:7" x14ac:dyDescent="0.4">
      <c r="A2" s="14" t="s">
        <v>102</v>
      </c>
      <c r="B2" s="14" t="s">
        <v>114</v>
      </c>
      <c r="C2" s="14">
        <v>2025</v>
      </c>
      <c r="D2" s="14">
        <v>2024</v>
      </c>
      <c r="E2" s="14">
        <v>2023</v>
      </c>
      <c r="F2" s="14">
        <v>2022</v>
      </c>
      <c r="G2" s="14">
        <v>2021</v>
      </c>
    </row>
    <row r="3" spans="1:7" x14ac:dyDescent="0.4">
      <c r="A3" s="141" t="s">
        <v>167</v>
      </c>
      <c r="B3" s="141"/>
      <c r="C3" s="141"/>
      <c r="D3" s="141"/>
      <c r="E3" s="141"/>
      <c r="F3" s="141"/>
      <c r="G3" s="141"/>
    </row>
    <row r="4" spans="1:7" x14ac:dyDescent="0.4">
      <c r="A4" s="13" t="s">
        <v>168</v>
      </c>
      <c r="B4" s="13" t="s">
        <v>170</v>
      </c>
      <c r="C4" s="64">
        <f>'Adani Enterprises'!I48/'Adani Enterprises'!I27</f>
        <v>0.85989365417875341</v>
      </c>
      <c r="D4" s="64">
        <f>'Adani Enterprises'!J48/'Adani Enterprises'!J27</f>
        <v>0.82550268534068916</v>
      </c>
      <c r="E4" s="64">
        <f>'Adani Enterprises'!K48/'Adani Enterprises'!K27</f>
        <v>0.82855363641537794</v>
      </c>
      <c r="F4" s="64">
        <f>'Adani Enterprises'!L48/'Adani Enterprises'!L27</f>
        <v>0.70571368887141506</v>
      </c>
      <c r="G4" s="64">
        <f>'Adani Enterprises'!M48/'Adani Enterprises'!M27</f>
        <v>0.9292569178828558</v>
      </c>
    </row>
    <row r="5" spans="1:7" x14ac:dyDescent="0.4">
      <c r="A5" s="13" t="s">
        <v>169</v>
      </c>
      <c r="B5" s="13" t="s">
        <v>171</v>
      </c>
      <c r="C5" s="64">
        <f>('Adani Enterprises'!I48-'Adani Enterprises'!I43)/'Adani Enterprises'!I27</f>
        <v>0.64278293021886479</v>
      </c>
      <c r="D5" s="64">
        <f>('Adani Enterprises'!J48-'Adani Enterprises'!J43)/'Adani Enterprises'!J27</f>
        <v>0.61303905854403262</v>
      </c>
      <c r="E5" s="64">
        <f>('Adani Enterprises'!K48-'Adani Enterprises'!K43)/'Adani Enterprises'!K27</f>
        <v>0.6741433897915432</v>
      </c>
      <c r="F5" s="64">
        <f>('Adani Enterprises'!L48-'Adani Enterprises'!L43)/'Adani Enterprises'!L27</f>
        <v>0.55090607068040021</v>
      </c>
      <c r="G5" s="64">
        <f>('Adani Enterprises'!M48-'Adani Enterprises'!M43)/'Adani Enterprises'!M27</f>
        <v>0.8474698006664777</v>
      </c>
    </row>
    <row r="6" spans="1:7" x14ac:dyDescent="0.4">
      <c r="A6" s="141" t="s">
        <v>103</v>
      </c>
      <c r="B6" s="141"/>
      <c r="C6" s="141"/>
      <c r="D6" s="141"/>
      <c r="E6" s="141"/>
      <c r="F6" s="141"/>
      <c r="G6" s="141"/>
    </row>
    <row r="7" spans="1:7" x14ac:dyDescent="0.4">
      <c r="A7" s="3" t="s">
        <v>104</v>
      </c>
      <c r="B7" s="3" t="s">
        <v>112</v>
      </c>
      <c r="C7" s="3">
        <f>'Adani Enterprises'!I17/'Adani Enterprises'!I13</f>
        <v>1.3546089460739859</v>
      </c>
      <c r="D7" s="3">
        <f>'Adani Enterprises'!J17/'Adani Enterprises'!J13</f>
        <v>1.2393532864804704</v>
      </c>
      <c r="E7" s="3">
        <f>'Adani Enterprises'!K17/'Adani Enterprises'!K13</f>
        <v>1.0224679196671633</v>
      </c>
      <c r="F7" s="3">
        <f>'Adani Enterprises'!L17/'Adani Enterprises'!L13</f>
        <v>0.9623861576174878</v>
      </c>
      <c r="G7" s="3">
        <f>'Adani Enterprises'!M17/'Adani Enterprises'!M13</f>
        <v>0.55501711389702058</v>
      </c>
    </row>
    <row r="8" spans="1:7" x14ac:dyDescent="0.4">
      <c r="A8" s="3" t="s">
        <v>107</v>
      </c>
      <c r="B8" s="3" t="s">
        <v>113</v>
      </c>
      <c r="C8" s="3">
        <f>SUM('Adani Enterprises'!I17+'Adani Enterprises'!I23)/'Adani Enterprises'!I49</f>
        <v>0.38476898187977787</v>
      </c>
      <c r="D8" s="3">
        <f>SUM('Adani Enterprises'!J17+'Adani Enterprises'!J23)/'Adani Enterprises'!J49</f>
        <v>0.31184783849622838</v>
      </c>
      <c r="E8" s="3">
        <f>SUM('Adani Enterprises'!K17+'Adani Enterprises'!K23)/'Adani Enterprises'!K49</f>
        <v>0.27083334805780451</v>
      </c>
      <c r="F8" s="3">
        <f>SUM('Adani Enterprises'!L17+'Adani Enterprises'!L23)/'Adani Enterprises'!L49</f>
        <v>0.40314164114669993</v>
      </c>
      <c r="G8" s="3">
        <f>SUM('Adani Enterprises'!M17+'Adani Enterprises'!M23)/'Adani Enterprises'!M49</f>
        <v>0.2961360002137759</v>
      </c>
    </row>
    <row r="9" spans="1:7" x14ac:dyDescent="0.4">
      <c r="A9" s="3" t="s">
        <v>105</v>
      </c>
      <c r="B9" s="3" t="s">
        <v>116</v>
      </c>
      <c r="C9" s="3">
        <f>'Adani Enterprises'!I13/'Adani Enterprises'!I49</f>
        <v>0.24069366858666547</v>
      </c>
      <c r="D9" s="3">
        <f>'Adani Enterprises'!J13/'Adani Enterprises'!J49</f>
        <v>0.2194647171671327</v>
      </c>
      <c r="E9" s="3">
        <f>'Adani Enterprises'!K13/'Adani Enterprises'!K49</f>
        <v>0.2252765644420841</v>
      </c>
      <c r="F9" s="3">
        <f>'Adani Enterprises'!L13/'Adani Enterprises'!L49</f>
        <v>0.2124259988115195</v>
      </c>
      <c r="G9" s="3">
        <f>'Adani Enterprises'!M13/'Adani Enterprises'!M49</f>
        <v>0.33225444911455326</v>
      </c>
    </row>
    <row r="10" spans="1:7" x14ac:dyDescent="0.4">
      <c r="A10" s="3" t="s">
        <v>106</v>
      </c>
      <c r="B10" s="3" t="s">
        <v>115</v>
      </c>
      <c r="C10" s="3">
        <f>'Adani Enterprises'!B25/'Adani Enterprises'!B27</f>
        <v>2.3840719837002888</v>
      </c>
      <c r="D10" s="3">
        <f>'Adani Enterprises'!C25/'Adani Enterprises'!C27</f>
        <v>2.4977715327024832</v>
      </c>
      <c r="E10" s="3">
        <f>'Adani Enterprises'!D25/'Adani Enterprises'!D27</f>
        <v>2.2236837465176147</v>
      </c>
      <c r="F10" s="3">
        <f>'Adani Enterprises'!E25/'Adani Enterprises'!E27</f>
        <v>1.4700619190143631</v>
      </c>
      <c r="G10" s="3">
        <f>'Adani Enterprises'!F25/'Adani Enterprises'!F27</f>
        <v>1.8194066165522753</v>
      </c>
    </row>
    <row r="11" spans="1:7" x14ac:dyDescent="0.4">
      <c r="A11" s="141" t="s">
        <v>162</v>
      </c>
      <c r="B11" s="141"/>
      <c r="C11" s="141"/>
      <c r="D11" s="141"/>
      <c r="E11" s="141"/>
      <c r="F11" s="141"/>
      <c r="G11" s="141"/>
    </row>
    <row r="12" spans="1:7" x14ac:dyDescent="0.4">
      <c r="A12" s="3" t="s">
        <v>108</v>
      </c>
      <c r="B12" s="3" t="s">
        <v>117</v>
      </c>
      <c r="C12" s="78">
        <f>('Adani Enterprises'!B9-('Adani Enterprises'!J43-'Adani Enterprises'!I43+'Adani Enterprises'!B14))/'Adani Enterprises'!B9</f>
        <v>0.50227974431723865</v>
      </c>
      <c r="D12" s="78">
        <f>('Adani Enterprises'!C9-('Adani Enterprises'!K43-'Adani Enterprises'!J43+'Adani Enterprises'!C14))/'Adani Enterprises'!C9</f>
        <v>0.49244542007351505</v>
      </c>
      <c r="E12" s="78">
        <f>('Adani Enterprises'!D9-('Adani Enterprises'!L43-'Adani Enterprises'!K43+'Adani Enterprises'!D14))/'Adani Enterprises'!D9</f>
        <v>0.24724918848140029</v>
      </c>
      <c r="F12" s="78">
        <f>('Adani Enterprises'!E9-('Adani Enterprises'!M43-'Adani Enterprises'!L43+'Adani Enterprises'!E14))/'Adani Enterprises'!E9</f>
        <v>0.2420059988320398</v>
      </c>
      <c r="G12" s="78">
        <f>('Adani Enterprises'!F9-('Adani Enterprises'!N43-'Adani Enterprises'!M43+'Adani Enterprises'!F14))/'Adani Enterprises'!F9</f>
        <v>0.22613477508357321</v>
      </c>
    </row>
    <row r="13" spans="1:7" x14ac:dyDescent="0.4">
      <c r="A13" s="3" t="s">
        <v>109</v>
      </c>
      <c r="B13" s="3" t="s">
        <v>118</v>
      </c>
      <c r="C13" s="66">
        <f>'Adani Enterprises'!B25/'Adani Enterprises'!B9</f>
        <v>0.14558523312026436</v>
      </c>
      <c r="D13" s="66">
        <f>'Adani Enterprises'!C25/'Adani Enterprises'!C9</f>
        <v>0.11798884433657489</v>
      </c>
      <c r="E13" s="66">
        <f>'Adani Enterprises'!D25/'Adani Enterprises'!D9</f>
        <v>6.4448272478685578E-2</v>
      </c>
      <c r="F13" s="66">
        <f>'Adani Enterprises'!E25/'Adani Enterprises'!E9</f>
        <v>5.3488769403939894E-2</v>
      </c>
      <c r="G13" s="66">
        <f>'Adani Enterprises'!F25/'Adani Enterprises'!F9</f>
        <v>6.3359429478062779E-2</v>
      </c>
    </row>
    <row r="14" spans="1:7" x14ac:dyDescent="0.4">
      <c r="A14" s="3" t="s">
        <v>110</v>
      </c>
      <c r="B14" s="3" t="s">
        <v>119</v>
      </c>
      <c r="C14" s="70">
        <f>'Adani Enterprises'!B33/'Adani Enterprises'!B9</f>
        <v>6.7330168369601026E-2</v>
      </c>
      <c r="D14" s="70">
        <f>'Adani Enterprises'!C33/'Adani Enterprises'!C9</f>
        <v>3.4169223337078718E-2</v>
      </c>
      <c r="E14" s="70">
        <f>'Adani Enterprises'!D33/'Adani Enterprises'!D9</f>
        <v>1.6126267505031475E-2</v>
      </c>
      <c r="F14" s="70">
        <f>'Adani Enterprises'!E33/'Adani Enterprises'!E9</f>
        <v>6.687248578151196E-3</v>
      </c>
      <c r="G14" s="70">
        <f>'Adani Enterprises'!F33/'Adani Enterprises'!F9</f>
        <v>1.5762398535250285E-2</v>
      </c>
    </row>
    <row r="15" spans="1:7" x14ac:dyDescent="0.4">
      <c r="A15" s="3" t="s">
        <v>120</v>
      </c>
      <c r="B15" s="3" t="s">
        <v>121</v>
      </c>
      <c r="C15" s="70">
        <f>'Adani Enterprises'!B18/'Adani Enterprises'!B9</f>
        <v>8.4083160741510645E-3</v>
      </c>
      <c r="D15" s="70">
        <f>'Adani Enterprises'!C18/'Adani Enterprises'!C9</f>
        <v>7.0413098891963137E-3</v>
      </c>
      <c r="E15" s="70">
        <f>'Adani Enterprises'!D18/'Adani Enterprises'!D9</f>
        <v>0</v>
      </c>
      <c r="F15" s="70">
        <f>'Adani Enterprises'!E18/'Adani Enterprises'!E9</f>
        <v>2.1290639119633517E-3</v>
      </c>
      <c r="G15" s="70">
        <f>'Adani Enterprises'!F18/'Adani Enterprises'!F9</f>
        <v>4.2216013150170491E-3</v>
      </c>
    </row>
    <row r="16" spans="1:7" x14ac:dyDescent="0.4">
      <c r="A16" s="3" t="s">
        <v>111</v>
      </c>
      <c r="B16" s="3" t="s">
        <v>122</v>
      </c>
      <c r="C16" s="70">
        <f>'Adani Enterprises'!B18/'Adani Enterprises'!B9</f>
        <v>8.4083160741510645E-3</v>
      </c>
      <c r="D16" s="70">
        <f>'Adani Enterprises'!C18/'Adani Enterprises'!C9</f>
        <v>7.0413098891963137E-3</v>
      </c>
      <c r="E16" s="70">
        <f>'Adani Enterprises'!D18/'Adani Enterprises'!D9</f>
        <v>0</v>
      </c>
      <c r="F16" s="70">
        <f>'Adani Enterprises'!E18/'Adani Enterprises'!E9</f>
        <v>2.1290639119633517E-3</v>
      </c>
      <c r="G16" s="70">
        <f>'Adani Enterprises'!F18/'Adani Enterprises'!F9</f>
        <v>4.2216013150170491E-3</v>
      </c>
    </row>
    <row r="17" spans="1:8" x14ac:dyDescent="0.4">
      <c r="A17" s="3" t="s">
        <v>123</v>
      </c>
      <c r="B17" s="3" t="s">
        <v>125</v>
      </c>
      <c r="C17" s="70">
        <f>'Adani Enterprises'!B18/'Adani Enterprises'!B9</f>
        <v>8.4083160741510645E-3</v>
      </c>
      <c r="D17" s="70">
        <f>'Adani Enterprises'!C18/'Adani Enterprises'!C9</f>
        <v>7.0413098891963137E-3</v>
      </c>
      <c r="E17" s="70">
        <f>'Adani Enterprises'!D18/'Adani Enterprises'!D9</f>
        <v>0</v>
      </c>
      <c r="F17" s="70">
        <f>'Adani Enterprises'!E18/'Adani Enterprises'!E9</f>
        <v>2.1290639119633517E-3</v>
      </c>
      <c r="G17" s="70">
        <f>'Adani Enterprises'!F18/'Adani Enterprises'!F9</f>
        <v>4.2216013150170491E-3</v>
      </c>
    </row>
    <row r="18" spans="1:8" x14ac:dyDescent="0.4">
      <c r="A18" s="3" t="s">
        <v>124</v>
      </c>
      <c r="B18" s="3" t="s">
        <v>126</v>
      </c>
      <c r="C18" s="78">
        <f>(('Adani Enterprises'!J43-'Adani Enterprises'!I43+'Adani Enterprises'!B14)+'Adani Enterprises'!B18)/'Adani Enterprises'!B9</f>
        <v>0.50612857175691239</v>
      </c>
      <c r="D18" s="78">
        <f>(('Adani Enterprises'!K43-'Adani Enterprises'!J43+'Adani Enterprises'!C14)+'Adani Enterprises'!C18)/'Adani Enterprises'!C9</f>
        <v>0.51459588981568127</v>
      </c>
      <c r="E18" s="78">
        <f>(('Adani Enterprises'!L43-'Adani Enterprises'!K43+'Adani Enterprises'!D14)+'Adani Enterprises'!D18)/'Adani Enterprises'!D9</f>
        <v>0.75275081151859968</v>
      </c>
      <c r="F18" s="78">
        <f>(('Adani Enterprises'!M43-'Adani Enterprises'!L43+'Adani Enterprises'!E14)+'Adani Enterprises'!E18)/'Adani Enterprises'!E9</f>
        <v>0.76012306507992355</v>
      </c>
      <c r="G18" s="78">
        <f>(('Adani Enterprises'!N43-'Adani Enterprises'!M43+'Adani Enterprises'!F14)+'Adani Enterprises'!F18)/'Adani Enterprises'!F9</f>
        <v>0.77808682623144387</v>
      </c>
    </row>
    <row r="19" spans="1:8" x14ac:dyDescent="0.4">
      <c r="A19" s="141" t="s">
        <v>163</v>
      </c>
      <c r="B19" s="141"/>
      <c r="C19" s="141"/>
      <c r="D19" s="141"/>
      <c r="E19" s="141"/>
      <c r="F19" s="141"/>
      <c r="G19" s="141"/>
    </row>
    <row r="20" spans="1:8" x14ac:dyDescent="0.4">
      <c r="A20" s="3" t="s">
        <v>128</v>
      </c>
      <c r="B20" s="3" t="s">
        <v>129</v>
      </c>
      <c r="C20" s="66">
        <f>'Adani Enterprises'!B33/'Adani Enterprises'!I49</f>
        <v>3.3266470013405977E-2</v>
      </c>
      <c r="D20" s="66">
        <f>'Adani Enterprises'!C33/'Adani Enterprises'!J49</f>
        <v>2.049767983134643E-2</v>
      </c>
      <c r="E20" s="66">
        <f>'Adani Enterprises'!D33/'Adani Enterprises'!K49</f>
        <v>1.5612227257441665E-2</v>
      </c>
      <c r="F20" s="66">
        <f>'Adani Enterprises'!E33/'Adani Enterprises'!L49</f>
        <v>4.5620001299132799E-3</v>
      </c>
      <c r="G20" s="66">
        <f>'Adani Enterprises'!F33/'Adani Enterprises'!M49</f>
        <v>1.2067495874550712E-2</v>
      </c>
    </row>
    <row r="21" spans="1:8" x14ac:dyDescent="0.4">
      <c r="A21" s="3" t="s">
        <v>130</v>
      </c>
      <c r="B21" s="3" t="s">
        <v>131</v>
      </c>
      <c r="C21" s="66">
        <f>'Adani Enterprises'!B33/('Adani Enterprises'!I49-'Adani Enterprises'!I27)</f>
        <v>4.372249090047594E-2</v>
      </c>
      <c r="D21" s="66">
        <f>'Adani Enterprises'!C33/('Adani Enterprises'!J49-'Adani Enterprises'!J27)</f>
        <v>2.838236956255057E-2</v>
      </c>
      <c r="E21" s="66">
        <f>'Adani Enterprises'!D33/('Adani Enterprises'!K49-'Adani Enterprises'!K27)</f>
        <v>2.2846824789467875E-2</v>
      </c>
      <c r="F21" s="66">
        <f>'Adani Enterprises'!E33/('Adani Enterprises'!L49-'Adani Enterprises'!L27)</f>
        <v>8.0163480106599135E-3</v>
      </c>
      <c r="G21" s="66">
        <f>'Adani Enterprises'!F33/('Adani Enterprises'!M49-'Adani Enterprises'!M27)</f>
        <v>2.0663287551596052E-2</v>
      </c>
    </row>
    <row r="22" spans="1:8" x14ac:dyDescent="0.4">
      <c r="A22" s="3" t="s">
        <v>132</v>
      </c>
      <c r="B22" s="3" t="s">
        <v>133</v>
      </c>
      <c r="C22" s="65">
        <f>'Adani Enterprises'!B33/'Adani Enterprises'!I13</f>
        <v>0.13821082294662798</v>
      </c>
      <c r="D22" s="65">
        <f>'Adani Enterprises'!C33/'Adani Enterprises'!J13</f>
        <v>9.3398520253879735E-2</v>
      </c>
      <c r="E22" s="65">
        <f>'Adani Enterprises'!D33/'Adani Enterprises'!K13</f>
        <v>6.9302491788733669E-2</v>
      </c>
      <c r="F22" s="65">
        <f>'Adani Enterprises'!E33/'Adani Enterprises'!L13</f>
        <v>2.1475714627384349E-2</v>
      </c>
      <c r="G22" s="65">
        <f>'Adani Enterprises'!F33/'Adani Enterprises'!M13</f>
        <v>3.6320042987265259E-2</v>
      </c>
    </row>
    <row r="23" spans="1:8" x14ac:dyDescent="0.4">
      <c r="A23" s="141" t="s">
        <v>164</v>
      </c>
      <c r="B23" s="141"/>
      <c r="C23" s="141"/>
      <c r="D23" s="141"/>
      <c r="E23" s="141"/>
      <c r="F23" s="141"/>
      <c r="G23" s="141"/>
    </row>
    <row r="24" spans="1:8" x14ac:dyDescent="0.4">
      <c r="A24" s="3" t="s">
        <v>127</v>
      </c>
      <c r="B24" s="3" t="s">
        <v>141</v>
      </c>
      <c r="C24" s="71">
        <f>'Adani Enterprises'!B33/'Adani Enterprises'!B40*100</f>
        <v>57.107767325922019</v>
      </c>
      <c r="D24" s="71">
        <f>'Adani Enterprises'!C33/'Adani Enterprises'!C40*100</f>
        <v>28.900237806808942</v>
      </c>
      <c r="E24" s="71">
        <f>'Adani Enterprises'!D33/'Adani Enterprises'!D40*100</f>
        <v>19.376666666666669</v>
      </c>
      <c r="F24" s="71">
        <f>'Adani Enterprises'!E33/'Adani Enterprises'!E40*100</f>
        <v>4.2210018094034423</v>
      </c>
      <c r="G24" s="71">
        <f>'Adani Enterprises'!F33/'Adani Enterprises'!F40*100</f>
        <v>5.6664332930233412</v>
      </c>
    </row>
    <row r="25" spans="1:8" x14ac:dyDescent="0.4">
      <c r="A25" s="3" t="s">
        <v>134</v>
      </c>
      <c r="B25" s="3" t="s">
        <v>138</v>
      </c>
      <c r="C25" s="78">
        <f>C24/2315.8</f>
        <v>2.4660060163192856E-2</v>
      </c>
      <c r="D25" s="78">
        <f>D24/3197.1</f>
        <v>9.0395163763438563E-3</v>
      </c>
      <c r="E25" s="78">
        <f>E24/1750.45</f>
        <v>1.1069534500652215E-2</v>
      </c>
      <c r="F25" s="78">
        <f>F24/2043.65</f>
        <v>2.0654230467073336E-3</v>
      </c>
      <c r="G25" s="78">
        <f>G24/1107.2</f>
        <v>5.1178046360398676E-3</v>
      </c>
      <c r="H25" s="80" t="s">
        <v>179</v>
      </c>
    </row>
    <row r="26" spans="1:8" x14ac:dyDescent="0.4">
      <c r="A26" s="3" t="s">
        <v>135</v>
      </c>
      <c r="B26" s="3" t="s">
        <v>139</v>
      </c>
      <c r="C26" s="82">
        <f>('Adani Enterprises'!B38/'Adani Enterprises'!B40*100)/2315.8</f>
        <v>5.5446384629747843E-4</v>
      </c>
      <c r="D26" s="82">
        <f>('Adani Enterprises'!C38/'Adani Enterprises'!C40*100)/3197.1</f>
        <v>3.75339822767303E-4</v>
      </c>
      <c r="E26" s="81">
        <f>('Adani Enterprises'!D38/'Adani Enterprises'!D40*100)/1750.45</f>
        <v>0</v>
      </c>
      <c r="F26" s="82">
        <f>('Adani Enterprises'!E38/'Adani Enterprises'!E40*100)/2043.65</f>
        <v>4.8931612923954187E-4</v>
      </c>
      <c r="G26" s="78">
        <f>('Adani Enterprises'!F38/'Adani Enterprises'!F40*100)/1107.2</f>
        <v>0</v>
      </c>
      <c r="H26" s="80" t="s">
        <v>179</v>
      </c>
    </row>
    <row r="27" spans="1:8" x14ac:dyDescent="0.4">
      <c r="A27" s="3" t="s">
        <v>136</v>
      </c>
      <c r="B27" s="3" t="s">
        <v>140</v>
      </c>
      <c r="C27" s="66">
        <f>('Adani Enterprises'!B38/'Adani Enterprises'!B40*100)/C24</f>
        <v>2.2484286032888958E-2</v>
      </c>
      <c r="D27" s="66">
        <f>('Adani Enterprises'!C38/'Adani Enterprises'!C40*100)/D24</f>
        <v>4.1522113257027343E-2</v>
      </c>
      <c r="E27" s="66">
        <f>('Adani Enterprises'!D38/'Adani Enterprises'!D40*100)/E24</f>
        <v>0</v>
      </c>
      <c r="F27" s="66">
        <f>('Adani Enterprises'!E38/'Adani Enterprises'!E40*100)/F24</f>
        <v>0.23690842901148135</v>
      </c>
      <c r="G27" s="66">
        <f>('Adani Enterprises'!F38/'Adani Enterprises'!F40*100)/G24</f>
        <v>0</v>
      </c>
      <c r="H27" s="80"/>
    </row>
    <row r="28" spans="1:8" x14ac:dyDescent="0.4">
      <c r="A28" s="3" t="s">
        <v>137</v>
      </c>
      <c r="B28" s="3" t="s">
        <v>142</v>
      </c>
      <c r="C28" s="3">
        <f>2315.8/C24</f>
        <v>40.551401471946988</v>
      </c>
      <c r="D28" s="3">
        <f>3197.1/D24</f>
        <v>110.62538728476338</v>
      </c>
      <c r="E28" s="3">
        <f>1750.45/E24</f>
        <v>90.338035437811797</v>
      </c>
      <c r="F28" s="3">
        <f>2043.65/F24</f>
        <v>484.16231318527457</v>
      </c>
      <c r="G28" s="3">
        <f>1107.2/G24</f>
        <v>195.39628241335043</v>
      </c>
      <c r="H28" s="80" t="s">
        <v>179</v>
      </c>
    </row>
    <row r="29" spans="1:8" x14ac:dyDescent="0.4">
      <c r="A29" s="141" t="s">
        <v>165</v>
      </c>
      <c r="B29" s="141"/>
      <c r="C29" s="141"/>
      <c r="D29" s="141"/>
      <c r="E29" s="141"/>
      <c r="F29" s="141"/>
      <c r="G29" s="141"/>
    </row>
    <row r="30" spans="1:8" x14ac:dyDescent="0.4">
      <c r="A30" s="3" t="s">
        <v>143</v>
      </c>
      <c r="B30" s="3" t="s">
        <v>129</v>
      </c>
      <c r="C30" s="66">
        <f>'Adani Enterprises'!B33/'Adani Enterprises'!I49</f>
        <v>3.3266470013405977E-2</v>
      </c>
      <c r="D30" s="66">
        <f>'Adani Enterprises'!C33/'Adani Enterprises'!J49</f>
        <v>2.049767983134643E-2</v>
      </c>
      <c r="E30" s="66">
        <f>'Adani Enterprises'!D33/'Adani Enterprises'!K49</f>
        <v>1.5612227257441665E-2</v>
      </c>
      <c r="F30" s="66">
        <f>'Adani Enterprises'!E33/'Adani Enterprises'!L49</f>
        <v>4.5620001299132799E-3</v>
      </c>
      <c r="G30" s="66">
        <f>'Adani Enterprises'!F33/'Adani Enterprises'!M49</f>
        <v>1.2067495874550712E-2</v>
      </c>
    </row>
    <row r="31" spans="1:8" x14ac:dyDescent="0.4">
      <c r="A31" s="141" t="s">
        <v>144</v>
      </c>
      <c r="B31" s="141"/>
      <c r="C31" s="141"/>
      <c r="D31" s="141"/>
      <c r="E31" s="141"/>
      <c r="F31" s="141"/>
      <c r="G31" s="141"/>
    </row>
    <row r="32" spans="1:8" x14ac:dyDescent="0.4">
      <c r="A32" s="3" t="s">
        <v>145</v>
      </c>
      <c r="B32" s="3" t="s">
        <v>146</v>
      </c>
      <c r="C32" s="3">
        <f>'Adani Enterprises'!B9/'Adani Enterprises'!I48</f>
        <v>2.4026512064091152</v>
      </c>
      <c r="D32" s="3">
        <f>'Adani Enterprises'!C9/'Adani Enterprises'!J48</f>
        <v>2.6158639330506248</v>
      </c>
      <c r="E32" s="3">
        <f>'Adani Enterprises'!D9/'Adani Enterprises'!K48</f>
        <v>3.6899616478003585</v>
      </c>
      <c r="F32" s="3">
        <f>'Adani Enterprises'!E9/'Adani Enterprises'!L48</f>
        <v>2.2433124933956234</v>
      </c>
      <c r="G32" s="3">
        <f>'Adani Enterprises'!F9/'Adani Enterprises'!M48</f>
        <v>1.9804897083700046</v>
      </c>
    </row>
    <row r="33" spans="1:7" x14ac:dyDescent="0.4">
      <c r="A33" s="3" t="s">
        <v>147</v>
      </c>
      <c r="B33" s="3" t="s">
        <v>148</v>
      </c>
      <c r="C33" s="3">
        <f>'Adani Enterprises'!B9/'Adani Enterprises'!I35</f>
        <v>0.76666008822937448</v>
      </c>
      <c r="D33" s="3">
        <f>'Adani Enterprises'!C9/'Adani Enterprises'!J35</f>
        <v>0.9630753934940034</v>
      </c>
      <c r="E33" s="3">
        <f>'Adani Enterprises'!D9/'Adani Enterprises'!K35</f>
        <v>1.7118115931705375</v>
      </c>
      <c r="F33" s="3">
        <f>'Adani Enterprises'!E9/'Adani Enterprises'!L35</f>
        <v>1.3008250342397922</v>
      </c>
      <c r="G33" s="3">
        <f>'Adani Enterprises'!F9/'Adani Enterprises'!M35</f>
        <v>2.0263916437310043</v>
      </c>
    </row>
    <row r="34" spans="1:7" x14ac:dyDescent="0.4">
      <c r="A34" s="3" t="s">
        <v>149</v>
      </c>
      <c r="B34" s="3" t="s">
        <v>150</v>
      </c>
      <c r="C34" s="3">
        <f>'Adani Enterprises'!B9/'Adani Enterprises'!I49</f>
        <v>0.49407970927376277</v>
      </c>
      <c r="D34" s="3">
        <f>'Adani Enterprises'!C9/'Adani Enterprises'!J49</f>
        <v>0.59988720343852198</v>
      </c>
      <c r="E34" s="3">
        <f>'Adani Enterprises'!D9/'Adani Enterprises'!K49</f>
        <v>0.96812404064180224</v>
      </c>
      <c r="F34" s="3">
        <f>'Adani Enterprises'!E9/'Adani Enterprises'!L49</f>
        <v>0.68219389134395281</v>
      </c>
      <c r="G34" s="3">
        <f>'Adani Enterprises'!F9/'Adani Enterprises'!M49</f>
        <v>0.76558753717358019</v>
      </c>
    </row>
    <row r="35" spans="1:7" x14ac:dyDescent="0.4">
      <c r="A35" s="3" t="s">
        <v>151</v>
      </c>
      <c r="B35" s="3" t="s">
        <v>152</v>
      </c>
      <c r="C35" s="3">
        <f>'Adani Enterprises'!B9/(AVERAGE('Adani Enterprises'!I43:J43))</f>
        <v>9.9012351922323223</v>
      </c>
      <c r="D35" s="3">
        <f>'Adani Enterprises'!C9/(AVERAGE('Adani Enterprises'!J43:K43))</f>
        <v>11.755136724309978</v>
      </c>
      <c r="E35" s="3">
        <f>'Adani Enterprises'!D9/(AVERAGE('Adani Enterprises'!K43:L43))</f>
        <v>19.987518175908505</v>
      </c>
      <c r="F35" s="3">
        <f>'Adani Enterprises'!E9/(AVERAGE('Adani Enterprises'!L43:M43))</f>
        <v>16.247531982418444</v>
      </c>
      <c r="G35" s="3">
        <f>'Adani Enterprises'!F9/(AVERAGE('Adani Enterprises'!M43:N43))</f>
        <v>18.306727076151603</v>
      </c>
    </row>
    <row r="36" spans="1:7" x14ac:dyDescent="0.4">
      <c r="A36" s="3" t="s">
        <v>153</v>
      </c>
      <c r="B36" s="3" t="s">
        <v>154</v>
      </c>
      <c r="C36" s="3">
        <f>'Adani Enterprises'!B9/(AVERAGE('Adani Enterprises'!I44:J44))</f>
        <v>10.087354580770141</v>
      </c>
      <c r="D36" s="3">
        <f>'Adani Enterprises'!C9/(AVERAGE('Adani Enterprises'!J44:K44))</f>
        <v>8.6298934789117077</v>
      </c>
      <c r="E36" s="3">
        <f>'Adani Enterprises'!D9/(AVERAGE('Adani Enterprises'!K44:L44))</f>
        <v>10.430412711635645</v>
      </c>
      <c r="F36" s="3">
        <f>'Adani Enterprises'!E9/(AVERAGE('Adani Enterprises'!L44:M44))</f>
        <v>5.4034335298449019</v>
      </c>
      <c r="G36" s="3">
        <f>'Adani Enterprises'!F9/(AVERAGE('Adani Enterprises'!M44:N44))</f>
        <v>3.1467107163862886</v>
      </c>
    </row>
    <row r="37" spans="1:7" x14ac:dyDescent="0.4">
      <c r="A37" s="141" t="s">
        <v>155</v>
      </c>
      <c r="B37" s="141"/>
      <c r="C37" s="141"/>
      <c r="D37" s="141"/>
      <c r="E37" s="141"/>
      <c r="F37" s="141"/>
      <c r="G37" s="141"/>
    </row>
    <row r="38" spans="1:7" x14ac:dyDescent="0.4">
      <c r="A38" s="3" t="s">
        <v>156</v>
      </c>
      <c r="B38" s="3" t="s">
        <v>159</v>
      </c>
      <c r="C38" s="83">
        <f>('Adani Enterprises'!B9-'Adani Enterprises'!B14-'Adani Enterprises'!B15-'Adani Enterprises'!B16-'Adani Enterprises'!B17-'Adani Enterprises'!B18)/'Adani Enterprises'!B30</f>
        <v>4.0693543812852582</v>
      </c>
      <c r="D38" s="83">
        <f>('Adani Enterprises'!C9-'Adani Enterprises'!C14-'Adani Enterprises'!C15-'Adani Enterprises'!C16-'Adani Enterprises'!C17-'Adani Enterprises'!C18)/'Adani Enterprises'!C30</f>
        <v>8.5023582176219659</v>
      </c>
      <c r="E38" s="83">
        <f>('Adani Enterprises'!D9-'Adani Enterprises'!D14-'Adani Enterprises'!D15-'Adani Enterprises'!D16-'Adani Enterprises'!D17-'Adani Enterprises'!D18)/'Adani Enterprises'!D30</f>
        <v>9.8035447244530616</v>
      </c>
      <c r="F38" s="83">
        <f>('Adani Enterprises'!E9-'Adani Enterprises'!E14-'Adani Enterprises'!E15-'Adani Enterprises'!E16-'Adani Enterprises'!E17-'Adani Enterprises'!E18)/'Adani Enterprises'!E30</f>
        <v>7.6666034834986565</v>
      </c>
      <c r="G38" s="83">
        <f>('Adani Enterprises'!F9-'Adani Enterprises'!F14-'Adani Enterprises'!F15-'Adani Enterprises'!F16-'Adani Enterprises'!F17-'Adani Enterprises'!F18)/'Adani Enterprises'!F30</f>
        <v>6.4306149794390759</v>
      </c>
    </row>
    <row r="39" spans="1:7" x14ac:dyDescent="0.4">
      <c r="A39" s="3" t="s">
        <v>157</v>
      </c>
      <c r="B39" s="3" t="s">
        <v>160</v>
      </c>
      <c r="C39" s="3">
        <f>('Adani Enterprises'!B9-'Adani Enterprises'!B14-'Adani Enterprises'!B15-'Adani Enterprises'!B16-'Adani Enterprises'!B17-'Adani Enterprises'!B18)/'Adani Enterprises'!B25</f>
        <v>2.9800905555208623</v>
      </c>
      <c r="D39" s="3">
        <f>('Adani Enterprises'!C9-'Adani Enterprises'!C14-'Adani Enterprises'!C15-'Adani Enterprises'!C16-'Adani Enterprises'!C17-'Adani Enterprises'!C18)/'Adani Enterprises'!C25</f>
        <v>3.6809697097551113</v>
      </c>
      <c r="E39" s="3">
        <f>('Adani Enterprises'!D9-'Adani Enterprises'!D14-'Adani Enterprises'!D15-'Adani Enterprises'!D16-'Adani Enterprises'!D17-'Adani Enterprises'!D18)/'Adani Enterprises'!D25</f>
        <v>3.6090407998205718</v>
      </c>
      <c r="F39" s="3">
        <f>('Adani Enterprises'!E9-'Adani Enterprises'!E14-'Adani Enterprises'!E15-'Adani Enterprises'!E16-'Adani Enterprises'!E17-'Adani Enterprises'!E18)/'Adani Enterprises'!E25</f>
        <v>1.9606700420122791</v>
      </c>
      <c r="G39" s="3">
        <f>('Adani Enterprises'!F9-'Adani Enterprises'!F14-'Adani Enterprises'!F15-'Adani Enterprises'!F16-'Adani Enterprises'!F17-'Adani Enterprises'!F18)/'Adani Enterprises'!F25</f>
        <v>2.7779445520049486</v>
      </c>
    </row>
    <row r="40" spans="1:7" x14ac:dyDescent="0.4">
      <c r="A40" s="3" t="s">
        <v>158</v>
      </c>
      <c r="B40" s="3" t="s">
        <v>161</v>
      </c>
      <c r="C40" s="3">
        <f>'Adani Enterprises'!B25/'Adani Enterprises'!B30</f>
        <v>1.3655136666053471</v>
      </c>
      <c r="D40" s="3">
        <f>'Adani Enterprises'!C25/'Adani Enterprises'!C30</f>
        <v>2.3098147738324135</v>
      </c>
      <c r="E40" s="3">
        <f>'Adani Enterprises'!D25/'Adani Enterprises'!D30</f>
        <v>2.7163851195421396</v>
      </c>
      <c r="F40" s="3">
        <f>'Adani Enterprises'!E25/'Adani Enterprises'!E30</f>
        <v>3.9101956572102523</v>
      </c>
      <c r="G40" s="3">
        <f>'Adani Enterprises'!F25/'Adani Enterprises'!F30</f>
        <v>2.3148824100170957</v>
      </c>
    </row>
  </sheetData>
  <mergeCells count="9">
    <mergeCell ref="A29:G29"/>
    <mergeCell ref="A31:G31"/>
    <mergeCell ref="A37:G37"/>
    <mergeCell ref="A1:G1"/>
    <mergeCell ref="A3:G3"/>
    <mergeCell ref="A6:G6"/>
    <mergeCell ref="A11:G11"/>
    <mergeCell ref="A19:G19"/>
    <mergeCell ref="A23:G23"/>
  </mergeCells>
  <pageMargins left="0.7" right="0.7" top="0.75" bottom="0.75" header="0.3" footer="0.3"/>
  <ignoredErrors>
    <ignoredError sqref="C35 C36 D35:G35 D36:G36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4F85-E21D-4BDF-89D3-08EAFC227465}">
  <dimension ref="A1:N60"/>
  <sheetViews>
    <sheetView showGridLines="0" workbookViewId="0">
      <selection activeCell="N46" sqref="N46"/>
    </sheetView>
  </sheetViews>
  <sheetFormatPr defaultColWidth="8.73046875" defaultRowHeight="11.65" x14ac:dyDescent="0.35"/>
  <cols>
    <col min="1" max="1" width="22.796875" style="1" customWidth="1"/>
    <col min="2" max="6" width="9.46484375" style="1" bestFit="1" customWidth="1"/>
    <col min="7" max="7" width="8.73046875" style="1"/>
    <col min="8" max="8" width="19.9296875" style="1" bestFit="1" customWidth="1"/>
    <col min="9" max="13" width="9.46484375" style="1" bestFit="1" customWidth="1"/>
    <col min="14" max="16384" width="8.73046875" style="1"/>
  </cols>
  <sheetData>
    <row r="1" spans="1:13" ht="18.7" customHeight="1" x14ac:dyDescent="0.35">
      <c r="A1" s="137" t="s">
        <v>95</v>
      </c>
      <c r="B1" s="138"/>
      <c r="C1" s="138"/>
      <c r="D1" s="138"/>
      <c r="E1" s="138"/>
      <c r="F1" s="139"/>
      <c r="H1" s="137" t="s">
        <v>95</v>
      </c>
      <c r="I1" s="138"/>
      <c r="J1" s="138"/>
      <c r="K1" s="138"/>
      <c r="L1" s="138"/>
      <c r="M1" s="139"/>
    </row>
    <row r="2" spans="1:13" ht="27.7" customHeight="1" x14ac:dyDescent="0.35">
      <c r="A2" s="5" t="s">
        <v>1</v>
      </c>
      <c r="B2" s="134" t="s">
        <v>2</v>
      </c>
      <c r="C2" s="135"/>
      <c r="D2" s="135"/>
      <c r="E2" s="135"/>
      <c r="F2" s="136"/>
      <c r="H2" s="5" t="s">
        <v>39</v>
      </c>
      <c r="I2" s="135" t="s">
        <v>2</v>
      </c>
      <c r="J2" s="135"/>
      <c r="K2" s="135"/>
      <c r="L2" s="135"/>
      <c r="M2" s="136"/>
    </row>
    <row r="3" spans="1:13" x14ac:dyDescent="0.35">
      <c r="A3" s="8"/>
      <c r="B3" s="41" t="s">
        <v>3</v>
      </c>
      <c r="C3" s="30" t="s">
        <v>4</v>
      </c>
      <c r="D3" s="18" t="s">
        <v>5</v>
      </c>
      <c r="E3" s="57" t="s">
        <v>6</v>
      </c>
      <c r="F3" s="24" t="s">
        <v>7</v>
      </c>
      <c r="H3" s="8"/>
      <c r="I3" s="41" t="s">
        <v>40</v>
      </c>
      <c r="J3" s="49">
        <v>45352</v>
      </c>
      <c r="K3" s="35">
        <v>44986</v>
      </c>
      <c r="L3" s="36">
        <v>44621</v>
      </c>
      <c r="M3" s="39">
        <v>44256</v>
      </c>
    </row>
    <row r="4" spans="1:13" x14ac:dyDescent="0.35">
      <c r="A4" s="17"/>
      <c r="B4" s="15"/>
      <c r="C4" s="29"/>
      <c r="D4" s="17"/>
      <c r="E4" s="16"/>
      <c r="F4" s="16"/>
      <c r="H4" s="17"/>
      <c r="I4" s="15"/>
      <c r="J4" s="29"/>
      <c r="K4" s="17"/>
      <c r="L4" s="16"/>
      <c r="M4" s="16"/>
    </row>
    <row r="5" spans="1:13" x14ac:dyDescent="0.35">
      <c r="A5" s="7"/>
      <c r="B5" s="42" t="s">
        <v>8</v>
      </c>
      <c r="C5" s="31" t="s">
        <v>8</v>
      </c>
      <c r="D5" s="19" t="s">
        <v>8</v>
      </c>
      <c r="E5" s="25" t="s">
        <v>8</v>
      </c>
      <c r="F5" s="25" t="s">
        <v>8</v>
      </c>
      <c r="H5" s="7"/>
      <c r="I5" s="42" t="s">
        <v>8</v>
      </c>
      <c r="J5" s="31" t="s">
        <v>8</v>
      </c>
      <c r="K5" s="19" t="s">
        <v>8</v>
      </c>
      <c r="L5" s="25" t="s">
        <v>8</v>
      </c>
      <c r="M5" s="25" t="s">
        <v>8</v>
      </c>
    </row>
    <row r="6" spans="1:13" x14ac:dyDescent="0.35">
      <c r="A6" s="17"/>
      <c r="B6" s="15"/>
      <c r="C6" s="29"/>
      <c r="D6" s="17"/>
      <c r="E6" s="16"/>
      <c r="F6" s="16"/>
      <c r="H6" s="17"/>
      <c r="I6" s="15"/>
      <c r="J6" s="29"/>
      <c r="K6" s="17"/>
      <c r="L6" s="16"/>
      <c r="M6" s="16"/>
    </row>
    <row r="7" spans="1:13" ht="11.55" customHeight="1" x14ac:dyDescent="0.35">
      <c r="A7" s="8" t="s">
        <v>9</v>
      </c>
      <c r="B7" s="43"/>
      <c r="C7" s="50"/>
      <c r="D7" s="22"/>
      <c r="E7" s="24"/>
      <c r="F7" s="24"/>
      <c r="H7" s="8" t="s">
        <v>41</v>
      </c>
      <c r="I7" s="43"/>
      <c r="J7" s="50"/>
      <c r="K7" s="22"/>
      <c r="L7" s="24"/>
      <c r="M7" s="24"/>
    </row>
    <row r="8" spans="1:13" ht="11.55" customHeight="1" x14ac:dyDescent="0.35">
      <c r="A8" s="7" t="s">
        <v>10</v>
      </c>
      <c r="B8" s="44">
        <v>238496</v>
      </c>
      <c r="C8" s="32">
        <v>215962</v>
      </c>
      <c r="D8" s="20">
        <v>223202</v>
      </c>
      <c r="E8" s="26">
        <v>195059</v>
      </c>
      <c r="F8" s="26">
        <v>131985</v>
      </c>
      <c r="H8" s="8" t="s">
        <v>42</v>
      </c>
      <c r="I8" s="43"/>
      <c r="J8" s="50"/>
      <c r="K8" s="22"/>
      <c r="L8" s="24"/>
      <c r="M8" s="24"/>
    </row>
    <row r="9" spans="1:13" x14ac:dyDescent="0.35">
      <c r="A9" s="7" t="s">
        <v>11</v>
      </c>
      <c r="B9" s="44">
        <v>238496</v>
      </c>
      <c r="C9" s="32">
        <v>215962</v>
      </c>
      <c r="D9" s="20">
        <v>223202</v>
      </c>
      <c r="E9" s="26">
        <v>195059</v>
      </c>
      <c r="F9" s="26">
        <v>131985</v>
      </c>
      <c r="H9" s="7" t="s">
        <v>43</v>
      </c>
      <c r="I9" s="42">
        <v>222</v>
      </c>
      <c r="J9" s="31">
        <v>222</v>
      </c>
      <c r="K9" s="19">
        <v>222</v>
      </c>
      <c r="L9" s="25">
        <v>222</v>
      </c>
      <c r="M9" s="25">
        <v>222</v>
      </c>
    </row>
    <row r="10" spans="1:13" x14ac:dyDescent="0.35">
      <c r="A10" s="7" t="s">
        <v>12</v>
      </c>
      <c r="B10" s="44">
        <v>1829</v>
      </c>
      <c r="C10" s="32">
        <v>1517</v>
      </c>
      <c r="D10" s="20">
        <v>1998</v>
      </c>
      <c r="E10" s="26">
        <v>2432</v>
      </c>
      <c r="F10" s="25">
        <v>-109</v>
      </c>
      <c r="H10" s="17" t="s">
        <v>44</v>
      </c>
      <c r="I10" s="47">
        <v>222</v>
      </c>
      <c r="J10" s="53">
        <v>222</v>
      </c>
      <c r="K10" s="52">
        <v>222</v>
      </c>
      <c r="L10" s="55">
        <v>222</v>
      </c>
      <c r="M10" s="55">
        <v>222</v>
      </c>
    </row>
    <row r="11" spans="1:13" x14ac:dyDescent="0.35">
      <c r="A11" s="7" t="s">
        <v>96</v>
      </c>
      <c r="B11" s="44">
        <v>2327</v>
      </c>
      <c r="C11" s="32">
        <v>-1329</v>
      </c>
      <c r="D11" s="20">
        <v>-3241</v>
      </c>
      <c r="E11" s="26">
        <v>9753</v>
      </c>
      <c r="F11" s="26">
        <v>2146</v>
      </c>
      <c r="H11" s="7" t="s">
        <v>45</v>
      </c>
      <c r="I11" s="44">
        <v>123487</v>
      </c>
      <c r="J11" s="32">
        <v>105783</v>
      </c>
      <c r="K11" s="20">
        <v>94580</v>
      </c>
      <c r="L11" s="26">
        <v>77965</v>
      </c>
      <c r="M11" s="26">
        <v>66253</v>
      </c>
    </row>
    <row r="12" spans="1:13" x14ac:dyDescent="0.35">
      <c r="A12" s="8" t="s">
        <v>13</v>
      </c>
      <c r="B12" s="46">
        <v>242652</v>
      </c>
      <c r="C12" s="51">
        <v>216150</v>
      </c>
      <c r="D12" s="21">
        <v>221959</v>
      </c>
      <c r="E12" s="27">
        <v>207244</v>
      </c>
      <c r="F12" s="27">
        <v>134022</v>
      </c>
      <c r="H12" s="17" t="s">
        <v>46</v>
      </c>
      <c r="I12" s="45">
        <v>123487</v>
      </c>
      <c r="J12" s="33">
        <v>105783</v>
      </c>
      <c r="K12" s="37">
        <v>94580</v>
      </c>
      <c r="L12" s="38">
        <v>77965</v>
      </c>
      <c r="M12" s="38">
        <v>66253</v>
      </c>
    </row>
    <row r="13" spans="1:13" x14ac:dyDescent="0.35">
      <c r="A13" s="8" t="s">
        <v>14</v>
      </c>
      <c r="B13" s="43"/>
      <c r="C13" s="50"/>
      <c r="D13" s="22"/>
      <c r="E13" s="24"/>
      <c r="F13" s="24"/>
      <c r="H13" s="7" t="s">
        <v>92</v>
      </c>
      <c r="I13" s="42">
        <v>0</v>
      </c>
      <c r="J13" s="31">
        <v>137</v>
      </c>
      <c r="K13" s="19">
        <v>0</v>
      </c>
      <c r="L13" s="25">
        <v>0</v>
      </c>
      <c r="M13" s="25">
        <v>54</v>
      </c>
    </row>
    <row r="14" spans="1:13" x14ac:dyDescent="0.35">
      <c r="A14" s="7" t="s">
        <v>15</v>
      </c>
      <c r="B14" s="44">
        <v>147276</v>
      </c>
      <c r="C14" s="32">
        <v>132526</v>
      </c>
      <c r="D14" s="20">
        <v>142620</v>
      </c>
      <c r="E14" s="26">
        <v>131760</v>
      </c>
      <c r="F14" s="26">
        <v>82215</v>
      </c>
      <c r="H14" s="17" t="s">
        <v>47</v>
      </c>
      <c r="I14" s="45">
        <v>123709</v>
      </c>
      <c r="J14" s="33">
        <v>106142</v>
      </c>
      <c r="K14" s="37">
        <v>94802</v>
      </c>
      <c r="L14" s="38">
        <v>78187</v>
      </c>
      <c r="M14" s="38">
        <v>66529</v>
      </c>
    </row>
    <row r="15" spans="1:13" x14ac:dyDescent="0.35">
      <c r="A15" s="7" t="s">
        <v>16</v>
      </c>
      <c r="B15" s="44">
        <v>14396</v>
      </c>
      <c r="C15" s="32">
        <v>3624</v>
      </c>
      <c r="D15" s="20">
        <v>17346</v>
      </c>
      <c r="E15" s="26">
        <v>11146</v>
      </c>
      <c r="F15" s="26">
        <v>8646</v>
      </c>
      <c r="H15" s="7" t="s">
        <v>97</v>
      </c>
      <c r="I15" s="42">
        <v>0</v>
      </c>
      <c r="J15" s="31">
        <v>4</v>
      </c>
      <c r="K15" s="19">
        <v>4</v>
      </c>
      <c r="L15" s="25">
        <v>4</v>
      </c>
      <c r="M15" s="25">
        <v>4</v>
      </c>
    </row>
    <row r="16" spans="1:13" x14ac:dyDescent="0.35">
      <c r="A16" s="7" t="s">
        <v>17</v>
      </c>
      <c r="B16" s="44">
        <v>15406</v>
      </c>
      <c r="C16" s="32">
        <v>14778</v>
      </c>
      <c r="D16" s="20">
        <v>13063</v>
      </c>
      <c r="E16" s="26">
        <v>11936</v>
      </c>
      <c r="F16" s="26">
        <v>10782</v>
      </c>
      <c r="H16" s="7" t="s">
        <v>30</v>
      </c>
      <c r="I16" s="42">
        <v>12</v>
      </c>
      <c r="J16" s="31">
        <v>11</v>
      </c>
      <c r="K16" s="19">
        <v>11</v>
      </c>
      <c r="L16" s="25">
        <v>11</v>
      </c>
      <c r="M16" s="25">
        <v>10</v>
      </c>
    </row>
    <row r="17" spans="1:13" ht="11.55" customHeight="1" x14ac:dyDescent="0.35">
      <c r="A17" s="7" t="s">
        <v>19</v>
      </c>
      <c r="B17" s="44">
        <v>31940</v>
      </c>
      <c r="C17" s="32">
        <v>39833</v>
      </c>
      <c r="D17" s="20">
        <v>24266</v>
      </c>
      <c r="E17" s="26">
        <v>21623</v>
      </c>
      <c r="F17" s="26">
        <v>14952</v>
      </c>
      <c r="H17" s="8" t="s">
        <v>48</v>
      </c>
      <c r="I17" s="43"/>
      <c r="J17" s="50"/>
      <c r="K17" s="22"/>
      <c r="L17" s="24"/>
      <c r="M17" s="24"/>
    </row>
    <row r="18" spans="1:13" x14ac:dyDescent="0.35">
      <c r="A18" s="7" t="s">
        <v>20</v>
      </c>
      <c r="B18" s="44">
        <v>209018</v>
      </c>
      <c r="C18" s="32">
        <v>190761</v>
      </c>
      <c r="D18" s="20">
        <v>197295</v>
      </c>
      <c r="E18" s="26">
        <v>176465</v>
      </c>
      <c r="F18" s="26">
        <v>116595</v>
      </c>
      <c r="H18" s="7" t="s">
        <v>49</v>
      </c>
      <c r="I18" s="44">
        <v>56217</v>
      </c>
      <c r="J18" s="32">
        <v>47395</v>
      </c>
      <c r="K18" s="20">
        <v>51434</v>
      </c>
      <c r="L18" s="26">
        <v>51635</v>
      </c>
      <c r="M18" s="26">
        <v>58985</v>
      </c>
    </row>
    <row r="19" spans="1:13" x14ac:dyDescent="0.35">
      <c r="A19" s="8"/>
      <c r="B19" s="41" t="s">
        <v>3</v>
      </c>
      <c r="C19" s="50" t="s">
        <v>4</v>
      </c>
      <c r="D19" s="22" t="s">
        <v>5</v>
      </c>
      <c r="E19" s="24" t="s">
        <v>6</v>
      </c>
      <c r="F19" s="24" t="s">
        <v>7</v>
      </c>
      <c r="H19" s="7" t="s">
        <v>50</v>
      </c>
      <c r="I19" s="44">
        <v>10471</v>
      </c>
      <c r="J19" s="32">
        <v>9344</v>
      </c>
      <c r="K19" s="20">
        <v>8650</v>
      </c>
      <c r="L19" s="26">
        <v>5631</v>
      </c>
      <c r="M19" s="26">
        <v>4493</v>
      </c>
    </row>
    <row r="20" spans="1:13" x14ac:dyDescent="0.35">
      <c r="A20" s="17"/>
      <c r="B20" s="15"/>
      <c r="C20" s="29"/>
      <c r="D20" s="17"/>
      <c r="E20" s="16"/>
      <c r="F20" s="16"/>
      <c r="H20" s="7" t="s">
        <v>51</v>
      </c>
      <c r="I20" s="44">
        <v>3839</v>
      </c>
      <c r="J20" s="32">
        <v>9042</v>
      </c>
      <c r="K20" s="20">
        <v>8873</v>
      </c>
      <c r="L20" s="26">
        <v>3473</v>
      </c>
      <c r="M20" s="26">
        <v>3039</v>
      </c>
    </row>
    <row r="21" spans="1:13" x14ac:dyDescent="0.35">
      <c r="A21" s="7"/>
      <c r="B21" s="42" t="s">
        <v>8</v>
      </c>
      <c r="C21" s="31" t="s">
        <v>8</v>
      </c>
      <c r="D21" s="19" t="s">
        <v>8</v>
      </c>
      <c r="E21" s="25" t="s">
        <v>8</v>
      </c>
      <c r="F21" s="25" t="s">
        <v>8</v>
      </c>
      <c r="H21" s="7" t="s">
        <v>52</v>
      </c>
      <c r="I21" s="44">
        <v>6227</v>
      </c>
      <c r="J21" s="31">
        <v>618</v>
      </c>
      <c r="K21" s="19">
        <v>586</v>
      </c>
      <c r="L21" s="26">
        <v>6848</v>
      </c>
      <c r="M21" s="26">
        <v>8146</v>
      </c>
    </row>
    <row r="22" spans="1:13" ht="22.5" x14ac:dyDescent="0.35">
      <c r="A22" s="17"/>
      <c r="B22" s="15"/>
      <c r="C22" s="29"/>
      <c r="D22" s="17"/>
      <c r="E22" s="16"/>
      <c r="F22" s="16"/>
      <c r="H22" s="17" t="s">
        <v>53</v>
      </c>
      <c r="I22" s="45">
        <v>76754</v>
      </c>
      <c r="J22" s="33">
        <v>66399</v>
      </c>
      <c r="K22" s="37">
        <v>69543</v>
      </c>
      <c r="L22" s="38">
        <v>67587</v>
      </c>
      <c r="M22" s="38">
        <v>74663</v>
      </c>
    </row>
    <row r="23" spans="1:13" ht="19.25" customHeight="1" x14ac:dyDescent="0.35">
      <c r="A23" s="8" t="s">
        <v>21</v>
      </c>
      <c r="B23" s="46">
        <v>31805</v>
      </c>
      <c r="C23" s="51">
        <v>23872</v>
      </c>
      <c r="D23" s="21">
        <v>22666</v>
      </c>
      <c r="E23" s="27">
        <v>28347</v>
      </c>
      <c r="F23" s="27">
        <v>17536</v>
      </c>
      <c r="H23" s="8" t="s">
        <v>54</v>
      </c>
      <c r="I23" s="43"/>
      <c r="J23" s="50"/>
      <c r="K23" s="22"/>
      <c r="L23" s="24"/>
      <c r="M23" s="24"/>
    </row>
    <row r="24" spans="1:13" x14ac:dyDescent="0.35">
      <c r="A24" s="7" t="s">
        <v>22</v>
      </c>
      <c r="B24" s="44">
        <v>33634</v>
      </c>
      <c r="C24" s="32">
        <v>25389</v>
      </c>
      <c r="D24" s="20">
        <v>24664</v>
      </c>
      <c r="E24" s="26">
        <v>30779</v>
      </c>
      <c r="F24" s="26">
        <v>17427</v>
      </c>
      <c r="H24" s="7" t="s">
        <v>55</v>
      </c>
      <c r="I24" s="44">
        <v>5714</v>
      </c>
      <c r="J24" s="32">
        <v>7106</v>
      </c>
      <c r="K24" s="20">
        <v>6901</v>
      </c>
      <c r="L24" s="26">
        <v>11600</v>
      </c>
      <c r="M24" s="26">
        <v>6029</v>
      </c>
    </row>
    <row r="25" spans="1:13" x14ac:dyDescent="0.35">
      <c r="A25" s="7" t="s">
        <v>23</v>
      </c>
      <c r="B25" s="44">
        <v>3419</v>
      </c>
      <c r="C25" s="32">
        <v>3858</v>
      </c>
      <c r="D25" s="20">
        <v>3646</v>
      </c>
      <c r="E25" s="26">
        <v>3768</v>
      </c>
      <c r="F25" s="26">
        <v>3738</v>
      </c>
      <c r="H25" s="7" t="s">
        <v>56</v>
      </c>
      <c r="I25" s="44">
        <v>40632</v>
      </c>
      <c r="J25" s="32">
        <v>34444</v>
      </c>
      <c r="K25" s="20">
        <v>35860</v>
      </c>
      <c r="L25" s="26">
        <v>41382</v>
      </c>
      <c r="M25" s="26">
        <v>28280</v>
      </c>
    </row>
    <row r="26" spans="1:13" x14ac:dyDescent="0.35">
      <c r="A26" s="7" t="s">
        <v>24</v>
      </c>
      <c r="B26" s="44">
        <v>30215</v>
      </c>
      <c r="C26" s="32">
        <v>21531</v>
      </c>
      <c r="D26" s="20">
        <v>21018</v>
      </c>
      <c r="E26" s="26">
        <v>27011</v>
      </c>
      <c r="F26" s="26">
        <v>13689</v>
      </c>
      <c r="H26" s="7" t="s">
        <v>57</v>
      </c>
      <c r="I26" s="44">
        <v>15761</v>
      </c>
      <c r="J26" s="32">
        <v>15780</v>
      </c>
      <c r="K26" s="20">
        <v>15619</v>
      </c>
      <c r="L26" s="26">
        <v>21450</v>
      </c>
      <c r="M26" s="26">
        <v>11574</v>
      </c>
    </row>
    <row r="27" spans="1:13" x14ac:dyDescent="0.35">
      <c r="A27" s="7" t="s">
        <v>25</v>
      </c>
      <c r="B27" s="44">
        <v>7881</v>
      </c>
      <c r="C27" s="32">
        <v>7521</v>
      </c>
      <c r="D27" s="20">
        <v>7086</v>
      </c>
      <c r="E27" s="26">
        <v>6729</v>
      </c>
      <c r="F27" s="26">
        <v>6628</v>
      </c>
      <c r="H27" s="7" t="s">
        <v>58</v>
      </c>
      <c r="I27" s="44">
        <v>3409</v>
      </c>
      <c r="J27" s="32">
        <v>2021</v>
      </c>
      <c r="K27" s="20">
        <v>2077</v>
      </c>
      <c r="L27" s="26">
        <v>2841</v>
      </c>
      <c r="M27" s="26">
        <v>2610</v>
      </c>
    </row>
    <row r="28" spans="1:13" ht="19.25" customHeight="1" x14ac:dyDescent="0.35">
      <c r="A28" s="7" t="s">
        <v>26</v>
      </c>
      <c r="B28" s="44">
        <v>22334</v>
      </c>
      <c r="C28" s="32">
        <v>14010</v>
      </c>
      <c r="D28" s="20">
        <v>13932</v>
      </c>
      <c r="E28" s="26">
        <v>20282</v>
      </c>
      <c r="F28" s="26">
        <v>7061</v>
      </c>
      <c r="H28" s="17" t="s">
        <v>59</v>
      </c>
      <c r="I28" s="45">
        <v>65516</v>
      </c>
      <c r="J28" s="33">
        <v>59351</v>
      </c>
      <c r="K28" s="37">
        <v>60457</v>
      </c>
      <c r="L28" s="38">
        <v>77273</v>
      </c>
      <c r="M28" s="38">
        <v>48493</v>
      </c>
    </row>
    <row r="29" spans="1:13" ht="21.7" customHeight="1" x14ac:dyDescent="0.35">
      <c r="A29" s="7" t="s">
        <v>27</v>
      </c>
      <c r="B29" s="44">
        <v>22334</v>
      </c>
      <c r="C29" s="32">
        <v>14010</v>
      </c>
      <c r="D29" s="20">
        <v>13932</v>
      </c>
      <c r="E29" s="26">
        <v>20282</v>
      </c>
      <c r="F29" s="26">
        <v>7061</v>
      </c>
      <c r="H29" s="17" t="s">
        <v>60</v>
      </c>
      <c r="I29" s="45">
        <v>265991</v>
      </c>
      <c r="J29" s="33">
        <v>231907</v>
      </c>
      <c r="K29" s="37">
        <v>224817</v>
      </c>
      <c r="L29" s="38">
        <v>223062</v>
      </c>
      <c r="M29" s="38">
        <v>189699</v>
      </c>
    </row>
    <row r="30" spans="1:13" x14ac:dyDescent="0.35">
      <c r="A30" s="7" t="s">
        <v>28</v>
      </c>
      <c r="B30" s="44">
        <v>6335</v>
      </c>
      <c r="C30" s="32">
        <v>3857</v>
      </c>
      <c r="D30" s="20">
        <v>3144</v>
      </c>
      <c r="E30" s="26">
        <v>5373</v>
      </c>
      <c r="F30" s="26">
        <v>2723</v>
      </c>
      <c r="H30" s="8" t="s">
        <v>61</v>
      </c>
      <c r="I30" s="43"/>
      <c r="J30" s="50"/>
      <c r="K30" s="22"/>
      <c r="L30" s="24"/>
      <c r="M30" s="24"/>
    </row>
    <row r="31" spans="1:13" ht="19.25" customHeight="1" x14ac:dyDescent="0.35">
      <c r="A31" s="8" t="s">
        <v>29</v>
      </c>
      <c r="B31" s="46">
        <v>15999</v>
      </c>
      <c r="C31" s="51">
        <v>10153</v>
      </c>
      <c r="D31" s="21">
        <v>10088</v>
      </c>
      <c r="E31" s="27">
        <v>13724</v>
      </c>
      <c r="F31" s="27">
        <v>3478</v>
      </c>
      <c r="H31" s="8" t="s">
        <v>62</v>
      </c>
      <c r="I31" s="43"/>
      <c r="J31" s="50"/>
      <c r="K31" s="22"/>
      <c r="L31" s="24"/>
      <c r="M31" s="24"/>
    </row>
    <row r="32" spans="1:13" ht="19.25" customHeight="1" x14ac:dyDescent="0.35">
      <c r="A32" s="7" t="s">
        <v>30</v>
      </c>
      <c r="B32" s="42">
        <v>1</v>
      </c>
      <c r="C32" s="31">
        <v>0</v>
      </c>
      <c r="D32" s="19">
        <v>0</v>
      </c>
      <c r="E32" s="25">
        <v>0</v>
      </c>
      <c r="F32" s="25">
        <v>0</v>
      </c>
      <c r="H32" s="7" t="s">
        <v>63</v>
      </c>
      <c r="I32" s="44">
        <v>84656</v>
      </c>
      <c r="J32" s="32">
        <v>79744</v>
      </c>
      <c r="K32" s="20">
        <v>78550</v>
      </c>
      <c r="L32" s="26">
        <v>76491</v>
      </c>
      <c r="M32" s="26">
        <v>70870</v>
      </c>
    </row>
    <row r="33" spans="1:14" ht="19.25" customHeight="1" x14ac:dyDescent="0.35">
      <c r="A33" s="7" t="s">
        <v>31</v>
      </c>
      <c r="B33" s="42">
        <v>-3</v>
      </c>
      <c r="C33" s="31">
        <v>-2</v>
      </c>
      <c r="D33" s="19">
        <v>-9</v>
      </c>
      <c r="E33" s="25">
        <v>-6</v>
      </c>
      <c r="F33" s="25">
        <v>-5</v>
      </c>
      <c r="H33" s="7" t="s">
        <v>64</v>
      </c>
      <c r="I33" s="44">
        <v>5591</v>
      </c>
      <c r="J33" s="32">
        <v>5991</v>
      </c>
      <c r="K33" s="20">
        <v>6331</v>
      </c>
      <c r="L33" s="26">
        <v>6418</v>
      </c>
      <c r="M33" s="26">
        <v>6082</v>
      </c>
    </row>
    <row r="34" spans="1:14" ht="24" customHeight="1" x14ac:dyDescent="0.35">
      <c r="A34" s="7" t="s">
        <v>32</v>
      </c>
      <c r="B34" s="44">
        <v>16880</v>
      </c>
      <c r="C34" s="32">
        <v>10134</v>
      </c>
      <c r="D34" s="20">
        <v>10056</v>
      </c>
      <c r="E34" s="26">
        <v>13619</v>
      </c>
      <c r="F34" s="26">
        <v>5674</v>
      </c>
      <c r="H34" s="7" t="s">
        <v>65</v>
      </c>
      <c r="I34" s="44">
        <v>27023</v>
      </c>
      <c r="J34" s="32">
        <v>14643</v>
      </c>
      <c r="K34" s="20">
        <v>7340</v>
      </c>
      <c r="L34" s="26">
        <v>4727</v>
      </c>
      <c r="M34" s="26">
        <v>10013</v>
      </c>
    </row>
    <row r="35" spans="1:14" ht="19.25" customHeight="1" x14ac:dyDescent="0.35">
      <c r="A35" s="7" t="s">
        <v>33</v>
      </c>
      <c r="B35" s="44">
        <v>61742</v>
      </c>
      <c r="C35" s="32">
        <v>58235</v>
      </c>
      <c r="D35" s="20">
        <v>54675</v>
      </c>
      <c r="E35" s="26">
        <v>44705</v>
      </c>
      <c r="F35" s="26">
        <v>34380</v>
      </c>
      <c r="H35" s="7" t="s">
        <v>66</v>
      </c>
      <c r="I35" s="42">
        <v>0</v>
      </c>
      <c r="J35" s="31">
        <v>224</v>
      </c>
      <c r="K35" s="19">
        <v>360</v>
      </c>
      <c r="L35" s="25">
        <v>218</v>
      </c>
      <c r="M35" s="25">
        <v>189</v>
      </c>
    </row>
    <row r="36" spans="1:14" ht="19.25" customHeight="1" x14ac:dyDescent="0.35">
      <c r="A36" s="7" t="s">
        <v>34</v>
      </c>
      <c r="B36" s="42">
        <v>0</v>
      </c>
      <c r="C36" s="31">
        <v>0</v>
      </c>
      <c r="D36" s="19">
        <v>890</v>
      </c>
      <c r="E36" s="25">
        <v>667</v>
      </c>
      <c r="F36" s="25">
        <v>222</v>
      </c>
      <c r="H36" s="17" t="s">
        <v>67</v>
      </c>
      <c r="I36" s="45">
        <v>117270</v>
      </c>
      <c r="J36" s="33">
        <v>100602</v>
      </c>
      <c r="K36" s="37">
        <v>92581</v>
      </c>
      <c r="L36" s="38">
        <v>87854</v>
      </c>
      <c r="M36" s="38">
        <v>87154</v>
      </c>
    </row>
    <row r="37" spans="1:14" x14ac:dyDescent="0.35">
      <c r="A37" s="8" t="s">
        <v>35</v>
      </c>
      <c r="B37" s="43"/>
      <c r="C37" s="50"/>
      <c r="D37" s="22"/>
      <c r="E37" s="24"/>
      <c r="F37" s="24"/>
      <c r="H37" s="7" t="s">
        <v>68</v>
      </c>
      <c r="I37" s="44">
        <v>13626</v>
      </c>
      <c r="J37" s="32">
        <v>12172</v>
      </c>
      <c r="K37" s="20">
        <v>8259</v>
      </c>
      <c r="L37" s="26">
        <v>8667</v>
      </c>
      <c r="M37" s="26">
        <v>7716</v>
      </c>
    </row>
    <row r="38" spans="1:14" ht="19.25" customHeight="1" x14ac:dyDescent="0.35">
      <c r="A38" s="7" t="s">
        <v>36</v>
      </c>
      <c r="B38" s="44">
        <v>22200</v>
      </c>
      <c r="C38" s="32">
        <v>22200</v>
      </c>
      <c r="D38" s="20">
        <v>22243.38</v>
      </c>
      <c r="E38" s="26">
        <v>22243.38</v>
      </c>
      <c r="F38" s="26">
        <v>22250.89</v>
      </c>
      <c r="H38" s="7" t="s">
        <v>69</v>
      </c>
      <c r="I38" s="44">
        <v>1691</v>
      </c>
      <c r="J38" s="32">
        <v>1184</v>
      </c>
      <c r="K38" s="20">
        <v>1328</v>
      </c>
      <c r="L38" s="26">
        <v>1207</v>
      </c>
      <c r="M38" s="25">
        <v>887</v>
      </c>
    </row>
    <row r="39" spans="1:14" ht="19.25" customHeight="1" x14ac:dyDescent="0.35">
      <c r="A39" s="8" t="s">
        <v>37</v>
      </c>
      <c r="B39" s="41">
        <v>72.069999999999993</v>
      </c>
      <c r="C39" s="50">
        <v>45.73</v>
      </c>
      <c r="D39" s="22">
        <v>45.35</v>
      </c>
      <c r="E39" s="24">
        <v>61.7</v>
      </c>
      <c r="F39" s="24">
        <v>15.63</v>
      </c>
      <c r="H39" s="7" t="s">
        <v>70</v>
      </c>
      <c r="I39" s="42">
        <v>6</v>
      </c>
      <c r="J39" s="31">
        <v>7</v>
      </c>
      <c r="K39" s="19">
        <v>47</v>
      </c>
      <c r="L39" s="25">
        <v>50</v>
      </c>
      <c r="M39" s="25">
        <v>12</v>
      </c>
    </row>
    <row r="40" spans="1:14" ht="19.25" customHeight="1" x14ac:dyDescent="0.35">
      <c r="A40" s="10" t="s">
        <v>38</v>
      </c>
      <c r="B40" s="48">
        <v>557.25</v>
      </c>
      <c r="C40" s="34">
        <v>478.14</v>
      </c>
      <c r="D40" s="23">
        <v>426.2</v>
      </c>
      <c r="E40" s="28">
        <v>351.51</v>
      </c>
      <c r="F40" s="28">
        <v>298.75</v>
      </c>
      <c r="H40" s="7" t="s">
        <v>71</v>
      </c>
      <c r="I40" s="44">
        <v>4756</v>
      </c>
      <c r="J40" s="32">
        <v>9524</v>
      </c>
      <c r="K40" s="20">
        <v>7546</v>
      </c>
      <c r="L40" s="26">
        <v>2776</v>
      </c>
      <c r="M40" s="26">
        <v>2985</v>
      </c>
    </row>
    <row r="41" spans="1:14" x14ac:dyDescent="0.35">
      <c r="H41" s="17" t="s">
        <v>72</v>
      </c>
      <c r="I41" s="45">
        <v>164032</v>
      </c>
      <c r="J41" s="33">
        <v>149564</v>
      </c>
      <c r="K41" s="37">
        <v>135506</v>
      </c>
      <c r="L41" s="38">
        <v>124519</v>
      </c>
      <c r="M41" s="38">
        <v>122071</v>
      </c>
    </row>
    <row r="42" spans="1:14" x14ac:dyDescent="0.35">
      <c r="H42" s="8" t="s">
        <v>73</v>
      </c>
      <c r="I42" s="43"/>
      <c r="J42" s="50"/>
      <c r="K42" s="22"/>
      <c r="L42" s="24"/>
      <c r="M42" s="24"/>
    </row>
    <row r="43" spans="1:14" x14ac:dyDescent="0.35">
      <c r="H43" s="7" t="s">
        <v>74</v>
      </c>
      <c r="I43" s="44">
        <v>10532</v>
      </c>
      <c r="J43" s="32">
        <v>3272</v>
      </c>
      <c r="K43" s="20">
        <v>5857</v>
      </c>
      <c r="L43" s="26">
        <v>5452</v>
      </c>
      <c r="M43" s="26">
        <v>9417</v>
      </c>
      <c r="N43" s="74">
        <v>43891</v>
      </c>
    </row>
    <row r="44" spans="1:14" x14ac:dyDescent="0.35">
      <c r="H44" s="7" t="s">
        <v>75</v>
      </c>
      <c r="I44" s="44">
        <v>48801</v>
      </c>
      <c r="J44" s="32">
        <v>40812</v>
      </c>
      <c r="K44" s="20">
        <v>42958</v>
      </c>
      <c r="L44" s="26">
        <v>44483</v>
      </c>
      <c r="M44" s="26">
        <v>30668</v>
      </c>
      <c r="N44" s="73">
        <v>22384</v>
      </c>
    </row>
    <row r="45" spans="1:14" x14ac:dyDescent="0.35">
      <c r="H45" s="7" t="s">
        <v>76</v>
      </c>
      <c r="I45" s="44">
        <v>19834</v>
      </c>
      <c r="J45" s="32">
        <v>16404</v>
      </c>
      <c r="K45" s="20">
        <v>16214</v>
      </c>
      <c r="L45" s="26">
        <v>21076</v>
      </c>
      <c r="M45" s="26">
        <v>12959</v>
      </c>
      <c r="N45" s="73">
        <v>9345</v>
      </c>
    </row>
    <row r="46" spans="1:14" x14ac:dyDescent="0.35">
      <c r="H46" s="7" t="s">
        <v>77</v>
      </c>
      <c r="I46" s="44">
        <v>10846</v>
      </c>
      <c r="J46" s="32">
        <v>14437</v>
      </c>
      <c r="K46" s="20">
        <v>15368</v>
      </c>
      <c r="L46" s="26">
        <v>17392</v>
      </c>
      <c r="M46" s="26">
        <v>8809</v>
      </c>
    </row>
    <row r="47" spans="1:14" ht="23.25" x14ac:dyDescent="0.35">
      <c r="H47" s="7" t="s">
        <v>78</v>
      </c>
      <c r="I47" s="42">
        <v>7</v>
      </c>
      <c r="J47" s="31">
        <v>32</v>
      </c>
      <c r="K47" s="19">
        <v>8</v>
      </c>
      <c r="L47" s="25">
        <v>7</v>
      </c>
      <c r="M47" s="25">
        <v>47</v>
      </c>
    </row>
    <row r="48" spans="1:14" x14ac:dyDescent="0.35">
      <c r="H48" s="7" t="s">
        <v>79</v>
      </c>
      <c r="I48" s="44">
        <v>11939</v>
      </c>
      <c r="J48" s="32">
        <v>7386</v>
      </c>
      <c r="K48" s="20">
        <v>8906</v>
      </c>
      <c r="L48" s="26">
        <v>10133</v>
      </c>
      <c r="M48" s="26">
        <v>5728</v>
      </c>
    </row>
    <row r="49" spans="8:13" x14ac:dyDescent="0.35">
      <c r="H49" s="17" t="s">
        <v>80</v>
      </c>
      <c r="I49" s="45">
        <v>101959</v>
      </c>
      <c r="J49" s="33">
        <v>82343</v>
      </c>
      <c r="K49" s="37">
        <v>89311</v>
      </c>
      <c r="L49" s="38">
        <v>98543</v>
      </c>
      <c r="M49" s="38">
        <v>67628</v>
      </c>
    </row>
    <row r="50" spans="8:13" x14ac:dyDescent="0.35">
      <c r="H50" s="17" t="s">
        <v>81</v>
      </c>
      <c r="I50" s="45">
        <v>265991</v>
      </c>
      <c r="J50" s="33">
        <v>231907</v>
      </c>
      <c r="K50" s="37">
        <v>224817</v>
      </c>
      <c r="L50" s="38">
        <v>223062</v>
      </c>
      <c r="M50" s="38">
        <v>189699</v>
      </c>
    </row>
    <row r="51" spans="8:13" ht="19.25" customHeight="1" x14ac:dyDescent="0.35">
      <c r="H51" s="8" t="s">
        <v>82</v>
      </c>
      <c r="I51" s="43"/>
      <c r="J51" s="50"/>
      <c r="K51" s="22"/>
      <c r="L51" s="24"/>
      <c r="M51" s="24"/>
    </row>
    <row r="52" spans="8:13" ht="19.25" customHeight="1" x14ac:dyDescent="0.35">
      <c r="H52" s="8" t="s">
        <v>83</v>
      </c>
      <c r="I52" s="43"/>
      <c r="J52" s="50"/>
      <c r="K52" s="22"/>
      <c r="L52" s="24"/>
      <c r="M52" s="24"/>
    </row>
    <row r="53" spans="8:13" x14ac:dyDescent="0.35">
      <c r="H53" s="7" t="s">
        <v>84</v>
      </c>
      <c r="I53" s="42">
        <v>0</v>
      </c>
      <c r="J53" s="32">
        <v>88564</v>
      </c>
      <c r="K53" s="20">
        <v>134161</v>
      </c>
      <c r="L53" s="26">
        <v>98014</v>
      </c>
      <c r="M53" s="26">
        <v>75698</v>
      </c>
    </row>
    <row r="54" spans="8:13" x14ac:dyDescent="0.35">
      <c r="H54" s="8" t="s">
        <v>85</v>
      </c>
      <c r="I54" s="43"/>
      <c r="J54" s="50"/>
      <c r="K54" s="22"/>
      <c r="L54" s="24"/>
      <c r="M54" s="24"/>
    </row>
    <row r="55" spans="8:13" x14ac:dyDescent="0.35">
      <c r="H55" s="7" t="s">
        <v>86</v>
      </c>
      <c r="I55" s="42">
        <v>0</v>
      </c>
      <c r="J55" s="31">
        <v>49.18</v>
      </c>
      <c r="K55" s="19">
        <v>49.18</v>
      </c>
      <c r="L55" s="25">
        <v>49.18</v>
      </c>
      <c r="M55" s="25">
        <v>49.18</v>
      </c>
    </row>
    <row r="56" spans="8:13" ht="19.25" customHeight="1" x14ac:dyDescent="0.35">
      <c r="H56" s="8" t="s">
        <v>87</v>
      </c>
      <c r="I56" s="43"/>
      <c r="J56" s="50"/>
      <c r="K56" s="22"/>
      <c r="L56" s="24"/>
      <c r="M56" s="24"/>
    </row>
    <row r="57" spans="8:13" ht="23.25" x14ac:dyDescent="0.35">
      <c r="H57" s="7" t="s">
        <v>88</v>
      </c>
      <c r="I57" s="42">
        <v>0</v>
      </c>
      <c r="J57" s="32">
        <v>11918</v>
      </c>
      <c r="K57" s="20">
        <v>8027</v>
      </c>
      <c r="L57" s="26">
        <v>8542</v>
      </c>
      <c r="M57" s="26">
        <v>7611</v>
      </c>
    </row>
    <row r="58" spans="8:13" ht="23.25" x14ac:dyDescent="0.35">
      <c r="H58" s="7" t="s">
        <v>89</v>
      </c>
      <c r="I58" s="42">
        <v>0</v>
      </c>
      <c r="J58" s="31">
        <v>130</v>
      </c>
      <c r="K58" s="19">
        <v>134</v>
      </c>
      <c r="L58" s="25">
        <v>75</v>
      </c>
      <c r="M58" s="25">
        <v>53</v>
      </c>
    </row>
    <row r="59" spans="8:13" ht="11.55" customHeight="1" x14ac:dyDescent="0.35">
      <c r="H59" s="8" t="s">
        <v>90</v>
      </c>
      <c r="I59" s="43"/>
      <c r="J59" s="50"/>
      <c r="K59" s="22"/>
      <c r="L59" s="24"/>
      <c r="M59" s="24"/>
    </row>
    <row r="60" spans="8:13" ht="23.25" x14ac:dyDescent="0.35">
      <c r="H60" s="10" t="s">
        <v>98</v>
      </c>
      <c r="I60" s="48">
        <v>0</v>
      </c>
      <c r="J60" s="54">
        <v>3272</v>
      </c>
      <c r="K60" s="63">
        <v>5857</v>
      </c>
      <c r="L60" s="56">
        <v>5452</v>
      </c>
      <c r="M60" s="56">
        <v>9417</v>
      </c>
    </row>
  </sheetData>
  <mergeCells count="4">
    <mergeCell ref="A1:F1"/>
    <mergeCell ref="H1:M1"/>
    <mergeCell ref="B2:F2"/>
    <mergeCell ref="I2:M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8A3B-C08A-4D36-B46F-DA519A221BC9}">
  <sheetPr>
    <tabColor rgb="FF0070C0"/>
  </sheetPr>
  <dimension ref="A1:H40"/>
  <sheetViews>
    <sheetView showGridLines="0" zoomScale="96" zoomScaleNormal="96" workbookViewId="0">
      <pane ySplit="2" topLeftCell="A3" activePane="bottomLeft" state="frozen"/>
      <selection pane="bottomLeft" activeCell="I11" sqref="I11"/>
    </sheetView>
  </sheetViews>
  <sheetFormatPr defaultColWidth="8.73046875" defaultRowHeight="13.15" x14ac:dyDescent="0.4"/>
  <cols>
    <col min="1" max="1" width="22.59765625" style="2" bestFit="1" customWidth="1"/>
    <col min="2" max="2" width="54.73046875" style="2" bestFit="1" customWidth="1"/>
    <col min="3" max="3" width="10.33203125" style="2" bestFit="1" customWidth="1"/>
    <col min="4" max="7" width="10.796875" style="2" bestFit="1" customWidth="1"/>
    <col min="8" max="16384" width="8.73046875" style="2"/>
  </cols>
  <sheetData>
    <row r="1" spans="1:8" ht="15" x14ac:dyDescent="0.4">
      <c r="A1" s="140" t="s">
        <v>172</v>
      </c>
      <c r="B1" s="140"/>
      <c r="C1" s="140"/>
      <c r="D1" s="140"/>
      <c r="E1" s="140"/>
      <c r="F1" s="140"/>
      <c r="G1" s="140"/>
    </row>
    <row r="2" spans="1:8" x14ac:dyDescent="0.4">
      <c r="A2" s="14" t="s">
        <v>102</v>
      </c>
      <c r="B2" s="14" t="s">
        <v>114</v>
      </c>
      <c r="C2" s="14">
        <v>2025</v>
      </c>
      <c r="D2" s="14">
        <v>2024</v>
      </c>
      <c r="E2" s="14">
        <v>2023</v>
      </c>
      <c r="F2" s="14">
        <v>2022</v>
      </c>
      <c r="G2" s="14">
        <v>2021</v>
      </c>
    </row>
    <row r="3" spans="1:8" x14ac:dyDescent="0.4">
      <c r="A3" s="141" t="s">
        <v>167</v>
      </c>
      <c r="B3" s="141"/>
      <c r="C3" s="141"/>
      <c r="D3" s="141"/>
      <c r="E3" s="141"/>
      <c r="F3" s="141"/>
      <c r="G3" s="141"/>
    </row>
    <row r="4" spans="1:8" x14ac:dyDescent="0.4">
      <c r="A4" s="13" t="s">
        <v>168</v>
      </c>
      <c r="B4" s="13" t="s">
        <v>170</v>
      </c>
      <c r="C4" s="64">
        <f>'Hindalco Industries'!I49/'Hindalco Industries'!I28</f>
        <v>1.5562458025520483</v>
      </c>
      <c r="D4" s="64">
        <f>'Hindalco Industries'!J49/'Hindalco Industries'!J28</f>
        <v>1.3873902714360331</v>
      </c>
      <c r="E4" s="64">
        <f>'Hindalco Industries'!K49/'Hindalco Industries'!K28</f>
        <v>1.4772648328564104</v>
      </c>
      <c r="F4" s="64">
        <f>'Hindalco Industries'!L49/'Hindalco Industries'!L28</f>
        <v>1.2752578520311104</v>
      </c>
      <c r="G4" s="64">
        <f>'Hindalco Industries'!M49/'Hindalco Industries'!M28</f>
        <v>1.394593034046151</v>
      </c>
    </row>
    <row r="5" spans="1:8" x14ac:dyDescent="0.4">
      <c r="A5" s="13" t="s">
        <v>169</v>
      </c>
      <c r="B5" s="13" t="s">
        <v>171</v>
      </c>
      <c r="C5" s="64">
        <f>('Hindalco Industries'!I49-'Hindalco Industries'!I44)/'Hindalco Industries'!I28</f>
        <v>0.81137432077660421</v>
      </c>
      <c r="D5" s="64">
        <f>('Hindalco Industries'!J49-'Hindalco Industries'!J44)/'Hindalco Industries'!J28</f>
        <v>0.69975232093814765</v>
      </c>
      <c r="E5" s="64">
        <f>('Hindalco Industries'!K49-'Hindalco Industries'!K44)/'Hindalco Industries'!K28</f>
        <v>0.76671022379542486</v>
      </c>
      <c r="F5" s="64">
        <f>('Hindalco Industries'!L49-'Hindalco Industries'!L44)/'Hindalco Industries'!L28</f>
        <v>0.69959753083224407</v>
      </c>
      <c r="G5" s="64">
        <f>('Hindalco Industries'!M49-'Hindalco Industries'!M44)/'Hindalco Industries'!M28</f>
        <v>0.76217185985606173</v>
      </c>
    </row>
    <row r="6" spans="1:8" x14ac:dyDescent="0.4">
      <c r="A6" s="141" t="s">
        <v>103</v>
      </c>
      <c r="B6" s="141"/>
      <c r="C6" s="141"/>
      <c r="D6" s="141"/>
      <c r="E6" s="141"/>
      <c r="F6" s="141"/>
      <c r="G6" s="141"/>
    </row>
    <row r="7" spans="1:8" x14ac:dyDescent="0.4">
      <c r="A7" s="3" t="s">
        <v>104</v>
      </c>
      <c r="B7" s="3" t="s">
        <v>112</v>
      </c>
      <c r="C7" s="3">
        <f>'Hindalco Industries'!I18/'Hindalco Industries'!I14</f>
        <v>0.45442934628846732</v>
      </c>
      <c r="D7" s="3">
        <f>'Hindalco Industries'!J18/'Hindalco Industries'!J14</f>
        <v>0.44652446722315386</v>
      </c>
      <c r="E7" s="3">
        <f>'Hindalco Industries'!K18/'Hindalco Industries'!K14</f>
        <v>0.54254129659711825</v>
      </c>
      <c r="F7" s="3">
        <f>'Hindalco Industries'!L18/'Hindalco Industries'!L14</f>
        <v>0.66040390346221234</v>
      </c>
      <c r="G7" s="3">
        <f>'Hindalco Industries'!M18/'Hindalco Industries'!M14</f>
        <v>0.88660584106179263</v>
      </c>
    </row>
    <row r="8" spans="1:8" x14ac:dyDescent="0.4">
      <c r="A8" s="3" t="s">
        <v>107</v>
      </c>
      <c r="B8" s="3" t="s">
        <v>113</v>
      </c>
      <c r="C8" s="3">
        <f>('Hindalco Industries'!I18+'Hindalco Industries'!I24)/'Hindalco Industries'!I50</f>
        <v>0.23283118601757202</v>
      </c>
      <c r="D8" s="3">
        <f>('Hindalco Industries'!J18+'Hindalco Industries'!J24)/'Hindalco Industries'!J50</f>
        <v>0.23501231096948347</v>
      </c>
      <c r="E8" s="3">
        <f>('Hindalco Industries'!K18+'Hindalco Industries'!K24)/'Hindalco Industries'!K50</f>
        <v>0.25947770853627616</v>
      </c>
      <c r="F8" s="3">
        <f>('Hindalco Industries'!L18+'Hindalco Industries'!L24)/'Hindalco Industries'!L50</f>
        <v>0.28348620562892829</v>
      </c>
      <c r="G8" s="3">
        <f>('Hindalco Industries'!M18+'Hindalco Industries'!M24)/'Hindalco Industries'!M50</f>
        <v>0.34272189099573536</v>
      </c>
    </row>
    <row r="9" spans="1:8" x14ac:dyDescent="0.4">
      <c r="A9" s="3" t="s">
        <v>105</v>
      </c>
      <c r="B9" s="3" t="s">
        <v>116</v>
      </c>
      <c r="C9" s="3">
        <f>'Hindalco Industries'!I14/'Hindalco Industries'!I50</f>
        <v>0.46508716460331362</v>
      </c>
      <c r="D9" s="3">
        <f>'Hindalco Industries'!J14/'Hindalco Industries'!J50</f>
        <v>0.45769209208863898</v>
      </c>
      <c r="E9" s="3">
        <f>'Hindalco Industries'!K14/'Hindalco Industries'!K50</f>
        <v>0.42168519284573674</v>
      </c>
      <c r="F9" s="3">
        <f>'Hindalco Industries'!L14/'Hindalco Industries'!L50</f>
        <v>0.35051689664756885</v>
      </c>
      <c r="G9" s="3">
        <f>'Hindalco Industries'!M14/'Hindalco Industries'!M50</f>
        <v>0.35070822724421319</v>
      </c>
    </row>
    <row r="10" spans="1:8" x14ac:dyDescent="0.4">
      <c r="A10" s="3" t="s">
        <v>106</v>
      </c>
      <c r="B10" s="3" t="s">
        <v>115</v>
      </c>
      <c r="C10" s="3">
        <f>'Hindalco Industries'!B23/'Hindalco Industries'!B25</f>
        <v>9.3024276104124013</v>
      </c>
      <c r="D10" s="3">
        <f>'Hindalco Industries'!C23/'Hindalco Industries'!C25</f>
        <v>6.1876620010368066</v>
      </c>
      <c r="E10" s="3">
        <f>'Hindalco Industries'!D23/'Hindalco Industries'!D25</f>
        <v>6.2166758091058698</v>
      </c>
      <c r="F10" s="3">
        <f>'Hindalco Industries'!E23/'Hindalco Industries'!E25</f>
        <v>7.5230891719745223</v>
      </c>
      <c r="G10" s="3">
        <f>'Hindalco Industries'!F23/'Hindalco Industries'!F25</f>
        <v>4.6912787586944891</v>
      </c>
    </row>
    <row r="11" spans="1:8" x14ac:dyDescent="0.4">
      <c r="A11" s="141" t="s">
        <v>162</v>
      </c>
      <c r="B11" s="141"/>
      <c r="C11" s="141"/>
      <c r="D11" s="141"/>
      <c r="E11" s="141"/>
      <c r="F11" s="141"/>
      <c r="G11" s="141"/>
    </row>
    <row r="12" spans="1:8" x14ac:dyDescent="0.4">
      <c r="A12" s="3" t="s">
        <v>108</v>
      </c>
      <c r="B12" s="3" t="s">
        <v>117</v>
      </c>
      <c r="C12" s="78">
        <f>('Hindalco Industries'!B9-('Hindalco Industries'!J44-'Hindalco Industries'!I44+'Hindalco Industries'!B14))/'Hindalco Industries'!B9</f>
        <v>0.41597762645914399</v>
      </c>
      <c r="D12" s="78">
        <f>('Hindalco Industries'!C9-('Hindalco Industries'!K44-'Hindalco Industries'!J44+'Hindalco Industries'!C14))/'Hindalco Industries'!C9</f>
        <v>0.37640881266148674</v>
      </c>
      <c r="E12" s="78">
        <f>('Hindalco Industries'!D9-('Hindalco Industries'!L44-'Hindalco Industries'!K44+'Hindalco Industries'!D14))/'Hindalco Industries'!D9</f>
        <v>0.35419485488481284</v>
      </c>
      <c r="F12" s="78">
        <f>('Hindalco Industries'!E9-('Hindalco Industries'!M44-'Hindalco Industries'!L44+'Hindalco Industries'!E14))/'Hindalco Industries'!E9</f>
        <v>0.39533679553365902</v>
      </c>
      <c r="G12" s="78">
        <f>('Hindalco Industries'!F9-('Hindalco Industries'!N44-'Hindalco Industries'!M44+'Hindalco Industries'!F14))/'Hindalco Industries'!F9</f>
        <v>0.43985301360003032</v>
      </c>
    </row>
    <row r="13" spans="1:8" x14ac:dyDescent="0.4">
      <c r="A13" s="3" t="s">
        <v>109</v>
      </c>
      <c r="B13" s="3" t="s">
        <v>118</v>
      </c>
      <c r="C13" s="65">
        <f>'Hindalco Industries'!B23/'Hindalco Industries'!B9</f>
        <v>0.13335653428149738</v>
      </c>
      <c r="D13" s="65">
        <f>'Hindalco Industries'!C23/'Hindalco Industries'!C9</f>
        <v>0.11053796501236329</v>
      </c>
      <c r="E13" s="65">
        <f>'Hindalco Industries'!D23/'Hindalco Industries'!D9</f>
        <v>0.10154926927178072</v>
      </c>
      <c r="F13" s="65">
        <f>'Hindalco Industries'!E23/'Hindalco Industries'!E9</f>
        <v>0.14532526056218886</v>
      </c>
      <c r="G13" s="65">
        <f>'Hindalco Industries'!F23/'Hindalco Industries'!F9</f>
        <v>0.13286358298291473</v>
      </c>
    </row>
    <row r="14" spans="1:8" x14ac:dyDescent="0.4">
      <c r="A14" s="3" t="s">
        <v>110</v>
      </c>
      <c r="B14" s="3" t="s">
        <v>119</v>
      </c>
      <c r="C14" s="66">
        <f>'Hindalco Industries'!B31/'Hindalco Industries'!B9</f>
        <v>6.7082886086139812E-2</v>
      </c>
      <c r="D14" s="66">
        <f>'Hindalco Industries'!C31/'Hindalco Industries'!C9</f>
        <v>4.7012900417666072E-2</v>
      </c>
      <c r="E14" s="66">
        <f>'Hindalco Industries'!D31/'Hindalco Industries'!D9</f>
        <v>4.5196727627888636E-2</v>
      </c>
      <c r="F14" s="66">
        <f>'Hindalco Industries'!E31/'Hindalco Industries'!E9</f>
        <v>7.0358199314053696E-2</v>
      </c>
      <c r="G14" s="66">
        <f>'Hindalco Industries'!F31/'Hindalco Industries'!F9</f>
        <v>2.6351479334772891E-2</v>
      </c>
    </row>
    <row r="15" spans="1:8" x14ac:dyDescent="0.4">
      <c r="A15" s="3" t="s">
        <v>120</v>
      </c>
      <c r="B15" s="3" t="s">
        <v>121</v>
      </c>
      <c r="C15" s="3">
        <f>0/'Hindalco Industries'!B9</f>
        <v>0</v>
      </c>
      <c r="D15" s="3">
        <f>0/'Hindalco Industries'!C9</f>
        <v>0</v>
      </c>
      <c r="E15" s="3">
        <f>0/'Hindalco Industries'!D9</f>
        <v>0</v>
      </c>
      <c r="F15" s="3">
        <f>0/'Hindalco Industries'!E9</f>
        <v>0</v>
      </c>
      <c r="G15" s="3">
        <f>0/'Hindalco Industries'!F9</f>
        <v>0</v>
      </c>
      <c r="H15" s="80" t="s">
        <v>181</v>
      </c>
    </row>
    <row r="16" spans="1:8" x14ac:dyDescent="0.4">
      <c r="A16" s="3" t="s">
        <v>111</v>
      </c>
      <c r="B16" s="3" t="s">
        <v>122</v>
      </c>
      <c r="C16" s="3">
        <f>0/'Hindalco Industries'!B9</f>
        <v>0</v>
      </c>
      <c r="D16" s="3">
        <f>0/'Hindalco Industries'!C9</f>
        <v>0</v>
      </c>
      <c r="E16" s="3">
        <f>0/'Hindalco Industries'!D9</f>
        <v>0</v>
      </c>
      <c r="F16" s="3">
        <f>0/'Hindalco Industries'!E9</f>
        <v>0</v>
      </c>
      <c r="G16" s="3">
        <f>0/'Hindalco Industries'!F9</f>
        <v>0</v>
      </c>
      <c r="H16" s="80" t="s">
        <v>181</v>
      </c>
    </row>
    <row r="17" spans="1:8" x14ac:dyDescent="0.4">
      <c r="A17" s="3" t="s">
        <v>123</v>
      </c>
      <c r="B17" s="3" t="s">
        <v>125</v>
      </c>
      <c r="C17" s="3">
        <f>0/'Hindalco Industries'!B9</f>
        <v>0</v>
      </c>
      <c r="D17" s="3">
        <f>0/'Hindalco Industries'!C9</f>
        <v>0</v>
      </c>
      <c r="E17" s="3">
        <f>0/'Hindalco Industries'!D9</f>
        <v>0</v>
      </c>
      <c r="F17" s="3">
        <f>0/'Hindalco Industries'!E9</f>
        <v>0</v>
      </c>
      <c r="G17" s="3">
        <f>0/'Hindalco Industries'!F9</f>
        <v>0</v>
      </c>
      <c r="H17" s="80" t="s">
        <v>181</v>
      </c>
    </row>
    <row r="18" spans="1:8" x14ac:dyDescent="0.4">
      <c r="A18" s="3" t="s">
        <v>124</v>
      </c>
      <c r="B18" s="3" t="s">
        <v>126</v>
      </c>
      <c r="C18" s="78">
        <f>('Hindalco Industries'!J44-'Hindalco Industries'!I44+'Hindalco Industries'!B14)/'Hindalco Industries'!B9</f>
        <v>0.58402237354085607</v>
      </c>
      <c r="D18" s="78">
        <f>('Hindalco Industries'!K44-'Hindalco Industries'!J44+'Hindalco Industries'!C14)/'Hindalco Industries'!C9</f>
        <v>0.62359118733851326</v>
      </c>
      <c r="E18" s="78">
        <f>('Hindalco Industries'!L44-'Hindalco Industries'!K44+'Hindalco Industries'!D14)/'Hindalco Industries'!D9</f>
        <v>0.64580514511518716</v>
      </c>
      <c r="F18" s="78">
        <f>('Hindalco Industries'!M44-'Hindalco Industries'!L44+'Hindalco Industries'!E14)/'Hindalco Industries'!E9</f>
        <v>0.60466320446634092</v>
      </c>
      <c r="G18" s="78">
        <f>('Hindalco Industries'!N44-'Hindalco Industries'!M44+'Hindalco Industries'!F14)/'Hindalco Industries'!F9</f>
        <v>0.56014698639996974</v>
      </c>
    </row>
    <row r="19" spans="1:8" x14ac:dyDescent="0.4">
      <c r="A19" s="141" t="s">
        <v>163</v>
      </c>
      <c r="B19" s="141"/>
      <c r="C19" s="141"/>
      <c r="D19" s="141"/>
      <c r="E19" s="141"/>
      <c r="F19" s="141"/>
      <c r="G19" s="141"/>
    </row>
    <row r="20" spans="1:8" x14ac:dyDescent="0.4">
      <c r="A20" s="3" t="s">
        <v>128</v>
      </c>
      <c r="B20" s="3" t="s">
        <v>129</v>
      </c>
      <c r="C20" s="66">
        <f>'Hindalco Industries'!B31/'Hindalco Industries'!I50</f>
        <v>6.0148651646108324E-2</v>
      </c>
      <c r="D20" s="66">
        <f>'Hindalco Industries'!C31/'Hindalco Industries'!J50</f>
        <v>4.3780480968664159E-2</v>
      </c>
      <c r="E20" s="66">
        <f>'Hindalco Industries'!D31/'Hindalco Industries'!K50</f>
        <v>4.4872051490768047E-2</v>
      </c>
      <c r="F20" s="66">
        <f>'Hindalco Industries'!E31/'Hindalco Industries'!L50</f>
        <v>6.1525495153813739E-2</v>
      </c>
      <c r="G20" s="66">
        <f>'Hindalco Industries'!F31/'Hindalco Industries'!M50</f>
        <v>1.833430856251219E-2</v>
      </c>
    </row>
    <row r="21" spans="1:8" x14ac:dyDescent="0.4">
      <c r="A21" s="3" t="s">
        <v>130</v>
      </c>
      <c r="B21" s="3" t="s">
        <v>131</v>
      </c>
      <c r="C21" s="66">
        <f>'Hindalco Industries'!B31/('Hindalco Industries'!I50-'Hindalco Industries'!I28)</f>
        <v>7.9805462027684251E-2</v>
      </c>
      <c r="D21" s="66">
        <f>'Hindalco Industries'!C31/('Hindalco Industries'!J50-'Hindalco Industries'!J28)</f>
        <v>5.8838869700271218E-2</v>
      </c>
      <c r="E21" s="66">
        <f>'Hindalco Industries'!D31/('Hindalco Industries'!K50-'Hindalco Industries'!K28)</f>
        <v>6.1377464103188124E-2</v>
      </c>
      <c r="F21" s="66">
        <f>'Hindalco Industries'!E31/('Hindalco Industries'!L50-'Hindalco Industries'!L28)</f>
        <v>9.4136045929391107E-2</v>
      </c>
      <c r="G21" s="66">
        <f>'Hindalco Industries'!F31/('Hindalco Industries'!M50-'Hindalco Industries'!M28)</f>
        <v>2.4630681415803862E-2</v>
      </c>
    </row>
    <row r="22" spans="1:8" x14ac:dyDescent="0.4">
      <c r="A22" s="3" t="s">
        <v>132</v>
      </c>
      <c r="B22" s="3" t="s">
        <v>133</v>
      </c>
      <c r="C22" s="65">
        <f>'Hindalco Industries'!B31/'Hindalco Industries'!I14</f>
        <v>0.1293276964489245</v>
      </c>
      <c r="D22" s="65">
        <f>'Hindalco Industries'!C31/'Hindalco Industries'!J14</f>
        <v>9.5654877428350701E-2</v>
      </c>
      <c r="E22" s="65">
        <f>'Hindalco Industries'!D31/'Hindalco Industries'!K14</f>
        <v>0.1064112571464737</v>
      </c>
      <c r="F22" s="65">
        <f>'Hindalco Industries'!E31/'Hindalco Industries'!L14</f>
        <v>0.17552790105772059</v>
      </c>
      <c r="G22" s="65">
        <f>'Hindalco Industries'!F31/'Hindalco Industries'!M14</f>
        <v>5.227795397495829E-2</v>
      </c>
    </row>
    <row r="23" spans="1:8" x14ac:dyDescent="0.4">
      <c r="A23" s="141" t="s">
        <v>164</v>
      </c>
      <c r="B23" s="141"/>
      <c r="C23" s="141"/>
      <c r="D23" s="141"/>
      <c r="E23" s="141"/>
      <c r="F23" s="141"/>
      <c r="G23" s="141"/>
    </row>
    <row r="24" spans="1:8" x14ac:dyDescent="0.4">
      <c r="A24" s="3" t="s">
        <v>127</v>
      </c>
      <c r="B24" s="3" t="s">
        <v>141</v>
      </c>
      <c r="C24" s="71">
        <f>'Hindalco Industries'!B31/'Hindalco Industries'!B38*100</f>
        <v>72.067567567567565</v>
      </c>
      <c r="D24" s="71">
        <f>'Hindalco Industries'!C31/'Hindalco Industries'!C38*100</f>
        <v>45.734234234234236</v>
      </c>
      <c r="E24" s="71">
        <f>'Hindalco Industries'!D31/'Hindalco Industries'!D38*100</f>
        <v>45.35281958047743</v>
      </c>
      <c r="F24" s="71">
        <f>'Hindalco Industries'!E31/'Hindalco Industries'!E38*100</f>
        <v>61.699256138230787</v>
      </c>
      <c r="G24" s="71">
        <f>'Hindalco Industries'!F31/'Hindalco Industries'!F38*100</f>
        <v>15.630835440739673</v>
      </c>
    </row>
    <row r="25" spans="1:8" x14ac:dyDescent="0.4">
      <c r="A25" s="3" t="s">
        <v>134</v>
      </c>
      <c r="B25" s="3" t="s">
        <v>138</v>
      </c>
      <c r="C25" s="78">
        <f>C24/682.45</f>
        <v>0.10560124194822706</v>
      </c>
      <c r="D25" s="78">
        <f>D24/560.25</f>
        <v>8.1631832635848708E-2</v>
      </c>
      <c r="E25" s="78">
        <f>E24/405.35</f>
        <v>0.11188557932768577</v>
      </c>
      <c r="F25" s="78">
        <f>F24/570.5</f>
        <v>0.10814944108366484</v>
      </c>
      <c r="G25" s="78">
        <f>G24/350.25</f>
        <v>4.4627652935730691E-2</v>
      </c>
      <c r="H25" s="80" t="s">
        <v>179</v>
      </c>
    </row>
    <row r="26" spans="1:8" x14ac:dyDescent="0.4">
      <c r="A26" s="3" t="s">
        <v>135</v>
      </c>
      <c r="B26" s="3" t="s">
        <v>139</v>
      </c>
      <c r="C26" s="78">
        <f>('Hindalco Industries'!B36/'Hindalco Industries'!B38*100)/682.45</f>
        <v>0</v>
      </c>
      <c r="D26" s="78">
        <f>('Hindalco Industries'!C36/'Hindalco Industries'!C38*100)/560.25</f>
        <v>0</v>
      </c>
      <c r="E26" s="78">
        <f>('Hindalco Industries'!D36/'Hindalco Industries'!D38*100)/405.35</f>
        <v>9.8709521809714849E-3</v>
      </c>
      <c r="F26" s="78">
        <f>('Hindalco Industries'!E36/'Hindalco Industries'!E38*100)/570.5</f>
        <v>5.2561700089481522E-3</v>
      </c>
      <c r="G26" s="78">
        <f>('Hindalco Industries'!F36/'Hindalco Industries'!F38*100)/350.25</f>
        <v>2.8485735916423845E-3</v>
      </c>
      <c r="H26" s="80" t="s">
        <v>179</v>
      </c>
    </row>
    <row r="27" spans="1:8" x14ac:dyDescent="0.4">
      <c r="A27" s="3" t="s">
        <v>136</v>
      </c>
      <c r="B27" s="3" t="s">
        <v>140</v>
      </c>
      <c r="C27" s="65">
        <f>('Hindalco Industries'!B36/'Hindalco Industries'!B38*100)/C24</f>
        <v>0</v>
      </c>
      <c r="D27" s="65">
        <f>('Hindalco Industries'!C36/'Hindalco Industries'!C38*100)/D24</f>
        <v>0</v>
      </c>
      <c r="E27" s="65">
        <f>('Hindalco Industries'!D36/'Hindalco Industries'!D38*100)/E24</f>
        <v>8.8223632038065034E-2</v>
      </c>
      <c r="F27" s="65">
        <f>('Hindalco Industries'!E36/'Hindalco Industries'!E38*100)/F24</f>
        <v>4.8600990964733311E-2</v>
      </c>
      <c r="G27" s="65">
        <f>('Hindalco Industries'!F36/'Hindalco Industries'!F38*100)/G24</f>
        <v>6.3829787234042562E-2</v>
      </c>
      <c r="H27" s="80"/>
    </row>
    <row r="28" spans="1:8" x14ac:dyDescent="0.4">
      <c r="A28" s="3" t="s">
        <v>137</v>
      </c>
      <c r="B28" s="3" t="s">
        <v>142</v>
      </c>
      <c r="C28" s="3">
        <f>682.45/C24</f>
        <v>9.4695855990999451</v>
      </c>
      <c r="D28" s="3">
        <f>560.25/D24</f>
        <v>12.250123116320299</v>
      </c>
      <c r="E28" s="3">
        <f>405.35/E24</f>
        <v>8.9377023027359233</v>
      </c>
      <c r="F28" s="3">
        <f>570.5/F24</f>
        <v>9.2464647988924522</v>
      </c>
      <c r="G28" s="3">
        <f>350.25/G24</f>
        <v>22.407631462047153</v>
      </c>
      <c r="H28" s="80" t="s">
        <v>179</v>
      </c>
    </row>
    <row r="29" spans="1:8" x14ac:dyDescent="0.4">
      <c r="A29" s="141" t="s">
        <v>165</v>
      </c>
      <c r="B29" s="141"/>
      <c r="C29" s="141"/>
      <c r="D29" s="141"/>
      <c r="E29" s="141"/>
      <c r="F29" s="141"/>
      <c r="G29" s="141"/>
    </row>
    <row r="30" spans="1:8" x14ac:dyDescent="0.4">
      <c r="A30" s="3" t="s">
        <v>143</v>
      </c>
      <c r="B30" s="3" t="s">
        <v>129</v>
      </c>
      <c r="C30" s="66">
        <f>'Hindalco Industries'!B31/'Hindalco Industries'!I50</f>
        <v>6.0148651646108324E-2</v>
      </c>
      <c r="D30" s="66">
        <f>'Hindalco Industries'!C31/'Hindalco Industries'!J50</f>
        <v>4.3780480968664159E-2</v>
      </c>
      <c r="E30" s="66">
        <f>'Hindalco Industries'!D31/'Hindalco Industries'!K50</f>
        <v>4.4872051490768047E-2</v>
      </c>
      <c r="F30" s="66">
        <f>'Hindalco Industries'!E31/'Hindalco Industries'!L50</f>
        <v>6.1525495153813739E-2</v>
      </c>
      <c r="G30" s="66">
        <f>'Hindalco Industries'!F31/'Hindalco Industries'!M50</f>
        <v>1.833430856251219E-2</v>
      </c>
    </row>
    <row r="31" spans="1:8" x14ac:dyDescent="0.4">
      <c r="A31" s="141" t="s">
        <v>144</v>
      </c>
      <c r="B31" s="141"/>
      <c r="C31" s="141"/>
      <c r="D31" s="141"/>
      <c r="E31" s="141"/>
      <c r="F31" s="141"/>
      <c r="G31" s="141"/>
    </row>
    <row r="32" spans="1:8" x14ac:dyDescent="0.4">
      <c r="A32" s="3" t="s">
        <v>145</v>
      </c>
      <c r="B32" s="3" t="s">
        <v>146</v>
      </c>
      <c r="C32" s="3">
        <f>'Hindalco Industries'!B9/'Hindalco Industries'!I49</f>
        <v>2.3391363195009758</v>
      </c>
      <c r="D32" s="3">
        <f>'Hindalco Industries'!C9/'Hindalco Industries'!J49</f>
        <v>2.6227123131292278</v>
      </c>
      <c r="E32" s="3">
        <f>'Hindalco Industries'!D9/'Hindalco Industries'!K49</f>
        <v>2.4991546394061204</v>
      </c>
      <c r="F32" s="3">
        <f>'Hindalco Industries'!E9/'Hindalco Industries'!L49</f>
        <v>1.9794302994631785</v>
      </c>
      <c r="G32" s="3">
        <f>'Hindalco Industries'!F9/'Hindalco Industries'!M49</f>
        <v>1.9516324599278405</v>
      </c>
    </row>
    <row r="33" spans="1:7" x14ac:dyDescent="0.4">
      <c r="A33" s="3" t="s">
        <v>147</v>
      </c>
      <c r="B33" s="3" t="s">
        <v>148</v>
      </c>
      <c r="C33" s="67">
        <f>'Hindalco Industries'!B9/'Hindalco Industries'!I36</f>
        <v>2.0337341178477018</v>
      </c>
      <c r="D33" s="67">
        <f>'Hindalco Industries'!C9/'Hindalco Industries'!J36</f>
        <v>2.1466968847537822</v>
      </c>
      <c r="E33" s="67">
        <f>'Hindalco Industries'!D9/'Hindalco Industries'!K36</f>
        <v>2.4108834426070143</v>
      </c>
      <c r="F33" s="67">
        <f>'Hindalco Industries'!E9/'Hindalco Industries'!L36</f>
        <v>2.2202631638855372</v>
      </c>
      <c r="G33" s="67">
        <f>'Hindalco Industries'!F9/'Hindalco Industries'!M36</f>
        <v>1.5143883241159328</v>
      </c>
    </row>
    <row r="34" spans="1:7" x14ac:dyDescent="0.4">
      <c r="A34" s="3" t="s">
        <v>149</v>
      </c>
      <c r="B34" s="3" t="s">
        <v>150</v>
      </c>
      <c r="C34" s="3">
        <f>'Hindalco Industries'!B9/'Hindalco Industries'!I50</f>
        <v>0.8966318409269487</v>
      </c>
      <c r="D34" s="3">
        <f>'Hindalco Industries'!C9/'Hindalco Industries'!J50</f>
        <v>0.93124399004773462</v>
      </c>
      <c r="E34" s="3">
        <f>'Hindalco Industries'!D9/'Hindalco Industries'!K50</f>
        <v>0.9928163795442515</v>
      </c>
      <c r="F34" s="3">
        <f>'Hindalco Industries'!E9/'Hindalco Industries'!L50</f>
        <v>0.87446091221274802</v>
      </c>
      <c r="G34" s="3">
        <f>'Hindalco Industries'!F9/'Hindalco Industries'!M50</f>
        <v>0.69576012525105557</v>
      </c>
    </row>
    <row r="35" spans="1:7" x14ac:dyDescent="0.4">
      <c r="A35" s="3" t="s">
        <v>151</v>
      </c>
      <c r="B35" s="3" t="s">
        <v>152</v>
      </c>
      <c r="C35" s="3">
        <f>'Hindalco Industries'!B9/(AVERAGE('Hindalco Industries'!I44:J44))</f>
        <v>5.3227991474451253</v>
      </c>
      <c r="D35" s="3">
        <f>'Hindalco Industries'!C9/(AVERAGE('Hindalco Industries'!J44:K44))</f>
        <v>5.1560701921929093</v>
      </c>
      <c r="E35" s="3">
        <f>'Hindalco Industries'!D9/(AVERAGE('Hindalco Industries'!K44:L44))</f>
        <v>5.1052023650232732</v>
      </c>
      <c r="F35" s="3">
        <f>'Hindalco Industries'!E9/(AVERAGE('Hindalco Industries'!L44:M44))</f>
        <v>5.1911218746257539</v>
      </c>
      <c r="G35" s="3">
        <f>'Hindalco Industries'!F9/(AVERAGE('Hindalco Industries'!M44:N44))</f>
        <v>4.9756842343361232</v>
      </c>
    </row>
    <row r="36" spans="1:7" x14ac:dyDescent="0.4">
      <c r="A36" s="3" t="s">
        <v>153</v>
      </c>
      <c r="B36" s="3" t="s">
        <v>154</v>
      </c>
      <c r="C36" s="3">
        <f>'Hindalco Industries'!B9/(AVERAGE('Hindalco Industries'!I45:J45))</f>
        <v>13.162757326563277</v>
      </c>
      <c r="D36" s="3">
        <f>'Hindalco Industries'!C9/(AVERAGE('Hindalco Industries'!J45:K45))</f>
        <v>13.241890980440248</v>
      </c>
      <c r="E36" s="3">
        <f>'Hindalco Industries'!D9/(AVERAGE('Hindalco Industries'!K45:L45))</f>
        <v>11.971145079109681</v>
      </c>
      <c r="F36" s="3">
        <f>'Hindalco Industries'!E9/(AVERAGE('Hindalco Industries'!L45:M45))</f>
        <v>11.462259438812987</v>
      </c>
      <c r="G36" s="3">
        <f>'Hindalco Industries'!F9/(AVERAGE('Hindalco Industries'!M45:N45))</f>
        <v>11.835096843615496</v>
      </c>
    </row>
    <row r="37" spans="1:7" x14ac:dyDescent="0.4">
      <c r="A37" s="141" t="s">
        <v>155</v>
      </c>
      <c r="B37" s="141"/>
      <c r="C37" s="141"/>
      <c r="D37" s="141"/>
      <c r="E37" s="141"/>
      <c r="F37" s="141"/>
      <c r="G37" s="141"/>
    </row>
    <row r="38" spans="1:7" x14ac:dyDescent="0.4">
      <c r="A38" s="3" t="s">
        <v>156</v>
      </c>
      <c r="B38" s="3" t="s">
        <v>159</v>
      </c>
      <c r="C38" s="84">
        <f>('Hindalco Industries'!B9-'Hindalco Industries'!B14-'Hindalco Industries'!B15-'Hindalco Industries'!B16)/'Hindalco Industries'!B28</f>
        <v>2.7499776126085789</v>
      </c>
      <c r="D38" s="84">
        <f>('Hindalco Industries'!C9-'Hindalco Industries'!C14-'Hindalco Industries'!C15-'Hindalco Industries'!C16)/'Hindalco Industries'!C28</f>
        <v>4.6419700214132762</v>
      </c>
      <c r="E38" s="84">
        <f>('Hindalco Industries'!D9-'Hindalco Industries'!D14-'Hindalco Industries'!D15-'Hindalco Industries'!D16)/'Hindalco Industries'!D28</f>
        <v>3.6012776342233708</v>
      </c>
      <c r="F38" s="84">
        <f>('Hindalco Industries'!E9-'Hindalco Industries'!E14-'Hindalco Industries'!E15-'Hindalco Industries'!E16)/'Hindalco Industries'!E28</f>
        <v>1.9828912336061533</v>
      </c>
      <c r="G38" s="84">
        <f>('Hindalco Industries'!F9-'Hindalco Industries'!F14-'Hindalco Industries'!F15-'Hindalco Industries'!F16)/'Hindalco Industries'!F28</f>
        <v>4.2971250531086245</v>
      </c>
    </row>
    <row r="39" spans="1:7" x14ac:dyDescent="0.4">
      <c r="A39" s="3" t="s">
        <v>157</v>
      </c>
      <c r="B39" s="3" t="s">
        <v>160</v>
      </c>
      <c r="C39" s="84">
        <f>('Hindalco Industries'!B9-'Hindalco Industries'!B14-'Hindalco Industries'!B15-'Hindalco Industries'!B16)/'Hindalco Industries'!B23</f>
        <v>1.9310800188649584</v>
      </c>
      <c r="D39" s="84">
        <f>('Hindalco Industries'!C9-'Hindalco Industries'!C14-'Hindalco Industries'!C15-'Hindalco Industries'!C16)/'Hindalco Industries'!C23</f>
        <v>2.7242794906166221</v>
      </c>
      <c r="E39" s="84">
        <f>('Hindalco Industries'!D9-'Hindalco Industries'!D14-'Hindalco Industries'!D15-'Hindalco Industries'!D16)/'Hindalco Industries'!D23</f>
        <v>2.2135798111709168</v>
      </c>
      <c r="F39" s="84">
        <f>('Hindalco Industries'!E9-'Hindalco Industries'!E14-'Hindalco Industries'!E15-'Hindalco Industries'!E16)/'Hindalco Industries'!E23</f>
        <v>1.4187391963876248</v>
      </c>
      <c r="G39" s="84">
        <f>('Hindalco Industries'!F9-'Hindalco Industries'!F14-'Hindalco Industries'!F15-'Hindalco Industries'!F16)/'Hindalco Industries'!F23</f>
        <v>1.7302691605839415</v>
      </c>
    </row>
    <row r="40" spans="1:7" x14ac:dyDescent="0.4">
      <c r="A40" s="3" t="s">
        <v>158</v>
      </c>
      <c r="B40" s="3" t="s">
        <v>161</v>
      </c>
      <c r="C40" s="3">
        <f>'Hindalco Industries'!B23/'Hindalco Industries'!B28</f>
        <v>1.4240619682994538</v>
      </c>
      <c r="D40" s="3">
        <f>'Hindalco Industries'!C23/'Hindalco Industries'!C28</f>
        <v>1.7039257673090649</v>
      </c>
      <c r="E40" s="3">
        <f>'Hindalco Industries'!D23/'Hindalco Industries'!D28</f>
        <v>1.6269020958943439</v>
      </c>
      <c r="F40" s="3">
        <f>'Hindalco Industries'!E23/'Hindalco Industries'!E28</f>
        <v>1.3976432304506459</v>
      </c>
      <c r="G40" s="3">
        <f>'Hindalco Industries'!F23/'Hindalco Industries'!F28</f>
        <v>2.4835009205494973</v>
      </c>
    </row>
  </sheetData>
  <mergeCells count="9">
    <mergeCell ref="A29:G29"/>
    <mergeCell ref="A31:G31"/>
    <mergeCell ref="A37:G37"/>
    <mergeCell ref="A1:G1"/>
    <mergeCell ref="A3:G3"/>
    <mergeCell ref="A6:G6"/>
    <mergeCell ref="A11:G11"/>
    <mergeCell ref="A19:G19"/>
    <mergeCell ref="A23:G23"/>
  </mergeCells>
  <pageMargins left="0.7" right="0.7" top="0.75" bottom="0.75" header="0.3" footer="0.3"/>
  <ignoredErrors>
    <ignoredError sqref="C35:G35 C36:G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Details</vt:lpstr>
      <vt:lpstr>NTPC</vt:lpstr>
      <vt:lpstr>NTPC Ratio Analysis</vt:lpstr>
      <vt:lpstr>Dabur India</vt:lpstr>
      <vt:lpstr>Dabur India Ratio Analysis</vt:lpstr>
      <vt:lpstr>HDFC Life Insurance</vt:lpstr>
      <vt:lpstr>HDFC Life Ratio Analysis</vt:lpstr>
      <vt:lpstr>Adani Enterprises</vt:lpstr>
      <vt:lpstr>Adani Enterprise Ratio Analysis</vt:lpstr>
      <vt:lpstr>Hindalco Industries</vt:lpstr>
      <vt:lpstr>Hindalco Indus. 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More</dc:creator>
  <cp:lastModifiedBy>ABHIMANYU BABBAR</cp:lastModifiedBy>
  <dcterms:created xsi:type="dcterms:W3CDTF">2025-07-26T05:46:15Z</dcterms:created>
  <dcterms:modified xsi:type="dcterms:W3CDTF">2026-03-03T10:42:38Z</dcterms:modified>
</cp:coreProperties>
</file>