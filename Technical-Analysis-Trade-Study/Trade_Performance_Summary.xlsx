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ASSIGNMENT\ATA\"/>
    </mc:Choice>
  </mc:AlternateContent>
  <xr:revisionPtr revIDLastSave="0" documentId="13_ncr:1_{01CFDC72-5F3F-4D3A-BD2C-8F35C201C81A}" xr6:coauthVersionLast="47" xr6:coauthVersionMax="47" xr10:uidLastSave="{00000000-0000-0000-0000-000000000000}"/>
  <bookViews>
    <workbookView xWindow="-98" yWindow="-98" windowWidth="21795" windowHeight="12975" xr2:uid="{8FAA528B-2886-46EF-8E26-40F97AECA319}"/>
  </bookViews>
  <sheets>
    <sheet name="Basic Details" sheetId="2" r:id="rId1"/>
    <sheet name="23062025" sheetId="27" r:id="rId2"/>
    <sheet name="24062025" sheetId="29" r:id="rId3"/>
    <sheet name="Overall Summary" sheetId="3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8" l="1"/>
  <c r="B7" i="29"/>
  <c r="B9" i="27"/>
  <c r="B10" i="27" l="1"/>
  <c r="B6" i="29" s="1"/>
  <c r="B8" i="29" s="1"/>
  <c r="B12" i="38" l="1"/>
</calcChain>
</file>

<file path=xl/sharedStrings.xml><?xml version="1.0" encoding="utf-8"?>
<sst xmlns="http://schemas.openxmlformats.org/spreadsheetml/2006/main" count="76" uniqueCount="28">
  <si>
    <t>Date</t>
  </si>
  <si>
    <t>Sector</t>
  </si>
  <si>
    <t>Company Name</t>
  </si>
  <si>
    <t>Entry</t>
  </si>
  <si>
    <t>Exit</t>
  </si>
  <si>
    <t>Stop Loss</t>
  </si>
  <si>
    <t>Target</t>
  </si>
  <si>
    <t>Reason for Trade</t>
  </si>
  <si>
    <t>Learning</t>
  </si>
  <si>
    <t>Name</t>
  </si>
  <si>
    <t>Abhimanyu Babbar</t>
  </si>
  <si>
    <t>College</t>
  </si>
  <si>
    <t>Symbiosis Institute of Business Management, Hyderabad</t>
  </si>
  <si>
    <t>Quantity</t>
  </si>
  <si>
    <t>Total Portfolio</t>
  </si>
  <si>
    <t>Net P&amp;L</t>
  </si>
  <si>
    <t>Net Portfolio</t>
  </si>
  <si>
    <t>Profit and Loss</t>
  </si>
  <si>
    <t>Estimated Charged</t>
  </si>
  <si>
    <t>Net Profit and Loss</t>
  </si>
  <si>
    <t>Subject</t>
  </si>
  <si>
    <t>Advanced Technical Analysis</t>
  </si>
  <si>
    <t>Project Name</t>
  </si>
  <si>
    <t>Capstone Project</t>
  </si>
  <si>
    <t>ONGC</t>
  </si>
  <si>
    <t>GAIL</t>
  </si>
  <si>
    <t>IOC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</si>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</sst>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0" xfId="0" applyFont="1" applyFill="1"/>
    <xf numFmtId="43" fontId="1" fillId="0" borderId="1" xfId="1" applyFont="1" applyBorder="1"/>
    <xf numFmtId="0" fontId="2" fillId="3" borderId="1" xfId="0" applyFont="1" applyFill="1" applyBorder="1"/>
    <xf numFmtId="43" fontId="2" fillId="3" borderId="1" xfId="1" applyFont="1" applyFill="1" applyBorder="1"/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3" fontId="1" fillId="0" borderId="1" xfId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3" fontId="2" fillId="3" borderId="1" xfId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4B54D95F-FA11-4A9E-AE47-695AEF0CDA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1852-20D1-4FE7-802A-6D4C71D662E6}">
  <sheetPr>
    <tabColor rgb="FF00B050"/>
  </sheetPr>
  <dimension ref="A1:B4"/>
  <sheetViews>
    <sheetView showGridLines="0" tabSelected="1" zoomScale="225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B6" sqref="B6"/>
    </sheetView>
  </sheetViews>
  <sheetFormatPr defaultColWidth="8.73046875" defaultRowHeight="13.15" x14ac:dyDescent="0.4"/>
  <cols>
    <col min="1" max="1" width="11.33203125" style="5" bestFit="1" customWidth="1"/>
    <col min="2" max="2" width="42.06640625" style="5" bestFit="1" customWidth="1"/>
    <col min="3" max="16384" width="8.73046875" style="5"/>
  </cols>
  <sheetData>
    <row r="1" spans="1:2" x14ac:dyDescent="0.4">
      <c r="A1" s="3" t="s">
        <v>9</v>
      </c>
      <c r="B1" s="2" t="s">
        <v>10</v>
      </c>
    </row>
    <row r="2" spans="1:2" x14ac:dyDescent="0.4">
      <c r="A2" s="3" t="s">
        <v>11</v>
      </c>
      <c r="B2" s="2" t="s">
        <v>12</v>
      </c>
    </row>
    <row r="3" spans="1:2" x14ac:dyDescent="0.4">
      <c r="A3" s="3" t="s">
        <v>20</v>
      </c>
      <c r="B3" s="4" t="s">
        <v>21</v>
      </c>
    </row>
    <row r="4" spans="1:2" x14ac:dyDescent="0.4">
      <c r="A4" s="3" t="s">
        <v>22</v>
      </c>
      <c r="B4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86D-74C0-4710-843A-B01C3573D018}">
  <dimension ref="A1:K10"/>
  <sheetViews>
    <sheetView showGridLines="0" zoomScale="77" workbookViewId="0">
      <pane ySplit="1" topLeftCell="A2" activePane="bottomLeft" state="frozen"/>
      <selection pane="bottomLeft" activeCell="I1" sqref="I1:I1048576"/>
    </sheetView>
  </sheetViews>
  <sheetFormatPr defaultColWidth="8.73046875" defaultRowHeight="13.15" x14ac:dyDescent="0.45"/>
  <cols>
    <col min="1" max="1" width="13.06640625" style="10" customWidth="1"/>
    <col min="2" max="2" width="13.33203125" style="10" customWidth="1"/>
    <col min="3" max="3" width="21.265625" style="10" customWidth="1"/>
    <col min="4" max="4" width="12.73046875" style="10" customWidth="1"/>
    <col min="5" max="5" width="13.46484375" style="10" customWidth="1"/>
    <col min="6" max="6" width="14.9296875" style="10" customWidth="1"/>
    <col min="7" max="7" width="16.796875" style="10" customWidth="1"/>
    <col min="8" max="8" width="24.06640625" style="10" customWidth="1"/>
    <col min="9" max="10" width="24.19921875" style="10" customWidth="1"/>
    <col min="11" max="11" width="19.53125" style="10" customWidth="1"/>
    <col min="12" max="16384" width="8.73046875" style="10"/>
  </cols>
  <sheetData>
    <row r="1" spans="1:11" x14ac:dyDescent="0.45">
      <c r="A1" s="9" t="s">
        <v>0</v>
      </c>
      <c r="B1" s="9" t="s">
        <v>1</v>
      </c>
      <c r="C1" s="9" t="s">
        <v>2</v>
      </c>
      <c r="D1" s="9" t="s">
        <v>13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17</v>
      </c>
      <c r="J1" s="9" t="s">
        <v>18</v>
      </c>
      <c r="K1" s="9" t="s">
        <v>19</v>
      </c>
    </row>
    <row r="2" spans="1:11" x14ac:dyDescent="0.45">
      <c r="A2" s="11">
        <v>45831</v>
      </c>
      <c r="B2" s="12" t="s">
        <v>27</v>
      </c>
      <c r="C2" s="12" t="s">
        <v>24</v>
      </c>
      <c r="D2" s="12">
        <v>1000</v>
      </c>
      <c r="E2" s="13">
        <v>251.45</v>
      </c>
      <c r="F2" s="13">
        <v>251.2</v>
      </c>
      <c r="G2" s="13">
        <v>251.2</v>
      </c>
      <c r="H2" s="13">
        <v>251.85</v>
      </c>
      <c r="I2" s="13">
        <v>-250</v>
      </c>
      <c r="J2" s="13">
        <v>135.75</v>
      </c>
      <c r="K2" s="13">
        <v>-385.75</v>
      </c>
    </row>
    <row r="3" spans="1:11" x14ac:dyDescent="0.45">
      <c r="A3" s="11">
        <v>45831</v>
      </c>
      <c r="B3" s="12" t="s">
        <v>27</v>
      </c>
      <c r="C3" s="12" t="s">
        <v>25</v>
      </c>
      <c r="D3" s="12">
        <v>1000</v>
      </c>
      <c r="E3" s="13">
        <v>181.9</v>
      </c>
      <c r="F3" s="13">
        <v>182.55</v>
      </c>
      <c r="G3" s="13">
        <v>181.4</v>
      </c>
      <c r="H3" s="13">
        <v>182.55</v>
      </c>
      <c r="I3" s="13">
        <v>650</v>
      </c>
      <c r="J3" s="13">
        <v>111.49</v>
      </c>
      <c r="K3" s="13">
        <v>538.51</v>
      </c>
    </row>
    <row r="4" spans="1:11" x14ac:dyDescent="0.45">
      <c r="A4" s="11">
        <v>45831</v>
      </c>
      <c r="B4" s="12" t="s">
        <v>27</v>
      </c>
      <c r="C4" s="12" t="s">
        <v>25</v>
      </c>
      <c r="D4" s="12">
        <v>2000</v>
      </c>
      <c r="E4" s="13">
        <v>182.1</v>
      </c>
      <c r="F4" s="13">
        <v>182.5</v>
      </c>
      <c r="G4" s="13">
        <v>181.7</v>
      </c>
      <c r="H4" s="13">
        <v>182.5</v>
      </c>
      <c r="I4" s="13">
        <v>800</v>
      </c>
      <c r="J4" s="13">
        <v>175.8</v>
      </c>
      <c r="K4" s="13">
        <v>624.20000000000005</v>
      </c>
    </row>
    <row r="5" spans="1:11" x14ac:dyDescent="0.45">
      <c r="A5" s="11">
        <v>45831</v>
      </c>
      <c r="B5" s="12" t="s">
        <v>27</v>
      </c>
      <c r="C5" s="12" t="s">
        <v>26</v>
      </c>
      <c r="D5" s="12">
        <v>2000</v>
      </c>
      <c r="E5" s="13">
        <v>137.44</v>
      </c>
      <c r="F5" s="13">
        <v>137.9</v>
      </c>
      <c r="G5" s="13">
        <v>137.1</v>
      </c>
      <c r="H5" s="13">
        <v>137.9</v>
      </c>
      <c r="I5" s="13">
        <v>920</v>
      </c>
      <c r="J5" s="13">
        <v>144.34</v>
      </c>
      <c r="K5" s="13">
        <v>775.66</v>
      </c>
    </row>
    <row r="8" spans="1:11" x14ac:dyDescent="0.45">
      <c r="A8" s="15" t="s">
        <v>14</v>
      </c>
      <c r="B8" s="13">
        <v>10000000</v>
      </c>
    </row>
    <row r="9" spans="1:11" x14ac:dyDescent="0.45">
      <c r="A9" s="15" t="s">
        <v>15</v>
      </c>
      <c r="B9" s="13">
        <f>SUM(K2:K5)</f>
        <v>1552.62</v>
      </c>
    </row>
    <row r="10" spans="1:11" x14ac:dyDescent="0.45">
      <c r="A10" s="16" t="s">
        <v>16</v>
      </c>
      <c r="B10" s="17">
        <f>B8+B9</f>
        <v>10001552.619999999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1A0E-6830-44C1-AA76-DB62EA457115}">
  <dimension ref="A1:K8"/>
  <sheetViews>
    <sheetView showGridLines="0" zoomScale="65" zoomScaleNormal="65" workbookViewId="0">
      <pane ySplit="1" topLeftCell="A2" activePane="bottomLeft" state="frozen"/>
      <selection pane="bottomLeft" activeCell="I24" sqref="I24"/>
    </sheetView>
  </sheetViews>
  <sheetFormatPr defaultColWidth="8.73046875" defaultRowHeight="13.15" x14ac:dyDescent="0.45"/>
  <cols>
    <col min="1" max="1" width="13.06640625" style="10" customWidth="1"/>
    <col min="2" max="2" width="13.33203125" style="10" customWidth="1"/>
    <col min="3" max="3" width="21.265625" style="10" customWidth="1"/>
    <col min="4" max="4" width="12.73046875" style="10" customWidth="1"/>
    <col min="5" max="5" width="13.46484375" style="10" customWidth="1"/>
    <col min="6" max="6" width="14.9296875" style="10" customWidth="1"/>
    <col min="7" max="7" width="16.796875" style="10" customWidth="1"/>
    <col min="8" max="8" width="24.06640625" style="10" customWidth="1"/>
    <col min="9" max="10" width="24.19921875" style="10" customWidth="1"/>
    <col min="11" max="11" width="19.53125" style="10" customWidth="1"/>
    <col min="12" max="16384" width="8.73046875" style="10"/>
  </cols>
  <sheetData>
    <row r="1" spans="1:11" x14ac:dyDescent="0.45">
      <c r="A1" s="9" t="s">
        <v>0</v>
      </c>
      <c r="B1" s="9" t="s">
        <v>1</v>
      </c>
      <c r="C1" s="9" t="s">
        <v>2</v>
      </c>
      <c r="D1" s="9" t="s">
        <v>13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17</v>
      </c>
      <c r="J1" s="9" t="s">
        <v>18</v>
      </c>
      <c r="K1" s="9" t="s">
        <v>19</v>
      </c>
    </row>
    <row r="2" spans="1:11" x14ac:dyDescent="0.45">
      <c r="A2" s="11">
        <v>45832</v>
      </c>
      <c r="B2" s="12" t="s">
        <v>27</v>
      </c>
      <c r="C2" s="12" t="s">
        <v>25</v>
      </c>
      <c r="D2" s="12">
        <v>1000</v>
      </c>
      <c r="E2" s="13">
        <v>186.1</v>
      </c>
      <c r="F2" s="13">
        <v>186.5</v>
      </c>
      <c r="G2" s="13">
        <v>186.5</v>
      </c>
      <c r="H2" s="13">
        <v>185</v>
      </c>
      <c r="I2" s="13">
        <v>-400</v>
      </c>
      <c r="J2" s="13">
        <v>112.84</v>
      </c>
      <c r="K2" s="13">
        <v>-512.84</v>
      </c>
    </row>
    <row r="3" spans="1:11" x14ac:dyDescent="0.45">
      <c r="A3" s="11">
        <v>45832</v>
      </c>
      <c r="B3" s="12" t="s">
        <v>27</v>
      </c>
      <c r="C3" s="12" t="s">
        <v>24</v>
      </c>
      <c r="D3" s="12">
        <v>1000</v>
      </c>
      <c r="E3" s="13">
        <v>246.8</v>
      </c>
      <c r="F3" s="13">
        <v>245.7</v>
      </c>
      <c r="G3" s="13">
        <v>247.48</v>
      </c>
      <c r="H3" s="13">
        <v>245.7</v>
      </c>
      <c r="I3" s="13">
        <v>1100</v>
      </c>
      <c r="J3" s="13">
        <v>134.12</v>
      </c>
      <c r="K3" s="13">
        <v>965.88</v>
      </c>
    </row>
    <row r="6" spans="1:11" x14ac:dyDescent="0.45">
      <c r="A6" s="15" t="s">
        <v>14</v>
      </c>
      <c r="B6" s="13">
        <f>'23062025'!B10</f>
        <v>10001552.619999999</v>
      </c>
    </row>
    <row r="7" spans="1:11" x14ac:dyDescent="0.45">
      <c r="A7" s="15" t="s">
        <v>15</v>
      </c>
      <c r="B7" s="13">
        <f>SUM(K2:K3)</f>
        <v>453.03999999999996</v>
      </c>
    </row>
    <row r="8" spans="1:11" x14ac:dyDescent="0.45">
      <c r="A8" s="16" t="s">
        <v>16</v>
      </c>
      <c r="B8" s="17">
        <f>B6+B7</f>
        <v>10002005.659999998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A311-31CB-4B63-A506-F7E194223718}">
  <sheetPr>
    <tabColor rgb="FF00B050"/>
  </sheetPr>
  <dimension ref="A1:M12"/>
  <sheetViews>
    <sheetView showGridLines="0" zoomScale="80" zoomScaleNormal="80" workbookViewId="0">
      <pane ySplit="1" topLeftCell="A2" activePane="bottomLeft" state="frozen"/>
      <selection pane="bottomLeft" activeCell="K25" sqref="K25"/>
    </sheetView>
  </sheetViews>
  <sheetFormatPr defaultColWidth="8.73046875" defaultRowHeight="13.15" x14ac:dyDescent="0.4"/>
  <cols>
    <col min="1" max="1" width="15.33203125" style="1" bestFit="1" customWidth="1"/>
    <col min="2" max="2" width="16.19921875" style="1" bestFit="1" customWidth="1"/>
    <col min="3" max="4" width="21.265625" style="1" customWidth="1"/>
    <col min="5" max="5" width="12.73046875" style="1" customWidth="1"/>
    <col min="6" max="6" width="13.46484375" style="1" customWidth="1"/>
    <col min="7" max="7" width="14.9296875" style="1" customWidth="1"/>
    <col min="8" max="8" width="16.796875" style="1" customWidth="1"/>
    <col min="9" max="9" width="50" style="1" hidden="1" customWidth="1"/>
    <col min="10" max="10" width="18.9296875" style="1" customWidth="1"/>
    <col min="11" max="11" width="20.33203125" style="1" bestFit="1" customWidth="1"/>
    <col min="12" max="12" width="20.53125" style="1" bestFit="1" customWidth="1"/>
    <col min="13" max="13" width="47.33203125" style="1" hidden="1" customWidth="1"/>
    <col min="14" max="16384" width="8.73046875" style="1"/>
  </cols>
  <sheetData>
    <row r="1" spans="1:13" x14ac:dyDescent="0.4">
      <c r="A1" s="9" t="s">
        <v>0</v>
      </c>
      <c r="B1" s="9" t="s">
        <v>1</v>
      </c>
      <c r="C1" s="9" t="s">
        <v>2</v>
      </c>
      <c r="D1" s="9" t="s">
        <v>13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17</v>
      </c>
      <c r="K1" s="9" t="s">
        <v>18</v>
      </c>
      <c r="L1" s="9" t="s">
        <v>19</v>
      </c>
      <c r="M1" s="9" t="s">
        <v>8</v>
      </c>
    </row>
    <row r="2" spans="1:13" x14ac:dyDescent="0.4">
      <c r="A2" s="11">
        <v>45831</v>
      </c>
      <c r="B2" s="12" t="s">
        <v>27</v>
      </c>
      <c r="C2" s="12" t="s">
        <v>24</v>
      </c>
      <c r="D2" s="12">
        <v>1000</v>
      </c>
      <c r="E2" s="13">
        <v>251.45</v>
      </c>
      <c r="F2" s="13">
        <v>251.2</v>
      </c>
      <c r="G2" s="13">
        <v>251.2</v>
      </c>
      <c r="H2" s="13">
        <v>251.85</v>
      </c>
      <c r="I2" s="14"/>
      <c r="J2" s="13">
        <v>-250</v>
      </c>
      <c r="K2" s="13">
        <v>135.75</v>
      </c>
      <c r="L2" s="13">
        <v>-385.75</v>
      </c>
      <c r="M2" s="14"/>
    </row>
    <row r="3" spans="1:13" x14ac:dyDescent="0.4">
      <c r="A3" s="11">
        <v>45831</v>
      </c>
      <c r="B3" s="12" t="s">
        <v>27</v>
      </c>
      <c r="C3" s="12" t="s">
        <v>25</v>
      </c>
      <c r="D3" s="12">
        <v>1000</v>
      </c>
      <c r="E3" s="13">
        <v>181.9</v>
      </c>
      <c r="F3" s="13">
        <v>182.55</v>
      </c>
      <c r="G3" s="13">
        <v>181.4</v>
      </c>
      <c r="H3" s="13">
        <v>182.55</v>
      </c>
      <c r="I3" s="14"/>
      <c r="J3" s="13">
        <v>650</v>
      </c>
      <c r="K3" s="13">
        <v>111.49</v>
      </c>
      <c r="L3" s="13">
        <v>538.51</v>
      </c>
      <c r="M3" s="14"/>
    </row>
    <row r="4" spans="1:13" x14ac:dyDescent="0.4">
      <c r="A4" s="11">
        <v>45831</v>
      </c>
      <c r="B4" s="12" t="s">
        <v>27</v>
      </c>
      <c r="C4" s="12" t="s">
        <v>25</v>
      </c>
      <c r="D4" s="12">
        <v>2000</v>
      </c>
      <c r="E4" s="13">
        <v>182.1</v>
      </c>
      <c r="F4" s="13">
        <v>182.5</v>
      </c>
      <c r="G4" s="13">
        <v>181.7</v>
      </c>
      <c r="H4" s="13">
        <v>182.5</v>
      </c>
      <c r="I4" s="14"/>
      <c r="J4" s="13">
        <v>800</v>
      </c>
      <c r="K4" s="13">
        <v>175.8</v>
      </c>
      <c r="L4" s="13">
        <v>624.20000000000005</v>
      </c>
      <c r="M4" s="14"/>
    </row>
    <row r="5" spans="1:13" x14ac:dyDescent="0.4">
      <c r="A5" s="11">
        <v>45831</v>
      </c>
      <c r="B5" s="12" t="s">
        <v>27</v>
      </c>
      <c r="C5" s="12" t="s">
        <v>26</v>
      </c>
      <c r="D5" s="12">
        <v>2000</v>
      </c>
      <c r="E5" s="13">
        <v>137.44</v>
      </c>
      <c r="F5" s="13">
        <v>137.9</v>
      </c>
      <c r="G5" s="13">
        <v>137.1</v>
      </c>
      <c r="H5" s="13">
        <v>137.9</v>
      </c>
      <c r="I5" s="14"/>
      <c r="J5" s="13">
        <v>920</v>
      </c>
      <c r="K5" s="13">
        <v>144.34</v>
      </c>
      <c r="L5" s="13">
        <v>775.66</v>
      </c>
      <c r="M5" s="14"/>
    </row>
    <row r="6" spans="1:13" s="10" customFormat="1" x14ac:dyDescent="0.45">
      <c r="A6" s="11">
        <v>45832</v>
      </c>
      <c r="B6" s="12" t="s">
        <v>27</v>
      </c>
      <c r="C6" s="12" t="s">
        <v>25</v>
      </c>
      <c r="D6" s="12">
        <v>1000</v>
      </c>
      <c r="E6" s="13">
        <v>186.1</v>
      </c>
      <c r="F6" s="13">
        <v>186.5</v>
      </c>
      <c r="G6" s="13">
        <v>186.5</v>
      </c>
      <c r="H6" s="13">
        <v>185</v>
      </c>
      <c r="I6" s="14"/>
      <c r="J6" s="13">
        <v>-400</v>
      </c>
      <c r="K6" s="13">
        <v>112.84</v>
      </c>
      <c r="L6" s="13">
        <v>-512.84</v>
      </c>
      <c r="M6" s="14"/>
    </row>
    <row r="7" spans="1:13" s="10" customFormat="1" x14ac:dyDescent="0.45">
      <c r="A7" s="11">
        <v>45832</v>
      </c>
      <c r="B7" s="12" t="s">
        <v>27</v>
      </c>
      <c r="C7" s="12" t="s">
        <v>24</v>
      </c>
      <c r="D7" s="12">
        <v>1000</v>
      </c>
      <c r="E7" s="13">
        <v>246.8</v>
      </c>
      <c r="F7" s="13">
        <v>245.7</v>
      </c>
      <c r="G7" s="13">
        <v>247.48</v>
      </c>
      <c r="H7" s="13">
        <v>245.7</v>
      </c>
      <c r="I7" s="14"/>
      <c r="J7" s="13">
        <v>1100</v>
      </c>
      <c r="K7" s="13">
        <v>134.12</v>
      </c>
      <c r="L7" s="13">
        <v>965.88</v>
      </c>
      <c r="M7" s="14"/>
    </row>
    <row r="10" spans="1:13" x14ac:dyDescent="0.4">
      <c r="A10" s="3" t="s">
        <v>14</v>
      </c>
      <c r="B10" s="6">
        <v>10000000</v>
      </c>
    </row>
    <row r="11" spans="1:13" x14ac:dyDescent="0.4">
      <c r="A11" s="3" t="s">
        <v>15</v>
      </c>
      <c r="B11" s="6">
        <f>SUM(L2:L7)</f>
        <v>2005.6599999999999</v>
      </c>
    </row>
    <row r="12" spans="1:13" x14ac:dyDescent="0.4">
      <c r="A12" s="7" t="s">
        <v>16</v>
      </c>
      <c r="B12" s="8">
        <f>B10+B11</f>
        <v>10002005.66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Details</vt:lpstr>
      <vt:lpstr>23062025</vt:lpstr>
      <vt:lpstr>24062025</vt:lpstr>
      <vt:lpstr>Overall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2025-04-28T04:12:20Z</dcterms:created>
  <dcterms:modified xsi:type="dcterms:W3CDTF">2026-03-03T07:19:40Z</dcterms:modified>
</cp:coreProperties>
</file>