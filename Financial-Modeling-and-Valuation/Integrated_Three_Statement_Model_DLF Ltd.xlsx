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 Documents\SIBMH Study Material\IIM Ranchi Course\ASSIGNMENT\Financial-Modeling-and-Valuation\"/>
    </mc:Choice>
  </mc:AlternateContent>
  <xr:revisionPtr revIDLastSave="0" documentId="13_ncr:1_{4E3D9B6F-2AE2-42EA-AE17-4440E7AAACCA}" xr6:coauthVersionLast="47" xr6:coauthVersionMax="47" xr10:uidLastSave="{00000000-0000-0000-0000-000000000000}"/>
  <bookViews>
    <workbookView xWindow="-98" yWindow="-98" windowWidth="21795" windowHeight="12975" xr2:uid="{27DCE303-B094-409F-8CE9-625F7B70E97A}"/>
  </bookViews>
  <sheets>
    <sheet name="Table of Contents" sheetId="9" r:id="rId1"/>
    <sheet name="Read Me" sheetId="8" r:id="rId2"/>
    <sheet name="Cover" sheetId="7" r:id="rId3"/>
    <sheet name="Summary" sheetId="2" r:id="rId4"/>
    <sheet name="DLF Model" sheetId="6" r:id="rId5"/>
    <sheet name="DLF_Income_Statement" sheetId="3" r:id="rId6"/>
    <sheet name="DLF_Balance_Sheet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G7" i="2"/>
  <c r="X7" i="2"/>
  <c r="Y7" i="2" s="1"/>
  <c r="C10" i="2"/>
  <c r="D10" i="2"/>
  <c r="C11" i="2"/>
  <c r="D11" i="2"/>
  <c r="C14" i="2"/>
  <c r="D14" i="2"/>
  <c r="C15" i="2"/>
  <c r="D15" i="2"/>
  <c r="C16" i="2"/>
  <c r="D16" i="2"/>
  <c r="C19" i="2"/>
  <c r="C20" i="2"/>
  <c r="D20" i="2"/>
  <c r="C21" i="2"/>
  <c r="D21" i="2"/>
  <c r="A189" i="6"/>
  <c r="K313" i="6"/>
  <c r="C313" i="6"/>
  <c r="D313" i="6"/>
  <c r="E313" i="6"/>
  <c r="F313" i="6"/>
  <c r="G313" i="6"/>
  <c r="H313" i="6"/>
  <c r="I313" i="6"/>
  <c r="J313" i="6"/>
  <c r="B313" i="6"/>
  <c r="C301" i="6"/>
  <c r="D301" i="6"/>
  <c r="E301" i="6"/>
  <c r="F301" i="6"/>
  <c r="G301" i="6"/>
  <c r="H301" i="6"/>
  <c r="I301" i="6"/>
  <c r="J301" i="6"/>
  <c r="K301" i="6"/>
  <c r="B301" i="6"/>
  <c r="C300" i="6"/>
  <c r="D300" i="6"/>
  <c r="E300" i="6"/>
  <c r="F300" i="6"/>
  <c r="G300" i="6"/>
  <c r="H300" i="6"/>
  <c r="I300" i="6"/>
  <c r="J300" i="6"/>
  <c r="K300" i="6"/>
  <c r="B300" i="6"/>
  <c r="A292" i="6"/>
  <c r="A293" i="6"/>
  <c r="A289" i="6"/>
  <c r="A290" i="6"/>
  <c r="A291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B234" i="6"/>
  <c r="B198" i="6"/>
  <c r="A150" i="6"/>
  <c r="A181" i="6"/>
  <c r="A250" i="6" s="1"/>
  <c r="A182" i="6"/>
  <c r="A251" i="6" s="1"/>
  <c r="A183" i="6"/>
  <c r="A252" i="6" s="1"/>
  <c r="A141" i="6"/>
  <c r="A142" i="6"/>
  <c r="A143" i="6"/>
  <c r="A144" i="6"/>
  <c r="A145" i="6"/>
  <c r="A146" i="6"/>
  <c r="A147" i="6"/>
  <c r="A148" i="6"/>
  <c r="A149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249" i="6" s="1"/>
  <c r="B66" i="6"/>
  <c r="B248" i="6" s="1"/>
  <c r="C57" i="6"/>
  <c r="C106" i="6" s="1"/>
  <c r="D57" i="6"/>
  <c r="D106" i="6" s="1"/>
  <c r="E57" i="6"/>
  <c r="E58" i="6" s="1"/>
  <c r="F57" i="6"/>
  <c r="F106" i="6" s="1"/>
  <c r="G57" i="6"/>
  <c r="G58" i="6" s="1"/>
  <c r="H57" i="6"/>
  <c r="H106" i="6" s="1"/>
  <c r="I57" i="6"/>
  <c r="I106" i="6" s="1"/>
  <c r="J57" i="6"/>
  <c r="J106" i="6" s="1"/>
  <c r="K57" i="6"/>
  <c r="K106" i="6" s="1"/>
  <c r="B57" i="6"/>
  <c r="B106" i="6" s="1"/>
  <c r="C53" i="6"/>
  <c r="D53" i="6"/>
  <c r="E53" i="6"/>
  <c r="F53" i="6"/>
  <c r="G53" i="6"/>
  <c r="H53" i="6"/>
  <c r="I53" i="6"/>
  <c r="J53" i="6"/>
  <c r="K53" i="6"/>
  <c r="B53" i="6"/>
  <c r="B91" i="6" s="1"/>
  <c r="C52" i="6"/>
  <c r="D234" i="6" s="1"/>
  <c r="D52" i="6"/>
  <c r="E234" i="6" s="1"/>
  <c r="E52" i="6"/>
  <c r="F52" i="6"/>
  <c r="G52" i="6"/>
  <c r="H52" i="6"/>
  <c r="I52" i="6"/>
  <c r="J234" i="6" s="1"/>
  <c r="J52" i="6"/>
  <c r="K234" i="6" s="1"/>
  <c r="K52" i="6"/>
  <c r="B52" i="6"/>
  <c r="C234" i="6" s="1"/>
  <c r="C51" i="6"/>
  <c r="D51" i="6"/>
  <c r="E51" i="6"/>
  <c r="F51" i="6"/>
  <c r="G51" i="6"/>
  <c r="H51" i="6"/>
  <c r="I51" i="6"/>
  <c r="J51" i="6"/>
  <c r="K51" i="6"/>
  <c r="B51" i="6"/>
  <c r="B233" i="6" s="1"/>
  <c r="C50" i="6"/>
  <c r="D50" i="6"/>
  <c r="E50" i="6"/>
  <c r="F50" i="6"/>
  <c r="G50" i="6"/>
  <c r="H50" i="6"/>
  <c r="I50" i="6"/>
  <c r="J50" i="6"/>
  <c r="K50" i="6"/>
  <c r="B50" i="6"/>
  <c r="B88" i="6" s="1"/>
  <c r="C40" i="6"/>
  <c r="D40" i="6"/>
  <c r="E40" i="6"/>
  <c r="F40" i="6"/>
  <c r="G40" i="6"/>
  <c r="H40" i="6"/>
  <c r="I40" i="6"/>
  <c r="J40" i="6"/>
  <c r="K40" i="6"/>
  <c r="B40" i="6"/>
  <c r="B100" i="6" s="1"/>
  <c r="C39" i="6"/>
  <c r="D39" i="6"/>
  <c r="E39" i="6"/>
  <c r="F39" i="6"/>
  <c r="G39" i="6"/>
  <c r="H39" i="6"/>
  <c r="I39" i="6"/>
  <c r="J39" i="6"/>
  <c r="K39" i="6"/>
  <c r="B39" i="6"/>
  <c r="B99" i="6" s="1"/>
  <c r="C38" i="6"/>
  <c r="D38" i="6"/>
  <c r="E38" i="6"/>
  <c r="F38" i="6"/>
  <c r="G38" i="6"/>
  <c r="H38" i="6"/>
  <c r="I38" i="6"/>
  <c r="J38" i="6"/>
  <c r="K38" i="6"/>
  <c r="B38" i="6"/>
  <c r="B101" i="6" s="1"/>
  <c r="C33" i="6"/>
  <c r="D33" i="6"/>
  <c r="E33" i="6"/>
  <c r="F33" i="6"/>
  <c r="G33" i="6"/>
  <c r="H33" i="6"/>
  <c r="I33" i="6"/>
  <c r="J33" i="6"/>
  <c r="K33" i="6"/>
  <c r="B33" i="6"/>
  <c r="B86" i="6" s="1"/>
  <c r="C32" i="6"/>
  <c r="D32" i="6"/>
  <c r="E111" i="6" s="1"/>
  <c r="E32" i="6"/>
  <c r="F32" i="6"/>
  <c r="G32" i="6"/>
  <c r="H32" i="6"/>
  <c r="I111" i="6" s="1"/>
  <c r="I32" i="6"/>
  <c r="J32" i="6"/>
  <c r="K32" i="6"/>
  <c r="B32" i="6"/>
  <c r="B214" i="6" s="1"/>
  <c r="C31" i="6"/>
  <c r="D31" i="6"/>
  <c r="E31" i="6"/>
  <c r="F31" i="6"/>
  <c r="F213" i="6" s="1"/>
  <c r="G31" i="6"/>
  <c r="H31" i="6"/>
  <c r="I31" i="6"/>
  <c r="J31" i="6"/>
  <c r="J213" i="6" s="1"/>
  <c r="K31" i="6"/>
  <c r="B31" i="6"/>
  <c r="B85" i="6" s="1"/>
  <c r="C30" i="6"/>
  <c r="D30" i="6"/>
  <c r="D212" i="6" s="1"/>
  <c r="E30" i="6"/>
  <c r="F30" i="6"/>
  <c r="G30" i="6"/>
  <c r="H30" i="6"/>
  <c r="H212" i="6" s="1"/>
  <c r="I30" i="6"/>
  <c r="J30" i="6"/>
  <c r="K30" i="6"/>
  <c r="B30" i="6"/>
  <c r="B84" i="6" s="1"/>
  <c r="C16" i="6"/>
  <c r="D16" i="6"/>
  <c r="E16" i="6"/>
  <c r="F16" i="6"/>
  <c r="G16" i="6"/>
  <c r="H16" i="6"/>
  <c r="I16" i="6"/>
  <c r="J16" i="6"/>
  <c r="K16" i="6"/>
  <c r="B16" i="6"/>
  <c r="C10" i="6"/>
  <c r="D10" i="6"/>
  <c r="E10" i="6"/>
  <c r="F10" i="6"/>
  <c r="G10" i="6"/>
  <c r="H10" i="6"/>
  <c r="I10" i="6"/>
  <c r="J10" i="6"/>
  <c r="K10" i="6"/>
  <c r="B10" i="6"/>
  <c r="B192" i="6" s="1"/>
  <c r="C14" i="6"/>
  <c r="D14" i="6"/>
  <c r="E14" i="6"/>
  <c r="F14" i="6"/>
  <c r="G14" i="6"/>
  <c r="H14" i="6"/>
  <c r="I14" i="6"/>
  <c r="J14" i="6"/>
  <c r="K14" i="6"/>
  <c r="B14" i="6"/>
  <c r="B196" i="6" s="1"/>
  <c r="C13" i="6"/>
  <c r="C81" i="6" s="1"/>
  <c r="D13" i="6"/>
  <c r="D81" i="6" s="1"/>
  <c r="D262" i="6" s="1"/>
  <c r="E13" i="6"/>
  <c r="E81" i="6" s="1"/>
  <c r="F13" i="6"/>
  <c r="F81" i="6" s="1"/>
  <c r="G13" i="6"/>
  <c r="G81" i="6" s="1"/>
  <c r="H13" i="6"/>
  <c r="H81" i="6" s="1"/>
  <c r="H262" i="6" s="1"/>
  <c r="I13" i="6"/>
  <c r="I81" i="6" s="1"/>
  <c r="J13" i="6"/>
  <c r="J81" i="6" s="1"/>
  <c r="K13" i="6"/>
  <c r="K81" i="6" s="1"/>
  <c r="B13" i="6"/>
  <c r="B81" i="6" s="1"/>
  <c r="C12" i="6"/>
  <c r="D12" i="6"/>
  <c r="E12" i="6"/>
  <c r="F12" i="6"/>
  <c r="G12" i="6"/>
  <c r="H12" i="6"/>
  <c r="I12" i="6"/>
  <c r="J12" i="6"/>
  <c r="K12" i="6"/>
  <c r="B12" i="6"/>
  <c r="B194" i="6" s="1"/>
  <c r="C9" i="6"/>
  <c r="X10" i="2" s="1"/>
  <c r="D9" i="6"/>
  <c r="E9" i="6"/>
  <c r="F9" i="6"/>
  <c r="G9" i="6"/>
  <c r="H9" i="6"/>
  <c r="I9" i="6"/>
  <c r="J9" i="6"/>
  <c r="K9" i="6"/>
  <c r="B9" i="6"/>
  <c r="C66" i="6"/>
  <c r="D66" i="6"/>
  <c r="E66" i="6"/>
  <c r="F66" i="6"/>
  <c r="F248" i="6" s="1"/>
  <c r="G66" i="6"/>
  <c r="H66" i="6"/>
  <c r="I66" i="6"/>
  <c r="J66" i="6"/>
  <c r="J248" i="6" s="1"/>
  <c r="K66" i="6"/>
  <c r="B111" i="6"/>
  <c r="C34" i="6"/>
  <c r="D34" i="6"/>
  <c r="D216" i="6" s="1"/>
  <c r="E34" i="6"/>
  <c r="F34" i="6"/>
  <c r="G34" i="6"/>
  <c r="H34" i="6"/>
  <c r="H216" i="6" s="1"/>
  <c r="I34" i="6"/>
  <c r="J34" i="6"/>
  <c r="K34" i="6"/>
  <c r="B34" i="6"/>
  <c r="B87" i="6" s="1"/>
  <c r="C65" i="6"/>
  <c r="D65" i="6"/>
  <c r="E65" i="6"/>
  <c r="F65" i="6"/>
  <c r="F247" i="6" s="1"/>
  <c r="G65" i="6"/>
  <c r="H65" i="6"/>
  <c r="I65" i="6"/>
  <c r="J65" i="6"/>
  <c r="J247" i="6" s="1"/>
  <c r="K65" i="6"/>
  <c r="B65" i="6"/>
  <c r="B247" i="6" s="1"/>
  <c r="B13" i="4"/>
  <c r="B26" i="4"/>
  <c r="H10" i="2" l="1"/>
  <c r="D122" i="6"/>
  <c r="Y10" i="2"/>
  <c r="E122" i="6"/>
  <c r="Z10" i="2"/>
  <c r="F122" i="6"/>
  <c r="AA10" i="2"/>
  <c r="K10" i="2" s="1"/>
  <c r="G122" i="6"/>
  <c r="AB10" i="2"/>
  <c r="H122" i="6"/>
  <c r="AC10" i="2"/>
  <c r="I122" i="6"/>
  <c r="AD10" i="2"/>
  <c r="N10" i="2" s="1"/>
  <c r="J122" i="6"/>
  <c r="AE10" i="2"/>
  <c r="O10" i="2" s="1"/>
  <c r="K122" i="6"/>
  <c r="AF10" i="2"/>
  <c r="B191" i="6"/>
  <c r="W10" i="2"/>
  <c r="X11" i="2" s="1"/>
  <c r="H11" i="2" s="1"/>
  <c r="I7" i="2"/>
  <c r="Z7" i="2"/>
  <c r="H7" i="2"/>
  <c r="AE11" i="2"/>
  <c r="O11" i="2" s="1"/>
  <c r="AD11" i="2"/>
  <c r="N11" i="2" s="1"/>
  <c r="Z11" i="2"/>
  <c r="J11" i="2" s="1"/>
  <c r="J10" i="2"/>
  <c r="J215" i="6"/>
  <c r="F215" i="6"/>
  <c r="H220" i="6"/>
  <c r="D220" i="6"/>
  <c r="J221" i="6"/>
  <c r="F221" i="6"/>
  <c r="H222" i="6"/>
  <c r="D222" i="6"/>
  <c r="F232" i="6"/>
  <c r="H233" i="6"/>
  <c r="D233" i="6"/>
  <c r="D235" i="6"/>
  <c r="J287" i="6"/>
  <c r="B323" i="6"/>
  <c r="B327" i="6" s="1"/>
  <c r="I323" i="6"/>
  <c r="I327" i="6" s="1"/>
  <c r="E323" i="6"/>
  <c r="E327" i="6" s="1"/>
  <c r="J324" i="6"/>
  <c r="J326" i="6" s="1"/>
  <c r="F324" i="6"/>
  <c r="F326" i="6" s="1"/>
  <c r="B325" i="6"/>
  <c r="B328" i="6" s="1"/>
  <c r="I325" i="6"/>
  <c r="I328" i="6" s="1"/>
  <c r="E325" i="6"/>
  <c r="E328" i="6" s="1"/>
  <c r="B310" i="6"/>
  <c r="I310" i="6"/>
  <c r="E310" i="6"/>
  <c r="C323" i="6"/>
  <c r="C327" i="6" s="1"/>
  <c r="H323" i="6"/>
  <c r="H327" i="6" s="1"/>
  <c r="D323" i="6"/>
  <c r="D327" i="6" s="1"/>
  <c r="I324" i="6"/>
  <c r="I326" i="6" s="1"/>
  <c r="E324" i="6"/>
  <c r="E326" i="6" s="1"/>
  <c r="C325" i="6"/>
  <c r="C328" i="6" s="1"/>
  <c r="H325" i="6"/>
  <c r="H328" i="6" s="1"/>
  <c r="D325" i="6"/>
  <c r="D328" i="6" s="1"/>
  <c r="C310" i="6"/>
  <c r="H310" i="6"/>
  <c r="D310" i="6"/>
  <c r="I234" i="6"/>
  <c r="K323" i="6"/>
  <c r="K327" i="6" s="1"/>
  <c r="G323" i="6"/>
  <c r="G327" i="6" s="1"/>
  <c r="C324" i="6"/>
  <c r="C326" i="6" s="1"/>
  <c r="H324" i="6"/>
  <c r="H326" i="6" s="1"/>
  <c r="D324" i="6"/>
  <c r="D326" i="6" s="1"/>
  <c r="K325" i="6"/>
  <c r="K328" i="6" s="1"/>
  <c r="G325" i="6"/>
  <c r="G328" i="6" s="1"/>
  <c r="K310" i="6"/>
  <c r="G310" i="6"/>
  <c r="J232" i="6"/>
  <c r="J323" i="6"/>
  <c r="J327" i="6" s="1"/>
  <c r="F323" i="6"/>
  <c r="F327" i="6" s="1"/>
  <c r="K324" i="6"/>
  <c r="K326" i="6" s="1"/>
  <c r="G324" i="6"/>
  <c r="G326" i="6" s="1"/>
  <c r="B324" i="6"/>
  <c r="B326" i="6" s="1"/>
  <c r="J325" i="6"/>
  <c r="J328" i="6" s="1"/>
  <c r="F325" i="6"/>
  <c r="F328" i="6" s="1"/>
  <c r="J310" i="6"/>
  <c r="F310" i="6"/>
  <c r="K247" i="6"/>
  <c r="G247" i="6"/>
  <c r="I216" i="6"/>
  <c r="E216" i="6"/>
  <c r="K248" i="6"/>
  <c r="G248" i="6"/>
  <c r="C248" i="6"/>
  <c r="I262" i="6"/>
  <c r="E262" i="6"/>
  <c r="I212" i="6"/>
  <c r="E212" i="6"/>
  <c r="K213" i="6"/>
  <c r="G213" i="6"/>
  <c r="I214" i="6"/>
  <c r="E214" i="6"/>
  <c r="K215" i="6"/>
  <c r="G215" i="6"/>
  <c r="I220" i="6"/>
  <c r="E220" i="6"/>
  <c r="K221" i="6"/>
  <c r="G221" i="6"/>
  <c r="I222" i="6"/>
  <c r="E222" i="6"/>
  <c r="K232" i="6"/>
  <c r="G232" i="6"/>
  <c r="I233" i="6"/>
  <c r="E233" i="6"/>
  <c r="I235" i="6"/>
  <c r="E235" i="6"/>
  <c r="K287" i="6"/>
  <c r="C287" i="6"/>
  <c r="H247" i="6"/>
  <c r="D247" i="6"/>
  <c r="J216" i="6"/>
  <c r="F216" i="6"/>
  <c r="H248" i="6"/>
  <c r="D248" i="6"/>
  <c r="J262" i="6"/>
  <c r="F262" i="6"/>
  <c r="D287" i="6"/>
  <c r="I287" i="6"/>
  <c r="G234" i="6"/>
  <c r="F234" i="6"/>
  <c r="J212" i="6"/>
  <c r="F212" i="6"/>
  <c r="H213" i="6"/>
  <c r="D213" i="6"/>
  <c r="J214" i="6"/>
  <c r="F214" i="6"/>
  <c r="H215" i="6"/>
  <c r="D215" i="6"/>
  <c r="J220" i="6"/>
  <c r="F220" i="6"/>
  <c r="H221" i="6"/>
  <c r="D221" i="6"/>
  <c r="J222" i="6"/>
  <c r="F222" i="6"/>
  <c r="H232" i="6"/>
  <c r="D232" i="6"/>
  <c r="J233" i="6"/>
  <c r="F233" i="6"/>
  <c r="J235" i="6"/>
  <c r="F235" i="6"/>
  <c r="C247" i="6"/>
  <c r="C213" i="6"/>
  <c r="C215" i="6"/>
  <c r="C221" i="6"/>
  <c r="C232" i="6"/>
  <c r="H234" i="6"/>
  <c r="H235" i="6"/>
  <c r="I247" i="6"/>
  <c r="E247" i="6"/>
  <c r="K216" i="6"/>
  <c r="G216" i="6"/>
  <c r="C216" i="6"/>
  <c r="I248" i="6"/>
  <c r="E248" i="6"/>
  <c r="K262" i="6"/>
  <c r="G262" i="6"/>
  <c r="C262" i="6"/>
  <c r="K212" i="6"/>
  <c r="G212" i="6"/>
  <c r="C212" i="6"/>
  <c r="I213" i="6"/>
  <c r="E213" i="6"/>
  <c r="K214" i="6"/>
  <c r="G214" i="6"/>
  <c r="C214" i="6"/>
  <c r="I215" i="6"/>
  <c r="E215" i="6"/>
  <c r="K220" i="6"/>
  <c r="G220" i="6"/>
  <c r="C220" i="6"/>
  <c r="I221" i="6"/>
  <c r="E221" i="6"/>
  <c r="K222" i="6"/>
  <c r="G222" i="6"/>
  <c r="C222" i="6"/>
  <c r="I232" i="6"/>
  <c r="E232" i="6"/>
  <c r="K233" i="6"/>
  <c r="G233" i="6"/>
  <c r="C233" i="6"/>
  <c r="K235" i="6"/>
  <c r="G235" i="6"/>
  <c r="C235" i="6"/>
  <c r="B222" i="6"/>
  <c r="B232" i="6"/>
  <c r="D239" i="6"/>
  <c r="H239" i="6"/>
  <c r="B215" i="6"/>
  <c r="E239" i="6"/>
  <c r="I239" i="6"/>
  <c r="B212" i="6"/>
  <c r="B216" i="6"/>
  <c r="B220" i="6"/>
  <c r="B239" i="6"/>
  <c r="F239" i="6"/>
  <c r="J239" i="6"/>
  <c r="H194" i="6"/>
  <c r="D194" i="6"/>
  <c r="H196" i="6"/>
  <c r="D196" i="6"/>
  <c r="J192" i="6"/>
  <c r="F192" i="6"/>
  <c r="H198" i="6"/>
  <c r="D198" i="6"/>
  <c r="B213" i="6"/>
  <c r="D214" i="6"/>
  <c r="H214" i="6"/>
  <c r="B221" i="6"/>
  <c r="B235" i="6"/>
  <c r="C239" i="6"/>
  <c r="G239" i="6"/>
  <c r="K239" i="6"/>
  <c r="C192" i="6"/>
  <c r="C191" i="6"/>
  <c r="I194" i="6"/>
  <c r="E194" i="6"/>
  <c r="I196" i="6"/>
  <c r="E196" i="6"/>
  <c r="K192" i="6"/>
  <c r="G192" i="6"/>
  <c r="I198" i="6"/>
  <c r="E198" i="6"/>
  <c r="I58" i="6"/>
  <c r="K194" i="6"/>
  <c r="G194" i="6"/>
  <c r="C194" i="6"/>
  <c r="K196" i="6"/>
  <c r="G196" i="6"/>
  <c r="C196" i="6"/>
  <c r="I192" i="6"/>
  <c r="E192" i="6"/>
  <c r="K198" i="6"/>
  <c r="G198" i="6"/>
  <c r="C198" i="6"/>
  <c r="J194" i="6"/>
  <c r="F194" i="6"/>
  <c r="J196" i="6"/>
  <c r="F196" i="6"/>
  <c r="H192" i="6"/>
  <c r="D192" i="6"/>
  <c r="J198" i="6"/>
  <c r="F198" i="6"/>
  <c r="H84" i="6"/>
  <c r="D84" i="6"/>
  <c r="J85" i="6"/>
  <c r="F85" i="6"/>
  <c r="J86" i="6"/>
  <c r="J99" i="6"/>
  <c r="F99" i="6"/>
  <c r="H100" i="6"/>
  <c r="D100" i="6"/>
  <c r="J88" i="6"/>
  <c r="F88" i="6"/>
  <c r="J90" i="6"/>
  <c r="K271" i="6" s="1"/>
  <c r="F90" i="6"/>
  <c r="H111" i="6"/>
  <c r="D111" i="6"/>
  <c r="E292" i="6" s="1"/>
  <c r="H191" i="6"/>
  <c r="D191" i="6"/>
  <c r="F195" i="6"/>
  <c r="J195" i="6"/>
  <c r="K111" i="6"/>
  <c r="G111" i="6"/>
  <c r="C111" i="6"/>
  <c r="C292" i="6" s="1"/>
  <c r="K191" i="6"/>
  <c r="G191" i="6"/>
  <c r="C195" i="6"/>
  <c r="G195" i="6"/>
  <c r="K195" i="6"/>
  <c r="J111" i="6"/>
  <c r="J292" i="6" s="1"/>
  <c r="F111" i="6"/>
  <c r="F292" i="6" s="1"/>
  <c r="J191" i="6"/>
  <c r="F191" i="6"/>
  <c r="D195" i="6"/>
  <c r="H195" i="6"/>
  <c r="I191" i="6"/>
  <c r="E191" i="6"/>
  <c r="E195" i="6"/>
  <c r="I195" i="6"/>
  <c r="B195" i="6"/>
  <c r="J125" i="6"/>
  <c r="F125" i="6"/>
  <c r="J127" i="6"/>
  <c r="F127" i="6"/>
  <c r="J129" i="6"/>
  <c r="F129" i="6"/>
  <c r="F86" i="6"/>
  <c r="G101" i="6"/>
  <c r="K101" i="6"/>
  <c r="J101" i="6"/>
  <c r="F101" i="6"/>
  <c r="G106" i="6"/>
  <c r="H287" i="6" s="1"/>
  <c r="H123" i="6"/>
  <c r="D123" i="6"/>
  <c r="K123" i="6"/>
  <c r="C101" i="6"/>
  <c r="C282" i="6" s="1"/>
  <c r="B102" i="6"/>
  <c r="H101" i="6"/>
  <c r="K126" i="6"/>
  <c r="G123" i="6"/>
  <c r="H125" i="6"/>
  <c r="D125" i="6"/>
  <c r="H127" i="6"/>
  <c r="D127" i="6"/>
  <c r="J123" i="6"/>
  <c r="F123" i="6"/>
  <c r="H129" i="6"/>
  <c r="D129" i="6"/>
  <c r="K125" i="6"/>
  <c r="G125" i="6"/>
  <c r="K127" i="6"/>
  <c r="G127" i="6"/>
  <c r="I123" i="6"/>
  <c r="E123" i="6"/>
  <c r="K129" i="6"/>
  <c r="G129" i="6"/>
  <c r="C85" i="6"/>
  <c r="C266" i="6" s="1"/>
  <c r="C86" i="6"/>
  <c r="C267" i="6" s="1"/>
  <c r="K90" i="6"/>
  <c r="G90" i="6"/>
  <c r="I91" i="6"/>
  <c r="E91" i="6"/>
  <c r="D101" i="6"/>
  <c r="E87" i="6"/>
  <c r="I129" i="6"/>
  <c r="E129" i="6"/>
  <c r="I127" i="6"/>
  <c r="E127" i="6"/>
  <c r="I126" i="6"/>
  <c r="E126" i="6"/>
  <c r="I125" i="6"/>
  <c r="E125" i="6"/>
  <c r="C99" i="6"/>
  <c r="C280" i="6" s="1"/>
  <c r="C88" i="6"/>
  <c r="C269" i="6" s="1"/>
  <c r="H126" i="6"/>
  <c r="D126" i="6"/>
  <c r="C87" i="6"/>
  <c r="C268" i="6" s="1"/>
  <c r="E106" i="6"/>
  <c r="G126" i="6"/>
  <c r="J87" i="6"/>
  <c r="F87" i="6"/>
  <c r="I101" i="6"/>
  <c r="E101" i="6"/>
  <c r="J126" i="6"/>
  <c r="F126" i="6"/>
  <c r="I87" i="6"/>
  <c r="H91" i="6"/>
  <c r="D91" i="6"/>
  <c r="H87" i="6"/>
  <c r="D87" i="6"/>
  <c r="C84" i="6"/>
  <c r="C265" i="6" s="1"/>
  <c r="C100" i="6"/>
  <c r="C281" i="6" s="1"/>
  <c r="C91" i="6"/>
  <c r="C272" i="6" s="1"/>
  <c r="K87" i="6"/>
  <c r="G87" i="6"/>
  <c r="J84" i="6"/>
  <c r="F84" i="6"/>
  <c r="H85" i="6"/>
  <c r="D85" i="6"/>
  <c r="H86" i="6"/>
  <c r="D86" i="6"/>
  <c r="H99" i="6"/>
  <c r="D99" i="6"/>
  <c r="J100" i="6"/>
  <c r="F100" i="6"/>
  <c r="H88" i="6"/>
  <c r="D88" i="6"/>
  <c r="C90" i="6"/>
  <c r="D271" i="6" s="1"/>
  <c r="H90" i="6"/>
  <c r="D90" i="6"/>
  <c r="E271" i="6" s="1"/>
  <c r="J91" i="6"/>
  <c r="F91" i="6"/>
  <c r="I84" i="6"/>
  <c r="E84" i="6"/>
  <c r="K85" i="6"/>
  <c r="G85" i="6"/>
  <c r="I86" i="6"/>
  <c r="E86" i="6"/>
  <c r="I88" i="6"/>
  <c r="E88" i="6"/>
  <c r="I99" i="6"/>
  <c r="E99" i="6"/>
  <c r="K100" i="6"/>
  <c r="G100" i="6"/>
  <c r="K84" i="6"/>
  <c r="G84" i="6"/>
  <c r="I85" i="6"/>
  <c r="E85" i="6"/>
  <c r="K86" i="6"/>
  <c r="G86" i="6"/>
  <c r="K88" i="6"/>
  <c r="G88" i="6"/>
  <c r="B90" i="6"/>
  <c r="C271" i="6" s="1"/>
  <c r="I90" i="6"/>
  <c r="E90" i="6"/>
  <c r="K91" i="6"/>
  <c r="G91" i="6"/>
  <c r="K99" i="6"/>
  <c r="G99" i="6"/>
  <c r="I100" i="6"/>
  <c r="E100" i="6"/>
  <c r="J107" i="6"/>
  <c r="F107" i="6"/>
  <c r="I107" i="6"/>
  <c r="H107" i="6"/>
  <c r="C107" i="6"/>
  <c r="D58" i="6"/>
  <c r="D107" i="6"/>
  <c r="H58" i="6"/>
  <c r="H240" i="6" s="1"/>
  <c r="J58" i="6"/>
  <c r="F58" i="6"/>
  <c r="F240" i="6" s="1"/>
  <c r="K107" i="6"/>
  <c r="I10" i="2" l="1"/>
  <c r="Y11" i="2"/>
  <c r="I11" i="2" s="1"/>
  <c r="L10" i="2"/>
  <c r="AB11" i="2"/>
  <c r="L11" i="2" s="1"/>
  <c r="M10" i="2"/>
  <c r="AC11" i="2"/>
  <c r="M11" i="2" s="1"/>
  <c r="P10" i="2"/>
  <c r="AF11" i="2"/>
  <c r="P11" i="2" s="1"/>
  <c r="W11" i="2"/>
  <c r="G11" i="2" s="1"/>
  <c r="G10" i="2"/>
  <c r="I282" i="6"/>
  <c r="E282" i="6"/>
  <c r="J271" i="6"/>
  <c r="F271" i="6"/>
  <c r="AA11" i="2"/>
  <c r="K11" i="2" s="1"/>
  <c r="J7" i="2"/>
  <c r="AA7" i="2"/>
  <c r="J240" i="6"/>
  <c r="G267" i="6"/>
  <c r="I266" i="6"/>
  <c r="D269" i="6"/>
  <c r="I288" i="6"/>
  <c r="G269" i="6"/>
  <c r="G281" i="6"/>
  <c r="G280" i="6"/>
  <c r="K266" i="6"/>
  <c r="J272" i="6"/>
  <c r="D266" i="6"/>
  <c r="G268" i="6"/>
  <c r="G265" i="6"/>
  <c r="E267" i="6"/>
  <c r="D268" i="6"/>
  <c r="E280" i="6"/>
  <c r="E281" i="6"/>
  <c r="K267" i="6"/>
  <c r="I280" i="6"/>
  <c r="I265" i="6"/>
  <c r="D267" i="6"/>
  <c r="H268" i="6"/>
  <c r="K288" i="6"/>
  <c r="D288" i="6"/>
  <c r="I281" i="6"/>
  <c r="K272" i="6"/>
  <c r="E266" i="6"/>
  <c r="E269" i="6"/>
  <c r="G266" i="6"/>
  <c r="F272" i="6"/>
  <c r="H267" i="6"/>
  <c r="J265" i="6"/>
  <c r="D272" i="6"/>
  <c r="J268" i="6"/>
  <c r="E268" i="6"/>
  <c r="H271" i="6"/>
  <c r="G282" i="6"/>
  <c r="H292" i="6"/>
  <c r="J269" i="6"/>
  <c r="J280" i="6"/>
  <c r="D265" i="6"/>
  <c r="K269" i="6"/>
  <c r="K281" i="6"/>
  <c r="I269" i="6"/>
  <c r="D102" i="6"/>
  <c r="D280" i="6"/>
  <c r="H272" i="6"/>
  <c r="D282" i="6"/>
  <c r="F282" i="6"/>
  <c r="F267" i="6"/>
  <c r="G292" i="6"/>
  <c r="G271" i="6"/>
  <c r="D281" i="6"/>
  <c r="J267" i="6"/>
  <c r="H265" i="6"/>
  <c r="I292" i="6"/>
  <c r="J288" i="6"/>
  <c r="K280" i="6"/>
  <c r="E265" i="6"/>
  <c r="H269" i="6"/>
  <c r="H102" i="6"/>
  <c r="H280" i="6"/>
  <c r="H266" i="6"/>
  <c r="K268" i="6"/>
  <c r="I268" i="6"/>
  <c r="E107" i="6"/>
  <c r="E288" i="6" s="1"/>
  <c r="E287" i="6"/>
  <c r="E272" i="6"/>
  <c r="H282" i="6"/>
  <c r="J282" i="6"/>
  <c r="K292" i="6"/>
  <c r="H281" i="6"/>
  <c r="F266" i="6"/>
  <c r="J281" i="6"/>
  <c r="G107" i="6"/>
  <c r="G288" i="6" s="1"/>
  <c r="G287" i="6"/>
  <c r="G272" i="6"/>
  <c r="K265" i="6"/>
  <c r="I267" i="6"/>
  <c r="I271" i="6"/>
  <c r="F281" i="6"/>
  <c r="F265" i="6"/>
  <c r="F268" i="6"/>
  <c r="I272" i="6"/>
  <c r="K282" i="6"/>
  <c r="D292" i="6"/>
  <c r="F269" i="6"/>
  <c r="F280" i="6"/>
  <c r="J266" i="6"/>
  <c r="F287" i="6"/>
  <c r="I240" i="6"/>
  <c r="E240" i="6"/>
  <c r="G240" i="6"/>
  <c r="J102" i="6"/>
  <c r="G102" i="6"/>
  <c r="F102" i="6"/>
  <c r="C102" i="6"/>
  <c r="K102" i="6"/>
  <c r="E102" i="6"/>
  <c r="I102" i="6"/>
  <c r="D41" i="6"/>
  <c r="C41" i="6"/>
  <c r="E41" i="6"/>
  <c r="K7" i="2" l="1"/>
  <c r="AB7" i="2"/>
  <c r="H288" i="6"/>
  <c r="F288" i="6"/>
  <c r="D223" i="6"/>
  <c r="E223" i="6"/>
  <c r="F41" i="6"/>
  <c r="F223" i="6" s="1"/>
  <c r="G41" i="6"/>
  <c r="H41" i="6"/>
  <c r="AC7" i="2" l="1"/>
  <c r="L7" i="2"/>
  <c r="G223" i="6"/>
  <c r="H223" i="6"/>
  <c r="I41" i="6"/>
  <c r="I223" i="6" s="1"/>
  <c r="AD7" i="2" l="1"/>
  <c r="M7" i="2"/>
  <c r="J41" i="6"/>
  <c r="J223" i="6" s="1"/>
  <c r="N7" i="2" l="1"/>
  <c r="AE7" i="2"/>
  <c r="O7" i="2" l="1"/>
  <c r="AF7" i="2"/>
  <c r="P7" i="2" s="1"/>
  <c r="B4" i="3" l="1"/>
  <c r="B18" i="3" s="1"/>
  <c r="D28" i="4"/>
  <c r="E28" i="4"/>
  <c r="F28" i="4"/>
  <c r="G28" i="4"/>
  <c r="H28" i="4"/>
  <c r="I28" i="4"/>
  <c r="J28" i="4"/>
  <c r="K28" i="4"/>
  <c r="L28" i="4"/>
  <c r="C28" i="4"/>
  <c r="D26" i="4"/>
  <c r="E26" i="4"/>
  <c r="F26" i="4"/>
  <c r="G26" i="4"/>
  <c r="H26" i="4"/>
  <c r="I26" i="4"/>
  <c r="J26" i="4"/>
  <c r="K26" i="4"/>
  <c r="L26" i="4"/>
  <c r="C26" i="4"/>
  <c r="D13" i="4"/>
  <c r="E13" i="4"/>
  <c r="F13" i="4"/>
  <c r="G13" i="4"/>
  <c r="H13" i="4"/>
  <c r="I13" i="4"/>
  <c r="J13" i="4"/>
  <c r="K13" i="4"/>
  <c r="L13" i="4"/>
  <c r="C13" i="4"/>
  <c r="D4" i="3"/>
  <c r="D8" i="3" s="1"/>
  <c r="D11" i="3" s="1"/>
  <c r="E4" i="3"/>
  <c r="E8" i="3" s="1"/>
  <c r="E11" i="3" s="1"/>
  <c r="F4" i="3"/>
  <c r="F19" i="3" s="1"/>
  <c r="G4" i="3"/>
  <c r="G8" i="3" s="1"/>
  <c r="G11" i="3" s="1"/>
  <c r="H4" i="3"/>
  <c r="H8" i="3" s="1"/>
  <c r="H11" i="3" s="1"/>
  <c r="I4" i="3"/>
  <c r="I8" i="3" s="1"/>
  <c r="I11" i="3" s="1"/>
  <c r="J4" i="3"/>
  <c r="J8" i="3" s="1"/>
  <c r="J11" i="3" s="1"/>
  <c r="K4" i="3"/>
  <c r="K8" i="3" s="1"/>
  <c r="K11" i="3" s="1"/>
  <c r="L4" i="3"/>
  <c r="L8" i="3" s="1"/>
  <c r="L11" i="3" s="1"/>
  <c r="C4" i="3"/>
  <c r="C8" i="3" s="1"/>
  <c r="C11" i="3" s="1"/>
  <c r="B8" i="3" l="1"/>
  <c r="B11" i="3" s="1"/>
  <c r="B67" i="6" s="1"/>
  <c r="B249" i="6" s="1"/>
  <c r="B19" i="3"/>
  <c r="B20" i="3"/>
  <c r="B21" i="3" s="1"/>
  <c r="K18" i="3"/>
  <c r="I19" i="3"/>
  <c r="K20" i="3"/>
  <c r="K21" i="3" s="1"/>
  <c r="G18" i="3"/>
  <c r="H19" i="3"/>
  <c r="G20" i="3"/>
  <c r="G21" i="3" s="1"/>
  <c r="C19" i="3"/>
  <c r="E19" i="3"/>
  <c r="L19" i="3"/>
  <c r="D19" i="3"/>
  <c r="J18" i="3"/>
  <c r="F20" i="3"/>
  <c r="F21" i="3" s="1"/>
  <c r="C18" i="3"/>
  <c r="I18" i="3"/>
  <c r="E18" i="3"/>
  <c r="K19" i="3"/>
  <c r="G19" i="3"/>
  <c r="C20" i="3"/>
  <c r="C21" i="3" s="1"/>
  <c r="I20" i="3"/>
  <c r="I21" i="3" s="1"/>
  <c r="E20" i="3"/>
  <c r="E21" i="3" s="1"/>
  <c r="F18" i="3"/>
  <c r="J20" i="3"/>
  <c r="J21" i="3" s="1"/>
  <c r="F8" i="3"/>
  <c r="L18" i="3"/>
  <c r="H18" i="3"/>
  <c r="D18" i="3"/>
  <c r="J19" i="3"/>
  <c r="L20" i="3"/>
  <c r="L21" i="3" s="1"/>
  <c r="H20" i="3"/>
  <c r="H21" i="3" s="1"/>
  <c r="D20" i="3"/>
  <c r="D21" i="3" s="1"/>
  <c r="B54" i="6" l="1"/>
  <c r="B89" i="6"/>
  <c r="B94" i="6" s="1"/>
  <c r="F11" i="3"/>
  <c r="B319" i="6" l="1"/>
  <c r="B236" i="6"/>
  <c r="B318" i="6"/>
  <c r="C54" i="6"/>
  <c r="C89" i="6"/>
  <c r="D11" i="6"/>
  <c r="B15" i="7"/>
  <c r="D352" i="6" l="1"/>
  <c r="Y14" i="2"/>
  <c r="D305" i="6"/>
  <c r="Y15" i="2" s="1"/>
  <c r="I15" i="2" s="1"/>
  <c r="D334" i="6"/>
  <c r="D333" i="6"/>
  <c r="C236" i="6"/>
  <c r="C318" i="6"/>
  <c r="C94" i="6"/>
  <c r="C270" i="6"/>
  <c r="D124" i="6"/>
  <c r="D54" i="6"/>
  <c r="D89" i="6"/>
  <c r="D21" i="6"/>
  <c r="D19" i="6"/>
  <c r="D20" i="6"/>
  <c r="D15" i="6"/>
  <c r="D351" i="6" s="1"/>
  <c r="E11" i="6"/>
  <c r="A256" i="6"/>
  <c r="A257" i="6"/>
  <c r="A248" i="6"/>
  <c r="A233" i="6"/>
  <c r="A122" i="6"/>
  <c r="A191" i="6" s="1"/>
  <c r="A123" i="6"/>
  <c r="A192" i="6" s="1"/>
  <c r="A124" i="6"/>
  <c r="A193" i="6" s="1"/>
  <c r="A125" i="6"/>
  <c r="A194" i="6" s="1"/>
  <c r="A126" i="6"/>
  <c r="A195" i="6" s="1"/>
  <c r="A127" i="6"/>
  <c r="A196" i="6" s="1"/>
  <c r="A128" i="6"/>
  <c r="A197" i="6" s="1"/>
  <c r="A129" i="6"/>
  <c r="A198" i="6" s="1"/>
  <c r="A130" i="6"/>
  <c r="A199" i="6" s="1"/>
  <c r="A131" i="6"/>
  <c r="A200" i="6" s="1"/>
  <c r="A132" i="6"/>
  <c r="A201" i="6" s="1"/>
  <c r="A133" i="6"/>
  <c r="A202" i="6" s="1"/>
  <c r="A134" i="6"/>
  <c r="A203" i="6" s="1"/>
  <c r="A135" i="6"/>
  <c r="A204" i="6" s="1"/>
  <c r="A136" i="6"/>
  <c r="A205" i="6" s="1"/>
  <c r="A137" i="6"/>
  <c r="A206" i="6" s="1"/>
  <c r="A207" i="6"/>
  <c r="A139" i="6"/>
  <c r="A208" i="6" s="1"/>
  <c r="A140" i="6"/>
  <c r="A209" i="6" s="1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121" i="6"/>
  <c r="A190" i="6" s="1"/>
  <c r="I14" i="2" l="1"/>
  <c r="E352" i="6"/>
  <c r="Z14" i="2"/>
  <c r="E305" i="6"/>
  <c r="Z15" i="2" s="1"/>
  <c r="J15" i="2" s="1"/>
  <c r="E333" i="6"/>
  <c r="E334" i="6"/>
  <c r="D94" i="6"/>
  <c r="D270" i="6"/>
  <c r="C319" i="6"/>
  <c r="C275" i="6"/>
  <c r="D236" i="6"/>
  <c r="D318" i="6"/>
  <c r="D134" i="6"/>
  <c r="D133" i="6"/>
  <c r="D132" i="6"/>
  <c r="E124" i="6"/>
  <c r="E193" i="6"/>
  <c r="D61" i="6"/>
  <c r="D22" i="6"/>
  <c r="D128" i="6"/>
  <c r="E54" i="6"/>
  <c r="E89" i="6"/>
  <c r="D17" i="6"/>
  <c r="Y19" i="2" s="1"/>
  <c r="F11" i="6"/>
  <c r="E20" i="6"/>
  <c r="E202" i="6" s="1"/>
  <c r="E15" i="6"/>
  <c r="E21" i="6"/>
  <c r="E203" i="6" s="1"/>
  <c r="E19" i="6"/>
  <c r="C58" i="6"/>
  <c r="K58" i="6"/>
  <c r="K240" i="6" s="1"/>
  <c r="B58" i="6"/>
  <c r="K41" i="6"/>
  <c r="K223" i="6" s="1"/>
  <c r="J14" i="2" l="1"/>
  <c r="Z16" i="2"/>
  <c r="J16" i="2" s="1"/>
  <c r="Y21" i="2"/>
  <c r="I21" i="2" s="1"/>
  <c r="I19" i="2"/>
  <c r="F352" i="6"/>
  <c r="AA14" i="2"/>
  <c r="E197" i="6"/>
  <c r="E351" i="6"/>
  <c r="D341" i="6"/>
  <c r="D348" i="6"/>
  <c r="E201" i="6"/>
  <c r="E311" i="6"/>
  <c r="D304" i="6"/>
  <c r="Y20" i="2" s="1"/>
  <c r="I20" i="2" s="1"/>
  <c r="F305" i="6"/>
  <c r="AA15" i="2" s="1"/>
  <c r="K15" i="2" s="1"/>
  <c r="F333" i="6"/>
  <c r="F334" i="6"/>
  <c r="E94" i="6"/>
  <c r="E270" i="6"/>
  <c r="E236" i="6"/>
  <c r="E318" i="6"/>
  <c r="D319" i="6"/>
  <c r="D275" i="6"/>
  <c r="B61" i="6"/>
  <c r="B240" i="6"/>
  <c r="C61" i="6"/>
  <c r="C240" i="6"/>
  <c r="D240" i="6"/>
  <c r="E133" i="6"/>
  <c r="E134" i="6"/>
  <c r="D135" i="6"/>
  <c r="E132" i="6"/>
  <c r="F124" i="6"/>
  <c r="F193" i="6"/>
  <c r="E61" i="6"/>
  <c r="B70" i="6"/>
  <c r="B252" i="6" s="1"/>
  <c r="D78" i="6"/>
  <c r="D110" i="6" s="1"/>
  <c r="D130" i="6"/>
  <c r="E22" i="6"/>
  <c r="E204" i="6" s="1"/>
  <c r="E128" i="6"/>
  <c r="F54" i="6"/>
  <c r="F89" i="6"/>
  <c r="F19" i="6"/>
  <c r="F20" i="6"/>
  <c r="F202" i="6" s="1"/>
  <c r="F15" i="6"/>
  <c r="F21" i="6"/>
  <c r="F203" i="6" s="1"/>
  <c r="E17" i="6"/>
  <c r="G11" i="6"/>
  <c r="C122" i="6"/>
  <c r="C126" i="6"/>
  <c r="B122" i="6"/>
  <c r="B123" i="6"/>
  <c r="C125" i="6"/>
  <c r="B127" i="6"/>
  <c r="B126" i="6"/>
  <c r="C123" i="6"/>
  <c r="B125" i="6"/>
  <c r="C127" i="6"/>
  <c r="B11" i="6"/>
  <c r="C11" i="6"/>
  <c r="C2" i="6"/>
  <c r="D2" i="6" s="1"/>
  <c r="E2" i="6" s="1"/>
  <c r="F2" i="6" s="1"/>
  <c r="G2" i="6" s="1"/>
  <c r="H2" i="6" s="1"/>
  <c r="I2" i="6" s="1"/>
  <c r="J2" i="6" s="1"/>
  <c r="K2" i="6" s="1"/>
  <c r="K14" i="2" l="1"/>
  <c r="AA16" i="2"/>
  <c r="K16" i="2" s="1"/>
  <c r="E348" i="6"/>
  <c r="Z19" i="2"/>
  <c r="G352" i="6"/>
  <c r="AB14" i="2"/>
  <c r="B352" i="6"/>
  <c r="W14" i="2"/>
  <c r="C352" i="6"/>
  <c r="X14" i="2"/>
  <c r="F197" i="6"/>
  <c r="F351" i="6"/>
  <c r="E312" i="6"/>
  <c r="E341" i="6"/>
  <c r="F201" i="6"/>
  <c r="F311" i="6"/>
  <c r="B334" i="6"/>
  <c r="B333" i="6"/>
  <c r="B305" i="6"/>
  <c r="W15" i="2" s="1"/>
  <c r="G15" i="2" s="1"/>
  <c r="E304" i="6"/>
  <c r="Z20" i="2" s="1"/>
  <c r="J20" i="2" s="1"/>
  <c r="E243" i="6"/>
  <c r="D193" i="6"/>
  <c r="C305" i="6"/>
  <c r="X15" i="2" s="1"/>
  <c r="H15" i="2" s="1"/>
  <c r="C334" i="6"/>
  <c r="C333" i="6"/>
  <c r="G334" i="6"/>
  <c r="G305" i="6"/>
  <c r="AB15" i="2" s="1"/>
  <c r="L15" i="2" s="1"/>
  <c r="G333" i="6"/>
  <c r="B243" i="6"/>
  <c r="B332" i="6"/>
  <c r="C243" i="6"/>
  <c r="F236" i="6"/>
  <c r="F318" i="6"/>
  <c r="F94" i="6"/>
  <c r="F270" i="6"/>
  <c r="E319" i="6"/>
  <c r="E275" i="6"/>
  <c r="D243" i="6"/>
  <c r="E199" i="6"/>
  <c r="E259" i="6"/>
  <c r="F132" i="6"/>
  <c r="F134" i="6"/>
  <c r="F133" i="6"/>
  <c r="E135" i="6"/>
  <c r="B183" i="6"/>
  <c r="B178" i="6"/>
  <c r="B165" i="6"/>
  <c r="B163" i="6"/>
  <c r="B170" i="6"/>
  <c r="B171" i="6"/>
  <c r="B164" i="6"/>
  <c r="B166" i="6"/>
  <c r="B179" i="6"/>
  <c r="B180" i="6"/>
  <c r="B167" i="6"/>
  <c r="F61" i="6"/>
  <c r="B15" i="6"/>
  <c r="B193" i="6"/>
  <c r="G124" i="6"/>
  <c r="G193" i="6"/>
  <c r="B174" i="6"/>
  <c r="F22" i="6"/>
  <c r="F204" i="6" s="1"/>
  <c r="F128" i="6"/>
  <c r="E78" i="6"/>
  <c r="E110" i="6" s="1"/>
  <c r="E291" i="6" s="1"/>
  <c r="E130" i="6"/>
  <c r="G54" i="6"/>
  <c r="G89" i="6"/>
  <c r="G15" i="6"/>
  <c r="G21" i="6"/>
  <c r="G203" i="6" s="1"/>
  <c r="G19" i="6"/>
  <c r="G20" i="6"/>
  <c r="G202" i="6" s="1"/>
  <c r="F17" i="6"/>
  <c r="H11" i="6"/>
  <c r="C20" i="6"/>
  <c r="C15" i="6"/>
  <c r="C351" i="6" s="1"/>
  <c r="C21" i="6"/>
  <c r="C19" i="6"/>
  <c r="B21" i="6"/>
  <c r="B203" i="6" s="1"/>
  <c r="B19" i="6"/>
  <c r="B20" i="6"/>
  <c r="B202" i="6" s="1"/>
  <c r="C124" i="6"/>
  <c r="C193" i="6"/>
  <c r="B124" i="6"/>
  <c r="B107" i="6"/>
  <c r="J19" i="2" l="1"/>
  <c r="Z21" i="2"/>
  <c r="J21" i="2" s="1"/>
  <c r="L14" i="2"/>
  <c r="AB16" i="2"/>
  <c r="L16" i="2" s="1"/>
  <c r="G14" i="2"/>
  <c r="W16" i="2"/>
  <c r="G16" i="2" s="1"/>
  <c r="Y16" i="2"/>
  <c r="I16" i="2" s="1"/>
  <c r="H14" i="2"/>
  <c r="X16" i="2"/>
  <c r="H16" i="2" s="1"/>
  <c r="F348" i="6"/>
  <c r="AA19" i="2"/>
  <c r="H352" i="6"/>
  <c r="AC14" i="2"/>
  <c r="B197" i="6"/>
  <c r="B351" i="6"/>
  <c r="G197" i="6"/>
  <c r="G351" i="6"/>
  <c r="F312" i="6"/>
  <c r="F341" i="6"/>
  <c r="G201" i="6"/>
  <c r="G311" i="6"/>
  <c r="C311" i="6"/>
  <c r="D311" i="6"/>
  <c r="B201" i="6"/>
  <c r="B311" i="6"/>
  <c r="F304" i="6"/>
  <c r="AA20" i="2" s="1"/>
  <c r="K20" i="2" s="1"/>
  <c r="F243" i="6"/>
  <c r="H334" i="6"/>
  <c r="H305" i="6"/>
  <c r="AC15" i="2" s="1"/>
  <c r="M15" i="2" s="1"/>
  <c r="H333" i="6"/>
  <c r="G94" i="6"/>
  <c r="G270" i="6"/>
  <c r="G236" i="6"/>
  <c r="G318" i="6"/>
  <c r="F275" i="6"/>
  <c r="F319" i="6"/>
  <c r="B110" i="6"/>
  <c r="C288" i="6"/>
  <c r="F199" i="6"/>
  <c r="F259" i="6"/>
  <c r="C203" i="6"/>
  <c r="D203" i="6"/>
  <c r="C202" i="6"/>
  <c r="D202" i="6"/>
  <c r="C201" i="6"/>
  <c r="D201" i="6"/>
  <c r="B133" i="6"/>
  <c r="G133" i="6"/>
  <c r="G132" i="6"/>
  <c r="F135" i="6"/>
  <c r="G134" i="6"/>
  <c r="H124" i="6"/>
  <c r="H193" i="6"/>
  <c r="G61" i="6"/>
  <c r="C197" i="6"/>
  <c r="D197" i="6"/>
  <c r="F78" i="6"/>
  <c r="F110" i="6" s="1"/>
  <c r="F291" i="6" s="1"/>
  <c r="F130" i="6"/>
  <c r="G22" i="6"/>
  <c r="G204" i="6" s="1"/>
  <c r="G128" i="6"/>
  <c r="H54" i="6"/>
  <c r="H89" i="6"/>
  <c r="G17" i="6"/>
  <c r="I11" i="6"/>
  <c r="H19" i="6"/>
  <c r="H21" i="6"/>
  <c r="H203" i="6" s="1"/>
  <c r="H20" i="6"/>
  <c r="H202" i="6" s="1"/>
  <c r="H15" i="6"/>
  <c r="H351" i="6" s="1"/>
  <c r="B22" i="6"/>
  <c r="B204" i="6" s="1"/>
  <c r="B128" i="6"/>
  <c r="C22" i="6"/>
  <c r="C133" i="6"/>
  <c r="C128" i="6"/>
  <c r="B132" i="6"/>
  <c r="K19" i="2" l="1"/>
  <c r="AA21" i="2"/>
  <c r="K21" i="2" s="1"/>
  <c r="AC16" i="2"/>
  <c r="M16" i="2" s="1"/>
  <c r="M14" i="2"/>
  <c r="G348" i="6"/>
  <c r="AB19" i="2"/>
  <c r="I352" i="6"/>
  <c r="AD14" i="2"/>
  <c r="G312" i="6"/>
  <c r="G341" i="6"/>
  <c r="H201" i="6"/>
  <c r="H311" i="6"/>
  <c r="I305" i="6"/>
  <c r="AD15" i="2" s="1"/>
  <c r="N15" i="2" s="1"/>
  <c r="I333" i="6"/>
  <c r="I334" i="6"/>
  <c r="G304" i="6"/>
  <c r="AB20" i="2" s="1"/>
  <c r="L20" i="2" s="1"/>
  <c r="G243" i="6"/>
  <c r="H94" i="6"/>
  <c r="H270" i="6"/>
  <c r="H236" i="6"/>
  <c r="H318" i="6"/>
  <c r="G319" i="6"/>
  <c r="G275" i="6"/>
  <c r="G199" i="6"/>
  <c r="G259" i="6"/>
  <c r="C204" i="6"/>
  <c r="D204" i="6"/>
  <c r="H133" i="6"/>
  <c r="G135" i="6"/>
  <c r="H132" i="6"/>
  <c r="H134" i="6"/>
  <c r="H128" i="6"/>
  <c r="H197" i="6"/>
  <c r="I124" i="6"/>
  <c r="I193" i="6"/>
  <c r="H61" i="6"/>
  <c r="G78" i="6"/>
  <c r="G110" i="6" s="1"/>
  <c r="G291" i="6" s="1"/>
  <c r="G130" i="6"/>
  <c r="I54" i="6"/>
  <c r="I89" i="6"/>
  <c r="H22" i="6"/>
  <c r="H204" i="6" s="1"/>
  <c r="I19" i="6"/>
  <c r="I20" i="6"/>
  <c r="I202" i="6" s="1"/>
  <c r="I15" i="6"/>
  <c r="I21" i="6"/>
  <c r="I203" i="6" s="1"/>
  <c r="J11" i="6"/>
  <c r="C17" i="6"/>
  <c r="X19" i="2" s="1"/>
  <c r="B17" i="6"/>
  <c r="C132" i="6"/>
  <c r="C134" i="6"/>
  <c r="C129" i="6"/>
  <c r="B135" i="6"/>
  <c r="B134" i="6"/>
  <c r="B129" i="6"/>
  <c r="AB21" i="2" l="1"/>
  <c r="L21" i="2" s="1"/>
  <c r="L19" i="2"/>
  <c r="N14" i="2"/>
  <c r="AD16" i="2"/>
  <c r="N16" i="2" s="1"/>
  <c r="J352" i="6"/>
  <c r="AE14" i="2"/>
  <c r="X21" i="2"/>
  <c r="H21" i="2" s="1"/>
  <c r="H19" i="2"/>
  <c r="B348" i="6"/>
  <c r="W19" i="2"/>
  <c r="I197" i="6"/>
  <c r="I351" i="6"/>
  <c r="C341" i="6"/>
  <c r="C348" i="6"/>
  <c r="B312" i="6"/>
  <c r="B341" i="6"/>
  <c r="I201" i="6"/>
  <c r="I311" i="6"/>
  <c r="C312" i="6"/>
  <c r="D312" i="6"/>
  <c r="C304" i="6"/>
  <c r="X20" i="2" s="1"/>
  <c r="H20" i="2" s="1"/>
  <c r="B307" i="6"/>
  <c r="B304" i="6"/>
  <c r="W20" i="2" s="1"/>
  <c r="G20" i="2" s="1"/>
  <c r="H243" i="6"/>
  <c r="J305" i="6"/>
  <c r="AE15" i="2" s="1"/>
  <c r="O15" i="2" s="1"/>
  <c r="J333" i="6"/>
  <c r="J334" i="6"/>
  <c r="I94" i="6"/>
  <c r="I270" i="6"/>
  <c r="I236" i="6"/>
  <c r="I318" i="6"/>
  <c r="H319" i="6"/>
  <c r="H275" i="6"/>
  <c r="C259" i="6"/>
  <c r="D259" i="6"/>
  <c r="B199" i="6"/>
  <c r="I134" i="6"/>
  <c r="H135" i="6"/>
  <c r="I133" i="6"/>
  <c r="I132" i="6"/>
  <c r="B78" i="6"/>
  <c r="C199" i="6"/>
  <c r="D199" i="6"/>
  <c r="I61" i="6"/>
  <c r="J124" i="6"/>
  <c r="J193" i="6"/>
  <c r="I22" i="6"/>
  <c r="I204" i="6" s="1"/>
  <c r="I128" i="6"/>
  <c r="J54" i="6"/>
  <c r="J89" i="6"/>
  <c r="C78" i="6"/>
  <c r="I17" i="6"/>
  <c r="J21" i="6"/>
  <c r="J203" i="6" s="1"/>
  <c r="J19" i="6"/>
  <c r="J20" i="6"/>
  <c r="J202" i="6" s="1"/>
  <c r="J15" i="6"/>
  <c r="H17" i="6"/>
  <c r="C135" i="6"/>
  <c r="B130" i="6"/>
  <c r="C130" i="6"/>
  <c r="G19" i="2" l="1"/>
  <c r="W21" i="2"/>
  <c r="G21" i="2" s="1"/>
  <c r="O14" i="2"/>
  <c r="AE16" i="2"/>
  <c r="O16" i="2" s="1"/>
  <c r="I348" i="6"/>
  <c r="AD19" i="2"/>
  <c r="H348" i="6"/>
  <c r="AC19" i="2"/>
  <c r="J197" i="6"/>
  <c r="J351" i="6"/>
  <c r="H312" i="6"/>
  <c r="H341" i="6"/>
  <c r="I312" i="6"/>
  <c r="I341" i="6"/>
  <c r="J201" i="6"/>
  <c r="J311" i="6"/>
  <c r="H304" i="6"/>
  <c r="AC20" i="2" s="1"/>
  <c r="M20" i="2" s="1"/>
  <c r="I304" i="6"/>
  <c r="AD20" i="2" s="1"/>
  <c r="N20" i="2" s="1"/>
  <c r="I243" i="6"/>
  <c r="I319" i="6"/>
  <c r="I275" i="6"/>
  <c r="J94" i="6"/>
  <c r="J270" i="6"/>
  <c r="J236" i="6"/>
  <c r="J318" i="6"/>
  <c r="H199" i="6"/>
  <c r="H259" i="6"/>
  <c r="I259" i="6"/>
  <c r="J134" i="6"/>
  <c r="J132" i="6"/>
  <c r="I135" i="6"/>
  <c r="J133" i="6"/>
  <c r="I199" i="6"/>
  <c r="J61" i="6"/>
  <c r="I78" i="6"/>
  <c r="I110" i="6" s="1"/>
  <c r="I130" i="6"/>
  <c r="H78" i="6"/>
  <c r="H110" i="6" s="1"/>
  <c r="H291" i="6" s="1"/>
  <c r="H130" i="6"/>
  <c r="J22" i="6"/>
  <c r="J204" i="6" s="1"/>
  <c r="J128" i="6"/>
  <c r="K54" i="6"/>
  <c r="K89" i="6"/>
  <c r="C67" i="6"/>
  <c r="J17" i="6"/>
  <c r="K11" i="6"/>
  <c r="N19" i="2" l="1"/>
  <c r="AD21" i="2"/>
  <c r="N21" i="2" s="1"/>
  <c r="AC21" i="2"/>
  <c r="M21" i="2" s="1"/>
  <c r="M19" i="2"/>
  <c r="J348" i="6"/>
  <c r="AE19" i="2"/>
  <c r="K352" i="6"/>
  <c r="AF14" i="2"/>
  <c r="J312" i="6"/>
  <c r="J341" i="6"/>
  <c r="J243" i="6"/>
  <c r="K334" i="6"/>
  <c r="K305" i="6"/>
  <c r="AF15" i="2" s="1"/>
  <c r="P15" i="2" s="1"/>
  <c r="K333" i="6"/>
  <c r="J304" i="6"/>
  <c r="AE20" i="2" s="1"/>
  <c r="O20" i="2" s="1"/>
  <c r="C249" i="6"/>
  <c r="C332" i="6"/>
  <c r="C307" i="6"/>
  <c r="I291" i="6"/>
  <c r="K94" i="6"/>
  <c r="K270" i="6"/>
  <c r="J275" i="6"/>
  <c r="J319" i="6"/>
  <c r="K236" i="6"/>
  <c r="K318" i="6"/>
  <c r="J199" i="6"/>
  <c r="J259" i="6"/>
  <c r="J135" i="6"/>
  <c r="K124" i="6"/>
  <c r="K193" i="6"/>
  <c r="K61" i="6"/>
  <c r="J78" i="6"/>
  <c r="J110" i="6" s="1"/>
  <c r="J291" i="6" s="1"/>
  <c r="J130" i="6"/>
  <c r="C70" i="6"/>
  <c r="C252" i="6" s="1"/>
  <c r="D67" i="6"/>
  <c r="K21" i="6"/>
  <c r="K203" i="6" s="1"/>
  <c r="K19" i="6"/>
  <c r="K20" i="6"/>
  <c r="K202" i="6" s="1"/>
  <c r="K15" i="6"/>
  <c r="K351" i="6" s="1"/>
  <c r="AE21" i="2" l="1"/>
  <c r="O21" i="2" s="1"/>
  <c r="O19" i="2"/>
  <c r="P14" i="2"/>
  <c r="AF16" i="2"/>
  <c r="P16" i="2" s="1"/>
  <c r="K201" i="6"/>
  <c r="K311" i="6"/>
  <c r="D249" i="6"/>
  <c r="D307" i="6"/>
  <c r="D332" i="6"/>
  <c r="K243" i="6"/>
  <c r="K319" i="6"/>
  <c r="K275" i="6"/>
  <c r="K134" i="6"/>
  <c r="K133" i="6"/>
  <c r="K132" i="6"/>
  <c r="D70" i="6"/>
  <c r="C183" i="6"/>
  <c r="C165" i="6"/>
  <c r="C170" i="6"/>
  <c r="C178" i="6"/>
  <c r="C164" i="6"/>
  <c r="C179" i="6"/>
  <c r="C163" i="6"/>
  <c r="C166" i="6"/>
  <c r="C171" i="6"/>
  <c r="C167" i="6"/>
  <c r="C174" i="6"/>
  <c r="K128" i="6"/>
  <c r="K197" i="6"/>
  <c r="C180" i="6"/>
  <c r="E67" i="6"/>
  <c r="K22" i="6"/>
  <c r="K204" i="6" s="1"/>
  <c r="E249" i="6" l="1"/>
  <c r="E307" i="6"/>
  <c r="E332" i="6"/>
  <c r="D180" i="6"/>
  <c r="D252" i="6"/>
  <c r="K135" i="6"/>
  <c r="E70" i="6"/>
  <c r="E252" i="6" s="1"/>
  <c r="D183" i="6"/>
  <c r="D164" i="6"/>
  <c r="D179" i="6"/>
  <c r="D163" i="6"/>
  <c r="D178" i="6"/>
  <c r="D165" i="6"/>
  <c r="D166" i="6"/>
  <c r="D170" i="6"/>
  <c r="D171" i="6"/>
  <c r="D167" i="6"/>
  <c r="D174" i="6"/>
  <c r="F67" i="6"/>
  <c r="K17" i="6"/>
  <c r="K348" i="6" l="1"/>
  <c r="AF19" i="2"/>
  <c r="K312" i="6"/>
  <c r="K341" i="6"/>
  <c r="K304" i="6"/>
  <c r="AF20" i="2" s="1"/>
  <c r="P20" i="2" s="1"/>
  <c r="F249" i="6"/>
  <c r="F307" i="6"/>
  <c r="F332" i="6"/>
  <c r="K199" i="6"/>
  <c r="K259" i="6"/>
  <c r="E180" i="6"/>
  <c r="F70" i="6"/>
  <c r="E183" i="6"/>
  <c r="E178" i="6"/>
  <c r="E170" i="6"/>
  <c r="E164" i="6"/>
  <c r="E179" i="6"/>
  <c r="E163" i="6"/>
  <c r="E166" i="6"/>
  <c r="E171" i="6"/>
  <c r="E165" i="6"/>
  <c r="E167" i="6"/>
  <c r="E174" i="6"/>
  <c r="K78" i="6"/>
  <c r="K110" i="6" s="1"/>
  <c r="K291" i="6" s="1"/>
  <c r="K130" i="6"/>
  <c r="G67" i="6"/>
  <c r="AF21" i="2" l="1"/>
  <c r="P21" i="2" s="1"/>
  <c r="P19" i="2"/>
  <c r="G249" i="6"/>
  <c r="G307" i="6"/>
  <c r="G332" i="6"/>
  <c r="F180" i="6"/>
  <c r="F252" i="6"/>
  <c r="G70" i="6"/>
  <c r="F183" i="6"/>
  <c r="F166" i="6"/>
  <c r="F178" i="6"/>
  <c r="F165" i="6"/>
  <c r="F170" i="6"/>
  <c r="F179" i="6"/>
  <c r="F171" i="6"/>
  <c r="F163" i="6"/>
  <c r="F164" i="6"/>
  <c r="F167" i="6"/>
  <c r="F174" i="6"/>
  <c r="H67" i="6"/>
  <c r="B28" i="4"/>
  <c r="H249" i="6" l="1"/>
  <c r="H332" i="6"/>
  <c r="H307" i="6"/>
  <c r="G180" i="6"/>
  <c r="G252" i="6"/>
  <c r="H70" i="6"/>
  <c r="G183" i="6"/>
  <c r="G178" i="6"/>
  <c r="G166" i="6"/>
  <c r="G163" i="6"/>
  <c r="G179" i="6"/>
  <c r="G171" i="6"/>
  <c r="G164" i="6"/>
  <c r="G165" i="6"/>
  <c r="G170" i="6"/>
  <c r="G167" i="6"/>
  <c r="G174" i="6"/>
  <c r="I67" i="6"/>
  <c r="I249" i="6" l="1"/>
  <c r="I307" i="6"/>
  <c r="I332" i="6"/>
  <c r="H180" i="6"/>
  <c r="H252" i="6"/>
  <c r="I70" i="6"/>
  <c r="H183" i="6"/>
  <c r="H179" i="6"/>
  <c r="H163" i="6"/>
  <c r="H165" i="6"/>
  <c r="H166" i="6"/>
  <c r="H170" i="6"/>
  <c r="H171" i="6"/>
  <c r="H178" i="6"/>
  <c r="H164" i="6"/>
  <c r="H167" i="6"/>
  <c r="H174" i="6"/>
  <c r="J67" i="6"/>
  <c r="J249" i="6" l="1"/>
  <c r="J332" i="6"/>
  <c r="J307" i="6"/>
  <c r="I180" i="6"/>
  <c r="I252" i="6"/>
  <c r="J70" i="6"/>
  <c r="J252" i="6" s="1"/>
  <c r="I183" i="6"/>
  <c r="I165" i="6"/>
  <c r="I164" i="6"/>
  <c r="I163" i="6"/>
  <c r="I166" i="6"/>
  <c r="I179" i="6"/>
  <c r="I171" i="6"/>
  <c r="I178" i="6"/>
  <c r="I170" i="6"/>
  <c r="I167" i="6"/>
  <c r="I174" i="6"/>
  <c r="K67" i="6"/>
  <c r="J180" i="6" l="1"/>
  <c r="K249" i="6"/>
  <c r="K332" i="6"/>
  <c r="K307" i="6"/>
  <c r="J183" i="6"/>
  <c r="J178" i="6"/>
  <c r="J179" i="6"/>
  <c r="J171" i="6"/>
  <c r="J163" i="6"/>
  <c r="J164" i="6"/>
  <c r="J166" i="6"/>
  <c r="J165" i="6"/>
  <c r="J170" i="6"/>
  <c r="J167" i="6"/>
  <c r="J174" i="6"/>
  <c r="K70" i="6"/>
  <c r="K252" i="6" s="1"/>
  <c r="K183" i="6" l="1"/>
  <c r="K166" i="6"/>
  <c r="K163" i="6"/>
  <c r="K164" i="6"/>
  <c r="K171" i="6"/>
  <c r="K179" i="6"/>
  <c r="K165" i="6"/>
  <c r="K170" i="6"/>
  <c r="K178" i="6"/>
  <c r="K167" i="6"/>
  <c r="K174" i="6"/>
  <c r="K180" i="6"/>
  <c r="B41" i="6"/>
  <c r="B112" i="6"/>
  <c r="B223" i="6" l="1"/>
  <c r="C223" i="6"/>
  <c r="C110" i="6"/>
  <c r="B35" i="6"/>
  <c r="B217" i="6" l="1"/>
  <c r="B317" i="6"/>
  <c r="B316" i="6"/>
  <c r="C291" i="6"/>
  <c r="D291" i="6"/>
  <c r="B44" i="6"/>
  <c r="C112" i="6"/>
  <c r="B148" i="6" l="1"/>
  <c r="B71" i="6"/>
  <c r="B343" i="6"/>
  <c r="B350" i="6" s="1"/>
  <c r="B342" i="6"/>
  <c r="B322" i="6"/>
  <c r="B226" i="6"/>
  <c r="B331" i="6"/>
  <c r="B306" i="6"/>
  <c r="C35" i="6"/>
  <c r="C44" i="6" s="1"/>
  <c r="C343" i="6" s="1"/>
  <c r="C350" i="6" s="1"/>
  <c r="C293" i="6"/>
  <c r="B152" i="6"/>
  <c r="B151" i="6"/>
  <c r="B143" i="6"/>
  <c r="B153" i="6"/>
  <c r="B145" i="6"/>
  <c r="B146" i="6"/>
  <c r="B144" i="6"/>
  <c r="B147" i="6"/>
  <c r="B154" i="6"/>
  <c r="D112" i="6"/>
  <c r="D293" i="6" s="1"/>
  <c r="B345" i="6" l="1"/>
  <c r="B349" i="6"/>
  <c r="B354" i="6" s="1"/>
  <c r="C342" i="6"/>
  <c r="C322" i="6"/>
  <c r="C226" i="6"/>
  <c r="C331" i="6"/>
  <c r="C306" i="6"/>
  <c r="C217" i="6"/>
  <c r="C317" i="6"/>
  <c r="C316" i="6"/>
  <c r="C143" i="6"/>
  <c r="C145" i="6"/>
  <c r="C144" i="6"/>
  <c r="C151" i="6"/>
  <c r="C146" i="6"/>
  <c r="C153" i="6"/>
  <c r="C152" i="6"/>
  <c r="C147" i="6"/>
  <c r="C154" i="6"/>
  <c r="C148" i="6"/>
  <c r="E112" i="6"/>
  <c r="E293" i="6" s="1"/>
  <c r="D35" i="6"/>
  <c r="C71" i="6"/>
  <c r="C345" i="6" l="1"/>
  <c r="C349" i="6"/>
  <c r="C354" i="6" s="1"/>
  <c r="D217" i="6"/>
  <c r="D317" i="6"/>
  <c r="D316" i="6"/>
  <c r="D44" i="6"/>
  <c r="F112" i="6"/>
  <c r="F293" i="6" s="1"/>
  <c r="E35" i="6"/>
  <c r="D343" i="6" l="1"/>
  <c r="D350" i="6" s="1"/>
  <c r="D342" i="6"/>
  <c r="D322" i="6"/>
  <c r="D306" i="6"/>
  <c r="D331" i="6"/>
  <c r="E217" i="6"/>
  <c r="E317" i="6"/>
  <c r="E316" i="6"/>
  <c r="D148" i="6"/>
  <c r="D226" i="6"/>
  <c r="E44" i="6"/>
  <c r="E342" i="6" s="1"/>
  <c r="E349" i="6" s="1"/>
  <c r="D71" i="6"/>
  <c r="D145" i="6"/>
  <c r="D143" i="6"/>
  <c r="D144" i="6"/>
  <c r="D146" i="6"/>
  <c r="D152" i="6"/>
  <c r="D147" i="6"/>
  <c r="D151" i="6"/>
  <c r="D153" i="6"/>
  <c r="D154" i="6"/>
  <c r="G112" i="6"/>
  <c r="G293" i="6" s="1"/>
  <c r="F35" i="6"/>
  <c r="D345" i="6" l="1"/>
  <c r="D349" i="6"/>
  <c r="D354" i="6" s="1"/>
  <c r="E343" i="6"/>
  <c r="E322" i="6"/>
  <c r="E226" i="6"/>
  <c r="E306" i="6"/>
  <c r="E331" i="6"/>
  <c r="E148" i="6"/>
  <c r="F217" i="6"/>
  <c r="F316" i="6"/>
  <c r="F317" i="6"/>
  <c r="F44" i="6"/>
  <c r="F343" i="6" s="1"/>
  <c r="F350" i="6" s="1"/>
  <c r="E71" i="6"/>
  <c r="E152" i="6"/>
  <c r="E153" i="6"/>
  <c r="E143" i="6"/>
  <c r="E146" i="6"/>
  <c r="E145" i="6"/>
  <c r="E147" i="6"/>
  <c r="E144" i="6"/>
  <c r="E151" i="6"/>
  <c r="E154" i="6"/>
  <c r="H112" i="6"/>
  <c r="H293" i="6" s="1"/>
  <c r="G35" i="6"/>
  <c r="E345" i="6" l="1"/>
  <c r="E350" i="6"/>
  <c r="E354" i="6" s="1"/>
  <c r="F342" i="6"/>
  <c r="F322" i="6"/>
  <c r="F331" i="6"/>
  <c r="F306" i="6"/>
  <c r="G217" i="6"/>
  <c r="G317" i="6"/>
  <c r="G316" i="6"/>
  <c r="F148" i="6"/>
  <c r="F226" i="6"/>
  <c r="G44" i="6"/>
  <c r="F71" i="6"/>
  <c r="F147" i="6"/>
  <c r="F144" i="6"/>
  <c r="F143" i="6"/>
  <c r="F145" i="6"/>
  <c r="F151" i="6"/>
  <c r="F153" i="6"/>
  <c r="F146" i="6"/>
  <c r="F152" i="6"/>
  <c r="F154" i="6"/>
  <c r="I112" i="6"/>
  <c r="I293" i="6" s="1"/>
  <c r="H35" i="6"/>
  <c r="F345" i="6" l="1"/>
  <c r="F349" i="6"/>
  <c r="F354" i="6" s="1"/>
  <c r="G342" i="6"/>
  <c r="G349" i="6" s="1"/>
  <c r="G343" i="6"/>
  <c r="G350" i="6" s="1"/>
  <c r="G322" i="6"/>
  <c r="G226" i="6"/>
  <c r="G331" i="6"/>
  <c r="G306" i="6"/>
  <c r="G148" i="6"/>
  <c r="H217" i="6"/>
  <c r="H317" i="6"/>
  <c r="H316" i="6"/>
  <c r="H44" i="6"/>
  <c r="H342" i="6" s="1"/>
  <c r="H349" i="6" s="1"/>
  <c r="G71" i="6"/>
  <c r="G146" i="6"/>
  <c r="G145" i="6"/>
  <c r="G153" i="6"/>
  <c r="G152" i="6"/>
  <c r="G143" i="6"/>
  <c r="G147" i="6"/>
  <c r="G151" i="6"/>
  <c r="G144" i="6"/>
  <c r="G154" i="6"/>
  <c r="J112" i="6"/>
  <c r="J293" i="6" s="1"/>
  <c r="I35" i="6"/>
  <c r="G354" i="6" l="1"/>
  <c r="G345" i="6"/>
  <c r="H343" i="6"/>
  <c r="H322" i="6"/>
  <c r="H331" i="6"/>
  <c r="H306" i="6"/>
  <c r="I217" i="6"/>
  <c r="I317" i="6"/>
  <c r="I316" i="6"/>
  <c r="H148" i="6"/>
  <c r="H226" i="6"/>
  <c r="I44" i="6"/>
  <c r="I343" i="6" s="1"/>
  <c r="I350" i="6" s="1"/>
  <c r="H71" i="6"/>
  <c r="H144" i="6"/>
  <c r="H146" i="6"/>
  <c r="H152" i="6"/>
  <c r="H151" i="6"/>
  <c r="H147" i="6"/>
  <c r="H153" i="6"/>
  <c r="H145" i="6"/>
  <c r="H143" i="6"/>
  <c r="H154" i="6"/>
  <c r="J35" i="6"/>
  <c r="I342" i="6" l="1"/>
  <c r="H345" i="6"/>
  <c r="H350" i="6"/>
  <c r="H354" i="6" s="1"/>
  <c r="I345" i="6"/>
  <c r="I349" i="6"/>
  <c r="I354" i="6" s="1"/>
  <c r="I322" i="6"/>
  <c r="I226" i="6"/>
  <c r="I306" i="6"/>
  <c r="I331" i="6"/>
  <c r="I148" i="6"/>
  <c r="J217" i="6"/>
  <c r="J316" i="6"/>
  <c r="J317" i="6"/>
  <c r="J44" i="6"/>
  <c r="I71" i="6"/>
  <c r="I143" i="6"/>
  <c r="I146" i="6"/>
  <c r="I145" i="6"/>
  <c r="I147" i="6"/>
  <c r="I151" i="6"/>
  <c r="I144" i="6"/>
  <c r="I152" i="6"/>
  <c r="I153" i="6"/>
  <c r="I154" i="6"/>
  <c r="K112" i="6"/>
  <c r="K293" i="6" s="1"/>
  <c r="J342" i="6" l="1"/>
  <c r="J349" i="6" s="1"/>
  <c r="J343" i="6"/>
  <c r="J322" i="6"/>
  <c r="J306" i="6"/>
  <c r="J331" i="6"/>
  <c r="J148" i="6"/>
  <c r="J226" i="6"/>
  <c r="J71" i="6"/>
  <c r="J144" i="6"/>
  <c r="J147" i="6"/>
  <c r="J143" i="6"/>
  <c r="J145" i="6"/>
  <c r="J151" i="6"/>
  <c r="J153" i="6"/>
  <c r="J152" i="6"/>
  <c r="J146" i="6"/>
  <c r="J154" i="6"/>
  <c r="J345" i="6" l="1"/>
  <c r="J350" i="6"/>
  <c r="J354" i="6" s="1"/>
  <c r="K35" i="6"/>
  <c r="K217" i="6" l="1"/>
  <c r="K317" i="6"/>
  <c r="K316" i="6"/>
  <c r="K44" i="6"/>
  <c r="K322" i="6" l="1"/>
  <c r="K343" i="6"/>
  <c r="K350" i="6" s="1"/>
  <c r="K342" i="6"/>
  <c r="K226" i="6"/>
  <c r="K331" i="6"/>
  <c r="K306" i="6"/>
  <c r="K152" i="6"/>
  <c r="K151" i="6"/>
  <c r="K147" i="6"/>
  <c r="K144" i="6"/>
  <c r="K143" i="6"/>
  <c r="K146" i="6"/>
  <c r="K145" i="6"/>
  <c r="K153" i="6"/>
  <c r="K154" i="6"/>
  <c r="K148" i="6"/>
  <c r="K71" i="6"/>
  <c r="K345" i="6" l="1"/>
  <c r="K349" i="6"/>
  <c r="K354" i="6" s="1"/>
</calcChain>
</file>

<file path=xl/sharedStrings.xml><?xml version="1.0" encoding="utf-8"?>
<sst xmlns="http://schemas.openxmlformats.org/spreadsheetml/2006/main" count="606" uniqueCount="211">
  <si>
    <t>AB FinMod Ltd</t>
  </si>
  <si>
    <t>Financial Model - Vertical Orientation</t>
  </si>
  <si>
    <t>Completed By:</t>
  </si>
  <si>
    <t>Abhimanyu Babbar</t>
  </si>
  <si>
    <t>Summary Outputs</t>
  </si>
  <si>
    <t>Trend</t>
  </si>
  <si>
    <t>Income Statement Items</t>
  </si>
  <si>
    <t>Sales</t>
  </si>
  <si>
    <t>Operating Profit</t>
  </si>
  <si>
    <t>Net Income</t>
  </si>
  <si>
    <t>SUMMARY VALUES</t>
  </si>
  <si>
    <t>Narration</t>
  </si>
  <si>
    <t>Expenses</t>
  </si>
  <si>
    <t>Other Income</t>
  </si>
  <si>
    <t>Depreciation</t>
  </si>
  <si>
    <t>Interest</t>
  </si>
  <si>
    <t>Profit before tax</t>
  </si>
  <si>
    <t>Tax</t>
  </si>
  <si>
    <t>Net profit</t>
  </si>
  <si>
    <t>EBIT</t>
  </si>
  <si>
    <t>EBT</t>
  </si>
  <si>
    <t>EAT</t>
  </si>
  <si>
    <t xml:space="preserve">   Growth</t>
  </si>
  <si>
    <t>(%)</t>
  </si>
  <si>
    <t>EBITDA</t>
  </si>
  <si>
    <t xml:space="preserve">   Margin</t>
  </si>
  <si>
    <t>(₹)</t>
  </si>
  <si>
    <t>Equity Share Capital</t>
  </si>
  <si>
    <t>Reserves</t>
  </si>
  <si>
    <t>Borrowings</t>
  </si>
  <si>
    <t>Other Liabilities</t>
  </si>
  <si>
    <t>Net Block</t>
  </si>
  <si>
    <t>Capital Work in Progress</t>
  </si>
  <si>
    <t>Investments</t>
  </si>
  <si>
    <t>Other Assets</t>
  </si>
  <si>
    <t>Working Capital</t>
  </si>
  <si>
    <t>Inventory</t>
  </si>
  <si>
    <t>Total Liabilities and Equity</t>
  </si>
  <si>
    <t>Total Assets</t>
  </si>
  <si>
    <t>Cash and Bank</t>
  </si>
  <si>
    <t>No: of equity shares</t>
  </si>
  <si>
    <t>FINANCIAL STATEMENTS</t>
  </si>
  <si>
    <t>Historical</t>
  </si>
  <si>
    <t>X</t>
  </si>
  <si>
    <t>Notes</t>
  </si>
  <si>
    <t>(Less) Expenses</t>
  </si>
  <si>
    <t>ASSETS</t>
  </si>
  <si>
    <t>Current Assets</t>
  </si>
  <si>
    <t>Total Current Assets</t>
  </si>
  <si>
    <t>Non-Current Assets</t>
  </si>
  <si>
    <t>Total Non-Current Assets</t>
  </si>
  <si>
    <t>TOTAL ASSETS</t>
  </si>
  <si>
    <t>LIABILITIES</t>
  </si>
  <si>
    <t>Current Liabilities</t>
  </si>
  <si>
    <t>Total Current Labilities</t>
  </si>
  <si>
    <t>Non-Current Liabilities</t>
  </si>
  <si>
    <t>Total Non-Current Liabilities</t>
  </si>
  <si>
    <t>TOTAL LIABILITIES</t>
  </si>
  <si>
    <t>EQUITY</t>
  </si>
  <si>
    <t>Total Equity</t>
  </si>
  <si>
    <t>TOTAL LIABILITIES AND EQUITY</t>
  </si>
  <si>
    <t>CHECK</t>
  </si>
  <si>
    <t>Add: Non-Cash Items</t>
  </si>
  <si>
    <t>Changes in Net Working Capital</t>
  </si>
  <si>
    <t>(Less) Inventory</t>
  </si>
  <si>
    <t>(Add) Other Liabilities</t>
  </si>
  <si>
    <t>Net Cash Flow generated from Operating Activities</t>
  </si>
  <si>
    <t>This already excludes tax, hence we are not deducting it towards the end.</t>
  </si>
  <si>
    <t>Changes in Work-In-Progress</t>
  </si>
  <si>
    <t>Changes in Investments</t>
  </si>
  <si>
    <t>Changes in Net Block</t>
  </si>
  <si>
    <t>a) INCOME STATEMENT</t>
  </si>
  <si>
    <t>b) BALANCE SHEET</t>
  </si>
  <si>
    <t>c) CASH FLOW STATEMENT</t>
  </si>
  <si>
    <t>Net Cash Flow generated from Investing Activities</t>
  </si>
  <si>
    <t>Changes in Borrowings</t>
  </si>
  <si>
    <t>Net Cash (A+B+C)</t>
  </si>
  <si>
    <t>A) Cash from Operating Activities</t>
  </si>
  <si>
    <t>B) Cash from Investing Activities</t>
  </si>
  <si>
    <t>C) Cash from Financing Activities</t>
  </si>
  <si>
    <t>Net Cash Flow generated from Financing Activities</t>
  </si>
  <si>
    <t>Opening Cash Balance</t>
  </si>
  <si>
    <t>Closing Cash Balance</t>
  </si>
  <si>
    <t>3) RATIO ANALYSIS</t>
  </si>
  <si>
    <t>2) COMMON-SIZE FINANCIAL STATEMENTS</t>
  </si>
  <si>
    <t>b) Profitability Ratios</t>
  </si>
  <si>
    <t>a) Valuation Ratios</t>
  </si>
  <si>
    <t>c) Growth Ratios</t>
  </si>
  <si>
    <t>d) Liquidity Ratios</t>
  </si>
  <si>
    <t>e) Operating Efficiency Ratios</t>
  </si>
  <si>
    <t>f) Leverage Ratios</t>
  </si>
  <si>
    <t>4) DUPONT ANALYSIS</t>
  </si>
  <si>
    <t>DLF Ltd</t>
  </si>
  <si>
    <t>EPS</t>
  </si>
  <si>
    <t>Price to Earning</t>
  </si>
  <si>
    <t>Price</t>
  </si>
  <si>
    <t>Tax Rate</t>
  </si>
  <si>
    <t>DLF LTD</t>
  </si>
  <si>
    <t>Non Controlling Interest</t>
  </si>
  <si>
    <t>Trade Payables</t>
  </si>
  <si>
    <t>Advance from Customers</t>
  </si>
  <si>
    <t>Other Liability Items</t>
  </si>
  <si>
    <t>Fixed Assets -</t>
  </si>
  <si>
    <t>Operating Profit (EBIT)</t>
  </si>
  <si>
    <t>Loans and Advances</t>
  </si>
  <si>
    <t>Trade Receivables</t>
  </si>
  <si>
    <t>Current Assets -</t>
  </si>
  <si>
    <t>Non Current Liabilities -</t>
  </si>
  <si>
    <t>Current Liabilities -</t>
  </si>
  <si>
    <t>Equity and Shareholders Funds -</t>
  </si>
  <si>
    <t>Dividend Payout %</t>
  </si>
  <si>
    <t>(Less) Trade Receivables</t>
  </si>
  <si>
    <t>(Less) Loans and Advances</t>
  </si>
  <si>
    <t>(Less) Other Assets</t>
  </si>
  <si>
    <t>(Add) Non Controlling Interest</t>
  </si>
  <si>
    <t>(Add) Trade Payables</t>
  </si>
  <si>
    <t>(Add) Advance from Customers</t>
  </si>
  <si>
    <t>a) 3 Step Dupont Analysis</t>
  </si>
  <si>
    <t>b) 5 Step Dupont Analysis</t>
  </si>
  <si>
    <t>Price to Earnings Ratio (P/E Ratio)</t>
  </si>
  <si>
    <t>Dividend Yield Ratio</t>
  </si>
  <si>
    <t>PE Ratio = MPS/EPS</t>
  </si>
  <si>
    <t>Dividend Yield Ratio = DPS/EPS</t>
  </si>
  <si>
    <t>Current Ratio</t>
  </si>
  <si>
    <t>Quick Ratio</t>
  </si>
  <si>
    <t>Cash Ratio</t>
  </si>
  <si>
    <t>Operating Cash Flow Ratio</t>
  </si>
  <si>
    <t>Debt ratio</t>
  </si>
  <si>
    <t>Debt to Equity Ratio</t>
  </si>
  <si>
    <t>Interest Coverage Ratio</t>
  </si>
  <si>
    <t>Debt Service Coverage Ratio</t>
  </si>
  <si>
    <t>Interest Coverage Ratio = Operating Income/Interest Expenses</t>
  </si>
  <si>
    <t>Debt to Equity Ratio = Total Liabilities/Equity</t>
  </si>
  <si>
    <t>Debt Ratio = Total Liabilities/Total Assets</t>
  </si>
  <si>
    <t>Current Ratio = Current Assets/Current Liabilities</t>
  </si>
  <si>
    <t>Quick Ratio = (Current Assets-Inventories-Prepaid expenses)/Current Liabilities</t>
  </si>
  <si>
    <t>Cash Ratio = Cash/Current Liabilities</t>
  </si>
  <si>
    <t>Operating Cash Flow Ratio = Operating Cash Flow/Current Liabilities</t>
  </si>
  <si>
    <t>Debt Service Coverage Ratio = Operating Income/Total Debt</t>
  </si>
  <si>
    <t>Net Profit Ratio</t>
  </si>
  <si>
    <t>Operating Profit Margin Ratio</t>
  </si>
  <si>
    <t>Return on Assets Ratio</t>
  </si>
  <si>
    <t>Return on Equity Ratio</t>
  </si>
  <si>
    <t>Net Profit Ratio = Net Profit/Sales*100</t>
  </si>
  <si>
    <t>Operating Profit Margin Ratio = Operating Profit/ Sales * 100</t>
  </si>
  <si>
    <t>Return on Equity Ratio = Net Profit/Shareholders Equity * 100</t>
  </si>
  <si>
    <t>Return on Assets Ratio = Net Profit/Total Assets * 100</t>
  </si>
  <si>
    <t>Asset Turnover Ratio</t>
  </si>
  <si>
    <t>Inventory Turnover Ratio</t>
  </si>
  <si>
    <t>Receivables Turnover Ratio</t>
  </si>
  <si>
    <t>Inventory Turnover Days</t>
  </si>
  <si>
    <t>Accounts Receivables Turnover Days</t>
  </si>
  <si>
    <t>Payables Turnover Ratio</t>
  </si>
  <si>
    <t>Accounts Payable Days</t>
  </si>
  <si>
    <t>Asset Turnover Ratio = Net Sales/Average Total Assets</t>
  </si>
  <si>
    <t>Inventory Turnover Ratio = Sales / Average inventory (As there is no COGS)</t>
  </si>
  <si>
    <t>Receivables Turnover Ratio = Sales/Average Trade Receivables</t>
  </si>
  <si>
    <t>Accounts Receivables Days = 365/Receivables Turnover Ratio</t>
  </si>
  <si>
    <t>Payables Turnover Ratio = Sales/Average Trade Payables (As there is no COGS)</t>
  </si>
  <si>
    <t>Inventory Days = 365/Inventory Turnover Ratio</t>
  </si>
  <si>
    <t>Accounts Payables Days = 365/Accounts Payables Ratio</t>
  </si>
  <si>
    <t>Net Sales Growth</t>
  </si>
  <si>
    <t>EBITDA Growth</t>
  </si>
  <si>
    <t>Net Profit Growth</t>
  </si>
  <si>
    <t>EPS Growth</t>
  </si>
  <si>
    <t>Net Sales Growth = (CY-PY)/PY of Sales</t>
  </si>
  <si>
    <t>EBITDA Growth = (CY-PY)/PY of EBITDA</t>
  </si>
  <si>
    <t>Net Profit Growth = (CY-PY)/PY of Profit</t>
  </si>
  <si>
    <t>EPS Growth = (CY-PY)/PY of EPS</t>
  </si>
  <si>
    <t>(A) Net Income/Revenue</t>
  </si>
  <si>
    <t>(C) Average Total Assets/Average Total Equity</t>
  </si>
  <si>
    <t>(B) Revenue/Average Total Assets</t>
  </si>
  <si>
    <t>(A) Tax Burden = Net Income/Pre Tax Income</t>
  </si>
  <si>
    <t>(B) Asset Turnover = Revenue/Average Total Assets</t>
  </si>
  <si>
    <t>(C) Financial Leverage Ratio = Average Total Assets/Average Shareholders Equity</t>
  </si>
  <si>
    <t>(D) Interest Burden = Pre Tax Income / Operating Income</t>
  </si>
  <si>
    <t>(E) Operating Income Margin = Operating Income/Revenue</t>
  </si>
  <si>
    <t>Return on Equity (ROE) (A*B*C)</t>
  </si>
  <si>
    <t>Return on Equity (ROE) (A*B*C*D*E)</t>
  </si>
  <si>
    <t>A) VERTICAL/MARGINAL ANALYSIS</t>
  </si>
  <si>
    <t>B) HORIZONTAL/TREND ANALYSIS</t>
  </si>
  <si>
    <t>i) INCOME STATEMENT</t>
  </si>
  <si>
    <t>ii) BALANCE SHEET</t>
  </si>
  <si>
    <t>iii) CASH FLOW STATEMENT</t>
  </si>
  <si>
    <t>Financial Modelling Services</t>
  </si>
  <si>
    <t>Colour Code</t>
  </si>
  <si>
    <t>What does it indicate?</t>
  </si>
  <si>
    <t>XXX</t>
  </si>
  <si>
    <t>Historical Data that needs to be calculated.</t>
  </si>
  <si>
    <t>Main Headers</t>
  </si>
  <si>
    <t>Sub Headers</t>
  </si>
  <si>
    <t>Notes in the Financial Model.</t>
  </si>
  <si>
    <t>Important notes.</t>
  </si>
  <si>
    <t>This a 10 year historical financial model of DLF Limited dated from 31/03/2015 to 31/03/2024.</t>
  </si>
  <si>
    <t>Tab Name</t>
  </si>
  <si>
    <t>Tab Link</t>
  </si>
  <si>
    <t>Cover Page</t>
  </si>
  <si>
    <t>Cover</t>
  </si>
  <si>
    <t>Read Me</t>
  </si>
  <si>
    <t>Summary</t>
  </si>
  <si>
    <t>DLF Financial Model</t>
  </si>
  <si>
    <t>DLF Model</t>
  </si>
  <si>
    <t>DLF Income Statement</t>
  </si>
  <si>
    <t>DLF Balance Sheet</t>
  </si>
  <si>
    <t>DLF_Income_Statement</t>
  </si>
  <si>
    <t>DLF_Balance_Sheet</t>
  </si>
  <si>
    <t xml:space="preserve">We have performed a vertical model which comprises of the Income Statement, Balance Sheet and Cash Flow Statement. </t>
  </si>
  <si>
    <t xml:space="preserve">It includes a summary of the growth of Sales, Operating Profit and Net Income. </t>
  </si>
  <si>
    <t xml:space="preserve">It also includes a vertical and horizontal form of analysis along with ratio and DuPont analysis. </t>
  </si>
  <si>
    <t>The below comprises of the necessary colour codes followed in the Financial Model..</t>
  </si>
  <si>
    <t>Refer to the Table of Contents for the various tabs and the links to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</si>
</sst>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[$-F800]dddd\,\ mmmm\ dd\,\ yyyy"/>
    <numFmt numFmtId="165" formatCode="0\A"/>
    <numFmt numFmtId="166" formatCode="0\F"/>
    <numFmt numFmtId="167" formatCode="[$-409]mmm\-yy;@"/>
    <numFmt numFmtId="168" formatCode="0.0%;\(0.0%\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rgb="FF002060"/>
      <name val="Snap ITC"/>
      <family val="5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26"/>
      <color rgb="FF0070C0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i/>
      <sz val="14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u/>
      <sz val="10"/>
      <name val="Arial"/>
      <family val="2"/>
    </font>
    <font>
      <i/>
      <sz val="10"/>
      <color theme="1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sz val="8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11"/>
      <color theme="1"/>
      <name val="Arial"/>
      <family val="2"/>
    </font>
    <font>
      <b/>
      <sz val="14"/>
      <color rgb="FF0070C0"/>
      <name val="Arial"/>
      <family val="2"/>
    </font>
    <font>
      <b/>
      <sz val="11"/>
      <color rgb="FFFF0000"/>
      <name val="Arial"/>
      <family val="2"/>
    </font>
    <font>
      <sz val="9"/>
      <color theme="1"/>
      <name val="Arial"/>
      <family val="2"/>
    </font>
    <font>
      <b/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2F6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002F6C"/>
      </left>
      <right/>
      <top style="thin">
        <color rgb="FF002F6C"/>
      </top>
      <bottom/>
      <diagonal/>
    </border>
    <border>
      <left/>
      <right/>
      <top style="thin">
        <color rgb="FF002F6C"/>
      </top>
      <bottom/>
      <diagonal/>
    </border>
    <border>
      <left/>
      <right style="thin">
        <color rgb="FF002F6C"/>
      </right>
      <top style="thin">
        <color rgb="FF002F6C"/>
      </top>
      <bottom/>
      <diagonal/>
    </border>
    <border>
      <left style="thin">
        <color rgb="FF002F6C"/>
      </left>
      <right/>
      <top/>
      <bottom/>
      <diagonal/>
    </border>
    <border>
      <left/>
      <right style="thin">
        <color rgb="FF002F6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0" fontId="26" fillId="0" borderId="0" applyNumberFormat="0" applyFill="0" applyBorder="0" applyAlignment="0" applyProtection="0"/>
  </cellStyleXfs>
  <cellXfs count="17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1" xfId="0" applyFont="1" applyBorder="1"/>
    <xf numFmtId="0" fontId="4" fillId="2" borderId="0" xfId="0" applyFont="1" applyFill="1"/>
    <xf numFmtId="0" fontId="2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9" fillId="0" borderId="0" xfId="3" applyFont="1" applyAlignment="1">
      <alignment horizontal="centerContinuous"/>
    </xf>
    <xf numFmtId="0" fontId="10" fillId="0" borderId="0" xfId="3" applyFont="1" applyAlignment="1">
      <alignment horizontal="centerContinuous"/>
    </xf>
    <xf numFmtId="0" fontId="11" fillId="0" borderId="0" xfId="3" applyFont="1" applyAlignment="1">
      <alignment horizontal="centerContinuous"/>
    </xf>
    <xf numFmtId="0" fontId="8" fillId="3" borderId="2" xfId="3" applyFill="1" applyBorder="1" applyAlignment="1">
      <alignment vertical="center"/>
    </xf>
    <xf numFmtId="0" fontId="8" fillId="3" borderId="3" xfId="3" applyFill="1" applyBorder="1" applyAlignment="1">
      <alignment vertical="center"/>
    </xf>
    <xf numFmtId="0" fontId="12" fillId="3" borderId="3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/>
    </xf>
    <xf numFmtId="0" fontId="8" fillId="3" borderId="5" xfId="3" applyFill="1" applyBorder="1" applyAlignment="1">
      <alignment vertical="center"/>
    </xf>
    <xf numFmtId="0" fontId="13" fillId="3" borderId="0" xfId="3" applyFont="1" applyFill="1" applyAlignment="1">
      <alignment vertical="center"/>
    </xf>
    <xf numFmtId="0" fontId="8" fillId="3" borderId="0" xfId="3" applyFill="1" applyAlignment="1">
      <alignment vertical="center"/>
    </xf>
    <xf numFmtId="0" fontId="12" fillId="3" borderId="6" xfId="3" applyFont="1" applyFill="1" applyBorder="1" applyAlignment="1">
      <alignment vertical="center"/>
    </xf>
    <xf numFmtId="0" fontId="15" fillId="0" borderId="0" xfId="0" applyFont="1"/>
    <xf numFmtId="43" fontId="3" fillId="0" borderId="0" xfId="1" applyFont="1" applyBorder="1"/>
    <xf numFmtId="43" fontId="4" fillId="0" borderId="0" xfId="1" applyFont="1" applyBorder="1"/>
    <xf numFmtId="0" fontId="3" fillId="0" borderId="10" xfId="0" applyFont="1" applyBorder="1"/>
    <xf numFmtId="0" fontId="4" fillId="0" borderId="11" xfId="0" applyFont="1" applyBorder="1"/>
    <xf numFmtId="0" fontId="3" fillId="0" borderId="11" xfId="0" applyFont="1" applyBorder="1"/>
    <xf numFmtId="0" fontId="3" fillId="0" borderId="12" xfId="0" applyFont="1" applyBorder="1"/>
    <xf numFmtId="0" fontId="13" fillId="4" borderId="7" xfId="0" applyFont="1" applyFill="1" applyBorder="1"/>
    <xf numFmtId="167" fontId="13" fillId="4" borderId="8" xfId="0" applyNumberFormat="1" applyFont="1" applyFill="1" applyBorder="1" applyAlignment="1">
      <alignment horizontal="center"/>
    </xf>
    <xf numFmtId="167" fontId="13" fillId="4" borderId="9" xfId="0" applyNumberFormat="1" applyFont="1" applyFill="1" applyBorder="1" applyAlignment="1">
      <alignment horizontal="center"/>
    </xf>
    <xf numFmtId="0" fontId="8" fillId="0" borderId="0" xfId="3"/>
    <xf numFmtId="0" fontId="8" fillId="0" borderId="16" xfId="3" applyBorder="1" applyAlignment="1">
      <alignment vertical="center"/>
    </xf>
    <xf numFmtId="0" fontId="8" fillId="0" borderId="13" xfId="3" applyBorder="1" applyAlignment="1">
      <alignment vertical="center"/>
    </xf>
    <xf numFmtId="0" fontId="8" fillId="0" borderId="17" xfId="3" applyBorder="1" applyAlignment="1">
      <alignment vertical="center"/>
    </xf>
    <xf numFmtId="0" fontId="8" fillId="0" borderId="14" xfId="3" applyBorder="1" applyAlignment="1">
      <alignment vertical="center"/>
    </xf>
    <xf numFmtId="0" fontId="8" fillId="0" borderId="19" xfId="3" applyBorder="1" applyAlignment="1">
      <alignment vertical="center"/>
    </xf>
    <xf numFmtId="0" fontId="8" fillId="0" borderId="15" xfId="3" applyBorder="1" applyAlignment="1">
      <alignment vertical="center"/>
    </xf>
    <xf numFmtId="0" fontId="8" fillId="0" borderId="14" xfId="3" applyBorder="1"/>
    <xf numFmtId="165" fontId="14" fillId="0" borderId="0" xfId="0" applyNumberFormat="1" applyFont="1"/>
    <xf numFmtId="166" fontId="14" fillId="0" borderId="0" xfId="0" quotePrefix="1" applyNumberFormat="1" applyFont="1" applyAlignment="1">
      <alignment horizontal="right"/>
    </xf>
    <xf numFmtId="0" fontId="8" fillId="0" borderId="15" xfId="3" applyBorder="1"/>
    <xf numFmtId="0" fontId="18" fillId="0" borderId="0" xfId="3" applyFont="1"/>
    <xf numFmtId="0" fontId="19" fillId="0" borderId="0" xfId="3" applyFont="1"/>
    <xf numFmtId="0" fontId="20" fillId="0" borderId="0" xfId="3" applyFont="1"/>
    <xf numFmtId="0" fontId="8" fillId="0" borderId="18" xfId="3" applyBorder="1"/>
    <xf numFmtId="0" fontId="8" fillId="0" borderId="19" xfId="3" applyBorder="1"/>
    <xf numFmtId="0" fontId="8" fillId="0" borderId="20" xfId="3" applyBorder="1"/>
    <xf numFmtId="0" fontId="9" fillId="0" borderId="19" xfId="0" applyFont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43" fontId="15" fillId="0" borderId="0" xfId="1" applyFont="1"/>
    <xf numFmtId="43" fontId="3" fillId="0" borderId="0" xfId="1" applyFont="1" applyBorder="1" applyAlignment="1">
      <alignment horizontal="center"/>
    </xf>
    <xf numFmtId="43" fontId="3" fillId="0" borderId="15" xfId="1" applyFont="1" applyBorder="1" applyAlignment="1">
      <alignment horizontal="center"/>
    </xf>
    <xf numFmtId="43" fontId="4" fillId="0" borderId="15" xfId="1" applyFont="1" applyBorder="1"/>
    <xf numFmtId="43" fontId="3" fillId="0" borderId="13" xfId="1" applyFont="1" applyBorder="1" applyAlignment="1">
      <alignment horizontal="center"/>
    </xf>
    <xf numFmtId="43" fontId="3" fillId="0" borderId="17" xfId="1" applyFont="1" applyBorder="1" applyAlignment="1">
      <alignment horizontal="center"/>
    </xf>
    <xf numFmtId="43" fontId="17" fillId="0" borderId="0" xfId="1" applyFont="1" applyBorder="1" applyAlignment="1">
      <alignment horizontal="center"/>
    </xf>
    <xf numFmtId="43" fontId="17" fillId="0" borderId="15" xfId="1" applyFont="1" applyBorder="1" applyAlignment="1">
      <alignment horizontal="center"/>
    </xf>
    <xf numFmtId="43" fontId="3" fillId="0" borderId="15" xfId="1" applyFont="1" applyBorder="1"/>
    <xf numFmtId="0" fontId="6" fillId="0" borderId="1" xfId="0" applyFont="1" applyBorder="1"/>
    <xf numFmtId="0" fontId="21" fillId="0" borderId="21" xfId="0" applyFont="1" applyBorder="1" applyAlignment="1">
      <alignment horizontal="centerContinuous" vertical="center"/>
    </xf>
    <xf numFmtId="0" fontId="21" fillId="0" borderId="22" xfId="0" applyFont="1" applyBorder="1" applyAlignment="1">
      <alignment horizontal="centerContinuous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7" fillId="0" borderId="27" xfId="0" applyFont="1" applyBorder="1" applyAlignment="1">
      <alignment horizontal="left" vertical="center"/>
    </xf>
    <xf numFmtId="0" fontId="21" fillId="0" borderId="29" xfId="0" applyFont="1" applyBorder="1"/>
    <xf numFmtId="0" fontId="6" fillId="0" borderId="28" xfId="0" applyFont="1" applyBorder="1"/>
    <xf numFmtId="0" fontId="6" fillId="0" borderId="29" xfId="0" applyFont="1" applyBorder="1"/>
    <xf numFmtId="0" fontId="22" fillId="0" borderId="28" xfId="0" applyFont="1" applyBorder="1" applyAlignment="1">
      <alignment horizontal="left" vertical="center"/>
    </xf>
    <xf numFmtId="0" fontId="7" fillId="0" borderId="29" xfId="0" applyFont="1" applyBorder="1"/>
    <xf numFmtId="0" fontId="3" fillId="6" borderId="25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Continuous" vertical="center"/>
    </xf>
    <xf numFmtId="0" fontId="6" fillId="6" borderId="24" xfId="0" applyFont="1" applyFill="1" applyBorder="1"/>
    <xf numFmtId="0" fontId="6" fillId="6" borderId="26" xfId="0" applyFont="1" applyFill="1" applyBorder="1"/>
    <xf numFmtId="0" fontId="21" fillId="0" borderId="28" xfId="0" applyFont="1" applyBorder="1"/>
    <xf numFmtId="0" fontId="21" fillId="5" borderId="28" xfId="0" applyFont="1" applyFill="1" applyBorder="1"/>
    <xf numFmtId="0" fontId="21" fillId="5" borderId="0" xfId="0" applyFont="1" applyFill="1"/>
    <xf numFmtId="0" fontId="21" fillId="7" borderId="28" xfId="0" applyFont="1" applyFill="1" applyBorder="1"/>
    <xf numFmtId="0" fontId="6" fillId="7" borderId="0" xfId="0" applyFont="1" applyFill="1"/>
    <xf numFmtId="0" fontId="21" fillId="0" borderId="27" xfId="0" applyFont="1" applyBorder="1"/>
    <xf numFmtId="43" fontId="6" fillId="0" borderId="0" xfId="0" applyNumberFormat="1" applyFont="1"/>
    <xf numFmtId="10" fontId="6" fillId="0" borderId="0" xfId="2" applyNumberFormat="1" applyFont="1"/>
    <xf numFmtId="43" fontId="6" fillId="0" borderId="1" xfId="0" applyNumberFormat="1" applyFont="1" applyBorder="1"/>
    <xf numFmtId="43" fontId="21" fillId="0" borderId="0" xfId="0" applyNumberFormat="1" applyFont="1"/>
    <xf numFmtId="43" fontId="6" fillId="0" borderId="30" xfId="0" applyNumberFormat="1" applyFont="1" applyBorder="1"/>
    <xf numFmtId="43" fontId="21" fillId="0" borderId="0" xfId="1" applyFont="1"/>
    <xf numFmtId="10" fontId="6" fillId="0" borderId="1" xfId="2" applyNumberFormat="1" applyFont="1" applyBorder="1"/>
    <xf numFmtId="10" fontId="6" fillId="0" borderId="24" xfId="2" applyNumberFormat="1" applyFont="1" applyBorder="1"/>
    <xf numFmtId="10" fontId="21" fillId="0" borderId="0" xfId="2" applyNumberFormat="1" applyFont="1"/>
    <xf numFmtId="10" fontId="6" fillId="0" borderId="1" xfId="2" applyNumberFormat="1" applyFont="1" applyFill="1" applyBorder="1"/>
    <xf numFmtId="43" fontId="17" fillId="0" borderId="19" xfId="1" applyFont="1" applyBorder="1" applyAlignment="1">
      <alignment horizontal="center"/>
    </xf>
    <xf numFmtId="43" fontId="17" fillId="0" borderId="20" xfId="1" applyFont="1" applyBorder="1" applyAlignment="1">
      <alignment horizontal="center"/>
    </xf>
    <xf numFmtId="0" fontId="0" fillId="0" borderId="15" xfId="0" applyBorder="1"/>
    <xf numFmtId="0" fontId="0" fillId="2" borderId="0" xfId="0" applyFill="1"/>
    <xf numFmtId="43" fontId="16" fillId="0" borderId="19" xfId="1" applyFont="1" applyBorder="1"/>
    <xf numFmtId="43" fontId="16" fillId="0" borderId="20" xfId="1" applyFont="1" applyBorder="1"/>
    <xf numFmtId="10" fontId="6" fillId="0" borderId="0" xfId="2" applyNumberFormat="1" applyFont="1" applyAlignment="1">
      <alignment horizontal="center"/>
    </xf>
    <xf numFmtId="0" fontId="23" fillId="0" borderId="28" xfId="0" applyFont="1" applyBorder="1"/>
    <xf numFmtId="10" fontId="6" fillId="0" borderId="0" xfId="2" applyNumberFormat="1" applyFont="1" applyFill="1"/>
    <xf numFmtId="10" fontId="6" fillId="0" borderId="31" xfId="2" applyNumberFormat="1" applyFont="1" applyFill="1" applyBorder="1"/>
    <xf numFmtId="10" fontId="6" fillId="0" borderId="0" xfId="2" applyNumberFormat="1" applyFont="1" applyFill="1" applyBorder="1"/>
    <xf numFmtId="10" fontId="6" fillId="0" borderId="26" xfId="2" applyNumberFormat="1" applyFont="1" applyFill="1" applyBorder="1"/>
    <xf numFmtId="10" fontId="6" fillId="0" borderId="23" xfId="2" applyNumberFormat="1" applyFont="1" applyFill="1" applyBorder="1"/>
    <xf numFmtId="10" fontId="6" fillId="0" borderId="24" xfId="2" applyNumberFormat="1" applyFont="1" applyFill="1" applyBorder="1"/>
    <xf numFmtId="10" fontId="6" fillId="0" borderId="31" xfId="2" applyNumberFormat="1" applyFont="1" applyBorder="1"/>
    <xf numFmtId="10" fontId="6" fillId="0" borderId="0" xfId="2" applyNumberFormat="1" applyFont="1" applyBorder="1"/>
    <xf numFmtId="10" fontId="6" fillId="0" borderId="26" xfId="2" applyNumberFormat="1" applyFont="1" applyBorder="1"/>
    <xf numFmtId="10" fontId="6" fillId="0" borderId="23" xfId="2" applyNumberFormat="1" applyFont="1" applyBorder="1"/>
    <xf numFmtId="10" fontId="21" fillId="0" borderId="31" xfId="2" applyNumberFormat="1" applyFont="1" applyFill="1" applyBorder="1"/>
    <xf numFmtId="10" fontId="21" fillId="0" borderId="0" xfId="2" applyNumberFormat="1" applyFont="1" applyFill="1" applyBorder="1"/>
    <xf numFmtId="10" fontId="21" fillId="0" borderId="31" xfId="2" applyNumberFormat="1" applyFont="1" applyBorder="1"/>
    <xf numFmtId="10" fontId="21" fillId="0" borderId="0" xfId="2" applyNumberFormat="1" applyFont="1" applyBorder="1"/>
    <xf numFmtId="10" fontId="21" fillId="0" borderId="0" xfId="2" applyNumberFormat="1" applyFont="1" applyFill="1"/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10" fontId="21" fillId="0" borderId="0" xfId="2" applyNumberFormat="1" applyFont="1" applyAlignment="1">
      <alignment horizontal="center"/>
    </xf>
    <xf numFmtId="43" fontId="8" fillId="0" borderId="0" xfId="1" applyFont="1" applyFill="1" applyBorder="1"/>
    <xf numFmtId="168" fontId="19" fillId="0" borderId="0" xfId="0" applyNumberFormat="1" applyFont="1" applyAlignment="1">
      <alignment horizontal="center"/>
    </xf>
    <xf numFmtId="10" fontId="19" fillId="0" borderId="0" xfId="2" applyNumberFormat="1" applyFont="1" applyAlignment="1">
      <alignment horizontal="center"/>
    </xf>
    <xf numFmtId="10" fontId="15" fillId="0" borderId="0" xfId="2" applyNumberFormat="1" applyFont="1" applyAlignment="1">
      <alignment horizontal="center"/>
    </xf>
    <xf numFmtId="0" fontId="4" fillId="8" borderId="0" xfId="0" applyFont="1" applyFill="1"/>
    <xf numFmtId="0" fontId="13" fillId="3" borderId="0" xfId="3" applyFont="1" applyFill="1" applyAlignment="1">
      <alignment horizontal="center" vertical="center"/>
    </xf>
    <xf numFmtId="0" fontId="3" fillId="8" borderId="10" xfId="0" applyFont="1" applyFill="1" applyBorder="1"/>
    <xf numFmtId="43" fontId="16" fillId="8" borderId="13" xfId="1" applyFont="1" applyFill="1" applyBorder="1"/>
    <xf numFmtId="43" fontId="16" fillId="8" borderId="17" xfId="1" applyFont="1" applyFill="1" applyBorder="1"/>
    <xf numFmtId="0" fontId="4" fillId="8" borderId="11" xfId="0" applyFont="1" applyFill="1" applyBorder="1"/>
    <xf numFmtId="43" fontId="17" fillId="8" borderId="0" xfId="1" applyFont="1" applyFill="1" applyBorder="1"/>
    <xf numFmtId="43" fontId="17" fillId="8" borderId="15" xfId="1" applyFont="1" applyFill="1" applyBorder="1"/>
    <xf numFmtId="43" fontId="9" fillId="8" borderId="13" xfId="1" applyFont="1" applyFill="1" applyBorder="1"/>
    <xf numFmtId="43" fontId="9" fillId="8" borderId="17" xfId="1" applyFont="1" applyFill="1" applyBorder="1"/>
    <xf numFmtId="10" fontId="17" fillId="8" borderId="0" xfId="2" applyNumberFormat="1" applyFont="1" applyFill="1" applyBorder="1"/>
    <xf numFmtId="10" fontId="17" fillId="8" borderId="15" xfId="2" applyNumberFormat="1" applyFont="1" applyFill="1" applyBorder="1"/>
    <xf numFmtId="0" fontId="3" fillId="8" borderId="7" xfId="0" applyFont="1" applyFill="1" applyBorder="1"/>
    <xf numFmtId="43" fontId="9" fillId="8" borderId="8" xfId="1" applyFont="1" applyFill="1" applyBorder="1"/>
    <xf numFmtId="43" fontId="9" fillId="8" borderId="9" xfId="1" applyFont="1" applyFill="1" applyBorder="1"/>
    <xf numFmtId="0" fontId="3" fillId="8" borderId="11" xfId="0" applyFont="1" applyFill="1" applyBorder="1"/>
    <xf numFmtId="9" fontId="9" fillId="8" borderId="0" xfId="1" applyNumberFormat="1" applyFont="1" applyFill="1" applyBorder="1"/>
    <xf numFmtId="9" fontId="9" fillId="8" borderId="15" xfId="1" applyNumberFormat="1" applyFont="1" applyFill="1" applyBorder="1"/>
    <xf numFmtId="43" fontId="9" fillId="8" borderId="0" xfId="1" applyFont="1" applyFill="1" applyBorder="1"/>
    <xf numFmtId="43" fontId="9" fillId="8" borderId="15" xfId="1" applyFont="1" applyFill="1" applyBorder="1"/>
    <xf numFmtId="0" fontId="3" fillId="8" borderId="12" xfId="0" applyFont="1" applyFill="1" applyBorder="1"/>
    <xf numFmtId="43" fontId="9" fillId="8" borderId="19" xfId="1" applyFont="1" applyFill="1" applyBorder="1"/>
    <xf numFmtId="43" fontId="9" fillId="8" borderId="20" xfId="1" applyFont="1" applyFill="1" applyBorder="1"/>
    <xf numFmtId="0" fontId="3" fillId="8" borderId="14" xfId="0" applyFont="1" applyFill="1" applyBorder="1"/>
    <xf numFmtId="0" fontId="24" fillId="0" borderId="7" xfId="0" applyFont="1" applyBorder="1" applyAlignment="1">
      <alignment horizontal="left" vertical="center"/>
    </xf>
    <xf numFmtId="0" fontId="4" fillId="5" borderId="7" xfId="0" applyFont="1" applyFill="1" applyBorder="1"/>
    <xf numFmtId="0" fontId="4" fillId="7" borderId="7" xfId="0" applyFont="1" applyFill="1" applyBorder="1"/>
    <xf numFmtId="0" fontId="4" fillId="6" borderId="7" xfId="0" applyFont="1" applyFill="1" applyBorder="1"/>
    <xf numFmtId="0" fontId="25" fillId="0" borderId="7" xfId="0" applyFont="1" applyBorder="1" applyAlignment="1">
      <alignment horizontal="center"/>
    </xf>
    <xf numFmtId="0" fontId="8" fillId="0" borderId="0" xfId="3" applyAlignment="1">
      <alignment vertical="center"/>
    </xf>
    <xf numFmtId="0" fontId="4" fillId="2" borderId="0" xfId="0" applyFont="1" applyFill="1" applyAlignment="1">
      <alignment horizontal="centerContinuous" vertical="center"/>
    </xf>
    <xf numFmtId="0" fontId="10" fillId="2" borderId="0" xfId="3" applyFont="1" applyFill="1" applyAlignment="1">
      <alignment horizontal="centerContinuous"/>
    </xf>
    <xf numFmtId="0" fontId="11" fillId="2" borderId="0" xfId="3" applyFont="1" applyFill="1" applyAlignment="1">
      <alignment horizontal="centerContinuous"/>
    </xf>
    <xf numFmtId="0" fontId="9" fillId="2" borderId="0" xfId="3" applyFont="1" applyFill="1" applyAlignment="1">
      <alignment horizontal="centerContinuous"/>
    </xf>
    <xf numFmtId="0" fontId="8" fillId="2" borderId="0" xfId="3" applyFill="1"/>
    <xf numFmtId="0" fontId="8" fillId="2" borderId="0" xfId="3" applyFill="1" applyAlignment="1">
      <alignment vertical="center"/>
    </xf>
    <xf numFmtId="0" fontId="12" fillId="2" borderId="0" xfId="3" applyFont="1" applyFill="1" applyAlignment="1">
      <alignment vertical="center"/>
    </xf>
    <xf numFmtId="0" fontId="15" fillId="2" borderId="0" xfId="0" applyFont="1" applyFill="1"/>
    <xf numFmtId="43" fontId="15" fillId="2" borderId="0" xfId="1" applyFont="1" applyFill="1" applyBorder="1"/>
    <xf numFmtId="0" fontId="18" fillId="2" borderId="0" xfId="3" applyFont="1" applyFill="1"/>
    <xf numFmtId="43" fontId="8" fillId="2" borderId="0" xfId="1" applyFont="1" applyFill="1" applyBorder="1"/>
    <xf numFmtId="10" fontId="15" fillId="2" borderId="0" xfId="2" applyNumberFormat="1" applyFont="1" applyFill="1" applyBorder="1" applyAlignment="1">
      <alignment horizontal="center"/>
    </xf>
    <xf numFmtId="0" fontId="19" fillId="2" borderId="0" xfId="3" applyFont="1" applyFill="1"/>
    <xf numFmtId="0" fontId="20" fillId="2" borderId="0" xfId="3" applyFont="1" applyFill="1"/>
    <xf numFmtId="168" fontId="19" fillId="2" borderId="0" xfId="0" applyNumberFormat="1" applyFont="1" applyFill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8" borderId="0" xfId="0" applyFont="1" applyFill="1"/>
    <xf numFmtId="0" fontId="13" fillId="4" borderId="1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27" fillId="0" borderId="7" xfId="4" applyFont="1" applyFill="1" applyBorder="1" applyAlignment="1">
      <alignment horizontal="left" vertical="center"/>
    </xf>
    <xf numFmtId="0" fontId="27" fillId="0" borderId="7" xfId="4" quotePrefix="1" applyFont="1" applyFill="1" applyBorder="1" applyAlignment="1">
      <alignment horizontal="left" vertical="center"/>
    </xf>
    <xf numFmtId="0" fontId="4" fillId="0" borderId="7" xfId="0" applyFont="1" applyBorder="1" applyAlignment="1">
      <alignment vertical="center"/>
    </xf>
  </cellXfs>
  <cellStyles count="5">
    <cellStyle name="Comma" xfId="1" builtinId="3"/>
    <cellStyle name="Hyperlink" xfId="4" builtinId="8"/>
    <cellStyle name="Normal" xfId="0" builtinId="0"/>
    <cellStyle name="Normal_DrydenNewDCF3" xfId="3" xr:uid="{A9FAAF7B-CA93-471A-AF7F-EA9C24439B62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91CA1-86FE-43A0-A24F-7CBD875E2D69}">
  <dimension ref="A1:AG9"/>
  <sheetViews>
    <sheetView showGridLines="0" tabSelected="1" zoomScale="257" zoomScaleNormal="100" workbookViewId="0">
      <selection activeCell="A2" sqref="A2"/>
    </sheetView>
  </sheetViews>
  <sheetFormatPr defaultColWidth="8.73046875" defaultRowHeight="12.75" x14ac:dyDescent="0.35"/>
  <cols>
    <col min="1" max="1" width="23.33203125" style="7" customWidth="1"/>
    <col min="2" max="2" width="53.9296875" style="7" customWidth="1"/>
    <col min="3" max="3" width="23.33203125" style="7" bestFit="1" customWidth="1"/>
    <col min="4" max="4" width="8.53125" style="7" customWidth="1"/>
    <col min="5" max="5" width="14.265625" style="7" customWidth="1"/>
    <col min="6" max="6" width="8.73046875" style="7"/>
    <col min="7" max="11" width="9.796875" style="7" bestFit="1" customWidth="1"/>
    <col min="12" max="12" width="10.46484375" style="7" bestFit="1" customWidth="1"/>
    <col min="13" max="16" width="9.796875" style="7" bestFit="1" customWidth="1"/>
    <col min="17" max="17" width="8.73046875" style="7"/>
    <col min="18" max="18" width="11.73046875" style="7" customWidth="1"/>
    <col min="19" max="19" width="13.06640625" style="7" customWidth="1"/>
    <col min="20" max="20" width="8.73046875" style="7"/>
    <col min="21" max="21" width="14" style="7" bestFit="1" customWidth="1"/>
    <col min="22" max="22" width="3.33203125" style="7" bestFit="1" customWidth="1"/>
    <col min="23" max="27" width="9.19921875" style="7" bestFit="1" customWidth="1"/>
    <col min="28" max="28" width="9.796875" style="7" bestFit="1" customWidth="1"/>
    <col min="29" max="32" width="9.19921875" style="7" bestFit="1" customWidth="1"/>
    <col min="33" max="16384" width="8.73046875" style="7"/>
  </cols>
  <sheetData>
    <row r="1" spans="1:33" ht="13.15" x14ac:dyDescent="0.35">
      <c r="A1" s="173" t="s">
        <v>194</v>
      </c>
      <c r="B1" s="173" t="s">
        <v>195</v>
      </c>
      <c r="C1" s="2"/>
    </row>
    <row r="2" spans="1:33" ht="13.15" x14ac:dyDescent="0.35">
      <c r="A2" s="174" t="s">
        <v>196</v>
      </c>
      <c r="B2" s="175" t="s">
        <v>197</v>
      </c>
      <c r="C2" s="11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</row>
    <row r="3" spans="1:33" ht="13.15" x14ac:dyDescent="0.35">
      <c r="A3" s="174" t="s">
        <v>198</v>
      </c>
      <c r="B3" s="176" t="s">
        <v>198</v>
      </c>
      <c r="C3" s="11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</row>
    <row r="4" spans="1:33" ht="13.15" x14ac:dyDescent="0.35">
      <c r="A4" s="177" t="s">
        <v>199</v>
      </c>
      <c r="B4" s="175" t="s">
        <v>199</v>
      </c>
      <c r="C4" s="2"/>
    </row>
    <row r="5" spans="1:33" ht="17.25" x14ac:dyDescent="0.45">
      <c r="A5" s="177" t="s">
        <v>200</v>
      </c>
      <c r="B5" s="176" t="s">
        <v>201</v>
      </c>
      <c r="C5" s="13"/>
      <c r="D5" s="155"/>
      <c r="E5" s="155"/>
      <c r="F5" s="155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T5" s="157"/>
      <c r="U5" s="155"/>
      <c r="V5" s="155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8"/>
    </row>
    <row r="6" spans="1:33" ht="13.15" x14ac:dyDescent="0.35">
      <c r="A6" s="177" t="s">
        <v>202</v>
      </c>
      <c r="B6" s="175" t="s">
        <v>204</v>
      </c>
      <c r="C6" s="153"/>
      <c r="D6" s="159"/>
      <c r="E6" s="159"/>
      <c r="F6" s="159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T6" s="159"/>
      <c r="U6" s="159"/>
      <c r="V6" s="159"/>
      <c r="W6" s="159"/>
      <c r="X6" s="159"/>
      <c r="Y6" s="159"/>
      <c r="Z6" s="159"/>
      <c r="AA6" s="159"/>
      <c r="AB6" s="159"/>
      <c r="AC6" s="159"/>
      <c r="AD6" s="159"/>
      <c r="AE6" s="159"/>
      <c r="AF6" s="159"/>
      <c r="AG6" s="159"/>
    </row>
    <row r="7" spans="1:33" ht="13.15" x14ac:dyDescent="0.35">
      <c r="A7" s="177" t="s">
        <v>203</v>
      </c>
      <c r="B7" s="175" t="s">
        <v>205</v>
      </c>
      <c r="C7" s="2"/>
      <c r="G7" s="161"/>
      <c r="H7" s="161"/>
      <c r="I7" s="161"/>
      <c r="J7" s="161"/>
      <c r="K7" s="161"/>
      <c r="L7" s="161"/>
      <c r="M7" s="161"/>
      <c r="N7" s="161"/>
      <c r="O7" s="161"/>
      <c r="P7" s="161"/>
      <c r="T7" s="158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8"/>
      <c r="AG7" s="158"/>
    </row>
    <row r="8" spans="1:33" x14ac:dyDescent="0.35">
      <c r="A8" s="2"/>
      <c r="B8" s="2"/>
      <c r="C8" s="2"/>
      <c r="G8" s="162"/>
      <c r="H8" s="162"/>
      <c r="I8" s="162"/>
      <c r="J8" s="162"/>
      <c r="K8" s="162"/>
      <c r="L8" s="162"/>
      <c r="M8" s="162"/>
      <c r="N8" s="162"/>
      <c r="O8" s="162"/>
      <c r="P8" s="162"/>
      <c r="T8" s="158"/>
      <c r="U8" s="158"/>
      <c r="V8" s="163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58"/>
    </row>
    <row r="9" spans="1:33" x14ac:dyDescent="0.35">
      <c r="A9" s="2"/>
      <c r="B9" s="2"/>
      <c r="C9" s="2"/>
    </row>
  </sheetData>
  <hyperlinks>
    <hyperlink ref="B2" location="Cover!A1" display="Cover" xr:uid="{DAA13DE4-613E-4A3B-AA21-F13D9010C139}"/>
    <hyperlink ref="B3" location="'Read Me'!A1" display="'Read Me" xr:uid="{8BD7E61B-FD9B-41D9-9296-B0E4C48C397A}"/>
    <hyperlink ref="B4" location="Summary!A1" display="Summary" xr:uid="{B26B9CA4-C143-418F-9A3A-3BDD2BD07268}"/>
    <hyperlink ref="B5" location="'DLF Model'!A1" display="'DLF Model" xr:uid="{E9FC6FE3-CBF3-4454-A05F-D65A62090945}"/>
    <hyperlink ref="B6" location="DLF_Income_Statement!A1" display="DLF_Income_Statement" xr:uid="{FAC10E97-2B89-42A1-8CF8-9E93DE0E2F13}"/>
    <hyperlink ref="B7" location="DLF_Balance_Sheet!A1" display="DLF_Balance_Sheet" xr:uid="{2F541C3D-300D-4740-973B-AC8A3066E23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A3C19-6677-4ED4-87D4-FBA91ACB1D77}">
  <dimension ref="A1:AG18"/>
  <sheetViews>
    <sheetView showGridLines="0" zoomScale="163" zoomScaleNormal="139" workbookViewId="0">
      <selection activeCell="B9" sqref="B9"/>
    </sheetView>
  </sheetViews>
  <sheetFormatPr defaultColWidth="8.73046875" defaultRowHeight="12.75" x14ac:dyDescent="0.35"/>
  <cols>
    <col min="1" max="1" width="23.33203125" style="7" customWidth="1"/>
    <col min="2" max="2" width="53.9296875" style="7" customWidth="1"/>
    <col min="3" max="3" width="23.33203125" style="7" bestFit="1" customWidth="1"/>
    <col min="4" max="4" width="8.53125" style="7" customWidth="1"/>
    <col min="5" max="5" width="14.265625" style="7" customWidth="1"/>
    <col min="6" max="6" width="8.73046875" style="7"/>
    <col min="7" max="11" width="9.796875" style="7" bestFit="1" customWidth="1"/>
    <col min="12" max="12" width="10.46484375" style="7" bestFit="1" customWidth="1"/>
    <col min="13" max="16" width="9.796875" style="7" bestFit="1" customWidth="1"/>
    <col min="17" max="17" width="8.73046875" style="7"/>
    <col min="18" max="18" width="11.73046875" style="7" customWidth="1"/>
    <col min="19" max="19" width="13.06640625" style="7" customWidth="1"/>
    <col min="20" max="20" width="8.73046875" style="7"/>
    <col min="21" max="21" width="14" style="7" bestFit="1" customWidth="1"/>
    <col min="22" max="22" width="3.33203125" style="7" bestFit="1" customWidth="1"/>
    <col min="23" max="27" width="9.19921875" style="7" bestFit="1" customWidth="1"/>
    <col min="28" max="28" width="9.796875" style="7" bestFit="1" customWidth="1"/>
    <col min="29" max="32" width="9.19921875" style="7" bestFit="1" customWidth="1"/>
    <col min="33" max="16384" width="8.73046875" style="7"/>
  </cols>
  <sheetData>
    <row r="1" spans="1:33" x14ac:dyDescent="0.35">
      <c r="A1" s="2" t="s">
        <v>193</v>
      </c>
      <c r="B1" s="2"/>
      <c r="C1" s="2"/>
      <c r="D1" s="124"/>
      <c r="E1" s="124"/>
      <c r="G1" s="165"/>
      <c r="H1" s="165"/>
      <c r="I1" s="165"/>
      <c r="J1" s="165"/>
      <c r="K1" s="165"/>
      <c r="L1" s="165"/>
      <c r="M1" s="165"/>
      <c r="N1" s="165"/>
      <c r="O1" s="165"/>
      <c r="P1" s="165"/>
      <c r="T1" s="158"/>
      <c r="U1" s="166"/>
      <c r="V1" s="167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58"/>
    </row>
    <row r="2" spans="1:33" x14ac:dyDescent="0.35">
      <c r="A2" s="2" t="s">
        <v>206</v>
      </c>
      <c r="B2" s="2"/>
      <c r="C2" s="2"/>
      <c r="D2" s="124"/>
      <c r="E2" s="124"/>
      <c r="G2" s="165"/>
      <c r="H2" s="165"/>
      <c r="I2" s="165"/>
      <c r="J2" s="165"/>
      <c r="K2" s="165"/>
      <c r="L2" s="165"/>
      <c r="M2" s="165"/>
      <c r="N2" s="165"/>
      <c r="O2" s="165"/>
      <c r="P2" s="165"/>
      <c r="T2" s="158"/>
      <c r="U2" s="166"/>
      <c r="V2" s="167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58"/>
    </row>
    <row r="3" spans="1:33" x14ac:dyDescent="0.35">
      <c r="A3" s="2" t="s">
        <v>207</v>
      </c>
      <c r="B3" s="2"/>
      <c r="C3" s="2"/>
      <c r="D3" s="124"/>
      <c r="E3" s="124"/>
      <c r="G3" s="165"/>
      <c r="H3" s="165"/>
      <c r="I3" s="165"/>
      <c r="J3" s="165"/>
      <c r="K3" s="165"/>
      <c r="L3" s="165"/>
      <c r="M3" s="165"/>
      <c r="N3" s="165"/>
      <c r="O3" s="165"/>
      <c r="P3" s="165"/>
      <c r="T3" s="158"/>
      <c r="U3" s="166"/>
      <c r="V3" s="167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58"/>
    </row>
    <row r="4" spans="1:33" x14ac:dyDescent="0.35">
      <c r="A4" s="2" t="s">
        <v>208</v>
      </c>
      <c r="B4" s="2"/>
      <c r="C4" s="2"/>
      <c r="D4" s="124"/>
      <c r="E4" s="124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</row>
    <row r="5" spans="1:33" x14ac:dyDescent="0.35">
      <c r="A5" s="170" t="s">
        <v>210</v>
      </c>
      <c r="B5" s="2"/>
      <c r="C5" s="2"/>
      <c r="D5" s="124"/>
      <c r="E5" s="124"/>
    </row>
    <row r="6" spans="1:33" x14ac:dyDescent="0.35">
      <c r="A6" s="2" t="s">
        <v>209</v>
      </c>
      <c r="B6" s="2"/>
      <c r="C6" s="2"/>
      <c r="D6" s="124"/>
      <c r="E6" s="124"/>
    </row>
    <row r="7" spans="1:33" x14ac:dyDescent="0.35">
      <c r="A7" s="2"/>
      <c r="B7" s="2"/>
      <c r="C7" s="2"/>
      <c r="D7" s="124"/>
      <c r="E7" s="124"/>
    </row>
    <row r="8" spans="1:33" ht="13.15" x14ac:dyDescent="0.4">
      <c r="A8" s="169" t="s">
        <v>185</v>
      </c>
      <c r="B8" s="169" t="s">
        <v>186</v>
      </c>
      <c r="C8" s="2"/>
      <c r="D8" s="124"/>
      <c r="E8" s="124"/>
    </row>
    <row r="9" spans="1:33" ht="13.15" x14ac:dyDescent="0.35">
      <c r="A9" s="172" t="s">
        <v>187</v>
      </c>
      <c r="B9" s="148" t="s">
        <v>188</v>
      </c>
      <c r="C9" s="2"/>
      <c r="D9" s="124"/>
      <c r="E9" s="124"/>
    </row>
    <row r="10" spans="1:33" x14ac:dyDescent="0.35">
      <c r="A10" s="149"/>
      <c r="B10" s="148" t="s">
        <v>189</v>
      </c>
      <c r="C10" s="2"/>
      <c r="D10" s="124"/>
      <c r="E10" s="124"/>
    </row>
    <row r="11" spans="1:33" x14ac:dyDescent="0.35">
      <c r="A11" s="150"/>
      <c r="B11" s="148" t="s">
        <v>190</v>
      </c>
      <c r="C11" s="2"/>
      <c r="D11" s="124"/>
      <c r="E11" s="124"/>
    </row>
    <row r="12" spans="1:33" x14ac:dyDescent="0.35">
      <c r="A12" s="151"/>
      <c r="B12" s="148" t="s">
        <v>191</v>
      </c>
      <c r="C12" s="2"/>
      <c r="D12" s="124"/>
      <c r="E12" s="124"/>
    </row>
    <row r="13" spans="1:33" ht="13.15" x14ac:dyDescent="0.4">
      <c r="A13" s="152" t="s">
        <v>187</v>
      </c>
      <c r="B13" s="148" t="s">
        <v>192</v>
      </c>
      <c r="C13" s="2"/>
      <c r="D13" s="124"/>
      <c r="E13" s="124"/>
    </row>
    <row r="14" spans="1:33" x14ac:dyDescent="0.35">
      <c r="A14" s="2"/>
      <c r="B14" s="2"/>
      <c r="C14" s="2"/>
      <c r="D14" s="124"/>
      <c r="E14" s="124"/>
    </row>
    <row r="15" spans="1:33" x14ac:dyDescent="0.35">
      <c r="A15" s="2"/>
      <c r="B15" s="2"/>
      <c r="C15" s="2"/>
      <c r="D15" s="124"/>
      <c r="E15" s="124"/>
    </row>
    <row r="16" spans="1:33" x14ac:dyDescent="0.35">
      <c r="A16" s="124"/>
      <c r="B16" s="124"/>
      <c r="C16" s="124"/>
      <c r="D16" s="124"/>
      <c r="E16" s="124"/>
    </row>
    <row r="17" spans="1:5" x14ac:dyDescent="0.35">
      <c r="A17" s="124"/>
      <c r="B17" s="124"/>
      <c r="C17" s="124"/>
      <c r="D17" s="124"/>
      <c r="E17" s="124"/>
    </row>
    <row r="18" spans="1:5" x14ac:dyDescent="0.35">
      <c r="A18" s="124"/>
      <c r="B18" s="124"/>
      <c r="C18" s="124"/>
      <c r="D18" s="124"/>
      <c r="E18" s="124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557A7081-A67D-48EC-938C-F95AABF839A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'Read Me'!G2:P2</xm:f>
              <xm:sqref>E2</xm:sqref>
            </x14:sparkline>
            <x14:sparkline>
              <xm:f>'Read Me'!G3:P3</xm:f>
              <xm:sqref>E3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BB51A-8FAB-45F9-9012-1BC45FA61AC0}">
  <dimension ref="A1:V30"/>
  <sheetViews>
    <sheetView showGridLines="0" topLeftCell="A2" zoomScale="80" workbookViewId="0">
      <selection activeCell="W30" sqref="W30"/>
    </sheetView>
  </sheetViews>
  <sheetFormatPr defaultColWidth="8.73046875" defaultRowHeight="12.75" x14ac:dyDescent="0.35"/>
  <cols>
    <col min="1" max="1" width="8.73046875" style="7"/>
    <col min="2" max="2" width="20.59765625" style="7" customWidth="1"/>
    <col min="3" max="10" width="8.73046875" style="7"/>
    <col min="11" max="11" width="17.9296875" style="7" customWidth="1"/>
    <col min="12" max="16384" width="8.73046875" style="7"/>
  </cols>
  <sheetData>
    <row r="1" spans="1:22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46.9" x14ac:dyDescent="1.4">
      <c r="A4" s="2"/>
      <c r="B4" s="8" t="s">
        <v>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3.15" x14ac:dyDescent="0.4">
      <c r="A5" s="2"/>
      <c r="B5" s="1" t="s">
        <v>184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32.25" x14ac:dyDescent="0.85">
      <c r="A14" s="2"/>
      <c r="B14" s="3" t="s">
        <v>97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35">
      <c r="A15" s="2"/>
      <c r="B15" s="4">
        <f ca="1">TODAY()</f>
        <v>46084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3.15" x14ac:dyDescent="0.4">
      <c r="A25" s="2"/>
      <c r="B25" s="1" t="s">
        <v>1</v>
      </c>
      <c r="C25" s="2"/>
      <c r="D25" s="2"/>
      <c r="E25" s="2"/>
      <c r="F25" s="2"/>
      <c r="G25" s="2"/>
      <c r="H25" s="2"/>
      <c r="I25" s="2"/>
      <c r="J25" s="2"/>
      <c r="K25" s="1" t="s">
        <v>2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5" t="s">
        <v>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3.15" thickBot="1" x14ac:dyDescent="0.4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2"/>
      <c r="O29" s="2"/>
      <c r="P29" s="2"/>
      <c r="Q29" s="2"/>
      <c r="R29" s="2"/>
      <c r="S29" s="2"/>
      <c r="T29" s="2"/>
      <c r="U29" s="2"/>
      <c r="V29" s="2"/>
    </row>
    <row r="30" spans="1:22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15112-031D-4114-BF24-27F64B34FB57}">
  <dimension ref="A1:AH26"/>
  <sheetViews>
    <sheetView showGridLines="0" topLeftCell="A2" zoomScale="97" zoomScaleNormal="175" workbookViewId="0">
      <selection activeCell="E3" sqref="E3"/>
    </sheetView>
  </sheetViews>
  <sheetFormatPr defaultColWidth="8.73046875" defaultRowHeight="12.75" x14ac:dyDescent="0.35"/>
  <cols>
    <col min="1" max="1" width="2.59765625" style="7" customWidth="1"/>
    <col min="2" max="2" width="5.73046875" style="7" customWidth="1"/>
    <col min="3" max="3" width="23.33203125" style="7" bestFit="1" customWidth="1"/>
    <col min="4" max="4" width="8.53125" style="7" customWidth="1"/>
    <col min="5" max="5" width="14.265625" style="7" customWidth="1"/>
    <col min="6" max="6" width="8.73046875" style="7"/>
    <col min="7" max="11" width="9.796875" style="7" bestFit="1" customWidth="1"/>
    <col min="12" max="12" width="10.46484375" style="7" bestFit="1" customWidth="1"/>
    <col min="13" max="16" width="9.796875" style="7" bestFit="1" customWidth="1"/>
    <col min="17" max="17" width="8.73046875" style="7"/>
    <col min="18" max="18" width="11.73046875" style="7" customWidth="1"/>
    <col min="19" max="19" width="13.06640625" style="7" customWidth="1"/>
    <col min="20" max="20" width="8.73046875" style="7"/>
    <col min="21" max="21" width="14" style="7" bestFit="1" customWidth="1"/>
    <col min="22" max="22" width="3.33203125" style="7" bestFit="1" customWidth="1"/>
    <col min="23" max="27" width="9.19921875" style="7" bestFit="1" customWidth="1"/>
    <col min="28" max="28" width="9.796875" style="7" bestFit="1" customWidth="1"/>
    <col min="29" max="32" width="9.19921875" style="7" bestFit="1" customWidth="1"/>
    <col min="33" max="16384" width="8.73046875" style="7"/>
  </cols>
  <sheetData>
    <row r="1" spans="1:34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17.649999999999999" x14ac:dyDescent="0.35">
      <c r="A2" s="2"/>
      <c r="B2" s="10" t="s">
        <v>92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17.649999999999999" x14ac:dyDescent="0.35">
      <c r="A3" s="2"/>
      <c r="B3" s="10" t="s">
        <v>4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2.5499999999999998" customHeight="1" thickBot="1" x14ac:dyDescent="0.4">
      <c r="A4" s="2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17.25" x14ac:dyDescent="0.45">
      <c r="A5" s="2"/>
      <c r="B5" s="12" t="str">
        <f>T5</f>
        <v>SUMMARY VALUES</v>
      </c>
      <c r="C5" s="13"/>
      <c r="D5" s="13"/>
      <c r="E5" s="13"/>
      <c r="F5" s="13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2"/>
      <c r="S5" s="2"/>
      <c r="T5" s="12" t="s">
        <v>10</v>
      </c>
      <c r="U5" s="13"/>
      <c r="V5" s="13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33"/>
      <c r="AH5" s="2"/>
    </row>
    <row r="6" spans="1:34" x14ac:dyDescent="0.35">
      <c r="A6" s="2"/>
      <c r="B6" s="15"/>
      <c r="C6" s="16"/>
      <c r="D6" s="16"/>
      <c r="E6" s="16"/>
      <c r="F6" s="16"/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  <c r="R6" s="2"/>
      <c r="S6" s="2"/>
      <c r="T6" s="34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6"/>
      <c r="AH6" s="2"/>
    </row>
    <row r="7" spans="1:34" ht="13.15" x14ac:dyDescent="0.35">
      <c r="A7" s="2"/>
      <c r="B7" s="19"/>
      <c r="C7" s="20"/>
      <c r="D7" s="21"/>
      <c r="E7" s="125" t="s">
        <v>5</v>
      </c>
      <c r="F7" s="21"/>
      <c r="G7" s="51">
        <f>W7</f>
        <v>2015</v>
      </c>
      <c r="H7" s="51">
        <f t="shared" ref="H7:P7" si="0">X7</f>
        <v>2016</v>
      </c>
      <c r="I7" s="51">
        <f t="shared" si="0"/>
        <v>2017</v>
      </c>
      <c r="J7" s="51">
        <f t="shared" si="0"/>
        <v>2018</v>
      </c>
      <c r="K7" s="51">
        <f t="shared" si="0"/>
        <v>2019</v>
      </c>
      <c r="L7" s="51">
        <f t="shared" si="0"/>
        <v>2020</v>
      </c>
      <c r="M7" s="51">
        <f t="shared" si="0"/>
        <v>2021</v>
      </c>
      <c r="N7" s="51">
        <f t="shared" si="0"/>
        <v>2022</v>
      </c>
      <c r="O7" s="51">
        <f t="shared" si="0"/>
        <v>2023</v>
      </c>
      <c r="P7" s="51">
        <f t="shared" si="0"/>
        <v>2024</v>
      </c>
      <c r="Q7" s="22"/>
      <c r="R7" s="2"/>
      <c r="S7" s="2"/>
      <c r="T7" s="37"/>
      <c r="U7" s="38"/>
      <c r="V7" s="38"/>
      <c r="W7" s="50">
        <v>2015</v>
      </c>
      <c r="X7" s="50">
        <f>W7+1</f>
        <v>2016</v>
      </c>
      <c r="Y7" s="50">
        <f t="shared" ref="Y7:AF7" si="1">X7+1</f>
        <v>2017</v>
      </c>
      <c r="Z7" s="50">
        <f t="shared" si="1"/>
        <v>2018</v>
      </c>
      <c r="AA7" s="50">
        <f t="shared" si="1"/>
        <v>2019</v>
      </c>
      <c r="AB7" s="50">
        <f t="shared" si="1"/>
        <v>2020</v>
      </c>
      <c r="AC7" s="50">
        <f t="shared" si="1"/>
        <v>2021</v>
      </c>
      <c r="AD7" s="50">
        <f t="shared" si="1"/>
        <v>2022</v>
      </c>
      <c r="AE7" s="50">
        <f t="shared" si="1"/>
        <v>2023</v>
      </c>
      <c r="AF7" s="50">
        <f t="shared" si="1"/>
        <v>2024</v>
      </c>
      <c r="AG7" s="39"/>
      <c r="AH7" s="2"/>
    </row>
    <row r="8" spans="1:34" ht="13.15" x14ac:dyDescent="0.4">
      <c r="A8" s="2"/>
      <c r="B8" s="2"/>
      <c r="C8" s="1" t="s">
        <v>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40"/>
      <c r="U8" s="33"/>
      <c r="V8" s="33"/>
      <c r="W8" s="41"/>
      <c r="X8" s="41"/>
      <c r="Y8" s="41"/>
      <c r="Z8" s="41"/>
      <c r="AA8" s="41"/>
      <c r="AB8" s="41"/>
      <c r="AC8" s="41"/>
      <c r="AD8" s="41"/>
      <c r="AE8" s="41"/>
      <c r="AF8" s="42"/>
      <c r="AG8" s="43"/>
      <c r="AH8" s="2"/>
    </row>
    <row r="9" spans="1:34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40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43"/>
      <c r="AH9" s="2"/>
    </row>
    <row r="10" spans="1:34" x14ac:dyDescent="0.35">
      <c r="A10" s="2"/>
      <c r="B10" s="2"/>
      <c r="C10" s="2" t="str">
        <f>U10</f>
        <v>Sales</v>
      </c>
      <c r="D10" s="2" t="str">
        <f>V10</f>
        <v>(₹)</v>
      </c>
      <c r="E10" s="124"/>
      <c r="F10" s="2"/>
      <c r="G10" s="52">
        <f>W10</f>
        <v>7649</v>
      </c>
      <c r="H10" s="52">
        <f t="shared" ref="H10:P11" si="2">X10</f>
        <v>9926</v>
      </c>
      <c r="I10" s="52">
        <f t="shared" si="2"/>
        <v>8221</v>
      </c>
      <c r="J10" s="52">
        <f t="shared" si="2"/>
        <v>6707</v>
      </c>
      <c r="K10" s="52">
        <f t="shared" si="2"/>
        <v>8366</v>
      </c>
      <c r="L10" s="52">
        <f t="shared" si="2"/>
        <v>6083</v>
      </c>
      <c r="M10" s="52">
        <f t="shared" si="2"/>
        <v>5414</v>
      </c>
      <c r="N10" s="52">
        <f t="shared" si="2"/>
        <v>5717</v>
      </c>
      <c r="O10" s="52">
        <f t="shared" si="2"/>
        <v>5695</v>
      </c>
      <c r="P10" s="52">
        <f t="shared" si="2"/>
        <v>6427</v>
      </c>
      <c r="Q10" s="2"/>
      <c r="R10" s="2"/>
      <c r="S10" s="2"/>
      <c r="T10" s="40"/>
      <c r="U10" s="33" t="s">
        <v>7</v>
      </c>
      <c r="V10" s="44" t="s">
        <v>26</v>
      </c>
      <c r="W10" s="120">
        <f>'DLF Model'!B9</f>
        <v>7649</v>
      </c>
      <c r="X10" s="120">
        <f>'DLF Model'!C9</f>
        <v>9926</v>
      </c>
      <c r="Y10" s="120">
        <f>'DLF Model'!D9</f>
        <v>8221</v>
      </c>
      <c r="Z10" s="120">
        <f>'DLF Model'!E9</f>
        <v>6707</v>
      </c>
      <c r="AA10" s="120">
        <f>'DLF Model'!F9</f>
        <v>8366</v>
      </c>
      <c r="AB10" s="120">
        <f>'DLF Model'!G9</f>
        <v>6083</v>
      </c>
      <c r="AC10" s="120">
        <f>'DLF Model'!H9</f>
        <v>5414</v>
      </c>
      <c r="AD10" s="120">
        <f>'DLF Model'!I9</f>
        <v>5717</v>
      </c>
      <c r="AE10" s="120">
        <f>'DLF Model'!J9</f>
        <v>5695</v>
      </c>
      <c r="AF10" s="120">
        <f>'DLF Model'!K9</f>
        <v>6427</v>
      </c>
      <c r="AG10" s="43"/>
      <c r="AH10" s="2"/>
    </row>
    <row r="11" spans="1:34" ht="13.15" x14ac:dyDescent="0.4">
      <c r="A11" s="2"/>
      <c r="B11" s="2"/>
      <c r="C11" s="2" t="str">
        <f>U11</f>
        <v xml:space="preserve">   Growth</v>
      </c>
      <c r="D11" s="2" t="str">
        <f>V11</f>
        <v>(%)</v>
      </c>
      <c r="E11" s="1"/>
      <c r="F11" s="2"/>
      <c r="G11" s="123">
        <f>W11</f>
        <v>-7.8211617257170407E-2</v>
      </c>
      <c r="H11" s="123">
        <f t="shared" si="2"/>
        <v>0.29768597202248659</v>
      </c>
      <c r="I11" s="123">
        <f t="shared" si="2"/>
        <v>-0.17177110618577474</v>
      </c>
      <c r="J11" s="123">
        <f t="shared" si="2"/>
        <v>-0.18416251064347403</v>
      </c>
      <c r="K11" s="123">
        <f t="shared" si="2"/>
        <v>0.24735351125689578</v>
      </c>
      <c r="L11" s="123">
        <f t="shared" si="2"/>
        <v>-0.27289027014104711</v>
      </c>
      <c r="M11" s="123">
        <f t="shared" si="2"/>
        <v>-0.10997862896597074</v>
      </c>
      <c r="N11" s="123">
        <f t="shared" si="2"/>
        <v>5.596601403768009E-2</v>
      </c>
      <c r="O11" s="123">
        <f t="shared" si="2"/>
        <v>-3.8481721182438344E-3</v>
      </c>
      <c r="P11" s="123">
        <f t="shared" si="2"/>
        <v>0.12853380158033362</v>
      </c>
      <c r="Q11" s="2"/>
      <c r="R11" s="2"/>
      <c r="S11" s="2"/>
      <c r="T11" s="40"/>
      <c r="U11" s="45" t="s">
        <v>22</v>
      </c>
      <c r="V11" s="46" t="s">
        <v>23</v>
      </c>
      <c r="W11" s="122">
        <f>(W10-DLF_Income_Statement!B2)/DLF_Income_Statement!B2</f>
        <v>-7.8211617257170407E-2</v>
      </c>
      <c r="X11" s="121">
        <f>(X10-W10)/W10</f>
        <v>0.29768597202248659</v>
      </c>
      <c r="Y11" s="121">
        <f t="shared" ref="Y11:AF11" si="3">(Y10-X10)/X10</f>
        <v>-0.17177110618577474</v>
      </c>
      <c r="Z11" s="121">
        <f t="shared" si="3"/>
        <v>-0.18416251064347403</v>
      </c>
      <c r="AA11" s="121">
        <f t="shared" si="3"/>
        <v>0.24735351125689578</v>
      </c>
      <c r="AB11" s="121">
        <f t="shared" si="3"/>
        <v>-0.27289027014104711</v>
      </c>
      <c r="AC11" s="121">
        <f t="shared" si="3"/>
        <v>-0.10997862896597074</v>
      </c>
      <c r="AD11" s="121">
        <f t="shared" si="3"/>
        <v>5.596601403768009E-2</v>
      </c>
      <c r="AE11" s="121">
        <f t="shared" si="3"/>
        <v>-3.8481721182438344E-3</v>
      </c>
      <c r="AF11" s="121">
        <f t="shared" si="3"/>
        <v>0.12853380158033362</v>
      </c>
      <c r="AG11" s="43"/>
      <c r="AH11" s="2"/>
    </row>
    <row r="12" spans="1:34" x14ac:dyDescent="0.35">
      <c r="A12" s="2"/>
      <c r="B12" s="2"/>
      <c r="C12" s="2"/>
      <c r="D12" s="2"/>
      <c r="E12" s="2"/>
      <c r="F12" s="2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"/>
      <c r="R12" s="2"/>
      <c r="S12" s="2"/>
      <c r="T12" s="40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43"/>
      <c r="AH12" s="2"/>
    </row>
    <row r="13" spans="1:34" x14ac:dyDescent="0.35">
      <c r="A13" s="2"/>
      <c r="B13" s="2"/>
      <c r="C13" s="2"/>
      <c r="D13" s="2"/>
      <c r="E13" s="2"/>
      <c r="F13" s="2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"/>
      <c r="R13" s="2"/>
      <c r="S13" s="2"/>
      <c r="T13" s="40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43"/>
      <c r="AH13" s="2"/>
    </row>
    <row r="14" spans="1:34" x14ac:dyDescent="0.35">
      <c r="A14" s="2"/>
      <c r="B14" s="2"/>
      <c r="C14" s="2" t="str">
        <f t="shared" ref="C14:C21" si="4">U14</f>
        <v>Operating Profit</v>
      </c>
      <c r="D14" s="2" t="str">
        <f t="shared" ref="D14" si="5">V14</f>
        <v>(₹)</v>
      </c>
      <c r="E14" s="2"/>
      <c r="F14" s="2"/>
      <c r="G14" s="52">
        <f>W14</f>
        <v>3014</v>
      </c>
      <c r="H14" s="52">
        <f t="shared" ref="H14:P15" si="6">X14</f>
        <v>3966</v>
      </c>
      <c r="I14" s="52">
        <f t="shared" si="6"/>
        <v>3446</v>
      </c>
      <c r="J14" s="52">
        <f t="shared" si="6"/>
        <v>2378</v>
      </c>
      <c r="K14" s="52">
        <f t="shared" si="6"/>
        <v>2148</v>
      </c>
      <c r="L14" s="52">
        <f t="shared" si="6"/>
        <v>1146</v>
      </c>
      <c r="M14" s="52">
        <f t="shared" si="6"/>
        <v>1469</v>
      </c>
      <c r="N14" s="52">
        <f t="shared" si="6"/>
        <v>1743</v>
      </c>
      <c r="O14" s="52">
        <f t="shared" si="6"/>
        <v>1726</v>
      </c>
      <c r="P14" s="52">
        <f t="shared" si="6"/>
        <v>2124</v>
      </c>
      <c r="Q14" s="2"/>
      <c r="R14" s="2"/>
      <c r="S14" s="2"/>
      <c r="T14" s="40"/>
      <c r="U14" s="33" t="s">
        <v>8</v>
      </c>
      <c r="V14" s="44" t="s">
        <v>26</v>
      </c>
      <c r="W14" s="120">
        <f>'DLF Model'!B11</f>
        <v>3014</v>
      </c>
      <c r="X14" s="120">
        <f>'DLF Model'!C11</f>
        <v>3966</v>
      </c>
      <c r="Y14" s="120">
        <f>'DLF Model'!D11</f>
        <v>3446</v>
      </c>
      <c r="Z14" s="120">
        <f>'DLF Model'!E11</f>
        <v>2378</v>
      </c>
      <c r="AA14" s="120">
        <f>'DLF Model'!F11</f>
        <v>2148</v>
      </c>
      <c r="AB14" s="120">
        <f>'DLF Model'!G11</f>
        <v>1146</v>
      </c>
      <c r="AC14" s="120">
        <f>'DLF Model'!H11</f>
        <v>1469</v>
      </c>
      <c r="AD14" s="120">
        <f>'DLF Model'!I11</f>
        <v>1743</v>
      </c>
      <c r="AE14" s="120">
        <f>'DLF Model'!J11</f>
        <v>1726</v>
      </c>
      <c r="AF14" s="120">
        <f>'DLF Model'!K11</f>
        <v>2124</v>
      </c>
      <c r="AG14" s="43"/>
      <c r="AH14" s="2"/>
    </row>
    <row r="15" spans="1:34" x14ac:dyDescent="0.35">
      <c r="A15" s="2"/>
      <c r="B15" s="2"/>
      <c r="C15" s="2" t="str">
        <f t="shared" si="4"/>
        <v xml:space="preserve">   Margin</v>
      </c>
      <c r="D15" s="2" t="str">
        <f>V15</f>
        <v>(%)</v>
      </c>
      <c r="E15" s="2"/>
      <c r="F15" s="2"/>
      <c r="G15" s="123">
        <f>W15</f>
        <v>0.3940384363969146</v>
      </c>
      <c r="H15" s="123">
        <f t="shared" si="6"/>
        <v>0.39955671972597218</v>
      </c>
      <c r="I15" s="123">
        <f t="shared" si="6"/>
        <v>0.41917041722418197</v>
      </c>
      <c r="J15" s="123">
        <f t="shared" si="6"/>
        <v>0.35455494259728643</v>
      </c>
      <c r="K15" s="123">
        <f t="shared" si="6"/>
        <v>0.25675352617738467</v>
      </c>
      <c r="L15" s="123">
        <f t="shared" si="6"/>
        <v>0.18839388459641623</v>
      </c>
      <c r="M15" s="123">
        <f t="shared" si="6"/>
        <v>0.27133357960842258</v>
      </c>
      <c r="N15" s="123">
        <f t="shared" si="6"/>
        <v>0.30488018191359106</v>
      </c>
      <c r="O15" s="123">
        <f t="shared" si="6"/>
        <v>0.30307287093942054</v>
      </c>
      <c r="P15" s="123">
        <f t="shared" si="6"/>
        <v>0.3304807841916913</v>
      </c>
      <c r="Q15" s="2"/>
      <c r="R15" s="2"/>
      <c r="S15" s="2"/>
      <c r="T15" s="40"/>
      <c r="U15" s="45" t="s">
        <v>25</v>
      </c>
      <c r="V15" s="46" t="s">
        <v>23</v>
      </c>
      <c r="W15" s="121">
        <f>'DLF Model'!B305</f>
        <v>0.3940384363969146</v>
      </c>
      <c r="X15" s="121">
        <f>'DLF Model'!C305</f>
        <v>0.39955671972597218</v>
      </c>
      <c r="Y15" s="121">
        <f>'DLF Model'!D305</f>
        <v>0.41917041722418197</v>
      </c>
      <c r="Z15" s="121">
        <f>'DLF Model'!E305</f>
        <v>0.35455494259728643</v>
      </c>
      <c r="AA15" s="121">
        <f>'DLF Model'!F305</f>
        <v>0.25675352617738467</v>
      </c>
      <c r="AB15" s="121">
        <f>'DLF Model'!G305</f>
        <v>0.18839388459641623</v>
      </c>
      <c r="AC15" s="121">
        <f>'DLF Model'!H305</f>
        <v>0.27133357960842258</v>
      </c>
      <c r="AD15" s="121">
        <f>'DLF Model'!I305</f>
        <v>0.30488018191359106</v>
      </c>
      <c r="AE15" s="121">
        <f>'DLF Model'!J305</f>
        <v>0.30307287093942054</v>
      </c>
      <c r="AF15" s="121">
        <f>'DLF Model'!K305</f>
        <v>0.3304807841916913</v>
      </c>
      <c r="AG15" s="43"/>
      <c r="AH15" s="2"/>
    </row>
    <row r="16" spans="1:34" x14ac:dyDescent="0.35">
      <c r="A16" s="2"/>
      <c r="B16" s="2"/>
      <c r="C16" s="2" t="str">
        <f t="shared" si="4"/>
        <v xml:space="preserve">   Growth</v>
      </c>
      <c r="D16" s="2" t="str">
        <f>V16</f>
        <v>(%)</v>
      </c>
      <c r="E16" s="2"/>
      <c r="F16" s="2"/>
      <c r="G16" s="123">
        <f>W16</f>
        <v>0.20898515844364221</v>
      </c>
      <c r="H16" s="123">
        <f t="shared" ref="H16" si="7">X16</f>
        <v>0.31585932315859322</v>
      </c>
      <c r="I16" s="123">
        <f t="shared" ref="I16" si="8">Y16</f>
        <v>-0.13111447302067575</v>
      </c>
      <c r="J16" s="123">
        <f t="shared" ref="J16" si="9">Z16</f>
        <v>-0.30992455020313409</v>
      </c>
      <c r="K16" s="123">
        <f t="shared" ref="K16" si="10">AA16</f>
        <v>-9.6719932716568549E-2</v>
      </c>
      <c r="L16" s="123">
        <f t="shared" ref="L16" si="11">AB16</f>
        <v>-0.46648044692737428</v>
      </c>
      <c r="M16" s="123">
        <f t="shared" ref="M16" si="12">AC16</f>
        <v>0.28184991273996507</v>
      </c>
      <c r="N16" s="123">
        <f t="shared" ref="N16" si="13">AD16</f>
        <v>0.1865214431586113</v>
      </c>
      <c r="O16" s="123">
        <f t="shared" ref="O16" si="14">AE16</f>
        <v>-9.7532989099254168E-3</v>
      </c>
      <c r="P16" s="123">
        <f t="shared" ref="P16" si="15">AF16</f>
        <v>0.23059096176129779</v>
      </c>
      <c r="Q16" s="2"/>
      <c r="R16" s="2"/>
      <c r="S16" s="2"/>
      <c r="T16" s="40"/>
      <c r="U16" s="45" t="s">
        <v>22</v>
      </c>
      <c r="V16" s="46" t="s">
        <v>23</v>
      </c>
      <c r="W16" s="121">
        <f>(W14-DLF_Income_Statement!B4)/DLF_Income_Statement!B4</f>
        <v>0.20898515844364221</v>
      </c>
      <c r="X16" s="121">
        <f>(X14-W14)/W14</f>
        <v>0.31585932315859322</v>
      </c>
      <c r="Y16" s="121">
        <f t="shared" ref="Y16:AF16" si="16">(Y14-X14)/X14</f>
        <v>-0.13111447302067575</v>
      </c>
      <c r="Z16" s="121">
        <f t="shared" si="16"/>
        <v>-0.30992455020313409</v>
      </c>
      <c r="AA16" s="121">
        <f t="shared" si="16"/>
        <v>-9.6719932716568549E-2</v>
      </c>
      <c r="AB16" s="121">
        <f t="shared" si="16"/>
        <v>-0.46648044692737428</v>
      </c>
      <c r="AC16" s="121">
        <f t="shared" si="16"/>
        <v>0.28184991273996507</v>
      </c>
      <c r="AD16" s="121">
        <f t="shared" si="16"/>
        <v>0.1865214431586113</v>
      </c>
      <c r="AE16" s="121">
        <f t="shared" si="16"/>
        <v>-9.7532989099254168E-3</v>
      </c>
      <c r="AF16" s="121">
        <f t="shared" si="16"/>
        <v>0.23059096176129779</v>
      </c>
      <c r="AG16" s="43"/>
      <c r="AH16" s="2"/>
    </row>
    <row r="17" spans="1:34" x14ac:dyDescent="0.35">
      <c r="A17" s="2"/>
      <c r="B17" s="2"/>
      <c r="C17" s="2"/>
      <c r="D17" s="2"/>
      <c r="E17" s="2"/>
      <c r="F17" s="2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"/>
      <c r="R17" s="2"/>
      <c r="S17" s="2"/>
      <c r="T17" s="40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43"/>
      <c r="AH17" s="2"/>
    </row>
    <row r="18" spans="1:34" x14ac:dyDescent="0.35">
      <c r="A18" s="2"/>
      <c r="B18" s="2"/>
      <c r="C18" s="2"/>
      <c r="D18" s="2"/>
      <c r="E18" s="2"/>
      <c r="F18" s="2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"/>
      <c r="R18" s="2"/>
      <c r="S18" s="2"/>
      <c r="T18" s="40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43"/>
      <c r="AH18" s="2"/>
    </row>
    <row r="19" spans="1:34" x14ac:dyDescent="0.35">
      <c r="A19" s="2"/>
      <c r="B19" s="2"/>
      <c r="C19" s="2" t="str">
        <f t="shared" si="4"/>
        <v>Net Income</v>
      </c>
      <c r="D19" s="2"/>
      <c r="E19" s="2"/>
      <c r="F19" s="2"/>
      <c r="G19" s="52">
        <f t="shared" ref="G19:P21" si="17">W19</f>
        <v>510</v>
      </c>
      <c r="H19" s="52">
        <f t="shared" si="17"/>
        <v>462</v>
      </c>
      <c r="I19" s="52">
        <f t="shared" si="17"/>
        <v>800</v>
      </c>
      <c r="J19" s="52">
        <f t="shared" si="17"/>
        <v>4292</v>
      </c>
      <c r="K19" s="52">
        <f t="shared" si="17"/>
        <v>368</v>
      </c>
      <c r="L19" s="52">
        <f t="shared" si="17"/>
        <v>-1479</v>
      </c>
      <c r="M19" s="52">
        <f t="shared" si="17"/>
        <v>478</v>
      </c>
      <c r="N19" s="52">
        <f t="shared" si="17"/>
        <v>843</v>
      </c>
      <c r="O19" s="52">
        <f t="shared" si="17"/>
        <v>1100</v>
      </c>
      <c r="P19" s="52">
        <f t="shared" si="17"/>
        <v>1631</v>
      </c>
      <c r="Q19" s="2"/>
      <c r="R19" s="2"/>
      <c r="S19" s="2"/>
      <c r="T19" s="40"/>
      <c r="U19" s="33" t="s">
        <v>9</v>
      </c>
      <c r="V19" s="44" t="s">
        <v>26</v>
      </c>
      <c r="W19" s="120">
        <f>'DLF Model'!B17</f>
        <v>510</v>
      </c>
      <c r="X19" s="120">
        <f>'DLF Model'!C17</f>
        <v>462</v>
      </c>
      <c r="Y19" s="120">
        <f>'DLF Model'!D17</f>
        <v>800</v>
      </c>
      <c r="Z19" s="120">
        <f>'DLF Model'!E17</f>
        <v>4292</v>
      </c>
      <c r="AA19" s="120">
        <f>'DLF Model'!F17</f>
        <v>368</v>
      </c>
      <c r="AB19" s="120">
        <f>'DLF Model'!G17</f>
        <v>-1479</v>
      </c>
      <c r="AC19" s="120">
        <f>'DLF Model'!H17</f>
        <v>478</v>
      </c>
      <c r="AD19" s="120">
        <f>'DLF Model'!I17</f>
        <v>843</v>
      </c>
      <c r="AE19" s="120">
        <f>'DLF Model'!J17</f>
        <v>1100</v>
      </c>
      <c r="AF19" s="120">
        <f>'DLF Model'!K17</f>
        <v>1631</v>
      </c>
      <c r="AG19" s="43"/>
      <c r="AH19" s="2"/>
    </row>
    <row r="20" spans="1:34" x14ac:dyDescent="0.35">
      <c r="A20" s="2"/>
      <c r="B20" s="2"/>
      <c r="C20" s="2" t="str">
        <f t="shared" si="4"/>
        <v xml:space="preserve">   Margin</v>
      </c>
      <c r="D20" s="2" t="str">
        <f t="shared" ref="D20:D21" si="18">V20</f>
        <v>(%)</v>
      </c>
      <c r="E20" s="2"/>
      <c r="F20" s="2"/>
      <c r="G20" s="123">
        <f t="shared" si="17"/>
        <v>6.6675382402928488E-2</v>
      </c>
      <c r="H20" s="123">
        <f t="shared" si="17"/>
        <v>4.6544428772919602E-2</v>
      </c>
      <c r="I20" s="123">
        <f t="shared" si="17"/>
        <v>9.7311762559299353E-2</v>
      </c>
      <c r="J20" s="123">
        <f t="shared" si="17"/>
        <v>0.6399284329804682</v>
      </c>
      <c r="K20" s="123">
        <f t="shared" si="17"/>
        <v>4.3987568730576139E-2</v>
      </c>
      <c r="L20" s="123">
        <f t="shared" si="17"/>
        <v>-0.24313661022521782</v>
      </c>
      <c r="M20" s="123">
        <f t="shared" si="17"/>
        <v>8.8289619504987066E-2</v>
      </c>
      <c r="N20" s="123">
        <f t="shared" si="17"/>
        <v>0.14745495889452509</v>
      </c>
      <c r="O20" s="123">
        <f t="shared" si="17"/>
        <v>0.19315188762071994</v>
      </c>
      <c r="P20" s="123">
        <f t="shared" si="17"/>
        <v>0.25377314454644467</v>
      </c>
      <c r="Q20" s="2"/>
      <c r="R20" s="2"/>
      <c r="S20" s="2"/>
      <c r="T20" s="40"/>
      <c r="U20" s="45" t="s">
        <v>25</v>
      </c>
      <c r="V20" s="46" t="s">
        <v>23</v>
      </c>
      <c r="W20" s="121">
        <f>'DLF Model'!B304</f>
        <v>6.6675382402928488E-2</v>
      </c>
      <c r="X20" s="121">
        <f>'DLF Model'!C304</f>
        <v>4.6544428772919602E-2</v>
      </c>
      <c r="Y20" s="121">
        <f>'DLF Model'!D304</f>
        <v>9.7311762559299353E-2</v>
      </c>
      <c r="Z20" s="121">
        <f>'DLF Model'!E304</f>
        <v>0.6399284329804682</v>
      </c>
      <c r="AA20" s="121">
        <f>'DLF Model'!F304</f>
        <v>4.3987568730576139E-2</v>
      </c>
      <c r="AB20" s="121">
        <f>'DLF Model'!G304</f>
        <v>-0.24313661022521782</v>
      </c>
      <c r="AC20" s="121">
        <f>'DLF Model'!H304</f>
        <v>8.8289619504987066E-2</v>
      </c>
      <c r="AD20" s="121">
        <f>'DLF Model'!I304</f>
        <v>0.14745495889452509</v>
      </c>
      <c r="AE20" s="121">
        <f>'DLF Model'!J304</f>
        <v>0.19315188762071994</v>
      </c>
      <c r="AF20" s="121">
        <f>'DLF Model'!K304</f>
        <v>0.25377314454644467</v>
      </c>
      <c r="AG20" s="43"/>
      <c r="AH20" s="2"/>
    </row>
    <row r="21" spans="1:34" x14ac:dyDescent="0.35">
      <c r="A21" s="2"/>
      <c r="B21" s="2"/>
      <c r="C21" s="2" t="str">
        <f t="shared" si="4"/>
        <v xml:space="preserve">   Growth</v>
      </c>
      <c r="D21" s="2" t="str">
        <f t="shared" si="18"/>
        <v>(%)</v>
      </c>
      <c r="E21" s="2"/>
      <c r="F21" s="2"/>
      <c r="G21" s="123">
        <f t="shared" si="17"/>
        <v>0.02</v>
      </c>
      <c r="H21" s="123">
        <f t="shared" si="17"/>
        <v>-9.4117647058823528E-2</v>
      </c>
      <c r="I21" s="123">
        <f t="shared" si="17"/>
        <v>0.73160173160173159</v>
      </c>
      <c r="J21" s="123">
        <f t="shared" si="17"/>
        <v>4.3650000000000002</v>
      </c>
      <c r="K21" s="123">
        <f t="shared" si="17"/>
        <v>-0.91425908667287981</v>
      </c>
      <c r="L21" s="123">
        <f t="shared" si="17"/>
        <v>-5.0190217391304346</v>
      </c>
      <c r="M21" s="123">
        <f t="shared" si="17"/>
        <v>-1.3231913455037188</v>
      </c>
      <c r="N21" s="123">
        <f t="shared" si="17"/>
        <v>0.7635983263598326</v>
      </c>
      <c r="O21" s="123">
        <f t="shared" si="17"/>
        <v>0.30486358244365364</v>
      </c>
      <c r="P21" s="123">
        <f t="shared" si="17"/>
        <v>0.48272727272727273</v>
      </c>
      <c r="Q21" s="2"/>
      <c r="R21" s="2"/>
      <c r="S21" s="2"/>
      <c r="T21" s="40"/>
      <c r="U21" s="45" t="s">
        <v>22</v>
      </c>
      <c r="V21" s="46" t="s">
        <v>23</v>
      </c>
      <c r="W21" s="121">
        <f>(W19-DLF_Income_Statement!B11)/DLF_Income_Statement!B11</f>
        <v>0.02</v>
      </c>
      <c r="X21" s="121">
        <f>(X19-DLF_Income_Statement!C11)/DLF_Income_Statement!C11</f>
        <v>-9.4117647058823528E-2</v>
      </c>
      <c r="Y21" s="121">
        <f>(Y19-DLF_Income_Statement!D11)/DLF_Income_Statement!D11</f>
        <v>0.73160173160173159</v>
      </c>
      <c r="Z21" s="121">
        <f>(Z19-DLF_Income_Statement!E11)/DLF_Income_Statement!E11</f>
        <v>4.3650000000000002</v>
      </c>
      <c r="AA21" s="121">
        <f>(AA19-DLF_Income_Statement!F11)/DLF_Income_Statement!F11</f>
        <v>-0.91425908667287981</v>
      </c>
      <c r="AB21" s="121">
        <f>(AB19-DLF_Income_Statement!G11)/DLF_Income_Statement!G11</f>
        <v>-5.0190217391304346</v>
      </c>
      <c r="AC21" s="121">
        <f>(AC19-DLF_Income_Statement!H11)/DLF_Income_Statement!H11</f>
        <v>-1.3231913455037188</v>
      </c>
      <c r="AD21" s="121">
        <f>(AD19-DLF_Income_Statement!I11)/DLF_Income_Statement!I11</f>
        <v>0.7635983263598326</v>
      </c>
      <c r="AE21" s="121">
        <f>(AE19-DLF_Income_Statement!J11)/DLF_Income_Statement!J11</f>
        <v>0.30486358244365364</v>
      </c>
      <c r="AF21" s="121">
        <f>(AF19-DLF_Income_Statement!K11)/DLF_Income_Statement!K11</f>
        <v>0.48272727272727273</v>
      </c>
      <c r="AG21" s="43"/>
      <c r="AH21" s="2"/>
    </row>
    <row r="22" spans="1:34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47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9"/>
      <c r="AH22" s="2"/>
    </row>
    <row r="23" spans="1:34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s="124" customFormat="1" x14ac:dyDescent="0.35"/>
    <row r="25" spans="1:34" s="124" customFormat="1" x14ac:dyDescent="0.35"/>
    <row r="26" spans="1:34" s="124" customFormat="1" x14ac:dyDescent="0.35"/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E5F1EC4-DF83-4650-BBB2-33DE53000ED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Summary!G21:P21</xm:f>
              <xm:sqref>E21</xm:sqref>
            </x14:sparkline>
          </x14:sparklines>
        </x14:sparklineGroup>
        <x14:sparklineGroup displayEmptyCellsAs="gap" xr2:uid="{78D62905-CB4E-4760-9686-56D9F75F9E9B}">
          <x14:colorSeries rgb="FF0070C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Summary!G16:P16</xm:f>
              <xm:sqref>E16</xm:sqref>
            </x14:sparkline>
          </x14:sparklines>
        </x14:sparklineGroup>
        <x14:sparklineGroup displayEmptyCellsAs="gap" xr2:uid="{76698C4E-D3E6-4CCD-9201-6AFF52E63F69}">
          <x14:colorSeries rgb="FF0070C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Summary!G11:P11</xm:f>
              <xm:sqref>E11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73B4E-AEDA-48F3-A5E6-8CF4E3AEACCD}">
  <dimension ref="A1:Q355"/>
  <sheetViews>
    <sheetView showGridLines="0" zoomScale="60" zoomScaleNormal="6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71" sqref="C71"/>
    </sheetView>
  </sheetViews>
  <sheetFormatPr defaultColWidth="8.73046875" defaultRowHeight="13.5" x14ac:dyDescent="0.35"/>
  <cols>
    <col min="1" max="1" width="78.46484375" style="9" bestFit="1" customWidth="1"/>
    <col min="2" max="2" width="14.265625" style="9" customWidth="1"/>
    <col min="3" max="3" width="15.59765625" style="9" bestFit="1" customWidth="1"/>
    <col min="4" max="4" width="13.46484375" style="9" bestFit="1" customWidth="1"/>
    <col min="5" max="5" width="11.9296875" style="9" bestFit="1" customWidth="1"/>
    <col min="6" max="10" width="11.19921875" style="9" customWidth="1"/>
    <col min="11" max="11" width="11.19921875" style="9" bestFit="1" customWidth="1"/>
    <col min="12" max="12" width="3.33203125" style="117" customWidth="1"/>
    <col min="13" max="13" width="73.59765625" style="9" bestFit="1" customWidth="1"/>
    <col min="14" max="16384" width="8.73046875" style="9"/>
  </cols>
  <sheetData>
    <row r="1" spans="1:17" ht="18" thickBot="1" x14ac:dyDescent="0.4">
      <c r="A1" s="67" t="s">
        <v>41</v>
      </c>
      <c r="B1" s="62" t="s">
        <v>42</v>
      </c>
      <c r="C1" s="62"/>
      <c r="D1" s="62"/>
      <c r="E1" s="62"/>
      <c r="F1" s="62"/>
      <c r="G1" s="62"/>
      <c r="H1" s="62"/>
      <c r="I1" s="62"/>
      <c r="J1" s="62"/>
      <c r="K1" s="63"/>
      <c r="L1" s="64" t="s">
        <v>43</v>
      </c>
      <c r="M1" s="73" t="s">
        <v>44</v>
      </c>
      <c r="N1" s="11"/>
      <c r="O1" s="11"/>
      <c r="P1" s="11"/>
      <c r="Q1" s="11"/>
    </row>
    <row r="2" spans="1:17" ht="18" thickBot="1" x14ac:dyDescent="0.4">
      <c r="A2" s="71" t="s">
        <v>92</v>
      </c>
      <c r="B2" s="171">
        <v>2015</v>
      </c>
      <c r="C2" s="171">
        <f>B2+1</f>
        <v>2016</v>
      </c>
      <c r="D2" s="171">
        <f t="shared" ref="D2:K2" si="0">C2+1</f>
        <v>2017</v>
      </c>
      <c r="E2" s="171">
        <f t="shared" si="0"/>
        <v>2018</v>
      </c>
      <c r="F2" s="171">
        <f t="shared" si="0"/>
        <v>2019</v>
      </c>
      <c r="G2" s="171">
        <f t="shared" si="0"/>
        <v>2020</v>
      </c>
      <c r="H2" s="171">
        <f t="shared" si="0"/>
        <v>2021</v>
      </c>
      <c r="I2" s="171">
        <f t="shared" si="0"/>
        <v>2022</v>
      </c>
      <c r="J2" s="171">
        <f t="shared" si="0"/>
        <v>2023</v>
      </c>
      <c r="K2" s="171">
        <f t="shared" si="0"/>
        <v>2024</v>
      </c>
      <c r="L2" s="65" t="s">
        <v>43</v>
      </c>
      <c r="M2" s="74"/>
      <c r="N2" s="11"/>
      <c r="O2" s="11"/>
      <c r="P2" s="11"/>
      <c r="Q2" s="11"/>
    </row>
    <row r="3" spans="1:17" ht="18" thickBot="1" x14ac:dyDescent="0.55000000000000004">
      <c r="A3" s="72" t="s">
        <v>26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6" t="s">
        <v>43</v>
      </c>
      <c r="M3" s="75"/>
    </row>
    <row r="4" spans="1:17" x14ac:dyDescent="0.35">
      <c r="A4" s="69"/>
      <c r="L4" s="65" t="s">
        <v>43</v>
      </c>
      <c r="M4" s="76"/>
    </row>
    <row r="5" spans="1:17" ht="13.9" x14ac:dyDescent="0.4">
      <c r="A5" s="78" t="s">
        <v>41</v>
      </c>
      <c r="B5" s="79"/>
      <c r="C5" s="79"/>
      <c r="D5" s="79"/>
      <c r="E5" s="79"/>
      <c r="F5" s="79"/>
      <c r="G5" s="79"/>
      <c r="H5" s="79"/>
      <c r="I5" s="79"/>
      <c r="J5" s="79"/>
      <c r="K5" s="79"/>
      <c r="L5" s="65" t="s">
        <v>43</v>
      </c>
      <c r="M5" s="76"/>
    </row>
    <row r="6" spans="1:17" x14ac:dyDescent="0.35">
      <c r="A6" s="69"/>
      <c r="L6" s="65" t="s">
        <v>43</v>
      </c>
      <c r="M6" s="76"/>
    </row>
    <row r="7" spans="1:17" ht="13.9" x14ac:dyDescent="0.4">
      <c r="A7" s="80" t="s">
        <v>71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65" t="s">
        <v>43</v>
      </c>
      <c r="M7" s="76"/>
    </row>
    <row r="8" spans="1:17" x14ac:dyDescent="0.35">
      <c r="A8" s="69"/>
      <c r="L8" s="65" t="s">
        <v>43</v>
      </c>
      <c r="M8" s="76"/>
    </row>
    <row r="9" spans="1:17" ht="13.9" x14ac:dyDescent="0.4">
      <c r="A9" s="77" t="s">
        <v>7</v>
      </c>
      <c r="B9" s="86">
        <f>DLF_Income_Statement!C2</f>
        <v>7649</v>
      </c>
      <c r="C9" s="86">
        <f>DLF_Income_Statement!D2</f>
        <v>9926</v>
      </c>
      <c r="D9" s="86">
        <f>DLF_Income_Statement!E2</f>
        <v>8221</v>
      </c>
      <c r="E9" s="86">
        <f>DLF_Income_Statement!F2</f>
        <v>6707</v>
      </c>
      <c r="F9" s="86">
        <f>DLF_Income_Statement!G2</f>
        <v>8366</v>
      </c>
      <c r="G9" s="86">
        <f>DLF_Income_Statement!H2</f>
        <v>6083</v>
      </c>
      <c r="H9" s="86">
        <f>DLF_Income_Statement!I2</f>
        <v>5414</v>
      </c>
      <c r="I9" s="86">
        <f>DLF_Income_Statement!J2</f>
        <v>5717</v>
      </c>
      <c r="J9" s="86">
        <f>DLF_Income_Statement!K2</f>
        <v>5695</v>
      </c>
      <c r="K9" s="86">
        <f>DLF_Income_Statement!L2</f>
        <v>6427</v>
      </c>
      <c r="L9" s="65" t="s">
        <v>43</v>
      </c>
      <c r="M9" s="76"/>
    </row>
    <row r="10" spans="1:17" ht="13.9" thickBot="1" x14ac:dyDescent="0.4">
      <c r="A10" s="70" t="s">
        <v>45</v>
      </c>
      <c r="B10" s="85">
        <f>DLF_Income_Statement!C3</f>
        <v>4635</v>
      </c>
      <c r="C10" s="85">
        <f>DLF_Income_Statement!D3</f>
        <v>5960</v>
      </c>
      <c r="D10" s="85">
        <f>DLF_Income_Statement!E3</f>
        <v>4775</v>
      </c>
      <c r="E10" s="85">
        <f>DLF_Income_Statement!F3</f>
        <v>4329</v>
      </c>
      <c r="F10" s="85">
        <f>DLF_Income_Statement!G3</f>
        <v>6218</v>
      </c>
      <c r="G10" s="85">
        <f>DLF_Income_Statement!H3</f>
        <v>4937</v>
      </c>
      <c r="H10" s="85">
        <f>DLF_Income_Statement!I3</f>
        <v>3945</v>
      </c>
      <c r="I10" s="85">
        <f>DLF_Income_Statement!J3</f>
        <v>3974</v>
      </c>
      <c r="J10" s="85">
        <f>DLF_Income_Statement!K3</f>
        <v>3969</v>
      </c>
      <c r="K10" s="85">
        <f>DLF_Income_Statement!L3</f>
        <v>4303</v>
      </c>
      <c r="L10" s="65" t="s">
        <v>43</v>
      </c>
      <c r="M10" s="76"/>
    </row>
    <row r="11" spans="1:17" ht="13.9" x14ac:dyDescent="0.4">
      <c r="A11" s="77" t="s">
        <v>8</v>
      </c>
      <c r="B11" s="86">
        <f>B9-B10</f>
        <v>3014</v>
      </c>
      <c r="C11" s="86">
        <f t="shared" ref="C11:K11" si="1">C9-C10</f>
        <v>3966</v>
      </c>
      <c r="D11" s="86">
        <f t="shared" si="1"/>
        <v>3446</v>
      </c>
      <c r="E11" s="86">
        <f t="shared" si="1"/>
        <v>2378</v>
      </c>
      <c r="F11" s="86">
        <f t="shared" si="1"/>
        <v>2148</v>
      </c>
      <c r="G11" s="86">
        <f t="shared" si="1"/>
        <v>1146</v>
      </c>
      <c r="H11" s="86">
        <f t="shared" si="1"/>
        <v>1469</v>
      </c>
      <c r="I11" s="86">
        <f t="shared" si="1"/>
        <v>1743</v>
      </c>
      <c r="J11" s="86">
        <f t="shared" si="1"/>
        <v>1726</v>
      </c>
      <c r="K11" s="86">
        <f t="shared" si="1"/>
        <v>2124</v>
      </c>
      <c r="L11" s="65" t="s">
        <v>43</v>
      </c>
      <c r="M11" s="76"/>
    </row>
    <row r="12" spans="1:17" x14ac:dyDescent="0.35">
      <c r="A12" s="69" t="s">
        <v>13</v>
      </c>
      <c r="B12" s="83">
        <f>DLF_Income_Statement!C5</f>
        <v>503</v>
      </c>
      <c r="C12" s="83">
        <f>DLF_Income_Statement!D5</f>
        <v>506</v>
      </c>
      <c r="D12" s="83">
        <f>DLF_Income_Statement!E5</f>
        <v>1135</v>
      </c>
      <c r="E12" s="83">
        <f>DLF_Income_Statement!F5</f>
        <v>9722</v>
      </c>
      <c r="F12" s="83">
        <f>DLF_Income_Statement!G5</f>
        <v>784</v>
      </c>
      <c r="G12" s="83">
        <f>DLF_Income_Statement!H5</f>
        <v>1135</v>
      </c>
      <c r="H12" s="83">
        <f>DLF_Income_Statement!I5</f>
        <v>383</v>
      </c>
      <c r="I12" s="83">
        <f>DLF_Income_Statement!J5</f>
        <v>195</v>
      </c>
      <c r="J12" s="83">
        <f>DLF_Income_Statement!K5</f>
        <v>317</v>
      </c>
      <c r="K12" s="83">
        <f>DLF_Income_Statement!L5</f>
        <v>531</v>
      </c>
      <c r="L12" s="65" t="s">
        <v>43</v>
      </c>
      <c r="M12" s="76"/>
    </row>
    <row r="13" spans="1:17" x14ac:dyDescent="0.35">
      <c r="A13" s="69" t="s">
        <v>14</v>
      </c>
      <c r="B13" s="83">
        <f>DLF_Income_Statement!C6</f>
        <v>545</v>
      </c>
      <c r="C13" s="83">
        <f>DLF_Income_Statement!D6</f>
        <v>766</v>
      </c>
      <c r="D13" s="83">
        <f>DLF_Income_Statement!E6</f>
        <v>572</v>
      </c>
      <c r="E13" s="83">
        <f>DLF_Income_Statement!F6</f>
        <v>534</v>
      </c>
      <c r="F13" s="83">
        <f>DLF_Income_Statement!G6</f>
        <v>225</v>
      </c>
      <c r="G13" s="83">
        <f>DLF_Income_Statement!H6</f>
        <v>200</v>
      </c>
      <c r="H13" s="83">
        <f>DLF_Income_Statement!I6</f>
        <v>159</v>
      </c>
      <c r="I13" s="83">
        <f>DLF_Income_Statement!J6</f>
        <v>149</v>
      </c>
      <c r="J13" s="83">
        <f>DLF_Income_Statement!K6</f>
        <v>149</v>
      </c>
      <c r="K13" s="83">
        <f>DLF_Income_Statement!L6</f>
        <v>148</v>
      </c>
      <c r="L13" s="65" t="s">
        <v>43</v>
      </c>
      <c r="M13" s="76"/>
    </row>
    <row r="14" spans="1:17" ht="13.9" thickBot="1" x14ac:dyDescent="0.4">
      <c r="A14" s="70" t="s">
        <v>15</v>
      </c>
      <c r="B14" s="85">
        <f>DLF_Income_Statement!C7</f>
        <v>2304</v>
      </c>
      <c r="C14" s="85">
        <f>DLF_Income_Statement!D7</f>
        <v>2680</v>
      </c>
      <c r="D14" s="85">
        <f>DLF_Income_Statement!E7</f>
        <v>2980</v>
      </c>
      <c r="E14" s="85">
        <f>DLF_Income_Statement!F7</f>
        <v>2951</v>
      </c>
      <c r="F14" s="85">
        <f>DLF_Income_Statement!G7</f>
        <v>2062</v>
      </c>
      <c r="G14" s="85">
        <f>DLF_Income_Statement!H7</f>
        <v>1427</v>
      </c>
      <c r="H14" s="85">
        <f>DLF_Income_Statement!I7</f>
        <v>853</v>
      </c>
      <c r="I14" s="85">
        <f>DLF_Income_Statement!J7</f>
        <v>625</v>
      </c>
      <c r="J14" s="85">
        <f>DLF_Income_Statement!K7</f>
        <v>392</v>
      </c>
      <c r="K14" s="85">
        <f>DLF_Income_Statement!L7</f>
        <v>356</v>
      </c>
      <c r="L14" s="65" t="s">
        <v>43</v>
      </c>
      <c r="M14" s="76"/>
    </row>
    <row r="15" spans="1:17" ht="13.9" x14ac:dyDescent="0.4">
      <c r="A15" s="77" t="s">
        <v>16</v>
      </c>
      <c r="B15" s="86">
        <f>B11+B12-B13-B14</f>
        <v>668</v>
      </c>
      <c r="C15" s="86">
        <f t="shared" ref="C15:K15" si="2">C11+C12-C13-C14</f>
        <v>1026</v>
      </c>
      <c r="D15" s="86">
        <f t="shared" si="2"/>
        <v>1029</v>
      </c>
      <c r="E15" s="86">
        <f t="shared" si="2"/>
        <v>8615</v>
      </c>
      <c r="F15" s="86">
        <f t="shared" si="2"/>
        <v>645</v>
      </c>
      <c r="G15" s="86">
        <f t="shared" si="2"/>
        <v>654</v>
      </c>
      <c r="H15" s="86">
        <f t="shared" si="2"/>
        <v>840</v>
      </c>
      <c r="I15" s="86">
        <f t="shared" si="2"/>
        <v>1164</v>
      </c>
      <c r="J15" s="86">
        <f t="shared" si="2"/>
        <v>1502</v>
      </c>
      <c r="K15" s="86">
        <f t="shared" si="2"/>
        <v>2151</v>
      </c>
      <c r="L15" s="65" t="s">
        <v>43</v>
      </c>
      <c r="M15" s="76"/>
    </row>
    <row r="16" spans="1:17" ht="13.9" thickBot="1" x14ac:dyDescent="0.4">
      <c r="A16" s="70" t="s">
        <v>17</v>
      </c>
      <c r="B16" s="85">
        <f>DLF_Income_Statement!C9</f>
        <v>158</v>
      </c>
      <c r="C16" s="85">
        <f>DLF_Income_Statement!D9</f>
        <v>564</v>
      </c>
      <c r="D16" s="85">
        <f>DLF_Income_Statement!E9</f>
        <v>229</v>
      </c>
      <c r="E16" s="85">
        <f>DLF_Income_Statement!F9</f>
        <v>4323</v>
      </c>
      <c r="F16" s="85">
        <f>DLF_Income_Statement!G9</f>
        <v>277</v>
      </c>
      <c r="G16" s="85">
        <f>DLF_Income_Statement!H9</f>
        <v>2133</v>
      </c>
      <c r="H16" s="85">
        <f>DLF_Income_Statement!I9</f>
        <v>362</v>
      </c>
      <c r="I16" s="85">
        <f>DLF_Income_Statement!J9</f>
        <v>321</v>
      </c>
      <c r="J16" s="85">
        <f>DLF_Income_Statement!K9</f>
        <v>402</v>
      </c>
      <c r="K16" s="85">
        <f>DLF_Income_Statement!L9</f>
        <v>520</v>
      </c>
      <c r="L16" s="65" t="s">
        <v>43</v>
      </c>
      <c r="M16" s="76"/>
    </row>
    <row r="17" spans="1:13" ht="13.9" x14ac:dyDescent="0.4">
      <c r="A17" s="77" t="s">
        <v>18</v>
      </c>
      <c r="B17" s="86">
        <f>B15-B16</f>
        <v>510</v>
      </c>
      <c r="C17" s="86">
        <f t="shared" ref="C17:K17" si="3">C15-C16</f>
        <v>462</v>
      </c>
      <c r="D17" s="86">
        <f t="shared" si="3"/>
        <v>800</v>
      </c>
      <c r="E17" s="86">
        <f t="shared" si="3"/>
        <v>4292</v>
      </c>
      <c r="F17" s="86">
        <f t="shared" si="3"/>
        <v>368</v>
      </c>
      <c r="G17" s="86">
        <f t="shared" si="3"/>
        <v>-1479</v>
      </c>
      <c r="H17" s="86">
        <f t="shared" si="3"/>
        <v>478</v>
      </c>
      <c r="I17" s="86">
        <f t="shared" si="3"/>
        <v>843</v>
      </c>
      <c r="J17" s="86">
        <f t="shared" si="3"/>
        <v>1100</v>
      </c>
      <c r="K17" s="86">
        <f t="shared" si="3"/>
        <v>1631</v>
      </c>
      <c r="L17" s="65" t="s">
        <v>43</v>
      </c>
      <c r="M17" s="76"/>
    </row>
    <row r="18" spans="1:13" ht="13.9" thickBot="1" x14ac:dyDescent="0.4">
      <c r="A18" s="69"/>
      <c r="L18" s="65" t="s">
        <v>43</v>
      </c>
      <c r="M18" s="76"/>
    </row>
    <row r="19" spans="1:13" ht="13.9" x14ac:dyDescent="0.4">
      <c r="A19" s="82" t="s">
        <v>24</v>
      </c>
      <c r="B19" s="87">
        <f>B11+B13</f>
        <v>3559</v>
      </c>
      <c r="C19" s="87">
        <f t="shared" ref="C19:K19" si="4">C11+C13</f>
        <v>4732</v>
      </c>
      <c r="D19" s="87">
        <f t="shared" si="4"/>
        <v>4018</v>
      </c>
      <c r="E19" s="87">
        <f t="shared" si="4"/>
        <v>2912</v>
      </c>
      <c r="F19" s="87">
        <f t="shared" si="4"/>
        <v>2373</v>
      </c>
      <c r="G19" s="87">
        <f t="shared" si="4"/>
        <v>1346</v>
      </c>
      <c r="H19" s="87">
        <f t="shared" si="4"/>
        <v>1628</v>
      </c>
      <c r="I19" s="87">
        <f t="shared" si="4"/>
        <v>1892</v>
      </c>
      <c r="J19" s="87">
        <f t="shared" si="4"/>
        <v>1875</v>
      </c>
      <c r="K19" s="87">
        <f t="shared" si="4"/>
        <v>2272</v>
      </c>
      <c r="L19" s="65" t="s">
        <v>43</v>
      </c>
      <c r="M19" s="76"/>
    </row>
    <row r="20" spans="1:13" ht="13.9" x14ac:dyDescent="0.4">
      <c r="A20" s="77" t="s">
        <v>19</v>
      </c>
      <c r="B20" s="83">
        <f>B11</f>
        <v>3014</v>
      </c>
      <c r="C20" s="83">
        <f t="shared" ref="C20:K20" si="5">C11</f>
        <v>3966</v>
      </c>
      <c r="D20" s="83">
        <f t="shared" si="5"/>
        <v>3446</v>
      </c>
      <c r="E20" s="83">
        <f t="shared" si="5"/>
        <v>2378</v>
      </c>
      <c r="F20" s="83">
        <f t="shared" si="5"/>
        <v>2148</v>
      </c>
      <c r="G20" s="83">
        <f t="shared" si="5"/>
        <v>1146</v>
      </c>
      <c r="H20" s="83">
        <f t="shared" si="5"/>
        <v>1469</v>
      </c>
      <c r="I20" s="83">
        <f t="shared" si="5"/>
        <v>1743</v>
      </c>
      <c r="J20" s="83">
        <f t="shared" si="5"/>
        <v>1726</v>
      </c>
      <c r="K20" s="83">
        <f t="shared" si="5"/>
        <v>2124</v>
      </c>
      <c r="L20" s="65" t="s">
        <v>43</v>
      </c>
      <c r="M20" s="76"/>
    </row>
    <row r="21" spans="1:13" ht="13.9" x14ac:dyDescent="0.4">
      <c r="A21" s="77" t="s">
        <v>20</v>
      </c>
      <c r="B21" s="83">
        <f>B11-B14</f>
        <v>710</v>
      </c>
      <c r="C21" s="83">
        <f t="shared" ref="C21:K21" si="6">C11-C14</f>
        <v>1286</v>
      </c>
      <c r="D21" s="83">
        <f t="shared" si="6"/>
        <v>466</v>
      </c>
      <c r="E21" s="83">
        <f t="shared" si="6"/>
        <v>-573</v>
      </c>
      <c r="F21" s="83">
        <f t="shared" si="6"/>
        <v>86</v>
      </c>
      <c r="G21" s="83">
        <f t="shared" si="6"/>
        <v>-281</v>
      </c>
      <c r="H21" s="83">
        <f t="shared" si="6"/>
        <v>616</v>
      </c>
      <c r="I21" s="83">
        <f t="shared" si="6"/>
        <v>1118</v>
      </c>
      <c r="J21" s="83">
        <f t="shared" si="6"/>
        <v>1334</v>
      </c>
      <c r="K21" s="83">
        <f t="shared" si="6"/>
        <v>1768</v>
      </c>
      <c r="L21" s="65" t="s">
        <v>43</v>
      </c>
      <c r="M21" s="76"/>
    </row>
    <row r="22" spans="1:13" ht="14.25" thickBot="1" x14ac:dyDescent="0.45">
      <c r="A22" s="68" t="s">
        <v>21</v>
      </c>
      <c r="B22" s="85">
        <f>B15-B16</f>
        <v>510</v>
      </c>
      <c r="C22" s="85">
        <f t="shared" ref="C22:K22" si="7">C15-C16</f>
        <v>462</v>
      </c>
      <c r="D22" s="85">
        <f t="shared" si="7"/>
        <v>800</v>
      </c>
      <c r="E22" s="85">
        <f t="shared" si="7"/>
        <v>4292</v>
      </c>
      <c r="F22" s="85">
        <f t="shared" si="7"/>
        <v>368</v>
      </c>
      <c r="G22" s="85">
        <f t="shared" si="7"/>
        <v>-1479</v>
      </c>
      <c r="H22" s="85">
        <f t="shared" si="7"/>
        <v>478</v>
      </c>
      <c r="I22" s="85">
        <f t="shared" si="7"/>
        <v>843</v>
      </c>
      <c r="J22" s="85">
        <f t="shared" si="7"/>
        <v>1100</v>
      </c>
      <c r="K22" s="85">
        <f t="shared" si="7"/>
        <v>1631</v>
      </c>
      <c r="L22" s="65" t="s">
        <v>43</v>
      </c>
      <c r="M22" s="76"/>
    </row>
    <row r="23" spans="1:13" x14ac:dyDescent="0.35">
      <c r="A23" s="69"/>
      <c r="L23" s="65" t="s">
        <v>43</v>
      </c>
      <c r="M23" s="76"/>
    </row>
    <row r="24" spans="1:13" x14ac:dyDescent="0.35">
      <c r="A24" s="69"/>
      <c r="L24" s="65" t="s">
        <v>43</v>
      </c>
      <c r="M24" s="76"/>
    </row>
    <row r="25" spans="1:13" ht="13.9" x14ac:dyDescent="0.4">
      <c r="A25" s="80" t="s">
        <v>72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65" t="s">
        <v>43</v>
      </c>
      <c r="M25" s="76"/>
    </row>
    <row r="26" spans="1:13" x14ac:dyDescent="0.35">
      <c r="A26" s="69"/>
      <c r="L26" s="65" t="s">
        <v>43</v>
      </c>
      <c r="M26" s="76"/>
    </row>
    <row r="27" spans="1:13" ht="13.9" x14ac:dyDescent="0.4">
      <c r="A27" s="77" t="s">
        <v>46</v>
      </c>
      <c r="L27" s="65" t="s">
        <v>43</v>
      </c>
      <c r="M27" s="76"/>
    </row>
    <row r="28" spans="1:13" x14ac:dyDescent="0.35">
      <c r="A28" s="69"/>
      <c r="L28" s="65" t="s">
        <v>43</v>
      </c>
      <c r="M28" s="76"/>
    </row>
    <row r="29" spans="1:13" ht="13.9" x14ac:dyDescent="0.4">
      <c r="A29" s="77" t="s">
        <v>47</v>
      </c>
      <c r="L29" s="65" t="s">
        <v>43</v>
      </c>
      <c r="M29" s="76"/>
    </row>
    <row r="30" spans="1:13" x14ac:dyDescent="0.35">
      <c r="A30" s="69" t="s">
        <v>105</v>
      </c>
      <c r="B30" s="83">
        <f>DLF_Balance_Sheet!C20</f>
        <v>1586</v>
      </c>
      <c r="C30" s="83">
        <f>DLF_Balance_Sheet!D20</f>
        <v>3417</v>
      </c>
      <c r="D30" s="83">
        <f>DLF_Balance_Sheet!E20</f>
        <v>1417</v>
      </c>
      <c r="E30" s="83">
        <f>DLF_Balance_Sheet!F20</f>
        <v>1286</v>
      </c>
      <c r="F30" s="83">
        <f>DLF_Balance_Sheet!G20</f>
        <v>832</v>
      </c>
      <c r="G30" s="83">
        <f>DLF_Balance_Sheet!H20</f>
        <v>721</v>
      </c>
      <c r="H30" s="83">
        <f>DLF_Balance_Sheet!I20</f>
        <v>581</v>
      </c>
      <c r="I30" s="83">
        <f>DLF_Balance_Sheet!J20</f>
        <v>564</v>
      </c>
      <c r="J30" s="83">
        <f>DLF_Balance_Sheet!K20</f>
        <v>549</v>
      </c>
      <c r="K30" s="83">
        <f>DLF_Balance_Sheet!L20</f>
        <v>538</v>
      </c>
      <c r="L30" s="65" t="s">
        <v>43</v>
      </c>
      <c r="M30" s="76"/>
    </row>
    <row r="31" spans="1:13" x14ac:dyDescent="0.35">
      <c r="A31" s="69" t="s">
        <v>36</v>
      </c>
      <c r="B31" s="83">
        <f>DLF_Balance_Sheet!C21</f>
        <v>17610</v>
      </c>
      <c r="C31" s="83">
        <f>DLF_Balance_Sheet!D21</f>
        <v>16834</v>
      </c>
      <c r="D31" s="83">
        <f>DLF_Balance_Sheet!E21</f>
        <v>20099</v>
      </c>
      <c r="E31" s="83">
        <f>DLF_Balance_Sheet!F21</f>
        <v>19753</v>
      </c>
      <c r="F31" s="83">
        <f>DLF_Balance_Sheet!G21</f>
        <v>22009</v>
      </c>
      <c r="G31" s="83">
        <f>DLF_Balance_Sheet!H21</f>
        <v>22486</v>
      </c>
      <c r="H31" s="83">
        <f>DLF_Balance_Sheet!I21</f>
        <v>21087</v>
      </c>
      <c r="I31" s="83">
        <f>DLF_Balance_Sheet!J21</f>
        <v>20107</v>
      </c>
      <c r="J31" s="83">
        <f>DLF_Balance_Sheet!K21</f>
        <v>19361</v>
      </c>
      <c r="K31" s="83">
        <f>DLF_Balance_Sheet!L21</f>
        <v>21154</v>
      </c>
      <c r="L31" s="65" t="s">
        <v>43</v>
      </c>
      <c r="M31" s="76"/>
    </row>
    <row r="32" spans="1:13" x14ac:dyDescent="0.35">
      <c r="A32" s="69" t="s">
        <v>39</v>
      </c>
      <c r="B32" s="83">
        <f>DLF_Balance_Sheet!C22</f>
        <v>2748</v>
      </c>
      <c r="C32" s="83">
        <f>DLF_Balance_Sheet!D22</f>
        <v>3381</v>
      </c>
      <c r="D32" s="83">
        <f>DLF_Balance_Sheet!E22</f>
        <v>4099</v>
      </c>
      <c r="E32" s="83">
        <f>DLF_Balance_Sheet!F22</f>
        <v>2278</v>
      </c>
      <c r="F32" s="83">
        <f>DLF_Balance_Sheet!G22</f>
        <v>4855</v>
      </c>
      <c r="G32" s="83">
        <f>DLF_Balance_Sheet!H22</f>
        <v>2420</v>
      </c>
      <c r="H32" s="83">
        <f>DLF_Balance_Sheet!I22</f>
        <v>1407</v>
      </c>
      <c r="I32" s="83">
        <f>DLF_Balance_Sheet!J22</f>
        <v>932</v>
      </c>
      <c r="J32" s="83">
        <f>DLF_Balance_Sheet!K22</f>
        <v>2275</v>
      </c>
      <c r="K32" s="83">
        <f>DLF_Balance_Sheet!L22</f>
        <v>4384</v>
      </c>
      <c r="L32" s="65" t="s">
        <v>43</v>
      </c>
      <c r="M32" s="76"/>
    </row>
    <row r="33" spans="1:13" x14ac:dyDescent="0.35">
      <c r="A33" s="69" t="s">
        <v>104</v>
      </c>
      <c r="B33" s="83">
        <f>DLF_Balance_Sheet!C23</f>
        <v>49</v>
      </c>
      <c r="C33" s="83">
        <f>DLF_Balance_Sheet!D23</f>
        <v>1213</v>
      </c>
      <c r="D33" s="83">
        <f>DLF_Balance_Sheet!E23</f>
        <v>115</v>
      </c>
      <c r="E33" s="83">
        <f>DLF_Balance_Sheet!F23</f>
        <v>171</v>
      </c>
      <c r="F33" s="83">
        <f>DLF_Balance_Sheet!G23</f>
        <v>1154</v>
      </c>
      <c r="G33" s="83">
        <f>DLF_Balance_Sheet!H23</f>
        <v>753</v>
      </c>
      <c r="H33" s="83">
        <f>DLF_Balance_Sheet!I23</f>
        <v>1068</v>
      </c>
      <c r="I33" s="83">
        <f>DLF_Balance_Sheet!J23</f>
        <v>904</v>
      </c>
      <c r="J33" s="83">
        <f>DLF_Balance_Sheet!K23</f>
        <v>1215</v>
      </c>
      <c r="K33" s="83">
        <f>DLF_Balance_Sheet!L23</f>
        <v>1573</v>
      </c>
      <c r="L33" s="65" t="s">
        <v>43</v>
      </c>
      <c r="M33" s="76"/>
    </row>
    <row r="34" spans="1:13" ht="13.9" thickBot="1" x14ac:dyDescent="0.4">
      <c r="A34" s="70" t="s">
        <v>34</v>
      </c>
      <c r="B34" s="85">
        <f>DLF_Balance_Sheet!C24</f>
        <v>18126</v>
      </c>
      <c r="C34" s="85">
        <f>DLF_Balance_Sheet!D24</f>
        <v>9852</v>
      </c>
      <c r="D34" s="85">
        <f>DLF_Balance_Sheet!E24</f>
        <v>12222</v>
      </c>
      <c r="E34" s="85">
        <f>DLF_Balance_Sheet!F24</f>
        <v>8046</v>
      </c>
      <c r="F34" s="85">
        <f>DLF_Balance_Sheet!G24</f>
        <v>10203</v>
      </c>
      <c r="G34" s="85">
        <f>DLF_Balance_Sheet!H24</f>
        <v>5669</v>
      </c>
      <c r="H34" s="85">
        <f>DLF_Balance_Sheet!I24</f>
        <v>4648</v>
      </c>
      <c r="I34" s="85">
        <f>DLF_Balance_Sheet!J24</f>
        <v>3938</v>
      </c>
      <c r="J34" s="85">
        <f>DLF_Balance_Sheet!K24</f>
        <v>4845</v>
      </c>
      <c r="K34" s="85">
        <f>DLF_Balance_Sheet!L24</f>
        <v>7331</v>
      </c>
      <c r="L34" s="65" t="s">
        <v>43</v>
      </c>
      <c r="M34" s="76"/>
    </row>
    <row r="35" spans="1:13" ht="13.9" x14ac:dyDescent="0.4">
      <c r="A35" s="77" t="s">
        <v>48</v>
      </c>
      <c r="B35" s="86">
        <f>SUM(B30:B34)</f>
        <v>40119</v>
      </c>
      <c r="C35" s="86">
        <f t="shared" ref="C35:K35" si="8">SUM(C30:C34)</f>
        <v>34697</v>
      </c>
      <c r="D35" s="86">
        <f t="shared" si="8"/>
        <v>37952</v>
      </c>
      <c r="E35" s="86">
        <f t="shared" si="8"/>
        <v>31534</v>
      </c>
      <c r="F35" s="86">
        <f t="shared" si="8"/>
        <v>39053</v>
      </c>
      <c r="G35" s="86">
        <f t="shared" si="8"/>
        <v>32049</v>
      </c>
      <c r="H35" s="86">
        <f t="shared" si="8"/>
        <v>28791</v>
      </c>
      <c r="I35" s="86">
        <f t="shared" si="8"/>
        <v>26445</v>
      </c>
      <c r="J35" s="86">
        <f t="shared" si="8"/>
        <v>28245</v>
      </c>
      <c r="K35" s="86">
        <f t="shared" si="8"/>
        <v>34980</v>
      </c>
      <c r="L35" s="65" t="s">
        <v>43</v>
      </c>
      <c r="M35" s="76"/>
    </row>
    <row r="36" spans="1:13" x14ac:dyDescent="0.35">
      <c r="A36" s="69"/>
      <c r="L36" s="65" t="s">
        <v>43</v>
      </c>
      <c r="M36" s="76"/>
    </row>
    <row r="37" spans="1:13" ht="13.9" x14ac:dyDescent="0.4">
      <c r="A37" s="77" t="s">
        <v>49</v>
      </c>
      <c r="L37" s="65" t="s">
        <v>43</v>
      </c>
      <c r="M37" s="76"/>
    </row>
    <row r="38" spans="1:13" x14ac:dyDescent="0.35">
      <c r="A38" s="69" t="s">
        <v>31</v>
      </c>
      <c r="B38" s="83">
        <f>DLF_Balance_Sheet!C16</f>
        <v>19619</v>
      </c>
      <c r="C38" s="83">
        <f>DLF_Balance_Sheet!D16</f>
        <v>3943</v>
      </c>
      <c r="D38" s="83">
        <f>DLF_Balance_Sheet!E16</f>
        <v>24640</v>
      </c>
      <c r="E38" s="83">
        <f>DLF_Balance_Sheet!F16</f>
        <v>8082</v>
      </c>
      <c r="F38" s="83">
        <f>DLF_Balance_Sheet!G16</f>
        <v>6322</v>
      </c>
      <c r="G38" s="83">
        <f>DLF_Balance_Sheet!H16</f>
        <v>5187</v>
      </c>
      <c r="H38" s="83">
        <f>DLF_Balance_Sheet!I16</f>
        <v>4856</v>
      </c>
      <c r="I38" s="83">
        <f>DLF_Balance_Sheet!J16</f>
        <v>4862</v>
      </c>
      <c r="J38" s="83">
        <f>DLF_Balance_Sheet!K16</f>
        <v>4785</v>
      </c>
      <c r="K38" s="83">
        <f>DLF_Balance_Sheet!L16</f>
        <v>3880</v>
      </c>
      <c r="L38" s="65" t="s">
        <v>43</v>
      </c>
      <c r="M38" s="76"/>
    </row>
    <row r="39" spans="1:13" x14ac:dyDescent="0.35">
      <c r="A39" s="69" t="s">
        <v>32</v>
      </c>
      <c r="B39" s="83">
        <f>DLF_Balance_Sheet!C17</f>
        <v>5901</v>
      </c>
      <c r="C39" s="83">
        <f>DLF_Balance_Sheet!D17</f>
        <v>1779</v>
      </c>
      <c r="D39" s="83">
        <f>DLF_Balance_Sheet!E17</f>
        <v>153</v>
      </c>
      <c r="E39" s="83">
        <f>DLF_Balance_Sheet!F17</f>
        <v>137</v>
      </c>
      <c r="F39" s="83">
        <f>DLF_Balance_Sheet!G17</f>
        <v>103</v>
      </c>
      <c r="G39" s="83">
        <f>DLF_Balance_Sheet!H17</f>
        <v>89</v>
      </c>
      <c r="H39" s="83">
        <f>DLF_Balance_Sheet!I17</f>
        <v>95</v>
      </c>
      <c r="I39" s="83">
        <f>DLF_Balance_Sheet!J17</f>
        <v>81</v>
      </c>
      <c r="J39" s="83">
        <f>DLF_Balance_Sheet!K17</f>
        <v>61</v>
      </c>
      <c r="K39" s="83">
        <f>DLF_Balance_Sheet!L17</f>
        <v>71</v>
      </c>
      <c r="L39" s="65" t="s">
        <v>43</v>
      </c>
      <c r="M39" s="76"/>
    </row>
    <row r="40" spans="1:13" ht="13.9" thickBot="1" x14ac:dyDescent="0.4">
      <c r="A40" s="70" t="s">
        <v>33</v>
      </c>
      <c r="B40" s="85">
        <f>DLF_Balance_Sheet!C18</f>
        <v>623</v>
      </c>
      <c r="C40" s="85">
        <f>DLF_Balance_Sheet!D18</f>
        <v>21310</v>
      </c>
      <c r="D40" s="85">
        <f>DLF_Balance_Sheet!E18</f>
        <v>1209</v>
      </c>
      <c r="E40" s="85">
        <f>DLF_Balance_Sheet!F18</f>
        <v>20832</v>
      </c>
      <c r="F40" s="85">
        <f>DLF_Balance_Sheet!G18</f>
        <v>21005</v>
      </c>
      <c r="G40" s="85">
        <f>DLF_Balance_Sheet!H18</f>
        <v>18566</v>
      </c>
      <c r="H40" s="85">
        <f>DLF_Balance_Sheet!I18</f>
        <v>19746</v>
      </c>
      <c r="I40" s="85">
        <f>DLF_Balance_Sheet!J18</f>
        <v>19779</v>
      </c>
      <c r="J40" s="85">
        <f>DLF_Balance_Sheet!K18</f>
        <v>19481</v>
      </c>
      <c r="K40" s="85">
        <f>DLF_Balance_Sheet!L18</f>
        <v>20138</v>
      </c>
      <c r="L40" s="65" t="s">
        <v>43</v>
      </c>
      <c r="M40" s="76"/>
    </row>
    <row r="41" spans="1:13" ht="13.9" x14ac:dyDescent="0.4">
      <c r="A41" s="77" t="s">
        <v>50</v>
      </c>
      <c r="B41" s="86">
        <f>SUM(B38:B40)</f>
        <v>26143</v>
      </c>
      <c r="C41" s="86">
        <f t="shared" ref="C41:K41" si="9">SUM(C38:C40)</f>
        <v>27032</v>
      </c>
      <c r="D41" s="86">
        <f t="shared" si="9"/>
        <v>26002</v>
      </c>
      <c r="E41" s="86">
        <f t="shared" si="9"/>
        <v>29051</v>
      </c>
      <c r="F41" s="86">
        <f t="shared" si="9"/>
        <v>27430</v>
      </c>
      <c r="G41" s="86">
        <f t="shared" si="9"/>
        <v>23842</v>
      </c>
      <c r="H41" s="86">
        <f t="shared" si="9"/>
        <v>24697</v>
      </c>
      <c r="I41" s="86">
        <f t="shared" si="9"/>
        <v>24722</v>
      </c>
      <c r="J41" s="86">
        <f t="shared" si="9"/>
        <v>24327</v>
      </c>
      <c r="K41" s="86">
        <f t="shared" si="9"/>
        <v>24089</v>
      </c>
      <c r="L41" s="65" t="s">
        <v>43</v>
      </c>
      <c r="M41" s="76"/>
    </row>
    <row r="42" spans="1:13" x14ac:dyDescent="0.35">
      <c r="A42" s="69"/>
      <c r="L42" s="65" t="s">
        <v>43</v>
      </c>
      <c r="M42" s="76"/>
    </row>
    <row r="43" spans="1:13" x14ac:dyDescent="0.35">
      <c r="A43" s="69"/>
      <c r="L43" s="65" t="s">
        <v>43</v>
      </c>
      <c r="M43" s="76"/>
    </row>
    <row r="44" spans="1:13" ht="13.9" x14ac:dyDescent="0.4">
      <c r="A44" s="77" t="s">
        <v>51</v>
      </c>
      <c r="B44" s="86">
        <f>B35+B41</f>
        <v>66262</v>
      </c>
      <c r="C44" s="86">
        <f t="shared" ref="C44:K44" si="10">C35+C41</f>
        <v>61729</v>
      </c>
      <c r="D44" s="86">
        <f t="shared" si="10"/>
        <v>63954</v>
      </c>
      <c r="E44" s="86">
        <f t="shared" si="10"/>
        <v>60585</v>
      </c>
      <c r="F44" s="86">
        <f t="shared" si="10"/>
        <v>66483</v>
      </c>
      <c r="G44" s="86">
        <f t="shared" si="10"/>
        <v>55891</v>
      </c>
      <c r="H44" s="86">
        <f t="shared" si="10"/>
        <v>53488</v>
      </c>
      <c r="I44" s="86">
        <f t="shared" si="10"/>
        <v>51167</v>
      </c>
      <c r="J44" s="86">
        <f t="shared" si="10"/>
        <v>52572</v>
      </c>
      <c r="K44" s="86">
        <f t="shared" si="10"/>
        <v>59069</v>
      </c>
      <c r="L44" s="65" t="s">
        <v>43</v>
      </c>
      <c r="M44" s="76"/>
    </row>
    <row r="45" spans="1:13" x14ac:dyDescent="0.35">
      <c r="A45" s="69"/>
      <c r="L45" s="65" t="s">
        <v>43</v>
      </c>
      <c r="M45" s="76"/>
    </row>
    <row r="46" spans="1:13" x14ac:dyDescent="0.35">
      <c r="A46" s="69"/>
      <c r="L46" s="65" t="s">
        <v>43</v>
      </c>
      <c r="M46" s="76"/>
    </row>
    <row r="47" spans="1:13" ht="13.9" x14ac:dyDescent="0.4">
      <c r="A47" s="77" t="s">
        <v>52</v>
      </c>
      <c r="L47" s="65" t="s">
        <v>43</v>
      </c>
      <c r="M47" s="76"/>
    </row>
    <row r="48" spans="1:13" x14ac:dyDescent="0.35">
      <c r="A48" s="69"/>
      <c r="L48" s="65" t="s">
        <v>43</v>
      </c>
      <c r="M48" s="76"/>
    </row>
    <row r="49" spans="1:13" ht="13.9" x14ac:dyDescent="0.4">
      <c r="A49" s="77" t="s">
        <v>53</v>
      </c>
      <c r="L49" s="65" t="s">
        <v>43</v>
      </c>
      <c r="M49" s="76"/>
    </row>
    <row r="50" spans="1:13" x14ac:dyDescent="0.35">
      <c r="A50" s="69" t="s">
        <v>98</v>
      </c>
      <c r="B50" s="83">
        <f>DLF_Balance_Sheet!C8</f>
        <v>175</v>
      </c>
      <c r="C50" s="83">
        <f>DLF_Balance_Sheet!D8</f>
        <v>126</v>
      </c>
      <c r="D50" s="83">
        <f>DLF_Balance_Sheet!E8</f>
        <v>124</v>
      </c>
      <c r="E50" s="83">
        <f>DLF_Balance_Sheet!F8</f>
        <v>49</v>
      </c>
      <c r="F50" s="83">
        <f>DLF_Balance_Sheet!G8</f>
        <v>41</v>
      </c>
      <c r="G50" s="83">
        <f>DLF_Balance_Sheet!H8</f>
        <v>18</v>
      </c>
      <c r="H50" s="83">
        <f>DLF_Balance_Sheet!I8</f>
        <v>20</v>
      </c>
      <c r="I50" s="83">
        <f>DLF_Balance_Sheet!J8</f>
        <v>19</v>
      </c>
      <c r="J50" s="83">
        <f>DLF_Balance_Sheet!K8</f>
        <v>4</v>
      </c>
      <c r="K50" s="83">
        <f>DLF_Balance_Sheet!L8</f>
        <v>1</v>
      </c>
      <c r="L50" s="65" t="s">
        <v>43</v>
      </c>
      <c r="M50" s="76"/>
    </row>
    <row r="51" spans="1:13" x14ac:dyDescent="0.35">
      <c r="A51" s="69" t="s">
        <v>99</v>
      </c>
      <c r="B51" s="83">
        <f>DLF_Balance_Sheet!C9</f>
        <v>1850</v>
      </c>
      <c r="C51" s="83">
        <f>DLF_Balance_Sheet!D9</f>
        <v>1514</v>
      </c>
      <c r="D51" s="83">
        <f>DLF_Balance_Sheet!E9</f>
        <v>1407</v>
      </c>
      <c r="E51" s="83">
        <f>DLF_Balance_Sheet!F9</f>
        <v>1217</v>
      </c>
      <c r="F51" s="83">
        <f>DLF_Balance_Sheet!G9</f>
        <v>1277</v>
      </c>
      <c r="G51" s="83">
        <f>DLF_Balance_Sheet!H9</f>
        <v>1057</v>
      </c>
      <c r="H51" s="83">
        <f>DLF_Balance_Sheet!I9</f>
        <v>1234</v>
      </c>
      <c r="I51" s="83">
        <f>DLF_Balance_Sheet!J9</f>
        <v>1529</v>
      </c>
      <c r="J51" s="83">
        <f>DLF_Balance_Sheet!K9</f>
        <v>1644</v>
      </c>
      <c r="K51" s="83">
        <f>DLF_Balance_Sheet!L9</f>
        <v>1787</v>
      </c>
      <c r="L51" s="65" t="s">
        <v>43</v>
      </c>
      <c r="M51" s="76"/>
    </row>
    <row r="52" spans="1:13" x14ac:dyDescent="0.35">
      <c r="A52" s="69" t="s">
        <v>100</v>
      </c>
      <c r="B52" s="83">
        <f>DLF_Balance_Sheet!C10</f>
        <v>0</v>
      </c>
      <c r="C52" s="83">
        <f>DLF_Balance_Sheet!D10</f>
        <v>0</v>
      </c>
      <c r="D52" s="83">
        <f>DLF_Balance_Sheet!E10</f>
        <v>0</v>
      </c>
      <c r="E52" s="83">
        <f>DLF_Balance_Sheet!F10</f>
        <v>60</v>
      </c>
      <c r="F52" s="83">
        <f>DLF_Balance_Sheet!G10</f>
        <v>105</v>
      </c>
      <c r="G52" s="83">
        <f>DLF_Balance_Sheet!H10</f>
        <v>79</v>
      </c>
      <c r="H52" s="83">
        <f>DLF_Balance_Sheet!I10</f>
        <v>90</v>
      </c>
      <c r="I52" s="83">
        <f>DLF_Balance_Sheet!J10</f>
        <v>0</v>
      </c>
      <c r="J52" s="83">
        <f>DLF_Balance_Sheet!K10</f>
        <v>0</v>
      </c>
      <c r="K52" s="83">
        <f>DLF_Balance_Sheet!L10</f>
        <v>0</v>
      </c>
      <c r="L52" s="65" t="s">
        <v>43</v>
      </c>
      <c r="M52" s="76"/>
    </row>
    <row r="53" spans="1:13" ht="13.9" thickBot="1" x14ac:dyDescent="0.4">
      <c r="A53" s="70" t="s">
        <v>30</v>
      </c>
      <c r="B53" s="85">
        <f>DLF_Balance_Sheet!C11</f>
        <v>12373</v>
      </c>
      <c r="C53" s="85">
        <f>DLF_Balance_Sheet!D11</f>
        <v>10756</v>
      </c>
      <c r="D53" s="85">
        <f>DLF_Balance_Sheet!E11</f>
        <v>8648</v>
      </c>
      <c r="E53" s="85">
        <f>DLF_Balance_Sheet!F11</f>
        <v>6457</v>
      </c>
      <c r="F53" s="85">
        <f>DLF_Balance_Sheet!G11</f>
        <v>14262</v>
      </c>
      <c r="G53" s="85">
        <f>DLF_Balance_Sheet!H11</f>
        <v>12187</v>
      </c>
      <c r="H53" s="85">
        <f>DLF_Balance_Sheet!I11</f>
        <v>9914</v>
      </c>
      <c r="I53" s="85">
        <f>DLF_Balance_Sheet!J11</f>
        <v>9075</v>
      </c>
      <c r="J53" s="85">
        <f>DLF_Balance_Sheet!K11</f>
        <v>9903</v>
      </c>
      <c r="K53" s="85">
        <f>DLF_Balance_Sheet!L11</f>
        <v>13016</v>
      </c>
      <c r="L53" s="65" t="s">
        <v>43</v>
      </c>
      <c r="M53" s="76"/>
    </row>
    <row r="54" spans="1:13" ht="13.9" x14ac:dyDescent="0.4">
      <c r="A54" s="77" t="s">
        <v>54</v>
      </c>
      <c r="B54" s="86">
        <f>SUM(B50:B53)</f>
        <v>14398</v>
      </c>
      <c r="C54" s="86">
        <f t="shared" ref="C54:K54" si="11">SUM(C50:C53)</f>
        <v>12396</v>
      </c>
      <c r="D54" s="86">
        <f t="shared" si="11"/>
        <v>10179</v>
      </c>
      <c r="E54" s="86">
        <f t="shared" si="11"/>
        <v>7783</v>
      </c>
      <c r="F54" s="86">
        <f t="shared" si="11"/>
        <v>15685</v>
      </c>
      <c r="G54" s="86">
        <f t="shared" si="11"/>
        <v>13341</v>
      </c>
      <c r="H54" s="86">
        <f t="shared" si="11"/>
        <v>11258</v>
      </c>
      <c r="I54" s="86">
        <f t="shared" si="11"/>
        <v>10623</v>
      </c>
      <c r="J54" s="86">
        <f t="shared" si="11"/>
        <v>11551</v>
      </c>
      <c r="K54" s="86">
        <f t="shared" si="11"/>
        <v>14804</v>
      </c>
      <c r="L54" s="65" t="s">
        <v>43</v>
      </c>
      <c r="M54" s="76"/>
    </row>
    <row r="55" spans="1:13" x14ac:dyDescent="0.35">
      <c r="A55" s="69"/>
      <c r="L55" s="65" t="s">
        <v>43</v>
      </c>
      <c r="M55" s="76"/>
    </row>
    <row r="56" spans="1:13" ht="13.9" x14ac:dyDescent="0.4">
      <c r="A56" s="77" t="s">
        <v>55</v>
      </c>
      <c r="L56" s="65" t="s">
        <v>43</v>
      </c>
      <c r="M56" s="76"/>
    </row>
    <row r="57" spans="1:13" ht="13.9" thickBot="1" x14ac:dyDescent="0.4">
      <c r="A57" s="70" t="s">
        <v>29</v>
      </c>
      <c r="B57" s="85">
        <f>DLF_Balance_Sheet!C6</f>
        <v>24495</v>
      </c>
      <c r="C57" s="85">
        <f>DLF_Balance_Sheet!D6</f>
        <v>25264</v>
      </c>
      <c r="D57" s="85">
        <f>DLF_Balance_Sheet!E6</f>
        <v>29202</v>
      </c>
      <c r="E57" s="85">
        <f>DLF_Balance_Sheet!F6</f>
        <v>17491</v>
      </c>
      <c r="F57" s="85">
        <f>DLF_Balance_Sheet!G6</f>
        <v>17222</v>
      </c>
      <c r="G57" s="85">
        <f>DLF_Balance_Sheet!H6</f>
        <v>8103</v>
      </c>
      <c r="H57" s="85">
        <f>DLF_Balance_Sheet!I6</f>
        <v>6886</v>
      </c>
      <c r="I57" s="85">
        <f>DLF_Balance_Sheet!J6</f>
        <v>4182</v>
      </c>
      <c r="J57" s="85">
        <f>DLF_Balance_Sheet!K6</f>
        <v>3334</v>
      </c>
      <c r="K57" s="85">
        <f>DLF_Balance_Sheet!L6</f>
        <v>4834</v>
      </c>
      <c r="L57" s="65" t="s">
        <v>43</v>
      </c>
      <c r="M57" s="76"/>
    </row>
    <row r="58" spans="1:13" ht="13.9" x14ac:dyDescent="0.4">
      <c r="A58" s="77" t="s">
        <v>56</v>
      </c>
      <c r="B58" s="86">
        <f>B57</f>
        <v>24495</v>
      </c>
      <c r="C58" s="86">
        <f t="shared" ref="C58:K58" si="12">C57</f>
        <v>25264</v>
      </c>
      <c r="D58" s="86">
        <f t="shared" si="12"/>
        <v>29202</v>
      </c>
      <c r="E58" s="86">
        <f t="shared" si="12"/>
        <v>17491</v>
      </c>
      <c r="F58" s="86">
        <f t="shared" si="12"/>
        <v>17222</v>
      </c>
      <c r="G58" s="86">
        <f t="shared" si="12"/>
        <v>8103</v>
      </c>
      <c r="H58" s="86">
        <f t="shared" si="12"/>
        <v>6886</v>
      </c>
      <c r="I58" s="86">
        <f t="shared" si="12"/>
        <v>4182</v>
      </c>
      <c r="J58" s="86">
        <f t="shared" si="12"/>
        <v>3334</v>
      </c>
      <c r="K58" s="86">
        <f t="shared" si="12"/>
        <v>4834</v>
      </c>
      <c r="L58" s="65" t="s">
        <v>43</v>
      </c>
      <c r="M58" s="76"/>
    </row>
    <row r="59" spans="1:13" ht="13.9" x14ac:dyDescent="0.4">
      <c r="A59" s="77"/>
      <c r="L59" s="65" t="s">
        <v>43</v>
      </c>
      <c r="M59" s="76"/>
    </row>
    <row r="60" spans="1:13" ht="13.9" x14ac:dyDescent="0.4">
      <c r="A60" s="77"/>
      <c r="L60" s="65" t="s">
        <v>43</v>
      </c>
      <c r="M60" s="76"/>
    </row>
    <row r="61" spans="1:13" ht="13.9" x14ac:dyDescent="0.4">
      <c r="A61" s="77" t="s">
        <v>57</v>
      </c>
      <c r="B61" s="86">
        <f>B54+B58</f>
        <v>38893</v>
      </c>
      <c r="C61" s="86">
        <f t="shared" ref="C61:K61" si="13">C54+C58</f>
        <v>37660</v>
      </c>
      <c r="D61" s="86">
        <f t="shared" si="13"/>
        <v>39381</v>
      </c>
      <c r="E61" s="86">
        <f t="shared" si="13"/>
        <v>25274</v>
      </c>
      <c r="F61" s="86">
        <f t="shared" si="13"/>
        <v>32907</v>
      </c>
      <c r="G61" s="86">
        <f t="shared" si="13"/>
        <v>21444</v>
      </c>
      <c r="H61" s="86">
        <f t="shared" si="13"/>
        <v>18144</v>
      </c>
      <c r="I61" s="86">
        <f t="shared" si="13"/>
        <v>14805</v>
      </c>
      <c r="J61" s="86">
        <f t="shared" si="13"/>
        <v>14885</v>
      </c>
      <c r="K61" s="86">
        <f t="shared" si="13"/>
        <v>19638</v>
      </c>
      <c r="L61" s="65" t="s">
        <v>43</v>
      </c>
      <c r="M61" s="76"/>
    </row>
    <row r="62" spans="1:13" ht="13.9" x14ac:dyDescent="0.4">
      <c r="A62" s="77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65" t="s">
        <v>43</v>
      </c>
      <c r="M62" s="76"/>
    </row>
    <row r="63" spans="1:13" x14ac:dyDescent="0.35">
      <c r="A63" s="69"/>
      <c r="L63" s="65" t="s">
        <v>43</v>
      </c>
      <c r="M63" s="76"/>
    </row>
    <row r="64" spans="1:13" ht="13.9" x14ac:dyDescent="0.4">
      <c r="A64" s="77" t="s">
        <v>58</v>
      </c>
      <c r="L64" s="65" t="s">
        <v>43</v>
      </c>
      <c r="M64" s="76"/>
    </row>
    <row r="65" spans="1:13" x14ac:dyDescent="0.35">
      <c r="A65" s="69" t="s">
        <v>27</v>
      </c>
      <c r="B65" s="83">
        <f>DLF_Balance_Sheet!C3</f>
        <v>356</v>
      </c>
      <c r="C65" s="83">
        <f>DLF_Balance_Sheet!D3</f>
        <v>357</v>
      </c>
      <c r="D65" s="83">
        <f>DLF_Balance_Sheet!E3</f>
        <v>357</v>
      </c>
      <c r="E65" s="83">
        <f>DLF_Balance_Sheet!F3</f>
        <v>357</v>
      </c>
      <c r="F65" s="83">
        <f>DLF_Balance_Sheet!G3</f>
        <v>441</v>
      </c>
      <c r="G65" s="83">
        <f>DLF_Balance_Sheet!H3</f>
        <v>495</v>
      </c>
      <c r="H65" s="83">
        <f>DLF_Balance_Sheet!I3</f>
        <v>495</v>
      </c>
      <c r="I65" s="83">
        <f>DLF_Balance_Sheet!J3</f>
        <v>495</v>
      </c>
      <c r="J65" s="83">
        <f>DLF_Balance_Sheet!K3</f>
        <v>495</v>
      </c>
      <c r="K65" s="83">
        <f>DLF_Balance_Sheet!L3</f>
        <v>495</v>
      </c>
      <c r="L65" s="65" t="s">
        <v>43</v>
      </c>
      <c r="M65" s="76"/>
    </row>
    <row r="66" spans="1:13" ht="13.9" thickBot="1" x14ac:dyDescent="0.4">
      <c r="A66" s="70" t="s">
        <v>28</v>
      </c>
      <c r="B66" s="85">
        <f>DLF_Balance_Sheet!C4</f>
        <v>27013</v>
      </c>
      <c r="C66" s="85">
        <f>DLF_Balance_Sheet!D4</f>
        <v>23712</v>
      </c>
      <c r="D66" s="85">
        <f>DLF_Balance_Sheet!E4</f>
        <v>24216</v>
      </c>
      <c r="E66" s="85">
        <f>DLF_Balance_Sheet!F4</f>
        <v>34954</v>
      </c>
      <c r="F66" s="85">
        <f>DLF_Balance_Sheet!G4</f>
        <v>33135</v>
      </c>
      <c r="G66" s="85">
        <f>DLF_Balance_Sheet!H4</f>
        <v>33952</v>
      </c>
      <c r="H66" s="85">
        <f>DLF_Balance_Sheet!I4</f>
        <v>34849</v>
      </c>
      <c r="I66" s="85">
        <f>DLF_Balance_Sheet!J4</f>
        <v>35867</v>
      </c>
      <c r="J66" s="85">
        <f>DLF_Balance_Sheet!K4</f>
        <v>37192</v>
      </c>
      <c r="K66" s="85">
        <f>DLF_Balance_Sheet!L4</f>
        <v>38936</v>
      </c>
      <c r="L66" s="65" t="s">
        <v>43</v>
      </c>
      <c r="M66" s="76"/>
    </row>
    <row r="67" spans="1:13" ht="13.9" x14ac:dyDescent="0.4">
      <c r="A67" s="77" t="s">
        <v>59</v>
      </c>
      <c r="B67" s="88">
        <f>SUM(B65:B66)</f>
        <v>27369</v>
      </c>
      <c r="C67" s="88">
        <f t="shared" ref="C67:K67" si="14">SUM(C65:C66)</f>
        <v>24069</v>
      </c>
      <c r="D67" s="88">
        <f t="shared" si="14"/>
        <v>24573</v>
      </c>
      <c r="E67" s="88">
        <f t="shared" si="14"/>
        <v>35311</v>
      </c>
      <c r="F67" s="88">
        <f t="shared" si="14"/>
        <v>33576</v>
      </c>
      <c r="G67" s="88">
        <f t="shared" si="14"/>
        <v>34447</v>
      </c>
      <c r="H67" s="88">
        <f t="shared" si="14"/>
        <v>35344</v>
      </c>
      <c r="I67" s="88">
        <f t="shared" si="14"/>
        <v>36362</v>
      </c>
      <c r="J67" s="88">
        <f t="shared" si="14"/>
        <v>37687</v>
      </c>
      <c r="K67" s="88">
        <f t="shared" si="14"/>
        <v>39431</v>
      </c>
      <c r="L67" s="65" t="s">
        <v>43</v>
      </c>
      <c r="M67" s="76"/>
    </row>
    <row r="68" spans="1:13" x14ac:dyDescent="0.35">
      <c r="A68" s="69"/>
      <c r="L68" s="65" t="s">
        <v>43</v>
      </c>
      <c r="M68" s="76"/>
    </row>
    <row r="69" spans="1:13" x14ac:dyDescent="0.35">
      <c r="A69" s="69"/>
      <c r="L69" s="65" t="s">
        <v>43</v>
      </c>
      <c r="M69" s="76"/>
    </row>
    <row r="70" spans="1:13" ht="13.9" x14ac:dyDescent="0.4">
      <c r="A70" s="77" t="s">
        <v>60</v>
      </c>
      <c r="B70" s="86">
        <f>B61+B67</f>
        <v>66262</v>
      </c>
      <c r="C70" s="86">
        <f t="shared" ref="C70:K70" si="15">C61+C67</f>
        <v>61729</v>
      </c>
      <c r="D70" s="86">
        <f t="shared" si="15"/>
        <v>63954</v>
      </c>
      <c r="E70" s="86">
        <f t="shared" si="15"/>
        <v>60585</v>
      </c>
      <c r="F70" s="86">
        <f t="shared" si="15"/>
        <v>66483</v>
      </c>
      <c r="G70" s="86">
        <f t="shared" si="15"/>
        <v>55891</v>
      </c>
      <c r="H70" s="86">
        <f t="shared" si="15"/>
        <v>53488</v>
      </c>
      <c r="I70" s="86">
        <f t="shared" si="15"/>
        <v>51167</v>
      </c>
      <c r="J70" s="86">
        <f t="shared" si="15"/>
        <v>52572</v>
      </c>
      <c r="K70" s="86">
        <f t="shared" si="15"/>
        <v>59069</v>
      </c>
      <c r="L70" s="65" t="s">
        <v>43</v>
      </c>
      <c r="M70" s="76"/>
    </row>
    <row r="71" spans="1:13" ht="13.9" x14ac:dyDescent="0.4">
      <c r="A71" s="100" t="s">
        <v>61</v>
      </c>
      <c r="B71" s="83">
        <f>B44-B70</f>
        <v>0</v>
      </c>
      <c r="C71" s="83">
        <f t="shared" ref="C71:K71" si="16">C44-C70</f>
        <v>0</v>
      </c>
      <c r="D71" s="83">
        <f t="shared" si="16"/>
        <v>0</v>
      </c>
      <c r="E71" s="83">
        <f t="shared" si="16"/>
        <v>0</v>
      </c>
      <c r="F71" s="83">
        <f t="shared" si="16"/>
        <v>0</v>
      </c>
      <c r="G71" s="83">
        <f t="shared" si="16"/>
        <v>0</v>
      </c>
      <c r="H71" s="83">
        <f t="shared" si="16"/>
        <v>0</v>
      </c>
      <c r="I71" s="83">
        <f t="shared" si="16"/>
        <v>0</v>
      </c>
      <c r="J71" s="83">
        <f t="shared" si="16"/>
        <v>0</v>
      </c>
      <c r="K71" s="83">
        <f t="shared" si="16"/>
        <v>0</v>
      </c>
      <c r="L71" s="65" t="s">
        <v>43</v>
      </c>
      <c r="M71" s="76"/>
    </row>
    <row r="72" spans="1:13" x14ac:dyDescent="0.35">
      <c r="A72" s="69"/>
      <c r="L72" s="65" t="s">
        <v>43</v>
      </c>
      <c r="M72" s="76"/>
    </row>
    <row r="73" spans="1:13" x14ac:dyDescent="0.35">
      <c r="A73" s="69"/>
      <c r="L73" s="65" t="s">
        <v>43</v>
      </c>
      <c r="M73" s="76"/>
    </row>
    <row r="74" spans="1:13" ht="13.9" x14ac:dyDescent="0.4">
      <c r="A74" s="80" t="s">
        <v>73</v>
      </c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65" t="s">
        <v>43</v>
      </c>
      <c r="M74" s="76"/>
    </row>
    <row r="75" spans="1:13" x14ac:dyDescent="0.35">
      <c r="A75" s="69"/>
      <c r="L75" s="65" t="s">
        <v>43</v>
      </c>
      <c r="M75" s="76"/>
    </row>
    <row r="76" spans="1:13" ht="13.9" x14ac:dyDescent="0.4">
      <c r="A76" s="77" t="s">
        <v>77</v>
      </c>
      <c r="L76" s="65" t="s">
        <v>43</v>
      </c>
      <c r="M76" s="76"/>
    </row>
    <row r="77" spans="1:13" x14ac:dyDescent="0.35">
      <c r="A77" s="69"/>
      <c r="L77" s="65" t="s">
        <v>43</v>
      </c>
      <c r="M77" s="76"/>
    </row>
    <row r="78" spans="1:13" ht="13.9" x14ac:dyDescent="0.4">
      <c r="A78" s="77" t="s">
        <v>9</v>
      </c>
      <c r="B78" s="86">
        <f>B17</f>
        <v>510</v>
      </c>
      <c r="C78" s="86">
        <f t="shared" ref="C78:K78" si="17">C17</f>
        <v>462</v>
      </c>
      <c r="D78" s="86">
        <f t="shared" si="17"/>
        <v>800</v>
      </c>
      <c r="E78" s="86">
        <f t="shared" si="17"/>
        <v>4292</v>
      </c>
      <c r="F78" s="86">
        <f t="shared" si="17"/>
        <v>368</v>
      </c>
      <c r="G78" s="86">
        <f t="shared" si="17"/>
        <v>-1479</v>
      </c>
      <c r="H78" s="86">
        <f t="shared" si="17"/>
        <v>478</v>
      </c>
      <c r="I78" s="86">
        <f t="shared" si="17"/>
        <v>843</v>
      </c>
      <c r="J78" s="86">
        <f t="shared" si="17"/>
        <v>1100</v>
      </c>
      <c r="K78" s="86">
        <f t="shared" si="17"/>
        <v>1631</v>
      </c>
      <c r="L78" s="65" t="s">
        <v>43</v>
      </c>
      <c r="M78" s="76" t="s">
        <v>67</v>
      </c>
    </row>
    <row r="79" spans="1:13" x14ac:dyDescent="0.35">
      <c r="A79" s="69"/>
      <c r="L79" s="65" t="s">
        <v>43</v>
      </c>
      <c r="M79" s="76"/>
    </row>
    <row r="80" spans="1:13" x14ac:dyDescent="0.35">
      <c r="A80" s="69" t="s">
        <v>62</v>
      </c>
      <c r="L80" s="65" t="s">
        <v>43</v>
      </c>
      <c r="M80" s="76"/>
    </row>
    <row r="81" spans="1:13" x14ac:dyDescent="0.35">
      <c r="A81" s="69" t="s">
        <v>14</v>
      </c>
      <c r="B81" s="83">
        <f>B13</f>
        <v>545</v>
      </c>
      <c r="C81" s="83">
        <f t="shared" ref="C81:K81" si="18">C13</f>
        <v>766</v>
      </c>
      <c r="D81" s="83">
        <f t="shared" si="18"/>
        <v>572</v>
      </c>
      <c r="E81" s="83">
        <f t="shared" si="18"/>
        <v>534</v>
      </c>
      <c r="F81" s="83">
        <f t="shared" si="18"/>
        <v>225</v>
      </c>
      <c r="G81" s="83">
        <f t="shared" si="18"/>
        <v>200</v>
      </c>
      <c r="H81" s="83">
        <f t="shared" si="18"/>
        <v>159</v>
      </c>
      <c r="I81" s="83">
        <f t="shared" si="18"/>
        <v>149</v>
      </c>
      <c r="J81" s="83">
        <f t="shared" si="18"/>
        <v>149</v>
      </c>
      <c r="K81" s="83">
        <f t="shared" si="18"/>
        <v>148</v>
      </c>
      <c r="L81" s="65" t="s">
        <v>43</v>
      </c>
      <c r="M81" s="76"/>
    </row>
    <row r="82" spans="1:13" x14ac:dyDescent="0.35">
      <c r="A82" s="69"/>
      <c r="L82" s="65" t="s">
        <v>43</v>
      </c>
      <c r="M82" s="76"/>
    </row>
    <row r="83" spans="1:13" x14ac:dyDescent="0.35">
      <c r="A83" s="69" t="s">
        <v>63</v>
      </c>
      <c r="L83" s="65" t="s">
        <v>43</v>
      </c>
      <c r="M83" s="76"/>
    </row>
    <row r="84" spans="1:13" x14ac:dyDescent="0.35">
      <c r="A84" s="69" t="s">
        <v>111</v>
      </c>
      <c r="B84" s="83">
        <f>'DLF Model'!B30-DLF_Balance_Sheet!B20</f>
        <v>25</v>
      </c>
      <c r="C84" s="83">
        <f>C30-B30</f>
        <v>1831</v>
      </c>
      <c r="D84" s="83">
        <f t="shared" ref="D84:K84" si="19">D30-C30</f>
        <v>-2000</v>
      </c>
      <c r="E84" s="83">
        <f t="shared" si="19"/>
        <v>-131</v>
      </c>
      <c r="F84" s="83">
        <f t="shared" si="19"/>
        <v>-454</v>
      </c>
      <c r="G84" s="83">
        <f t="shared" si="19"/>
        <v>-111</v>
      </c>
      <c r="H84" s="83">
        <f t="shared" si="19"/>
        <v>-140</v>
      </c>
      <c r="I84" s="83">
        <f t="shared" si="19"/>
        <v>-17</v>
      </c>
      <c r="J84" s="83">
        <f t="shared" si="19"/>
        <v>-15</v>
      </c>
      <c r="K84" s="83">
        <f t="shared" si="19"/>
        <v>-11</v>
      </c>
      <c r="L84" s="65" t="s">
        <v>43</v>
      </c>
      <c r="M84" s="76"/>
    </row>
    <row r="85" spans="1:13" x14ac:dyDescent="0.35">
      <c r="A85" s="69" t="s">
        <v>64</v>
      </c>
      <c r="B85" s="83">
        <f>B31-DLF_Balance_Sheet!B21</f>
        <v>-901</v>
      </c>
      <c r="C85" s="83">
        <f>C31-B31</f>
        <v>-776</v>
      </c>
      <c r="D85" s="83">
        <f t="shared" ref="D85:K85" si="20">D31-C31</f>
        <v>3265</v>
      </c>
      <c r="E85" s="83">
        <f t="shared" si="20"/>
        <v>-346</v>
      </c>
      <c r="F85" s="83">
        <f t="shared" si="20"/>
        <v>2256</v>
      </c>
      <c r="G85" s="83">
        <f t="shared" si="20"/>
        <v>477</v>
      </c>
      <c r="H85" s="83">
        <f t="shared" si="20"/>
        <v>-1399</v>
      </c>
      <c r="I85" s="83">
        <f t="shared" si="20"/>
        <v>-980</v>
      </c>
      <c r="J85" s="83">
        <f t="shared" si="20"/>
        <v>-746</v>
      </c>
      <c r="K85" s="83">
        <f t="shared" si="20"/>
        <v>1793</v>
      </c>
      <c r="L85" s="65" t="s">
        <v>43</v>
      </c>
      <c r="M85" s="76"/>
    </row>
    <row r="86" spans="1:13" x14ac:dyDescent="0.35">
      <c r="A86" s="69" t="s">
        <v>112</v>
      </c>
      <c r="B86" s="83">
        <f>B33-DLF_Balance_Sheet!B23</f>
        <v>28</v>
      </c>
      <c r="C86" s="83">
        <f>C33-B33</f>
        <v>1164</v>
      </c>
      <c r="D86" s="83">
        <f t="shared" ref="D86:K86" si="21">D33-C33</f>
        <v>-1098</v>
      </c>
      <c r="E86" s="83">
        <f t="shared" si="21"/>
        <v>56</v>
      </c>
      <c r="F86" s="83">
        <f t="shared" si="21"/>
        <v>983</v>
      </c>
      <c r="G86" s="83">
        <f t="shared" si="21"/>
        <v>-401</v>
      </c>
      <c r="H86" s="83">
        <f t="shared" si="21"/>
        <v>315</v>
      </c>
      <c r="I86" s="83">
        <f t="shared" si="21"/>
        <v>-164</v>
      </c>
      <c r="J86" s="83">
        <f t="shared" si="21"/>
        <v>311</v>
      </c>
      <c r="K86" s="83">
        <f t="shared" si="21"/>
        <v>358</v>
      </c>
      <c r="L86" s="65" t="s">
        <v>43</v>
      </c>
      <c r="M86" s="76"/>
    </row>
    <row r="87" spans="1:13" x14ac:dyDescent="0.35">
      <c r="A87" s="69" t="s">
        <v>113</v>
      </c>
      <c r="B87" s="83">
        <f>B34-DLF_Balance_Sheet!B24</f>
        <v>1841</v>
      </c>
      <c r="C87" s="83">
        <f>C34-B34</f>
        <v>-8274</v>
      </c>
      <c r="D87" s="83">
        <f t="shared" ref="D87:K87" si="22">D34-C34</f>
        <v>2370</v>
      </c>
      <c r="E87" s="83">
        <f t="shared" si="22"/>
        <v>-4176</v>
      </c>
      <c r="F87" s="83">
        <f t="shared" si="22"/>
        <v>2157</v>
      </c>
      <c r="G87" s="83">
        <f t="shared" si="22"/>
        <v>-4534</v>
      </c>
      <c r="H87" s="83">
        <f t="shared" si="22"/>
        <v>-1021</v>
      </c>
      <c r="I87" s="83">
        <f t="shared" si="22"/>
        <v>-710</v>
      </c>
      <c r="J87" s="83">
        <f t="shared" si="22"/>
        <v>907</v>
      </c>
      <c r="K87" s="83">
        <f t="shared" si="22"/>
        <v>2486</v>
      </c>
      <c r="L87" s="65" t="s">
        <v>43</v>
      </c>
      <c r="M87" s="76"/>
    </row>
    <row r="88" spans="1:13" x14ac:dyDescent="0.35">
      <c r="A88" s="69" t="s">
        <v>114</v>
      </c>
      <c r="B88" s="83">
        <f>B50-DLF_Balance_Sheet!B8</f>
        <v>-27</v>
      </c>
      <c r="C88" s="83">
        <f>C50-B50</f>
        <v>-49</v>
      </c>
      <c r="D88" s="83">
        <f t="shared" ref="D88:K88" si="23">D50-C50</f>
        <v>-2</v>
      </c>
      <c r="E88" s="83">
        <f t="shared" si="23"/>
        <v>-75</v>
      </c>
      <c r="F88" s="83">
        <f t="shared" si="23"/>
        <v>-8</v>
      </c>
      <c r="G88" s="83">
        <f t="shared" si="23"/>
        <v>-23</v>
      </c>
      <c r="H88" s="83">
        <f t="shared" si="23"/>
        <v>2</v>
      </c>
      <c r="I88" s="83">
        <f t="shared" si="23"/>
        <v>-1</v>
      </c>
      <c r="J88" s="83">
        <f t="shared" si="23"/>
        <v>-15</v>
      </c>
      <c r="K88" s="83">
        <f t="shared" si="23"/>
        <v>-3</v>
      </c>
      <c r="L88" s="65" t="s">
        <v>43</v>
      </c>
      <c r="M88" s="76"/>
    </row>
    <row r="89" spans="1:13" x14ac:dyDescent="0.35">
      <c r="A89" s="69" t="s">
        <v>115</v>
      </c>
      <c r="B89" s="83">
        <f>B51-DLF_Balance_Sheet!B9</f>
        <v>-431</v>
      </c>
      <c r="C89" s="83">
        <f>C51-B51</f>
        <v>-336</v>
      </c>
      <c r="D89" s="83">
        <f t="shared" ref="D89:K89" si="24">D51-C51</f>
        <v>-107</v>
      </c>
      <c r="E89" s="83">
        <f t="shared" si="24"/>
        <v>-190</v>
      </c>
      <c r="F89" s="83">
        <f t="shared" si="24"/>
        <v>60</v>
      </c>
      <c r="G89" s="83">
        <f t="shared" si="24"/>
        <v>-220</v>
      </c>
      <c r="H89" s="83">
        <f t="shared" si="24"/>
        <v>177</v>
      </c>
      <c r="I89" s="83">
        <f t="shared" si="24"/>
        <v>295</v>
      </c>
      <c r="J89" s="83">
        <f t="shared" si="24"/>
        <v>115</v>
      </c>
      <c r="K89" s="83">
        <f t="shared" si="24"/>
        <v>143</v>
      </c>
      <c r="L89" s="65" t="s">
        <v>43</v>
      </c>
      <c r="M89" s="76"/>
    </row>
    <row r="90" spans="1:13" x14ac:dyDescent="0.35">
      <c r="A90" s="69" t="s">
        <v>116</v>
      </c>
      <c r="B90" s="83">
        <f>B52-DLF_Balance_Sheet!B10</f>
        <v>0</v>
      </c>
      <c r="C90" s="83">
        <f>C52-B52</f>
        <v>0</v>
      </c>
      <c r="D90" s="83">
        <f t="shared" ref="D90:K90" si="25">D52-C52</f>
        <v>0</v>
      </c>
      <c r="E90" s="83">
        <f t="shared" si="25"/>
        <v>60</v>
      </c>
      <c r="F90" s="83">
        <f t="shared" si="25"/>
        <v>45</v>
      </c>
      <c r="G90" s="83">
        <f t="shared" si="25"/>
        <v>-26</v>
      </c>
      <c r="H90" s="83">
        <f t="shared" si="25"/>
        <v>11</v>
      </c>
      <c r="I90" s="83">
        <f t="shared" si="25"/>
        <v>-90</v>
      </c>
      <c r="J90" s="83">
        <f t="shared" si="25"/>
        <v>0</v>
      </c>
      <c r="K90" s="83">
        <f t="shared" si="25"/>
        <v>0</v>
      </c>
      <c r="L90" s="65" t="s">
        <v>43</v>
      </c>
      <c r="M90" s="76"/>
    </row>
    <row r="91" spans="1:13" x14ac:dyDescent="0.35">
      <c r="A91" s="69" t="s">
        <v>65</v>
      </c>
      <c r="B91" s="83">
        <f>B53-DLF_Balance_Sheet!B11</f>
        <v>3658</v>
      </c>
      <c r="C91" s="83">
        <f>C53-B53</f>
        <v>-1617</v>
      </c>
      <c r="D91" s="83">
        <f t="shared" ref="D91:K91" si="26">D53-C53</f>
        <v>-2108</v>
      </c>
      <c r="E91" s="83">
        <f t="shared" si="26"/>
        <v>-2191</v>
      </c>
      <c r="F91" s="83">
        <f t="shared" si="26"/>
        <v>7805</v>
      </c>
      <c r="G91" s="83">
        <f t="shared" si="26"/>
        <v>-2075</v>
      </c>
      <c r="H91" s="83">
        <f t="shared" si="26"/>
        <v>-2273</v>
      </c>
      <c r="I91" s="83">
        <f t="shared" si="26"/>
        <v>-839</v>
      </c>
      <c r="J91" s="83">
        <f t="shared" si="26"/>
        <v>828</v>
      </c>
      <c r="K91" s="83">
        <f t="shared" si="26"/>
        <v>3113</v>
      </c>
      <c r="L91" s="65" t="s">
        <v>43</v>
      </c>
      <c r="M91" s="76"/>
    </row>
    <row r="92" spans="1:13" x14ac:dyDescent="0.35">
      <c r="A92" s="69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65" t="s">
        <v>43</v>
      </c>
      <c r="M92" s="76"/>
    </row>
    <row r="93" spans="1:13" ht="13.9" thickBot="1" x14ac:dyDescent="0.4">
      <c r="A93" s="70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5" t="s">
        <v>43</v>
      </c>
      <c r="M93" s="76"/>
    </row>
    <row r="94" spans="1:13" ht="13.9" x14ac:dyDescent="0.4">
      <c r="A94" s="77" t="s">
        <v>66</v>
      </c>
      <c r="B94" s="86">
        <f>B81-B84-B85-B86-B87+B88+B89+B90+B91</f>
        <v>2752</v>
      </c>
      <c r="C94" s="86">
        <f t="shared" ref="C94:K94" si="27">C81-C84-C85-C86-C87+C88+C89+C90+C91</f>
        <v>4819</v>
      </c>
      <c r="D94" s="86">
        <f t="shared" si="27"/>
        <v>-4182</v>
      </c>
      <c r="E94" s="86">
        <f t="shared" si="27"/>
        <v>2735</v>
      </c>
      <c r="F94" s="86">
        <f t="shared" si="27"/>
        <v>3185</v>
      </c>
      <c r="G94" s="86">
        <f t="shared" si="27"/>
        <v>2425</v>
      </c>
      <c r="H94" s="86">
        <f t="shared" si="27"/>
        <v>321</v>
      </c>
      <c r="I94" s="86">
        <f t="shared" si="27"/>
        <v>1385</v>
      </c>
      <c r="J94" s="86">
        <f t="shared" si="27"/>
        <v>620</v>
      </c>
      <c r="K94" s="86">
        <f t="shared" si="27"/>
        <v>-1225</v>
      </c>
      <c r="L94" s="65" t="s">
        <v>43</v>
      </c>
      <c r="M94" s="76"/>
    </row>
    <row r="95" spans="1:13" x14ac:dyDescent="0.35">
      <c r="A95" s="69"/>
      <c r="L95" s="65" t="s">
        <v>43</v>
      </c>
      <c r="M95" s="76"/>
    </row>
    <row r="96" spans="1:13" x14ac:dyDescent="0.35">
      <c r="A96" s="69"/>
      <c r="L96" s="65" t="s">
        <v>43</v>
      </c>
      <c r="M96" s="76"/>
    </row>
    <row r="97" spans="1:13" ht="13.9" x14ac:dyDescent="0.4">
      <c r="A97" s="77" t="s">
        <v>78</v>
      </c>
      <c r="L97" s="65" t="s">
        <v>43</v>
      </c>
      <c r="M97" s="76"/>
    </row>
    <row r="98" spans="1:13" x14ac:dyDescent="0.35">
      <c r="A98" s="69"/>
      <c r="L98" s="65" t="s">
        <v>43</v>
      </c>
      <c r="M98" s="76"/>
    </row>
    <row r="99" spans="1:13" x14ac:dyDescent="0.35">
      <c r="A99" s="69" t="s">
        <v>68</v>
      </c>
      <c r="B99" s="83">
        <f>B39-DLF_Balance_Sheet!B17</f>
        <v>-78</v>
      </c>
      <c r="C99" s="83">
        <f>C39-B39</f>
        <v>-4122</v>
      </c>
      <c r="D99" s="83">
        <f t="shared" ref="D99:K99" si="28">D39-C39</f>
        <v>-1626</v>
      </c>
      <c r="E99" s="83">
        <f t="shared" si="28"/>
        <v>-16</v>
      </c>
      <c r="F99" s="83">
        <f t="shared" si="28"/>
        <v>-34</v>
      </c>
      <c r="G99" s="83">
        <f t="shared" si="28"/>
        <v>-14</v>
      </c>
      <c r="H99" s="83">
        <f t="shared" si="28"/>
        <v>6</v>
      </c>
      <c r="I99" s="83">
        <f t="shared" si="28"/>
        <v>-14</v>
      </c>
      <c r="J99" s="83">
        <f t="shared" si="28"/>
        <v>-20</v>
      </c>
      <c r="K99" s="83">
        <f t="shared" si="28"/>
        <v>10</v>
      </c>
      <c r="L99" s="65" t="s">
        <v>43</v>
      </c>
      <c r="M99" s="76"/>
    </row>
    <row r="100" spans="1:13" x14ac:dyDescent="0.35">
      <c r="A100" s="69" t="s">
        <v>69</v>
      </c>
      <c r="B100" s="83">
        <f>B40-DLF_Balance_Sheet!B18</f>
        <v>-268</v>
      </c>
      <c r="C100" s="83">
        <f>C40-B40</f>
        <v>20687</v>
      </c>
      <c r="D100" s="83">
        <f t="shared" ref="D100:K100" si="29">D40-C40</f>
        <v>-20101</v>
      </c>
      <c r="E100" s="83">
        <f t="shared" si="29"/>
        <v>19623</v>
      </c>
      <c r="F100" s="83">
        <f t="shared" si="29"/>
        <v>173</v>
      </c>
      <c r="G100" s="83">
        <f t="shared" si="29"/>
        <v>-2439</v>
      </c>
      <c r="H100" s="83">
        <f t="shared" si="29"/>
        <v>1180</v>
      </c>
      <c r="I100" s="83">
        <f t="shared" si="29"/>
        <v>33</v>
      </c>
      <c r="J100" s="83">
        <f t="shared" si="29"/>
        <v>-298</v>
      </c>
      <c r="K100" s="83">
        <f t="shared" si="29"/>
        <v>657</v>
      </c>
      <c r="L100" s="65" t="s">
        <v>43</v>
      </c>
      <c r="M100" s="76"/>
    </row>
    <row r="101" spans="1:13" ht="13.9" thickBot="1" x14ac:dyDescent="0.4">
      <c r="A101" s="70" t="s">
        <v>70</v>
      </c>
      <c r="B101" s="85">
        <f>B38-DLF_Balance_Sheet!B16</f>
        <v>784</v>
      </c>
      <c r="C101" s="85">
        <f>C38-B38</f>
        <v>-15676</v>
      </c>
      <c r="D101" s="85">
        <f t="shared" ref="D101:K101" si="30">D38-C38</f>
        <v>20697</v>
      </c>
      <c r="E101" s="85">
        <f t="shared" si="30"/>
        <v>-16558</v>
      </c>
      <c r="F101" s="85">
        <f t="shared" si="30"/>
        <v>-1760</v>
      </c>
      <c r="G101" s="85">
        <f t="shared" si="30"/>
        <v>-1135</v>
      </c>
      <c r="H101" s="85">
        <f t="shared" si="30"/>
        <v>-331</v>
      </c>
      <c r="I101" s="85">
        <f t="shared" si="30"/>
        <v>6</v>
      </c>
      <c r="J101" s="85">
        <f t="shared" si="30"/>
        <v>-77</v>
      </c>
      <c r="K101" s="85">
        <f t="shared" si="30"/>
        <v>-905</v>
      </c>
      <c r="L101" s="65" t="s">
        <v>43</v>
      </c>
      <c r="M101" s="76"/>
    </row>
    <row r="102" spans="1:13" ht="13.9" x14ac:dyDescent="0.4">
      <c r="A102" s="77" t="s">
        <v>74</v>
      </c>
      <c r="B102" s="86">
        <f>-B99-B100-B101</f>
        <v>-438</v>
      </c>
      <c r="C102" s="86">
        <f>-C99-C100-C101</f>
        <v>-889</v>
      </c>
      <c r="D102" s="86">
        <f t="shared" ref="D102:K102" si="31">-D99-D100-D101</f>
        <v>1030</v>
      </c>
      <c r="E102" s="86">
        <f t="shared" si="31"/>
        <v>-3049</v>
      </c>
      <c r="F102" s="86">
        <f t="shared" si="31"/>
        <v>1621</v>
      </c>
      <c r="G102" s="86">
        <f t="shared" si="31"/>
        <v>3588</v>
      </c>
      <c r="H102" s="86">
        <f t="shared" si="31"/>
        <v>-855</v>
      </c>
      <c r="I102" s="86">
        <f t="shared" si="31"/>
        <v>-25</v>
      </c>
      <c r="J102" s="86">
        <f t="shared" si="31"/>
        <v>395</v>
      </c>
      <c r="K102" s="86">
        <f t="shared" si="31"/>
        <v>238</v>
      </c>
      <c r="L102" s="65" t="s">
        <v>43</v>
      </c>
      <c r="M102" s="76"/>
    </row>
    <row r="103" spans="1:13" x14ac:dyDescent="0.35">
      <c r="A103" s="69"/>
      <c r="L103" s="65" t="s">
        <v>43</v>
      </c>
      <c r="M103" s="76"/>
    </row>
    <row r="104" spans="1:13" x14ac:dyDescent="0.35">
      <c r="A104" s="69"/>
      <c r="L104" s="65" t="s">
        <v>43</v>
      </c>
      <c r="M104" s="76"/>
    </row>
    <row r="105" spans="1:13" ht="13.9" x14ac:dyDescent="0.4">
      <c r="A105" s="77" t="s">
        <v>79</v>
      </c>
      <c r="L105" s="65" t="s">
        <v>43</v>
      </c>
      <c r="M105" s="76"/>
    </row>
    <row r="106" spans="1:13" ht="13.9" thickBot="1" x14ac:dyDescent="0.4">
      <c r="A106" s="70" t="s">
        <v>75</v>
      </c>
      <c r="B106" s="85">
        <f>B57-DLF_Balance_Sheet!B6</f>
        <v>-1437</v>
      </c>
      <c r="C106" s="85">
        <f>C57-DLF_Balance_Sheet!C6</f>
        <v>769</v>
      </c>
      <c r="D106" s="85">
        <f>D57-DLF_Balance_Sheet!D6</f>
        <v>3938</v>
      </c>
      <c r="E106" s="85">
        <f>E57-DLF_Balance_Sheet!E6</f>
        <v>-11711</v>
      </c>
      <c r="F106" s="85">
        <f>F57-DLF_Balance_Sheet!F6</f>
        <v>-269</v>
      </c>
      <c r="G106" s="85">
        <f>G57-DLF_Balance_Sheet!G6</f>
        <v>-9119</v>
      </c>
      <c r="H106" s="85">
        <f>H57-DLF_Balance_Sheet!H6</f>
        <v>-1217</v>
      </c>
      <c r="I106" s="85">
        <f>I57-DLF_Balance_Sheet!I6</f>
        <v>-2704</v>
      </c>
      <c r="J106" s="85">
        <f>J57-DLF_Balance_Sheet!J6</f>
        <v>-848</v>
      </c>
      <c r="K106" s="85">
        <f>K57-DLF_Balance_Sheet!K6</f>
        <v>1500</v>
      </c>
      <c r="L106" s="65" t="s">
        <v>43</v>
      </c>
      <c r="M106" s="76"/>
    </row>
    <row r="107" spans="1:13" ht="13.9" x14ac:dyDescent="0.4">
      <c r="A107" s="77" t="s">
        <v>80</v>
      </c>
      <c r="B107" s="86">
        <f>B106</f>
        <v>-1437</v>
      </c>
      <c r="C107" s="86">
        <f t="shared" ref="C107:K107" si="32">C106</f>
        <v>769</v>
      </c>
      <c r="D107" s="86">
        <f t="shared" si="32"/>
        <v>3938</v>
      </c>
      <c r="E107" s="86">
        <f t="shared" si="32"/>
        <v>-11711</v>
      </c>
      <c r="F107" s="86">
        <f t="shared" si="32"/>
        <v>-269</v>
      </c>
      <c r="G107" s="86">
        <f t="shared" si="32"/>
        <v>-9119</v>
      </c>
      <c r="H107" s="86">
        <f t="shared" si="32"/>
        <v>-1217</v>
      </c>
      <c r="I107" s="86">
        <f t="shared" si="32"/>
        <v>-2704</v>
      </c>
      <c r="J107" s="86">
        <f t="shared" si="32"/>
        <v>-848</v>
      </c>
      <c r="K107" s="86">
        <f t="shared" si="32"/>
        <v>1500</v>
      </c>
      <c r="L107" s="65" t="s">
        <v>43</v>
      </c>
      <c r="M107" s="76"/>
    </row>
    <row r="108" spans="1:13" x14ac:dyDescent="0.35">
      <c r="A108" s="69"/>
      <c r="L108" s="65" t="s">
        <v>43</v>
      </c>
      <c r="M108" s="76"/>
    </row>
    <row r="109" spans="1:13" ht="13.9" x14ac:dyDescent="0.4">
      <c r="A109" s="77"/>
      <c r="L109" s="65" t="s">
        <v>43</v>
      </c>
      <c r="M109" s="76"/>
    </row>
    <row r="110" spans="1:13" x14ac:dyDescent="0.35">
      <c r="A110" s="69" t="s">
        <v>76</v>
      </c>
      <c r="B110" s="83">
        <f>B94+B102+B107</f>
        <v>877</v>
      </c>
      <c r="C110" s="83">
        <f t="shared" ref="C110:K110" si="33">C94+C102+C107</f>
        <v>4699</v>
      </c>
      <c r="D110" s="83">
        <f t="shared" si="33"/>
        <v>786</v>
      </c>
      <c r="E110" s="83">
        <f t="shared" si="33"/>
        <v>-12025</v>
      </c>
      <c r="F110" s="83">
        <f t="shared" si="33"/>
        <v>4537</v>
      </c>
      <c r="G110" s="83">
        <f t="shared" si="33"/>
        <v>-3106</v>
      </c>
      <c r="H110" s="83">
        <f t="shared" si="33"/>
        <v>-1751</v>
      </c>
      <c r="I110" s="83">
        <f t="shared" si="33"/>
        <v>-1344</v>
      </c>
      <c r="J110" s="83">
        <f t="shared" si="33"/>
        <v>167</v>
      </c>
      <c r="K110" s="83">
        <f t="shared" si="33"/>
        <v>513</v>
      </c>
      <c r="L110" s="65" t="s">
        <v>43</v>
      </c>
      <c r="M110" s="76"/>
    </row>
    <row r="111" spans="1:13" ht="13.9" thickBot="1" x14ac:dyDescent="0.4">
      <c r="A111" s="70" t="s">
        <v>81</v>
      </c>
      <c r="B111" s="85">
        <f>DLF_Balance_Sheet!B22</f>
        <v>2442</v>
      </c>
      <c r="C111" s="85">
        <f>B32</f>
        <v>2748</v>
      </c>
      <c r="D111" s="85">
        <f t="shared" ref="D111:K111" si="34">C32</f>
        <v>3381</v>
      </c>
      <c r="E111" s="85">
        <f t="shared" si="34"/>
        <v>4099</v>
      </c>
      <c r="F111" s="85">
        <f t="shared" si="34"/>
        <v>2278</v>
      </c>
      <c r="G111" s="85">
        <f t="shared" si="34"/>
        <v>4855</v>
      </c>
      <c r="H111" s="85">
        <f t="shared" si="34"/>
        <v>2420</v>
      </c>
      <c r="I111" s="85">
        <f t="shared" si="34"/>
        <v>1407</v>
      </c>
      <c r="J111" s="85">
        <f t="shared" si="34"/>
        <v>932</v>
      </c>
      <c r="K111" s="85">
        <f t="shared" si="34"/>
        <v>2275</v>
      </c>
      <c r="L111" s="65" t="s">
        <v>43</v>
      </c>
      <c r="M111" s="76"/>
    </row>
    <row r="112" spans="1:13" ht="13.9" x14ac:dyDescent="0.4">
      <c r="A112" s="77" t="s">
        <v>82</v>
      </c>
      <c r="B112" s="86">
        <f>B110+B111</f>
        <v>3319</v>
      </c>
      <c r="C112" s="86">
        <f>C110+C111</f>
        <v>7447</v>
      </c>
      <c r="D112" s="86">
        <f t="shared" ref="D112:K112" si="35">D110+D111</f>
        <v>4167</v>
      </c>
      <c r="E112" s="86">
        <f t="shared" si="35"/>
        <v>-7926</v>
      </c>
      <c r="F112" s="86">
        <f t="shared" si="35"/>
        <v>6815</v>
      </c>
      <c r="G112" s="86">
        <f t="shared" si="35"/>
        <v>1749</v>
      </c>
      <c r="H112" s="86">
        <f t="shared" si="35"/>
        <v>669</v>
      </c>
      <c r="I112" s="86">
        <f t="shared" si="35"/>
        <v>63</v>
      </c>
      <c r="J112" s="86">
        <f t="shared" si="35"/>
        <v>1099</v>
      </c>
      <c r="K112" s="86">
        <f t="shared" si="35"/>
        <v>2788</v>
      </c>
      <c r="L112" s="65" t="s">
        <v>43</v>
      </c>
      <c r="M112" s="76"/>
    </row>
    <row r="113" spans="1:13" x14ac:dyDescent="0.35">
      <c r="A113" s="69"/>
      <c r="L113" s="65" t="s">
        <v>43</v>
      </c>
      <c r="M113" s="76"/>
    </row>
    <row r="114" spans="1:13" x14ac:dyDescent="0.35">
      <c r="A114" s="69"/>
      <c r="L114" s="65"/>
      <c r="M114" s="76"/>
    </row>
    <row r="115" spans="1:13" x14ac:dyDescent="0.35">
      <c r="A115" s="69"/>
      <c r="L115" s="65" t="s">
        <v>43</v>
      </c>
      <c r="M115" s="76"/>
    </row>
    <row r="116" spans="1:13" ht="13.9" x14ac:dyDescent="0.4">
      <c r="A116" s="78" t="s">
        <v>84</v>
      </c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65" t="s">
        <v>43</v>
      </c>
      <c r="M116" s="76"/>
    </row>
    <row r="117" spans="1:13" x14ac:dyDescent="0.35">
      <c r="A117" s="69"/>
      <c r="L117" s="65" t="s">
        <v>43</v>
      </c>
      <c r="M117" s="76"/>
    </row>
    <row r="118" spans="1:13" ht="13.9" x14ac:dyDescent="0.4">
      <c r="A118" s="78" t="s">
        <v>179</v>
      </c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65" t="s">
        <v>43</v>
      </c>
      <c r="M118" s="76"/>
    </row>
    <row r="119" spans="1:13" x14ac:dyDescent="0.35">
      <c r="A119" s="69"/>
      <c r="L119" s="65" t="s">
        <v>43</v>
      </c>
      <c r="M119" s="76"/>
    </row>
    <row r="120" spans="1:13" ht="13.9" x14ac:dyDescent="0.4">
      <c r="A120" s="80" t="s">
        <v>181</v>
      </c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65" t="s">
        <v>43</v>
      </c>
      <c r="M120" s="76"/>
    </row>
    <row r="121" spans="1:13" ht="13.9" x14ac:dyDescent="0.4">
      <c r="A121" s="77" t="str">
        <f t="shared" ref="A121:A137" si="36">IF(A8="","",A8)</f>
        <v/>
      </c>
      <c r="L121" s="65" t="s">
        <v>43</v>
      </c>
      <c r="M121" s="76"/>
    </row>
    <row r="122" spans="1:13" ht="13.9" x14ac:dyDescent="0.4">
      <c r="A122" s="77" t="str">
        <f t="shared" si="36"/>
        <v>Sales</v>
      </c>
      <c r="B122" s="84">
        <f t="shared" ref="B122:C130" si="37">B9/B$9</f>
        <v>1</v>
      </c>
      <c r="C122" s="84">
        <f t="shared" si="37"/>
        <v>1</v>
      </c>
      <c r="D122" s="84">
        <f t="shared" ref="D122:K122" si="38">D9/D$9</f>
        <v>1</v>
      </c>
      <c r="E122" s="84">
        <f t="shared" si="38"/>
        <v>1</v>
      </c>
      <c r="F122" s="84">
        <f t="shared" si="38"/>
        <v>1</v>
      </c>
      <c r="G122" s="84">
        <f t="shared" si="38"/>
        <v>1</v>
      </c>
      <c r="H122" s="84">
        <f t="shared" si="38"/>
        <v>1</v>
      </c>
      <c r="I122" s="84">
        <f t="shared" si="38"/>
        <v>1</v>
      </c>
      <c r="J122" s="84">
        <f t="shared" si="38"/>
        <v>1</v>
      </c>
      <c r="K122" s="84">
        <f t="shared" si="38"/>
        <v>1</v>
      </c>
      <c r="L122" s="65" t="s">
        <v>43</v>
      </c>
      <c r="M122" s="76"/>
    </row>
    <row r="123" spans="1:13" ht="13.9" thickBot="1" x14ac:dyDescent="0.4">
      <c r="A123" s="70" t="str">
        <f t="shared" si="36"/>
        <v>(Less) Expenses</v>
      </c>
      <c r="B123" s="89">
        <f t="shared" si="37"/>
        <v>0.6059615636030854</v>
      </c>
      <c r="C123" s="89">
        <f t="shared" si="37"/>
        <v>0.60044328027402782</v>
      </c>
      <c r="D123" s="89">
        <f t="shared" ref="D123:K123" si="39">D10/D$9</f>
        <v>0.58082958277581798</v>
      </c>
      <c r="E123" s="89">
        <f t="shared" si="39"/>
        <v>0.64544505740271363</v>
      </c>
      <c r="F123" s="89">
        <f t="shared" si="39"/>
        <v>0.74324647382261533</v>
      </c>
      <c r="G123" s="89">
        <f t="shared" si="39"/>
        <v>0.81160611540358374</v>
      </c>
      <c r="H123" s="89">
        <f t="shared" si="39"/>
        <v>0.72866642039157736</v>
      </c>
      <c r="I123" s="89">
        <f t="shared" si="39"/>
        <v>0.69511981808640899</v>
      </c>
      <c r="J123" s="89">
        <f t="shared" si="39"/>
        <v>0.69692712906057941</v>
      </c>
      <c r="K123" s="89">
        <f t="shared" si="39"/>
        <v>0.66951921580830864</v>
      </c>
      <c r="L123" s="65" t="s">
        <v>43</v>
      </c>
      <c r="M123" s="76"/>
    </row>
    <row r="124" spans="1:13" ht="13.9" x14ac:dyDescent="0.4">
      <c r="A124" s="77" t="str">
        <f t="shared" si="36"/>
        <v>Operating Profit</v>
      </c>
      <c r="B124" s="91">
        <f t="shared" si="37"/>
        <v>0.3940384363969146</v>
      </c>
      <c r="C124" s="91">
        <f t="shared" si="37"/>
        <v>0.39955671972597218</v>
      </c>
      <c r="D124" s="91">
        <f t="shared" ref="D124:K124" si="40">D11/D$9</f>
        <v>0.41917041722418197</v>
      </c>
      <c r="E124" s="91">
        <f t="shared" si="40"/>
        <v>0.35455494259728643</v>
      </c>
      <c r="F124" s="91">
        <f t="shared" si="40"/>
        <v>0.25675352617738467</v>
      </c>
      <c r="G124" s="91">
        <f t="shared" si="40"/>
        <v>0.18839388459641623</v>
      </c>
      <c r="H124" s="91">
        <f t="shared" si="40"/>
        <v>0.27133357960842258</v>
      </c>
      <c r="I124" s="91">
        <f t="shared" si="40"/>
        <v>0.30488018191359106</v>
      </c>
      <c r="J124" s="91">
        <f t="shared" si="40"/>
        <v>0.30307287093942054</v>
      </c>
      <c r="K124" s="91">
        <f t="shared" si="40"/>
        <v>0.3304807841916913</v>
      </c>
      <c r="L124" s="65" t="s">
        <v>43</v>
      </c>
      <c r="M124" s="76"/>
    </row>
    <row r="125" spans="1:13" x14ac:dyDescent="0.35">
      <c r="A125" s="69" t="str">
        <f t="shared" si="36"/>
        <v>Other Income</v>
      </c>
      <c r="B125" s="84">
        <f t="shared" si="37"/>
        <v>6.5760230095437314E-2</v>
      </c>
      <c r="C125" s="84">
        <f t="shared" si="37"/>
        <v>5.0977231513197663E-2</v>
      </c>
      <c r="D125" s="84">
        <f t="shared" ref="D125:K125" si="41">D12/D$9</f>
        <v>0.13806106313100597</v>
      </c>
      <c r="E125" s="84">
        <f t="shared" si="41"/>
        <v>1.4495303414343224</v>
      </c>
      <c r="F125" s="84">
        <f t="shared" si="41"/>
        <v>9.3712646426010043E-2</v>
      </c>
      <c r="G125" s="84">
        <f t="shared" si="41"/>
        <v>0.18658556633240178</v>
      </c>
      <c r="H125" s="84">
        <f t="shared" si="41"/>
        <v>7.0742519394163275E-2</v>
      </c>
      <c r="I125" s="84">
        <f t="shared" si="41"/>
        <v>3.410879832079762E-2</v>
      </c>
      <c r="J125" s="84">
        <f t="shared" si="41"/>
        <v>5.5662862159789286E-2</v>
      </c>
      <c r="K125" s="84">
        <f t="shared" si="41"/>
        <v>8.2620196047922825E-2</v>
      </c>
      <c r="L125" s="65" t="s">
        <v>43</v>
      </c>
      <c r="M125" s="76"/>
    </row>
    <row r="126" spans="1:13" x14ac:dyDescent="0.35">
      <c r="A126" s="69" t="str">
        <f t="shared" si="36"/>
        <v>Depreciation</v>
      </c>
      <c r="B126" s="84">
        <f t="shared" si="37"/>
        <v>7.125114394038437E-2</v>
      </c>
      <c r="C126" s="84">
        <f t="shared" si="37"/>
        <v>7.7171065887568002E-2</v>
      </c>
      <c r="D126" s="84">
        <f t="shared" ref="D126:K126" si="42">D13/D$9</f>
        <v>6.9577910229899037E-2</v>
      </c>
      <c r="E126" s="84">
        <f t="shared" si="42"/>
        <v>7.9618309229163561E-2</v>
      </c>
      <c r="F126" s="84">
        <f t="shared" si="42"/>
        <v>2.6894573272770738E-2</v>
      </c>
      <c r="G126" s="84">
        <f t="shared" si="42"/>
        <v>3.287851389117212E-2</v>
      </c>
      <c r="H126" s="84">
        <f t="shared" si="42"/>
        <v>2.9368304396010344E-2</v>
      </c>
      <c r="I126" s="84">
        <f t="shared" si="42"/>
        <v>2.6062620255378696E-2</v>
      </c>
      <c r="J126" s="84">
        <f t="shared" si="42"/>
        <v>2.6163301141352062E-2</v>
      </c>
      <c r="K126" s="84">
        <f t="shared" si="42"/>
        <v>2.3027851252528396E-2</v>
      </c>
      <c r="L126" s="65" t="s">
        <v>43</v>
      </c>
      <c r="M126" s="76"/>
    </row>
    <row r="127" spans="1:13" ht="13.9" thickBot="1" x14ac:dyDescent="0.4">
      <c r="A127" s="70" t="str">
        <f t="shared" si="36"/>
        <v>Interest</v>
      </c>
      <c r="B127" s="89">
        <f t="shared" si="37"/>
        <v>0.30121584520852401</v>
      </c>
      <c r="C127" s="89">
        <f t="shared" si="37"/>
        <v>0.26999798508966349</v>
      </c>
      <c r="D127" s="89">
        <f t="shared" ref="D127:K127" si="43">D14/D$9</f>
        <v>0.36248631553339011</v>
      </c>
      <c r="E127" s="89">
        <f t="shared" si="43"/>
        <v>0.43998807216341135</v>
      </c>
      <c r="F127" s="89">
        <f t="shared" si="43"/>
        <v>0.24647382261534784</v>
      </c>
      <c r="G127" s="89">
        <f t="shared" si="43"/>
        <v>0.23458819661351307</v>
      </c>
      <c r="H127" s="89">
        <f t="shared" si="43"/>
        <v>0.15755448836350203</v>
      </c>
      <c r="I127" s="89">
        <f t="shared" si="43"/>
        <v>0.10932307154101802</v>
      </c>
      <c r="J127" s="89">
        <f t="shared" si="43"/>
        <v>6.8832309043020193E-2</v>
      </c>
      <c r="K127" s="89">
        <f t="shared" si="43"/>
        <v>5.539131787770344E-2</v>
      </c>
      <c r="L127" s="65" t="s">
        <v>43</v>
      </c>
      <c r="M127" s="76"/>
    </row>
    <row r="128" spans="1:13" ht="13.9" x14ac:dyDescent="0.4">
      <c r="A128" s="77" t="str">
        <f t="shared" si="36"/>
        <v>Profit before tax</v>
      </c>
      <c r="B128" s="91">
        <f t="shared" si="37"/>
        <v>8.7331677343443589E-2</v>
      </c>
      <c r="C128" s="91">
        <f t="shared" si="37"/>
        <v>0.10336490026193834</v>
      </c>
      <c r="D128" s="91">
        <f t="shared" ref="D128:K128" si="44">D15/D$9</f>
        <v>0.12516725459189879</v>
      </c>
      <c r="E128" s="91">
        <f t="shared" si="44"/>
        <v>1.2844789026390337</v>
      </c>
      <c r="F128" s="91">
        <f t="shared" si="44"/>
        <v>7.7097776715276123E-2</v>
      </c>
      <c r="G128" s="91">
        <f t="shared" si="44"/>
        <v>0.10751274042413284</v>
      </c>
      <c r="H128" s="91">
        <f t="shared" si="44"/>
        <v>0.15515330624307352</v>
      </c>
      <c r="I128" s="91">
        <f t="shared" si="44"/>
        <v>0.20360328843799194</v>
      </c>
      <c r="J128" s="91">
        <f t="shared" si="44"/>
        <v>0.26374012291483756</v>
      </c>
      <c r="K128" s="91">
        <f t="shared" si="44"/>
        <v>0.33468181110938228</v>
      </c>
      <c r="L128" s="65" t="s">
        <v>43</v>
      </c>
      <c r="M128" s="76"/>
    </row>
    <row r="129" spans="1:13" ht="13.9" thickBot="1" x14ac:dyDescent="0.4">
      <c r="A129" s="70" t="str">
        <f t="shared" si="36"/>
        <v>Tax</v>
      </c>
      <c r="B129" s="89">
        <f t="shared" si="37"/>
        <v>2.0656294940515098E-2</v>
      </c>
      <c r="C129" s="89">
        <f t="shared" si="37"/>
        <v>5.682047148901874E-2</v>
      </c>
      <c r="D129" s="89">
        <f t="shared" ref="D129:K129" si="45">D16/D$9</f>
        <v>2.785549203259944E-2</v>
      </c>
      <c r="E129" s="89">
        <f t="shared" si="45"/>
        <v>0.64455046965856566</v>
      </c>
      <c r="F129" s="89">
        <f t="shared" si="45"/>
        <v>3.3110207984699977E-2</v>
      </c>
      <c r="G129" s="89">
        <f t="shared" si="45"/>
        <v>0.35064935064935066</v>
      </c>
      <c r="H129" s="89">
        <f t="shared" si="45"/>
        <v>6.6863686738086445E-2</v>
      </c>
      <c r="I129" s="89">
        <f t="shared" si="45"/>
        <v>5.6148329543466852E-2</v>
      </c>
      <c r="J129" s="89">
        <f t="shared" si="45"/>
        <v>7.0588235294117646E-2</v>
      </c>
      <c r="K129" s="89">
        <f t="shared" si="45"/>
        <v>8.0908666562937603E-2</v>
      </c>
      <c r="L129" s="65" t="s">
        <v>43</v>
      </c>
      <c r="M129" s="76"/>
    </row>
    <row r="130" spans="1:13" ht="13.9" x14ac:dyDescent="0.4">
      <c r="A130" s="77" t="str">
        <f t="shared" si="36"/>
        <v>Net profit</v>
      </c>
      <c r="B130" s="91">
        <f t="shared" si="37"/>
        <v>6.6675382402928488E-2</v>
      </c>
      <c r="C130" s="91">
        <f t="shared" si="37"/>
        <v>4.6544428772919602E-2</v>
      </c>
      <c r="D130" s="91">
        <f t="shared" ref="D130:K130" si="46">D17/D$9</f>
        <v>9.7311762559299353E-2</v>
      </c>
      <c r="E130" s="91">
        <f t="shared" si="46"/>
        <v>0.6399284329804682</v>
      </c>
      <c r="F130" s="91">
        <f t="shared" si="46"/>
        <v>4.3987568730576139E-2</v>
      </c>
      <c r="G130" s="91">
        <f t="shared" si="46"/>
        <v>-0.24313661022521782</v>
      </c>
      <c r="H130" s="91">
        <f t="shared" si="46"/>
        <v>8.8289619504987066E-2</v>
      </c>
      <c r="I130" s="91">
        <f t="shared" si="46"/>
        <v>0.14745495889452509</v>
      </c>
      <c r="J130" s="91">
        <f t="shared" si="46"/>
        <v>0.19315188762071994</v>
      </c>
      <c r="K130" s="91">
        <f t="shared" si="46"/>
        <v>0.25377314454644467</v>
      </c>
      <c r="L130" s="65" t="s">
        <v>43</v>
      </c>
      <c r="M130" s="76"/>
    </row>
    <row r="131" spans="1:13" ht="13.9" thickBot="1" x14ac:dyDescent="0.4">
      <c r="A131" s="70" t="str">
        <f t="shared" si="36"/>
        <v/>
      </c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5" t="s">
        <v>43</v>
      </c>
      <c r="M131" s="76"/>
    </row>
    <row r="132" spans="1:13" ht="13.9" x14ac:dyDescent="0.4">
      <c r="A132" s="77" t="str">
        <f t="shared" si="36"/>
        <v>EBITDA</v>
      </c>
      <c r="B132" s="84">
        <f t="shared" ref="B132:C135" si="47">B19/B$9</f>
        <v>0.465289580337299</v>
      </c>
      <c r="C132" s="84">
        <f t="shared" si="47"/>
        <v>0.47672778561354018</v>
      </c>
      <c r="D132" s="84">
        <f t="shared" ref="D132:K132" si="48">D19/D$9</f>
        <v>0.48874832745408103</v>
      </c>
      <c r="E132" s="84">
        <f t="shared" si="48"/>
        <v>0.43417325182645</v>
      </c>
      <c r="F132" s="84">
        <f t="shared" si="48"/>
        <v>0.2836480994501554</v>
      </c>
      <c r="G132" s="84">
        <f t="shared" si="48"/>
        <v>0.22127239848758837</v>
      </c>
      <c r="H132" s="84">
        <f t="shared" si="48"/>
        <v>0.30070188400443293</v>
      </c>
      <c r="I132" s="84">
        <f t="shared" si="48"/>
        <v>0.33094280216896976</v>
      </c>
      <c r="J132" s="84">
        <f t="shared" si="48"/>
        <v>0.3292361720807726</v>
      </c>
      <c r="K132" s="84">
        <f t="shared" si="48"/>
        <v>0.35350863544421968</v>
      </c>
      <c r="L132" s="65" t="s">
        <v>43</v>
      </c>
      <c r="M132" s="76"/>
    </row>
    <row r="133" spans="1:13" ht="13.9" x14ac:dyDescent="0.4">
      <c r="A133" s="77" t="str">
        <f t="shared" si="36"/>
        <v>EBIT</v>
      </c>
      <c r="B133" s="84">
        <f t="shared" si="47"/>
        <v>0.3940384363969146</v>
      </c>
      <c r="C133" s="84">
        <f t="shared" si="47"/>
        <v>0.39955671972597218</v>
      </c>
      <c r="D133" s="84">
        <f t="shared" ref="D133:K133" si="49">D20/D$9</f>
        <v>0.41917041722418197</v>
      </c>
      <c r="E133" s="84">
        <f t="shared" si="49"/>
        <v>0.35455494259728643</v>
      </c>
      <c r="F133" s="84">
        <f t="shared" si="49"/>
        <v>0.25675352617738467</v>
      </c>
      <c r="G133" s="84">
        <f t="shared" si="49"/>
        <v>0.18839388459641623</v>
      </c>
      <c r="H133" s="84">
        <f t="shared" si="49"/>
        <v>0.27133357960842258</v>
      </c>
      <c r="I133" s="84">
        <f t="shared" si="49"/>
        <v>0.30488018191359106</v>
      </c>
      <c r="J133" s="84">
        <f t="shared" si="49"/>
        <v>0.30307287093942054</v>
      </c>
      <c r="K133" s="84">
        <f t="shared" si="49"/>
        <v>0.3304807841916913</v>
      </c>
      <c r="L133" s="65" t="s">
        <v>43</v>
      </c>
      <c r="M133" s="76"/>
    </row>
    <row r="134" spans="1:13" ht="13.9" x14ac:dyDescent="0.4">
      <c r="A134" s="77" t="str">
        <f t="shared" si="36"/>
        <v>EBT</v>
      </c>
      <c r="B134" s="84">
        <f t="shared" si="47"/>
        <v>9.2822591188390632E-2</v>
      </c>
      <c r="C134" s="84">
        <f t="shared" si="47"/>
        <v>0.12955873463630868</v>
      </c>
      <c r="D134" s="84">
        <f t="shared" ref="D134:K134" si="50">D21/D$9</f>
        <v>5.6684101690791876E-2</v>
      </c>
      <c r="E134" s="84">
        <f t="shared" si="50"/>
        <v>-8.5433129566124949E-2</v>
      </c>
      <c r="F134" s="84">
        <f t="shared" si="50"/>
        <v>1.0279703562036816E-2</v>
      </c>
      <c r="G134" s="84">
        <f t="shared" si="50"/>
        <v>-4.6194312017096825E-2</v>
      </c>
      <c r="H134" s="84">
        <f t="shared" si="50"/>
        <v>0.11377909124492058</v>
      </c>
      <c r="I134" s="84">
        <f t="shared" si="50"/>
        <v>0.19555711037257303</v>
      </c>
      <c r="J134" s="84">
        <f t="shared" si="50"/>
        <v>0.23424056189640036</v>
      </c>
      <c r="K134" s="84">
        <f t="shared" si="50"/>
        <v>0.27508946631398784</v>
      </c>
      <c r="L134" s="65" t="s">
        <v>43</v>
      </c>
      <c r="M134" s="76"/>
    </row>
    <row r="135" spans="1:13" ht="14.25" thickBot="1" x14ac:dyDescent="0.45">
      <c r="A135" s="68" t="str">
        <f t="shared" si="36"/>
        <v>EAT</v>
      </c>
      <c r="B135" s="89">
        <f t="shared" si="47"/>
        <v>6.6675382402928488E-2</v>
      </c>
      <c r="C135" s="89">
        <f t="shared" si="47"/>
        <v>4.6544428772919602E-2</v>
      </c>
      <c r="D135" s="89">
        <f t="shared" ref="D135:K135" si="51">D22/D$9</f>
        <v>9.7311762559299353E-2</v>
      </c>
      <c r="E135" s="89">
        <f t="shared" si="51"/>
        <v>0.6399284329804682</v>
      </c>
      <c r="F135" s="89">
        <f t="shared" si="51"/>
        <v>4.3987568730576139E-2</v>
      </c>
      <c r="G135" s="89">
        <f t="shared" si="51"/>
        <v>-0.24313661022521782</v>
      </c>
      <c r="H135" s="89">
        <f t="shared" si="51"/>
        <v>8.8289619504987066E-2</v>
      </c>
      <c r="I135" s="89">
        <f t="shared" si="51"/>
        <v>0.14745495889452509</v>
      </c>
      <c r="J135" s="89">
        <f t="shared" si="51"/>
        <v>0.19315188762071994</v>
      </c>
      <c r="K135" s="89">
        <f t="shared" si="51"/>
        <v>0.25377314454644467</v>
      </c>
      <c r="L135" s="65" t="s">
        <v>43</v>
      </c>
      <c r="M135" s="76"/>
    </row>
    <row r="136" spans="1:13" ht="13.9" x14ac:dyDescent="0.4">
      <c r="A136" s="77" t="str">
        <f t="shared" si="36"/>
        <v/>
      </c>
      <c r="L136" s="65" t="s">
        <v>43</v>
      </c>
      <c r="M136" s="76"/>
    </row>
    <row r="137" spans="1:13" ht="13.9" x14ac:dyDescent="0.4">
      <c r="A137" s="77" t="str">
        <f t="shared" si="36"/>
        <v/>
      </c>
      <c r="L137" s="65" t="s">
        <v>43</v>
      </c>
      <c r="M137" s="76"/>
    </row>
    <row r="138" spans="1:13" ht="13.9" x14ac:dyDescent="0.4">
      <c r="A138" s="80" t="s">
        <v>182</v>
      </c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65" t="s">
        <v>43</v>
      </c>
      <c r="M138" s="76"/>
    </row>
    <row r="139" spans="1:13" x14ac:dyDescent="0.35">
      <c r="A139" s="69" t="str">
        <f t="shared" ref="A139:A183" si="52">IF(A26="","",A26)</f>
        <v/>
      </c>
      <c r="L139" s="65" t="s">
        <v>43</v>
      </c>
      <c r="M139" s="76"/>
    </row>
    <row r="140" spans="1:13" ht="13.9" x14ac:dyDescent="0.4">
      <c r="A140" s="77" t="str">
        <f t="shared" si="52"/>
        <v>ASSETS</v>
      </c>
      <c r="L140" s="65" t="s">
        <v>43</v>
      </c>
      <c r="M140" s="76"/>
    </row>
    <row r="141" spans="1:13" x14ac:dyDescent="0.35">
      <c r="A141" s="69" t="str">
        <f t="shared" si="52"/>
        <v/>
      </c>
      <c r="L141" s="65" t="s">
        <v>43</v>
      </c>
      <c r="M141" s="76"/>
    </row>
    <row r="142" spans="1:13" ht="13.9" x14ac:dyDescent="0.4">
      <c r="A142" s="77" t="str">
        <f t="shared" si="52"/>
        <v>Current Assets</v>
      </c>
      <c r="L142" s="65" t="s">
        <v>43</v>
      </c>
      <c r="M142" s="76"/>
    </row>
    <row r="143" spans="1:13" x14ac:dyDescent="0.35">
      <c r="A143" s="69" t="str">
        <f t="shared" si="52"/>
        <v>Trade Receivables</v>
      </c>
      <c r="B143" s="102">
        <f t="shared" ref="B143:B148" si="53">B30/B$44</f>
        <v>2.3935287193263106E-2</v>
      </c>
      <c r="C143" s="103">
        <f t="shared" ref="C143:K143" si="54">C30/C$44</f>
        <v>5.5354857522396279E-2</v>
      </c>
      <c r="D143" s="103">
        <f t="shared" si="54"/>
        <v>2.2156550020327109E-2</v>
      </c>
      <c r="E143" s="103">
        <f t="shared" si="54"/>
        <v>2.1226376165717587E-2</v>
      </c>
      <c r="F143" s="103">
        <f t="shared" si="54"/>
        <v>1.2514477385196215E-2</v>
      </c>
      <c r="G143" s="103">
        <f t="shared" si="54"/>
        <v>1.2900109141006602E-2</v>
      </c>
      <c r="H143" s="103">
        <f t="shared" si="54"/>
        <v>1.0862249476518097E-2</v>
      </c>
      <c r="I143" s="103">
        <f t="shared" si="54"/>
        <v>1.1022729493618934E-2</v>
      </c>
      <c r="J143" s="103">
        <f t="shared" si="54"/>
        <v>1.0442821273681808E-2</v>
      </c>
      <c r="K143" s="104">
        <f t="shared" si="54"/>
        <v>9.1079923479320795E-3</v>
      </c>
      <c r="L143" s="65" t="s">
        <v>43</v>
      </c>
      <c r="M143" s="76"/>
    </row>
    <row r="144" spans="1:13" x14ac:dyDescent="0.35">
      <c r="A144" s="69" t="str">
        <f t="shared" si="52"/>
        <v>Inventory</v>
      </c>
      <c r="B144" s="102">
        <f t="shared" si="53"/>
        <v>0.26576318251788356</v>
      </c>
      <c r="C144" s="103">
        <f t="shared" ref="C144:K144" si="55">C31/C$44</f>
        <v>0.27270812746035089</v>
      </c>
      <c r="D144" s="103">
        <f t="shared" si="55"/>
        <v>0.31427275854520437</v>
      </c>
      <c r="E144" s="103">
        <f t="shared" si="55"/>
        <v>0.32603779813485184</v>
      </c>
      <c r="F144" s="103">
        <f t="shared" si="55"/>
        <v>0.33104703458026863</v>
      </c>
      <c r="G144" s="103">
        <f t="shared" si="55"/>
        <v>0.40231879909108803</v>
      </c>
      <c r="H144" s="103">
        <f t="shared" si="55"/>
        <v>0.39423795991624289</v>
      </c>
      <c r="I144" s="103">
        <f t="shared" si="55"/>
        <v>0.39296812398616293</v>
      </c>
      <c r="J144" s="103">
        <f t="shared" si="55"/>
        <v>0.3682758883055619</v>
      </c>
      <c r="K144" s="104">
        <f t="shared" si="55"/>
        <v>0.35812355042408034</v>
      </c>
      <c r="L144" s="65" t="s">
        <v>43</v>
      </c>
      <c r="M144" s="76"/>
    </row>
    <row r="145" spans="1:13" x14ac:dyDescent="0.35">
      <c r="A145" s="69" t="str">
        <f t="shared" si="52"/>
        <v>Cash and Bank</v>
      </c>
      <c r="B145" s="102">
        <f t="shared" si="53"/>
        <v>4.1471733421870757E-2</v>
      </c>
      <c r="C145" s="103">
        <f t="shared" ref="C145:K145" si="56">C32/C$44</f>
        <v>5.4771663237700267E-2</v>
      </c>
      <c r="D145" s="103">
        <f t="shared" si="56"/>
        <v>6.4092941801920128E-2</v>
      </c>
      <c r="E145" s="103">
        <f t="shared" si="56"/>
        <v>3.7600066022942975E-2</v>
      </c>
      <c r="F145" s="103">
        <f t="shared" si="56"/>
        <v>7.3026187145586091E-2</v>
      </c>
      <c r="G145" s="103">
        <f t="shared" si="56"/>
        <v>4.3298563274945877E-2</v>
      </c>
      <c r="H145" s="103">
        <f t="shared" si="56"/>
        <v>2.6304965599760696E-2</v>
      </c>
      <c r="I145" s="103">
        <f t="shared" si="56"/>
        <v>1.8214865049739088E-2</v>
      </c>
      <c r="J145" s="103">
        <f t="shared" si="56"/>
        <v>4.3273986152324431E-2</v>
      </c>
      <c r="K145" s="104">
        <f t="shared" si="56"/>
        <v>7.4218287087981852E-2</v>
      </c>
      <c r="L145" s="65" t="s">
        <v>43</v>
      </c>
      <c r="M145" s="76"/>
    </row>
    <row r="146" spans="1:13" x14ac:dyDescent="0.35">
      <c r="A146" s="69" t="str">
        <f t="shared" si="52"/>
        <v>Loans and Advances</v>
      </c>
      <c r="B146" s="102">
        <f t="shared" si="53"/>
        <v>7.3948869638706949E-4</v>
      </c>
      <c r="C146" s="103">
        <f t="shared" ref="C146:K146" si="57">C33/C$44</f>
        <v>1.9650407426007224E-2</v>
      </c>
      <c r="D146" s="103">
        <f t="shared" si="57"/>
        <v>1.7981674328423555E-3</v>
      </c>
      <c r="E146" s="103">
        <f t="shared" si="57"/>
        <v>2.8224808120821984E-3</v>
      </c>
      <c r="F146" s="103">
        <f t="shared" si="57"/>
        <v>1.7357820796293791E-2</v>
      </c>
      <c r="G146" s="103">
        <f t="shared" si="57"/>
        <v>1.3472652126460432E-2</v>
      </c>
      <c r="H146" s="103">
        <f t="shared" si="57"/>
        <v>1.9967095423272508E-2</v>
      </c>
      <c r="I146" s="103">
        <f t="shared" si="57"/>
        <v>1.766763734438212E-2</v>
      </c>
      <c r="J146" s="103">
        <f t="shared" si="57"/>
        <v>2.3111161835197444E-2</v>
      </c>
      <c r="K146" s="104">
        <f t="shared" si="57"/>
        <v>2.6629873537727066E-2</v>
      </c>
      <c r="L146" s="65" t="s">
        <v>43</v>
      </c>
      <c r="M146" s="76"/>
    </row>
    <row r="147" spans="1:13" ht="13.9" thickBot="1" x14ac:dyDescent="0.4">
      <c r="A147" s="70" t="str">
        <f t="shared" si="52"/>
        <v>Other Assets</v>
      </c>
      <c r="B147" s="105">
        <f t="shared" si="53"/>
        <v>0.27355045123902083</v>
      </c>
      <c r="C147" s="92">
        <f t="shared" ref="C147:K147" si="58">C34/C$44</f>
        <v>0.15960083591180807</v>
      </c>
      <c r="D147" s="92">
        <f t="shared" si="58"/>
        <v>0.19110610751477625</v>
      </c>
      <c r="E147" s="92">
        <f t="shared" si="58"/>
        <v>0.13280514978955188</v>
      </c>
      <c r="F147" s="92">
        <f t="shared" si="58"/>
        <v>0.15346780379946753</v>
      </c>
      <c r="G147" s="92">
        <f t="shared" si="58"/>
        <v>0.10142956826680503</v>
      </c>
      <c r="H147" s="92">
        <f t="shared" si="58"/>
        <v>8.6897995812144774E-2</v>
      </c>
      <c r="I147" s="92">
        <f t="shared" si="58"/>
        <v>7.6963667989133622E-2</v>
      </c>
      <c r="J147" s="92">
        <f t="shared" si="58"/>
        <v>9.2159324355170047E-2</v>
      </c>
      <c r="K147" s="106">
        <f t="shared" si="58"/>
        <v>0.1241090927559295</v>
      </c>
      <c r="L147" s="65" t="s">
        <v>43</v>
      </c>
      <c r="M147" s="76"/>
    </row>
    <row r="148" spans="1:13" ht="13.9" x14ac:dyDescent="0.4">
      <c r="A148" s="77" t="str">
        <f t="shared" si="52"/>
        <v>Total Current Assets</v>
      </c>
      <c r="B148" s="111">
        <f t="shared" si="53"/>
        <v>0.60546014306842533</v>
      </c>
      <c r="C148" s="112">
        <f t="shared" ref="C148:K148" si="59">C35/C$44</f>
        <v>0.56208589155826272</v>
      </c>
      <c r="D148" s="112">
        <f t="shared" si="59"/>
        <v>0.59342652531507023</v>
      </c>
      <c r="E148" s="112">
        <f t="shared" si="59"/>
        <v>0.52049187092514648</v>
      </c>
      <c r="F148" s="112">
        <f t="shared" si="59"/>
        <v>0.58741332370681232</v>
      </c>
      <c r="G148" s="112">
        <f t="shared" si="59"/>
        <v>0.57341969190030595</v>
      </c>
      <c r="H148" s="112">
        <f t="shared" si="59"/>
        <v>0.53827026622793894</v>
      </c>
      <c r="I148" s="112">
        <f t="shared" si="59"/>
        <v>0.51683702386303676</v>
      </c>
      <c r="J148" s="112">
        <f t="shared" si="59"/>
        <v>0.53726318192193567</v>
      </c>
      <c r="K148" s="112">
        <f t="shared" si="59"/>
        <v>0.59218879615365083</v>
      </c>
      <c r="L148" s="65" t="s">
        <v>43</v>
      </c>
      <c r="M148" s="76"/>
    </row>
    <row r="149" spans="1:13" x14ac:dyDescent="0.35">
      <c r="A149" s="69" t="str">
        <f t="shared" si="52"/>
        <v/>
      </c>
      <c r="L149" s="65" t="s">
        <v>43</v>
      </c>
      <c r="M149" s="76"/>
    </row>
    <row r="150" spans="1:13" ht="13.9" x14ac:dyDescent="0.4">
      <c r="A150" s="77" t="str">
        <f t="shared" si="52"/>
        <v>Non-Current Assets</v>
      </c>
      <c r="B150" s="102"/>
      <c r="L150" s="65" t="s">
        <v>43</v>
      </c>
      <c r="M150" s="76"/>
    </row>
    <row r="151" spans="1:13" x14ac:dyDescent="0.35">
      <c r="A151" s="69" t="str">
        <f t="shared" si="52"/>
        <v>Net Block</v>
      </c>
      <c r="B151" s="102">
        <f t="shared" ref="B151:C151" si="60">B38/B$44</f>
        <v>0.29608221906975341</v>
      </c>
      <c r="C151" s="103">
        <f t="shared" si="60"/>
        <v>6.3875974015454653E-2</v>
      </c>
      <c r="D151" s="103">
        <f t="shared" ref="D151:K151" si="61">D38/D$44</f>
        <v>0.38527691778465772</v>
      </c>
      <c r="E151" s="103">
        <f t="shared" si="61"/>
        <v>0.133399356276306</v>
      </c>
      <c r="F151" s="103">
        <f t="shared" si="61"/>
        <v>9.5091978400493354E-2</v>
      </c>
      <c r="G151" s="103">
        <f t="shared" si="61"/>
        <v>9.2805639548406718E-2</v>
      </c>
      <c r="H151" s="103">
        <f t="shared" si="61"/>
        <v>9.0786718516302725E-2</v>
      </c>
      <c r="I151" s="103">
        <f t="shared" si="61"/>
        <v>9.502218226591358E-2</v>
      </c>
      <c r="J151" s="103">
        <f t="shared" si="61"/>
        <v>9.1018032412691172E-2</v>
      </c>
      <c r="K151" s="103">
        <f t="shared" si="61"/>
        <v>6.5685892769472995E-2</v>
      </c>
      <c r="L151" s="65" t="s">
        <v>43</v>
      </c>
      <c r="M151" s="76"/>
    </row>
    <row r="152" spans="1:13" x14ac:dyDescent="0.35">
      <c r="A152" s="69" t="str">
        <f t="shared" si="52"/>
        <v>Capital Work in Progress</v>
      </c>
      <c r="B152" s="102">
        <f>B39/B$44</f>
        <v>8.9055567293471374E-2</v>
      </c>
      <c r="C152" s="103">
        <f>C39/C$44</f>
        <v>2.8819517568727828E-2</v>
      </c>
      <c r="D152" s="103">
        <f t="shared" ref="D152:K152" si="62">D39/D$44</f>
        <v>2.3923444976076554E-3</v>
      </c>
      <c r="E152" s="103">
        <f t="shared" si="62"/>
        <v>2.2612857968143931E-3</v>
      </c>
      <c r="F152" s="103">
        <f t="shared" si="62"/>
        <v>1.5492682339846276E-3</v>
      </c>
      <c r="G152" s="103">
        <f t="shared" si="62"/>
        <v>1.592385178293464E-3</v>
      </c>
      <c r="H152" s="103">
        <f t="shared" si="62"/>
        <v>1.7760993119952139E-3</v>
      </c>
      <c r="I152" s="103">
        <f t="shared" si="62"/>
        <v>1.5830515762112298E-3</v>
      </c>
      <c r="J152" s="103">
        <f t="shared" si="62"/>
        <v>1.1603134748535342E-3</v>
      </c>
      <c r="K152" s="103">
        <f t="shared" si="62"/>
        <v>1.2019841202661294E-3</v>
      </c>
      <c r="L152" s="65" t="s">
        <v>43</v>
      </c>
      <c r="M152" s="76"/>
    </row>
    <row r="153" spans="1:13" ht="13.9" thickBot="1" x14ac:dyDescent="0.4">
      <c r="A153" s="70" t="str">
        <f t="shared" si="52"/>
        <v>Investments</v>
      </c>
      <c r="B153" s="105">
        <f t="shared" ref="B153:C153" si="63">B40/B$44</f>
        <v>9.402070568349883E-3</v>
      </c>
      <c r="C153" s="92">
        <f t="shared" si="63"/>
        <v>0.34521861685755478</v>
      </c>
      <c r="D153" s="92">
        <f t="shared" ref="D153:K153" si="64">D40/D$44</f>
        <v>1.8904212402664416E-2</v>
      </c>
      <c r="E153" s="92">
        <f t="shared" si="64"/>
        <v>0.34384748700173312</v>
      </c>
      <c r="F153" s="92">
        <f t="shared" si="64"/>
        <v>0.31594542965870975</v>
      </c>
      <c r="G153" s="92">
        <f t="shared" si="64"/>
        <v>0.33218228337299388</v>
      </c>
      <c r="H153" s="92">
        <f t="shared" si="64"/>
        <v>0.36916691594376311</v>
      </c>
      <c r="I153" s="92">
        <f t="shared" si="64"/>
        <v>0.38655774229483847</v>
      </c>
      <c r="J153" s="92">
        <f t="shared" si="64"/>
        <v>0.37055847219051968</v>
      </c>
      <c r="K153" s="92">
        <f t="shared" si="64"/>
        <v>0.34092332695661004</v>
      </c>
      <c r="L153" s="65" t="s">
        <v>43</v>
      </c>
      <c r="M153" s="76"/>
    </row>
    <row r="154" spans="1:13" ht="13.9" x14ac:dyDescent="0.4">
      <c r="A154" s="77" t="str">
        <f t="shared" si="52"/>
        <v>Total Non-Current Assets</v>
      </c>
      <c r="B154" s="111">
        <f t="shared" ref="B154:K154" si="65">B41/B$44</f>
        <v>0.39453985693157467</v>
      </c>
      <c r="C154" s="112">
        <f t="shared" si="65"/>
        <v>0.43791410844173728</v>
      </c>
      <c r="D154" s="112">
        <f t="shared" si="65"/>
        <v>0.40657347468492977</v>
      </c>
      <c r="E154" s="112">
        <f t="shared" si="65"/>
        <v>0.47950812907485352</v>
      </c>
      <c r="F154" s="112">
        <f t="shared" si="65"/>
        <v>0.41258667629318774</v>
      </c>
      <c r="G154" s="112">
        <f t="shared" si="65"/>
        <v>0.42658030809969405</v>
      </c>
      <c r="H154" s="112">
        <f t="shared" si="65"/>
        <v>0.461729733772061</v>
      </c>
      <c r="I154" s="112">
        <f t="shared" si="65"/>
        <v>0.4831629761369633</v>
      </c>
      <c r="J154" s="112">
        <f t="shared" si="65"/>
        <v>0.46273681807806438</v>
      </c>
      <c r="K154" s="112">
        <f t="shared" si="65"/>
        <v>0.40781120384634917</v>
      </c>
      <c r="L154" s="65" t="s">
        <v>43</v>
      </c>
      <c r="M154" s="76"/>
    </row>
    <row r="155" spans="1:13" x14ac:dyDescent="0.35">
      <c r="A155" s="69" t="str">
        <f t="shared" si="52"/>
        <v/>
      </c>
      <c r="L155" s="65" t="s">
        <v>43</v>
      </c>
      <c r="M155" s="76"/>
    </row>
    <row r="156" spans="1:13" x14ac:dyDescent="0.35">
      <c r="A156" s="69" t="str">
        <f t="shared" si="52"/>
        <v/>
      </c>
      <c r="L156" s="65" t="s">
        <v>43</v>
      </c>
      <c r="M156" s="76"/>
    </row>
    <row r="157" spans="1:13" ht="13.9" x14ac:dyDescent="0.4">
      <c r="A157" s="77" t="str">
        <f t="shared" si="52"/>
        <v>TOTAL ASSETS</v>
      </c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65" t="s">
        <v>43</v>
      </c>
      <c r="M157" s="76"/>
    </row>
    <row r="158" spans="1:13" x14ac:dyDescent="0.35">
      <c r="A158" s="69" t="str">
        <f t="shared" si="52"/>
        <v/>
      </c>
      <c r="L158" s="65" t="s">
        <v>43</v>
      </c>
      <c r="M158" s="76"/>
    </row>
    <row r="159" spans="1:13" x14ac:dyDescent="0.35">
      <c r="A159" s="69" t="str">
        <f t="shared" si="52"/>
        <v/>
      </c>
      <c r="L159" s="65" t="s">
        <v>43</v>
      </c>
      <c r="M159" s="76"/>
    </row>
    <row r="160" spans="1:13" ht="13.9" x14ac:dyDescent="0.4">
      <c r="A160" s="77" t="str">
        <f t="shared" si="52"/>
        <v>LIABILITIES</v>
      </c>
      <c r="L160" s="65" t="s">
        <v>43</v>
      </c>
      <c r="M160" s="76"/>
    </row>
    <row r="161" spans="1:14" x14ac:dyDescent="0.35">
      <c r="A161" s="69" t="str">
        <f t="shared" si="52"/>
        <v/>
      </c>
      <c r="L161" s="65" t="s">
        <v>43</v>
      </c>
      <c r="M161" s="76"/>
    </row>
    <row r="162" spans="1:14" ht="13.9" x14ac:dyDescent="0.4">
      <c r="A162" s="77" t="str">
        <f t="shared" si="52"/>
        <v>Current Liabilities</v>
      </c>
      <c r="L162" s="65" t="s">
        <v>43</v>
      </c>
      <c r="M162" s="76"/>
    </row>
    <row r="163" spans="1:14" x14ac:dyDescent="0.35">
      <c r="A163" s="69" t="str">
        <f t="shared" si="52"/>
        <v>Non Controlling Interest</v>
      </c>
      <c r="B163" s="84">
        <f>B50/B$70</f>
        <v>2.6410310585252483E-3</v>
      </c>
      <c r="C163" s="84">
        <f t="shared" ref="C163:K163" si="66">C50/C$70</f>
        <v>2.041179996436035E-3</v>
      </c>
      <c r="D163" s="84">
        <f t="shared" si="66"/>
        <v>1.9388935797604529E-3</v>
      </c>
      <c r="E163" s="84">
        <f t="shared" si="66"/>
        <v>8.0878105141536682E-4</v>
      </c>
      <c r="F163" s="84">
        <f t="shared" si="66"/>
        <v>6.1669900576087123E-4</v>
      </c>
      <c r="G163" s="84">
        <f t="shared" si="66"/>
        <v>3.2205542931777926E-4</v>
      </c>
      <c r="H163" s="84">
        <f t="shared" si="66"/>
        <v>3.7391564463057136E-4</v>
      </c>
      <c r="I163" s="84">
        <f t="shared" si="66"/>
        <v>3.713330857779428E-4</v>
      </c>
      <c r="J163" s="84">
        <f t="shared" si="66"/>
        <v>7.6086129498592408E-5</v>
      </c>
      <c r="K163" s="84">
        <f t="shared" si="66"/>
        <v>1.6929353806565202E-5</v>
      </c>
      <c r="L163" s="65" t="s">
        <v>43</v>
      </c>
      <c r="M163" s="76"/>
    </row>
    <row r="164" spans="1:14" x14ac:dyDescent="0.35">
      <c r="A164" s="69" t="str">
        <f t="shared" si="52"/>
        <v>Trade Payables</v>
      </c>
      <c r="B164" s="84">
        <f>B51/B$70</f>
        <v>2.7919471190124053E-2</v>
      </c>
      <c r="C164" s="84">
        <f t="shared" ref="C164:K164" si="67">C51/C$70</f>
        <v>2.452655963971553E-2</v>
      </c>
      <c r="D164" s="84">
        <f t="shared" si="67"/>
        <v>2.2000187634862556E-2</v>
      </c>
      <c r="E164" s="84">
        <f t="shared" si="67"/>
        <v>2.0087480399438806E-2</v>
      </c>
      <c r="F164" s="84">
        <f t="shared" si="67"/>
        <v>1.9207917813576402E-2</v>
      </c>
      <c r="G164" s="84">
        <f t="shared" si="67"/>
        <v>1.8911810488271816E-2</v>
      </c>
      <c r="H164" s="84">
        <f t="shared" si="67"/>
        <v>2.3070595273706251E-2</v>
      </c>
      <c r="I164" s="84">
        <f t="shared" si="67"/>
        <v>2.9882541481814451E-2</v>
      </c>
      <c r="J164" s="84">
        <f t="shared" si="67"/>
        <v>3.1271399223921477E-2</v>
      </c>
      <c r="K164" s="84">
        <f t="shared" si="67"/>
        <v>3.0252755252332019E-2</v>
      </c>
      <c r="L164" s="65" t="s">
        <v>43</v>
      </c>
      <c r="M164" s="76"/>
    </row>
    <row r="165" spans="1:14" x14ac:dyDescent="0.35">
      <c r="A165" s="69" t="str">
        <f t="shared" si="52"/>
        <v>Advance from Customers</v>
      </c>
      <c r="B165" s="107">
        <f>B52/B$70</f>
        <v>0</v>
      </c>
      <c r="C165" s="108">
        <f t="shared" ref="C165:K165" si="68">C52/C$70</f>
        <v>0</v>
      </c>
      <c r="D165" s="108">
        <f t="shared" si="68"/>
        <v>0</v>
      </c>
      <c r="E165" s="108">
        <f t="shared" si="68"/>
        <v>9.9034414459024515E-4</v>
      </c>
      <c r="F165" s="108">
        <f t="shared" si="68"/>
        <v>1.5793511123144263E-3</v>
      </c>
      <c r="G165" s="108">
        <f t="shared" si="68"/>
        <v>1.4134654953391424E-3</v>
      </c>
      <c r="H165" s="108">
        <f t="shared" si="68"/>
        <v>1.6826204008375709E-3</v>
      </c>
      <c r="I165" s="108">
        <f t="shared" si="68"/>
        <v>0</v>
      </c>
      <c r="J165" s="108">
        <f t="shared" si="68"/>
        <v>0</v>
      </c>
      <c r="K165" s="109">
        <f t="shared" si="68"/>
        <v>0</v>
      </c>
      <c r="L165" s="65" t="s">
        <v>43</v>
      </c>
      <c r="M165" s="76"/>
    </row>
    <row r="166" spans="1:14" ht="13.9" thickBot="1" x14ac:dyDescent="0.4">
      <c r="A166" s="70" t="str">
        <f t="shared" si="52"/>
        <v>Other Liabilities</v>
      </c>
      <c r="B166" s="110">
        <f>B53/B$70</f>
        <v>0.18672844164075941</v>
      </c>
      <c r="C166" s="89">
        <f t="shared" ref="C166:K166" si="69">C53/C$70</f>
        <v>0.17424549239417453</v>
      </c>
      <c r="D166" s="89">
        <f t="shared" si="69"/>
        <v>0.13522219094974514</v>
      </c>
      <c r="E166" s="89">
        <f t="shared" si="69"/>
        <v>0.10657753569365354</v>
      </c>
      <c r="F166" s="89">
        <f t="shared" si="69"/>
        <v>0.21452100536979379</v>
      </c>
      <c r="G166" s="89">
        <f t="shared" si="69"/>
        <v>0.21804941761643198</v>
      </c>
      <c r="H166" s="89">
        <f t="shared" si="69"/>
        <v>0.18534998504337422</v>
      </c>
      <c r="I166" s="89">
        <f t="shared" si="69"/>
        <v>0.17736040807551742</v>
      </c>
      <c r="J166" s="89">
        <f t="shared" si="69"/>
        <v>0.18837023510614015</v>
      </c>
      <c r="K166" s="90">
        <f t="shared" si="69"/>
        <v>0.2203524691462527</v>
      </c>
      <c r="L166" s="65" t="s">
        <v>43</v>
      </c>
      <c r="M166" s="76"/>
    </row>
    <row r="167" spans="1:14" ht="13.9" x14ac:dyDescent="0.4">
      <c r="A167" s="77" t="str">
        <f t="shared" si="52"/>
        <v>Total Current Labilities</v>
      </c>
      <c r="B167" s="91">
        <f>B54/B$70</f>
        <v>0.2172889438894087</v>
      </c>
      <c r="C167" s="91">
        <f t="shared" ref="C167:K167" si="70">C54/C$70</f>
        <v>0.20081323203032611</v>
      </c>
      <c r="D167" s="91">
        <f t="shared" si="70"/>
        <v>0.15916127216436815</v>
      </c>
      <c r="E167" s="91">
        <f t="shared" si="70"/>
        <v>0.12846414128909797</v>
      </c>
      <c r="F167" s="91">
        <f t="shared" si="70"/>
        <v>0.23592497330144549</v>
      </c>
      <c r="G167" s="91">
        <f t="shared" si="70"/>
        <v>0.23869674902936072</v>
      </c>
      <c r="H167" s="91">
        <f t="shared" si="70"/>
        <v>0.21047711636254862</v>
      </c>
      <c r="I167" s="91">
        <f t="shared" si="70"/>
        <v>0.20761428264310983</v>
      </c>
      <c r="J167" s="91">
        <f t="shared" si="70"/>
        <v>0.21971772045956023</v>
      </c>
      <c r="K167" s="91">
        <f t="shared" si="70"/>
        <v>0.25062215375239127</v>
      </c>
      <c r="L167" s="65" t="s">
        <v>43</v>
      </c>
      <c r="M167" s="76"/>
      <c r="N167" s="84"/>
    </row>
    <row r="168" spans="1:14" x14ac:dyDescent="0.35">
      <c r="A168" s="69" t="str">
        <f t="shared" si="52"/>
        <v/>
      </c>
      <c r="L168" s="65" t="s">
        <v>43</v>
      </c>
      <c r="M168" s="76"/>
    </row>
    <row r="169" spans="1:14" ht="13.9" x14ac:dyDescent="0.4">
      <c r="A169" s="77" t="str">
        <f t="shared" si="52"/>
        <v>Non-Current Liabilities</v>
      </c>
      <c r="L169" s="65" t="s">
        <v>43</v>
      </c>
      <c r="M169" s="76"/>
    </row>
    <row r="170" spans="1:14" ht="13.9" thickBot="1" x14ac:dyDescent="0.4">
      <c r="A170" s="70" t="str">
        <f t="shared" si="52"/>
        <v>Borrowings</v>
      </c>
      <c r="B170" s="92">
        <f>B57/B$70</f>
        <v>0.36966889016329119</v>
      </c>
      <c r="C170" s="92">
        <f t="shared" ref="C170:K170" si="71">C57/C$70</f>
        <v>0.40927278912666654</v>
      </c>
      <c r="D170" s="92">
        <f t="shared" si="71"/>
        <v>0.45660943803358667</v>
      </c>
      <c r="E170" s="92">
        <f t="shared" si="71"/>
        <v>0.28870182388379961</v>
      </c>
      <c r="F170" s="92">
        <f t="shared" si="71"/>
        <v>0.25904366529789569</v>
      </c>
      <c r="G170" s="92">
        <f t="shared" si="71"/>
        <v>0.14497861909788695</v>
      </c>
      <c r="H170" s="92">
        <f t="shared" si="71"/>
        <v>0.12873915644630571</v>
      </c>
      <c r="I170" s="92">
        <f t="shared" si="71"/>
        <v>8.1732366564387204E-2</v>
      </c>
      <c r="J170" s="92">
        <f t="shared" si="71"/>
        <v>6.3417788937076766E-2</v>
      </c>
      <c r="K170" s="92">
        <f t="shared" si="71"/>
        <v>8.1836496300936187E-2</v>
      </c>
      <c r="L170" s="65" t="s">
        <v>43</v>
      </c>
      <c r="M170" s="76"/>
    </row>
    <row r="171" spans="1:14" ht="13.9" x14ac:dyDescent="0.4">
      <c r="A171" s="77" t="str">
        <f t="shared" si="52"/>
        <v>Total Non-Current Liabilities</v>
      </c>
      <c r="B171" s="91">
        <f>B57/B$70</f>
        <v>0.36966889016329119</v>
      </c>
      <c r="C171" s="91">
        <f t="shared" ref="C171:K171" si="72">C57/C$70</f>
        <v>0.40927278912666654</v>
      </c>
      <c r="D171" s="91">
        <f t="shared" si="72"/>
        <v>0.45660943803358667</v>
      </c>
      <c r="E171" s="91">
        <f t="shared" si="72"/>
        <v>0.28870182388379961</v>
      </c>
      <c r="F171" s="91">
        <f t="shared" si="72"/>
        <v>0.25904366529789569</v>
      </c>
      <c r="G171" s="91">
        <f t="shared" si="72"/>
        <v>0.14497861909788695</v>
      </c>
      <c r="H171" s="91">
        <f t="shared" si="72"/>
        <v>0.12873915644630571</v>
      </c>
      <c r="I171" s="91">
        <f t="shared" si="72"/>
        <v>8.1732366564387204E-2</v>
      </c>
      <c r="J171" s="91">
        <f t="shared" si="72"/>
        <v>6.3417788937076766E-2</v>
      </c>
      <c r="K171" s="91">
        <f t="shared" si="72"/>
        <v>8.1836496300936187E-2</v>
      </c>
      <c r="L171" s="65" t="s">
        <v>43</v>
      </c>
      <c r="M171" s="76"/>
    </row>
    <row r="172" spans="1:14" ht="13.9" x14ac:dyDescent="0.4">
      <c r="A172" s="77" t="str">
        <f t="shared" si="52"/>
        <v/>
      </c>
      <c r="L172" s="65" t="s">
        <v>43</v>
      </c>
      <c r="M172" s="76"/>
    </row>
    <row r="173" spans="1:14" ht="13.9" x14ac:dyDescent="0.4">
      <c r="A173" s="77" t="str">
        <f t="shared" si="52"/>
        <v/>
      </c>
      <c r="L173" s="65" t="s">
        <v>43</v>
      </c>
      <c r="M173" s="76"/>
    </row>
    <row r="174" spans="1:14" ht="13.9" x14ac:dyDescent="0.4">
      <c r="A174" s="77" t="str">
        <f t="shared" si="52"/>
        <v>TOTAL LIABILITIES</v>
      </c>
      <c r="B174" s="113">
        <f t="shared" ref="B174:K174" si="73">B61/B$70</f>
        <v>0.58695783405269986</v>
      </c>
      <c r="C174" s="114">
        <f t="shared" si="73"/>
        <v>0.61008602115699262</v>
      </c>
      <c r="D174" s="114">
        <f t="shared" si="73"/>
        <v>0.61577071019795482</v>
      </c>
      <c r="E174" s="114">
        <f t="shared" si="73"/>
        <v>0.41716596517289756</v>
      </c>
      <c r="F174" s="114">
        <f t="shared" si="73"/>
        <v>0.4949686385993412</v>
      </c>
      <c r="G174" s="114">
        <f t="shared" si="73"/>
        <v>0.38367536812724767</v>
      </c>
      <c r="H174" s="114">
        <f t="shared" si="73"/>
        <v>0.3392162728088543</v>
      </c>
      <c r="I174" s="114">
        <f t="shared" si="73"/>
        <v>0.28934664920749703</v>
      </c>
      <c r="J174" s="114">
        <f t="shared" si="73"/>
        <v>0.28313550939663701</v>
      </c>
      <c r="K174" s="114">
        <f t="shared" si="73"/>
        <v>0.33245865005332748</v>
      </c>
      <c r="L174" s="65" t="s">
        <v>43</v>
      </c>
      <c r="M174" s="76"/>
    </row>
    <row r="175" spans="1:14" ht="13.9" x14ac:dyDescent="0.4">
      <c r="A175" s="77" t="str">
        <f t="shared" si="52"/>
        <v/>
      </c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65" t="s">
        <v>43</v>
      </c>
      <c r="M175" s="76"/>
    </row>
    <row r="176" spans="1:14" x14ac:dyDescent="0.35">
      <c r="A176" s="69" t="str">
        <f t="shared" si="52"/>
        <v/>
      </c>
      <c r="L176" s="65" t="s">
        <v>43</v>
      </c>
      <c r="M176" s="76"/>
    </row>
    <row r="177" spans="1:13" ht="13.9" x14ac:dyDescent="0.4">
      <c r="A177" s="77" t="str">
        <f t="shared" si="52"/>
        <v>EQUITY</v>
      </c>
      <c r="L177" s="65" t="s">
        <v>43</v>
      </c>
      <c r="M177" s="76"/>
    </row>
    <row r="178" spans="1:13" x14ac:dyDescent="0.35">
      <c r="A178" s="69" t="str">
        <f t="shared" si="52"/>
        <v>Equity Share Capital</v>
      </c>
      <c r="B178" s="107">
        <f t="shared" ref="B178:K178" si="74">B65/B$70</f>
        <v>5.3726117533427912E-3</v>
      </c>
      <c r="C178" s="108">
        <f t="shared" si="74"/>
        <v>5.7833433232354322E-3</v>
      </c>
      <c r="D178" s="108">
        <f t="shared" si="74"/>
        <v>5.5821371610845294E-3</v>
      </c>
      <c r="E178" s="108">
        <f t="shared" si="74"/>
        <v>5.8925476603119585E-3</v>
      </c>
      <c r="F178" s="108">
        <f t="shared" si="74"/>
        <v>6.6332746717205904E-3</v>
      </c>
      <c r="G178" s="108">
        <f t="shared" si="74"/>
        <v>8.8565243062389293E-3</v>
      </c>
      <c r="H178" s="108">
        <f t="shared" si="74"/>
        <v>9.2544122046066407E-3</v>
      </c>
      <c r="I178" s="108">
        <f t="shared" si="74"/>
        <v>9.6742040768464047E-3</v>
      </c>
      <c r="J178" s="108">
        <f t="shared" si="74"/>
        <v>9.41565852545081E-3</v>
      </c>
      <c r="K178" s="108">
        <f t="shared" si="74"/>
        <v>8.3800301342497763E-3</v>
      </c>
      <c r="L178" s="65" t="s">
        <v>43</v>
      </c>
      <c r="M178" s="76"/>
    </row>
    <row r="179" spans="1:13" ht="13.9" thickBot="1" x14ac:dyDescent="0.4">
      <c r="A179" s="70" t="str">
        <f t="shared" si="52"/>
        <v>Reserves</v>
      </c>
      <c r="B179" s="110">
        <f>B66/B$70</f>
        <v>0.40766955419395734</v>
      </c>
      <c r="C179" s="89">
        <f>C66/C$70</f>
        <v>0.38413063551977189</v>
      </c>
      <c r="D179" s="89">
        <f t="shared" ref="D179:K179" si="75">D66/D$70</f>
        <v>0.37864715264096072</v>
      </c>
      <c r="E179" s="89">
        <f t="shared" si="75"/>
        <v>0.5769414871667905</v>
      </c>
      <c r="F179" s="89">
        <f t="shared" si="75"/>
        <v>0.49839808672893821</v>
      </c>
      <c r="G179" s="89">
        <f t="shared" si="75"/>
        <v>0.60746810756651337</v>
      </c>
      <c r="H179" s="89">
        <f t="shared" si="75"/>
        <v>0.65152931498653899</v>
      </c>
      <c r="I179" s="89">
        <f t="shared" si="75"/>
        <v>0.70097914671565653</v>
      </c>
      <c r="J179" s="89">
        <f t="shared" si="75"/>
        <v>0.7074488320779122</v>
      </c>
      <c r="K179" s="89">
        <f t="shared" si="75"/>
        <v>0.65916131981242276</v>
      </c>
      <c r="L179" s="65" t="s">
        <v>43</v>
      </c>
      <c r="M179" s="76"/>
    </row>
    <row r="180" spans="1:13" ht="13.9" x14ac:dyDescent="0.4">
      <c r="A180" s="77" t="str">
        <f t="shared" si="52"/>
        <v>Total Equity</v>
      </c>
      <c r="B180" s="113">
        <f>B67/B$70</f>
        <v>0.41304216594730009</v>
      </c>
      <c r="C180" s="114">
        <f>C67/C$70</f>
        <v>0.38991397884300733</v>
      </c>
      <c r="D180" s="114">
        <f t="shared" ref="D180:K180" si="76">D67/D$70</f>
        <v>0.38422928980204524</v>
      </c>
      <c r="E180" s="114">
        <f t="shared" si="76"/>
        <v>0.58283403482710239</v>
      </c>
      <c r="F180" s="114">
        <f t="shared" si="76"/>
        <v>0.50503136140065885</v>
      </c>
      <c r="G180" s="114">
        <f t="shared" si="76"/>
        <v>0.61632463187275233</v>
      </c>
      <c r="H180" s="114">
        <f t="shared" si="76"/>
        <v>0.66078372719114564</v>
      </c>
      <c r="I180" s="114">
        <f t="shared" si="76"/>
        <v>0.71065335079250302</v>
      </c>
      <c r="J180" s="114">
        <f t="shared" si="76"/>
        <v>0.71686449060336299</v>
      </c>
      <c r="K180" s="114">
        <f t="shared" si="76"/>
        <v>0.66754134994667258</v>
      </c>
      <c r="L180" s="65" t="s">
        <v>43</v>
      </c>
      <c r="M180" s="76"/>
    </row>
    <row r="181" spans="1:13" x14ac:dyDescent="0.35">
      <c r="A181" s="69" t="str">
        <f t="shared" si="52"/>
        <v/>
      </c>
      <c r="L181" s="65" t="s">
        <v>43</v>
      </c>
      <c r="M181" s="76"/>
    </row>
    <row r="182" spans="1:13" x14ac:dyDescent="0.35">
      <c r="A182" s="69" t="str">
        <f t="shared" si="52"/>
        <v/>
      </c>
      <c r="L182" s="65" t="s">
        <v>43</v>
      </c>
      <c r="M182" s="76"/>
    </row>
    <row r="183" spans="1:13" ht="13.9" x14ac:dyDescent="0.4">
      <c r="A183" s="77" t="str">
        <f t="shared" si="52"/>
        <v>TOTAL LIABILITIES AND EQUITY</v>
      </c>
      <c r="B183" s="113">
        <f t="shared" ref="B183:K183" si="77">B70/B$70</f>
        <v>1</v>
      </c>
      <c r="C183" s="114">
        <f t="shared" si="77"/>
        <v>1</v>
      </c>
      <c r="D183" s="114">
        <f t="shared" si="77"/>
        <v>1</v>
      </c>
      <c r="E183" s="114">
        <f t="shared" si="77"/>
        <v>1</v>
      </c>
      <c r="F183" s="114">
        <f t="shared" si="77"/>
        <v>1</v>
      </c>
      <c r="G183" s="114">
        <f t="shared" si="77"/>
        <v>1</v>
      </c>
      <c r="H183" s="114">
        <f t="shared" si="77"/>
        <v>1</v>
      </c>
      <c r="I183" s="114">
        <f t="shared" si="77"/>
        <v>1</v>
      </c>
      <c r="J183" s="114">
        <f t="shared" si="77"/>
        <v>1</v>
      </c>
      <c r="K183" s="114">
        <f t="shared" si="77"/>
        <v>1</v>
      </c>
      <c r="L183" s="65" t="s">
        <v>43</v>
      </c>
      <c r="M183" s="76"/>
    </row>
    <row r="184" spans="1:13" ht="13.9" x14ac:dyDescent="0.4">
      <c r="A184" s="77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65" t="s">
        <v>43</v>
      </c>
      <c r="M184" s="76"/>
    </row>
    <row r="185" spans="1:13" ht="13.9" x14ac:dyDescent="0.4">
      <c r="A185" s="77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65"/>
      <c r="M185" s="76"/>
    </row>
    <row r="186" spans="1:13" ht="13.9" x14ac:dyDescent="0.4">
      <c r="A186" s="77"/>
      <c r="L186" s="65" t="s">
        <v>43</v>
      </c>
      <c r="M186" s="76"/>
    </row>
    <row r="187" spans="1:13" ht="13.9" x14ac:dyDescent="0.4">
      <c r="A187" s="78" t="s">
        <v>180</v>
      </c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65" t="s">
        <v>43</v>
      </c>
      <c r="M187" s="76"/>
    </row>
    <row r="188" spans="1:13" ht="13.9" x14ac:dyDescent="0.4">
      <c r="A188" s="77"/>
      <c r="L188" s="65" t="s">
        <v>43</v>
      </c>
      <c r="M188" s="76"/>
    </row>
    <row r="189" spans="1:13" ht="13.9" x14ac:dyDescent="0.4">
      <c r="A189" s="80" t="str">
        <f t="shared" ref="A189:A220" si="78">A120</f>
        <v>i) INCOME STATEMENT</v>
      </c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65" t="s">
        <v>43</v>
      </c>
      <c r="M189" s="76"/>
    </row>
    <row r="190" spans="1:13" ht="13.9" x14ac:dyDescent="0.4">
      <c r="A190" s="77" t="str">
        <f t="shared" si="78"/>
        <v/>
      </c>
      <c r="L190" s="65" t="s">
        <v>43</v>
      </c>
      <c r="M190" s="76"/>
    </row>
    <row r="191" spans="1:13" ht="13.9" x14ac:dyDescent="0.4">
      <c r="A191" s="77" t="str">
        <f t="shared" si="78"/>
        <v>Sales</v>
      </c>
      <c r="B191" s="91">
        <f>B9/DLF_Income_Statement!B2-1</f>
        <v>-7.8211617257170407E-2</v>
      </c>
      <c r="C191" s="91">
        <f>C9/B9-1</f>
        <v>0.2976859720224867</v>
      </c>
      <c r="D191" s="91">
        <f t="shared" ref="D191:K191" si="79">D9/C9-1</f>
        <v>-0.17177110618577474</v>
      </c>
      <c r="E191" s="91">
        <f t="shared" si="79"/>
        <v>-0.184162510643474</v>
      </c>
      <c r="F191" s="91">
        <f t="shared" si="79"/>
        <v>0.24735351125689586</v>
      </c>
      <c r="G191" s="91">
        <f t="shared" si="79"/>
        <v>-0.27289027014104705</v>
      </c>
      <c r="H191" s="91">
        <f t="shared" si="79"/>
        <v>-0.10997862896597077</v>
      </c>
      <c r="I191" s="91">
        <f t="shared" si="79"/>
        <v>5.596601403768009E-2</v>
      </c>
      <c r="J191" s="91">
        <f t="shared" si="79"/>
        <v>-3.8481721182438422E-3</v>
      </c>
      <c r="K191" s="91">
        <f t="shared" si="79"/>
        <v>0.12853380158033367</v>
      </c>
      <c r="L191" s="65" t="s">
        <v>43</v>
      </c>
      <c r="M191" s="76"/>
    </row>
    <row r="192" spans="1:13" ht="13.9" thickBot="1" x14ac:dyDescent="0.4">
      <c r="A192" s="70" t="str">
        <f t="shared" si="78"/>
        <v>(Less) Expenses</v>
      </c>
      <c r="B192" s="89">
        <f>B10/DLF_Income_Statement!B3-1</f>
        <v>-0.20155038759689925</v>
      </c>
      <c r="C192" s="89">
        <f>C10/B10-1</f>
        <v>0.28586839266450914</v>
      </c>
      <c r="D192" s="89">
        <f t="shared" ref="D192:K192" si="80">D10/C10-1</f>
        <v>-0.1988255033557047</v>
      </c>
      <c r="E192" s="89">
        <f t="shared" si="80"/>
        <v>-9.3403141361256492E-2</v>
      </c>
      <c r="F192" s="89">
        <f t="shared" si="80"/>
        <v>0.4363594363594363</v>
      </c>
      <c r="G192" s="89">
        <f t="shared" si="80"/>
        <v>-0.20601479575426185</v>
      </c>
      <c r="H192" s="89">
        <f t="shared" si="80"/>
        <v>-0.20093173992303015</v>
      </c>
      <c r="I192" s="89">
        <f t="shared" si="80"/>
        <v>7.3510773130545104E-3</v>
      </c>
      <c r="J192" s="89">
        <f t="shared" si="80"/>
        <v>-1.2581781580272011E-3</v>
      </c>
      <c r="K192" s="89">
        <f t="shared" si="80"/>
        <v>8.415217939027464E-2</v>
      </c>
      <c r="L192" s="65" t="s">
        <v>43</v>
      </c>
      <c r="M192" s="76"/>
    </row>
    <row r="193" spans="1:13" ht="13.9" x14ac:dyDescent="0.4">
      <c r="A193" s="77" t="str">
        <f t="shared" si="78"/>
        <v>Operating Profit</v>
      </c>
      <c r="B193" s="91">
        <f>B11/DLF_Income_Statement!B4-1</f>
        <v>0.20898515844364218</v>
      </c>
      <c r="C193" s="91">
        <f>C11/B11-1</f>
        <v>0.31585932315859333</v>
      </c>
      <c r="D193" s="91">
        <f t="shared" ref="D193:K193" si="81">D11/C11-1</f>
        <v>-0.13111447302067569</v>
      </c>
      <c r="E193" s="91">
        <f t="shared" si="81"/>
        <v>-0.30992455020313403</v>
      </c>
      <c r="F193" s="91">
        <f t="shared" si="81"/>
        <v>-9.6719932716568535E-2</v>
      </c>
      <c r="G193" s="91">
        <f t="shared" si="81"/>
        <v>-0.46648044692737434</v>
      </c>
      <c r="H193" s="91">
        <f t="shared" si="81"/>
        <v>0.28184991273996518</v>
      </c>
      <c r="I193" s="91">
        <f t="shared" si="81"/>
        <v>0.1865214431586113</v>
      </c>
      <c r="J193" s="91">
        <f t="shared" si="81"/>
        <v>-9.7532989099253786E-3</v>
      </c>
      <c r="K193" s="91">
        <f t="shared" si="81"/>
        <v>0.23059096176129779</v>
      </c>
      <c r="L193" s="65" t="s">
        <v>43</v>
      </c>
      <c r="M193" s="76"/>
    </row>
    <row r="194" spans="1:13" x14ac:dyDescent="0.35">
      <c r="A194" s="69" t="str">
        <f t="shared" si="78"/>
        <v>Other Income</v>
      </c>
      <c r="B194" s="101">
        <f>B12/DLF_Income_Statement!B5-1</f>
        <v>-0.55604589585172115</v>
      </c>
      <c r="C194" s="84">
        <f t="shared" ref="C194:K194" si="82">C12/B12-1</f>
        <v>5.9642147117295874E-3</v>
      </c>
      <c r="D194" s="84">
        <f t="shared" si="82"/>
        <v>1.2430830039525693</v>
      </c>
      <c r="E194" s="84">
        <f t="shared" si="82"/>
        <v>7.5656387665198235</v>
      </c>
      <c r="F194" s="84">
        <f t="shared" si="82"/>
        <v>-0.91935815675786881</v>
      </c>
      <c r="G194" s="84">
        <f t="shared" si="82"/>
        <v>0.44770408163265296</v>
      </c>
      <c r="H194" s="84">
        <f t="shared" si="82"/>
        <v>-0.66255506607929515</v>
      </c>
      <c r="I194" s="84">
        <f t="shared" si="82"/>
        <v>-0.49086161879895562</v>
      </c>
      <c r="J194" s="84">
        <f t="shared" si="82"/>
        <v>0.62564102564102564</v>
      </c>
      <c r="K194" s="84">
        <f t="shared" si="82"/>
        <v>0.67507886435331232</v>
      </c>
      <c r="L194" s="65" t="s">
        <v>43</v>
      </c>
      <c r="M194" s="76"/>
    </row>
    <row r="195" spans="1:13" x14ac:dyDescent="0.35">
      <c r="A195" s="69" t="str">
        <f t="shared" si="78"/>
        <v>Depreciation</v>
      </c>
      <c r="B195" s="101">
        <f>B13/DLF_Income_Statement!B6-1</f>
        <v>-0.77872513195290294</v>
      </c>
      <c r="C195" s="84">
        <f t="shared" ref="C195:K195" si="83">C13/B13-1</f>
        <v>0.40550458715596327</v>
      </c>
      <c r="D195" s="84">
        <f t="shared" si="83"/>
        <v>-0.25326370757180161</v>
      </c>
      <c r="E195" s="84">
        <f t="shared" si="83"/>
        <v>-6.643356643356646E-2</v>
      </c>
      <c r="F195" s="84">
        <f t="shared" si="83"/>
        <v>-0.5786516853932584</v>
      </c>
      <c r="G195" s="84">
        <f t="shared" si="83"/>
        <v>-0.11111111111111116</v>
      </c>
      <c r="H195" s="84">
        <f t="shared" si="83"/>
        <v>-0.20499999999999996</v>
      </c>
      <c r="I195" s="84">
        <f t="shared" si="83"/>
        <v>-6.2893081761006275E-2</v>
      </c>
      <c r="J195" s="84">
        <f t="shared" si="83"/>
        <v>0</v>
      </c>
      <c r="K195" s="84">
        <f t="shared" si="83"/>
        <v>-6.7114093959731447E-3</v>
      </c>
      <c r="L195" s="65" t="s">
        <v>43</v>
      </c>
      <c r="M195" s="76"/>
    </row>
    <row r="196" spans="1:13" ht="13.9" thickBot="1" x14ac:dyDescent="0.4">
      <c r="A196" s="70" t="str">
        <f t="shared" si="78"/>
        <v>Interest</v>
      </c>
      <c r="B196" s="92">
        <f>B14/DLF_Income_Statement!B7-1</f>
        <v>2.4751131221719458</v>
      </c>
      <c r="C196" s="89">
        <f t="shared" ref="C196:K196" si="84">C14/B14-1</f>
        <v>0.16319444444444442</v>
      </c>
      <c r="D196" s="89">
        <f t="shared" si="84"/>
        <v>0.11194029850746268</v>
      </c>
      <c r="E196" s="89">
        <f t="shared" si="84"/>
        <v>-9.7315436241610653E-3</v>
      </c>
      <c r="F196" s="89">
        <f t="shared" si="84"/>
        <v>-0.30125381226702808</v>
      </c>
      <c r="G196" s="89">
        <f t="shared" si="84"/>
        <v>-0.30795344325897189</v>
      </c>
      <c r="H196" s="89">
        <f t="shared" si="84"/>
        <v>-0.40224246671338471</v>
      </c>
      <c r="I196" s="89">
        <f t="shared" si="84"/>
        <v>-0.26729191090269633</v>
      </c>
      <c r="J196" s="89">
        <f t="shared" si="84"/>
        <v>-0.37280000000000002</v>
      </c>
      <c r="K196" s="89">
        <f t="shared" si="84"/>
        <v>-9.1836734693877542E-2</v>
      </c>
      <c r="L196" s="65" t="s">
        <v>43</v>
      </c>
      <c r="M196" s="76"/>
    </row>
    <row r="197" spans="1:13" ht="13.9" x14ac:dyDescent="0.4">
      <c r="A197" s="77" t="str">
        <f t="shared" si="78"/>
        <v>Profit before tax</v>
      </c>
      <c r="B197" s="115">
        <f>B15/DLF_Income_Statement!B8-1</f>
        <v>0.33600000000000008</v>
      </c>
      <c r="C197" s="91">
        <f t="shared" ref="C197:K197" si="85">C15/B15-1</f>
        <v>0.53592814371257491</v>
      </c>
      <c r="D197" s="91">
        <f t="shared" si="85"/>
        <v>2.9239766081872176E-3</v>
      </c>
      <c r="E197" s="91">
        <f t="shared" si="85"/>
        <v>7.3722060252672499</v>
      </c>
      <c r="F197" s="91">
        <f t="shared" si="85"/>
        <v>-0.92513058618688337</v>
      </c>
      <c r="G197" s="91">
        <f t="shared" si="85"/>
        <v>1.3953488372093092E-2</v>
      </c>
      <c r="H197" s="91">
        <f t="shared" si="85"/>
        <v>0.28440366972477071</v>
      </c>
      <c r="I197" s="91">
        <f t="shared" si="85"/>
        <v>0.38571428571428568</v>
      </c>
      <c r="J197" s="91">
        <f t="shared" si="85"/>
        <v>0.29037800687285231</v>
      </c>
      <c r="K197" s="91">
        <f t="shared" si="85"/>
        <v>0.43209054593874829</v>
      </c>
      <c r="L197" s="65" t="s">
        <v>43</v>
      </c>
      <c r="M197" s="76"/>
    </row>
    <row r="198" spans="1:13" ht="13.9" thickBot="1" x14ac:dyDescent="0.4">
      <c r="A198" s="70" t="str">
        <f t="shared" si="78"/>
        <v>Tax</v>
      </c>
      <c r="B198" s="92">
        <f>IF(DLF_Income_Statement!B9=0,0,B16/DLF_Income_Statement!B9-1)</f>
        <v>0</v>
      </c>
      <c r="C198" s="89">
        <f t="shared" ref="C198:K198" si="86">C16/B16-1</f>
        <v>2.5696202531645569</v>
      </c>
      <c r="D198" s="89">
        <f t="shared" si="86"/>
        <v>-0.59397163120567376</v>
      </c>
      <c r="E198" s="89">
        <f t="shared" si="86"/>
        <v>17.877729257641921</v>
      </c>
      <c r="F198" s="89">
        <f t="shared" si="86"/>
        <v>-0.93592412676382142</v>
      </c>
      <c r="G198" s="89">
        <f t="shared" si="86"/>
        <v>6.7003610108303251</v>
      </c>
      <c r="H198" s="89">
        <f t="shared" si="86"/>
        <v>-0.83028598218471639</v>
      </c>
      <c r="I198" s="89">
        <f t="shared" si="86"/>
        <v>-0.11325966850828728</v>
      </c>
      <c r="J198" s="89">
        <f t="shared" si="86"/>
        <v>0.25233644859813076</v>
      </c>
      <c r="K198" s="89">
        <f t="shared" si="86"/>
        <v>0.29353233830845782</v>
      </c>
      <c r="L198" s="65" t="s">
        <v>43</v>
      </c>
      <c r="M198" s="76"/>
    </row>
    <row r="199" spans="1:13" ht="13.9" x14ac:dyDescent="0.4">
      <c r="A199" s="77" t="str">
        <f t="shared" si="78"/>
        <v>Net profit</v>
      </c>
      <c r="B199" s="115">
        <f>B17/DLF_Income_Statement!B11-1</f>
        <v>2.0000000000000018E-2</v>
      </c>
      <c r="C199" s="91">
        <f t="shared" ref="C199:K199" si="87">C17/B17-1</f>
        <v>-9.4117647058823528E-2</v>
      </c>
      <c r="D199" s="91">
        <f t="shared" si="87"/>
        <v>0.73160173160173159</v>
      </c>
      <c r="E199" s="91">
        <f t="shared" si="87"/>
        <v>4.3650000000000002</v>
      </c>
      <c r="F199" s="91">
        <f t="shared" si="87"/>
        <v>-0.91425908667287981</v>
      </c>
      <c r="G199" s="91">
        <f t="shared" si="87"/>
        <v>-5.0190217391304346</v>
      </c>
      <c r="H199" s="91">
        <f t="shared" si="87"/>
        <v>-1.3231913455037188</v>
      </c>
      <c r="I199" s="91">
        <f t="shared" si="87"/>
        <v>0.76359832635983271</v>
      </c>
      <c r="J199" s="91">
        <f t="shared" si="87"/>
        <v>0.30486358244365364</v>
      </c>
      <c r="K199" s="91">
        <f t="shared" si="87"/>
        <v>0.48272727272727267</v>
      </c>
      <c r="L199" s="65" t="s">
        <v>43</v>
      </c>
      <c r="M199" s="76"/>
    </row>
    <row r="200" spans="1:13" ht="13.9" thickBot="1" x14ac:dyDescent="0.4">
      <c r="A200" s="70" t="str">
        <f t="shared" si="78"/>
        <v/>
      </c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5" t="s">
        <v>43</v>
      </c>
      <c r="M200" s="76"/>
    </row>
    <row r="201" spans="1:13" ht="13.9" x14ac:dyDescent="0.4">
      <c r="A201" s="77" t="str">
        <f t="shared" si="78"/>
        <v>EBITDA</v>
      </c>
      <c r="B201" s="101">
        <f>B19/DLF_Income_Statement!B18-1</f>
        <v>-0.28188054882970137</v>
      </c>
      <c r="C201" s="84">
        <f>C19/B19-1</f>
        <v>0.32958696262995213</v>
      </c>
      <c r="D201" s="84">
        <f t="shared" ref="D201:K201" si="88">D19/C19-1</f>
        <v>-0.15088757396449703</v>
      </c>
      <c r="E201" s="84">
        <f t="shared" si="88"/>
        <v>-0.27526132404181181</v>
      </c>
      <c r="F201" s="84">
        <f t="shared" si="88"/>
        <v>-0.18509615384615385</v>
      </c>
      <c r="G201" s="84">
        <f t="shared" si="88"/>
        <v>-0.43278550358196377</v>
      </c>
      <c r="H201" s="84">
        <f t="shared" si="88"/>
        <v>0.20950965824665668</v>
      </c>
      <c r="I201" s="84">
        <f t="shared" si="88"/>
        <v>0.16216216216216206</v>
      </c>
      <c r="J201" s="84">
        <f t="shared" si="88"/>
        <v>-8.9852008456660082E-3</v>
      </c>
      <c r="K201" s="84">
        <f t="shared" si="88"/>
        <v>0.21173333333333333</v>
      </c>
      <c r="L201" s="65" t="s">
        <v>43</v>
      </c>
      <c r="M201" s="76"/>
    </row>
    <row r="202" spans="1:13" ht="13.9" x14ac:dyDescent="0.4">
      <c r="A202" s="77" t="str">
        <f t="shared" si="78"/>
        <v>EBIT</v>
      </c>
      <c r="B202" s="101">
        <f>B20/DLF_Income_Statement!B19-1</f>
        <v>0.20898515844364218</v>
      </c>
      <c r="C202" s="84">
        <f t="shared" ref="C202:K202" si="89">C20/B20-1</f>
        <v>0.31585932315859333</v>
      </c>
      <c r="D202" s="84">
        <f t="shared" si="89"/>
        <v>-0.13111447302067569</v>
      </c>
      <c r="E202" s="84">
        <f t="shared" si="89"/>
        <v>-0.30992455020313403</v>
      </c>
      <c r="F202" s="84">
        <f t="shared" si="89"/>
        <v>-9.6719932716568535E-2</v>
      </c>
      <c r="G202" s="84">
        <f t="shared" si="89"/>
        <v>-0.46648044692737434</v>
      </c>
      <c r="H202" s="84">
        <f t="shared" si="89"/>
        <v>0.28184991273996518</v>
      </c>
      <c r="I202" s="84">
        <f t="shared" si="89"/>
        <v>0.1865214431586113</v>
      </c>
      <c r="J202" s="84">
        <f t="shared" si="89"/>
        <v>-9.7532989099253786E-3</v>
      </c>
      <c r="K202" s="84">
        <f t="shared" si="89"/>
        <v>0.23059096176129779</v>
      </c>
      <c r="L202" s="65" t="s">
        <v>43</v>
      </c>
      <c r="M202" s="76"/>
    </row>
    <row r="203" spans="1:13" ht="13.9" x14ac:dyDescent="0.4">
      <c r="A203" s="77" t="str">
        <f t="shared" si="78"/>
        <v>EBT</v>
      </c>
      <c r="B203" s="101">
        <f>B21/DLF_Income_Statement!B20-1</f>
        <v>-0.61202185792349728</v>
      </c>
      <c r="C203" s="84">
        <f t="shared" ref="C203:K203" si="90">C21/B21-1</f>
        <v>0.81126760563380285</v>
      </c>
      <c r="D203" s="84">
        <f t="shared" si="90"/>
        <v>-0.63763608087091761</v>
      </c>
      <c r="E203" s="84">
        <f t="shared" si="90"/>
        <v>-2.2296137339055795</v>
      </c>
      <c r="F203" s="84">
        <f t="shared" si="90"/>
        <v>-1.1500872600349039</v>
      </c>
      <c r="G203" s="84">
        <f t="shared" si="90"/>
        <v>-4.2674418604651159</v>
      </c>
      <c r="H203" s="84">
        <f t="shared" si="90"/>
        <v>-3.1921708185053381</v>
      </c>
      <c r="I203" s="84">
        <f t="shared" si="90"/>
        <v>0.81493506493506485</v>
      </c>
      <c r="J203" s="84">
        <f t="shared" si="90"/>
        <v>0.19320214669051872</v>
      </c>
      <c r="K203" s="84">
        <f t="shared" si="90"/>
        <v>0.32533733133433285</v>
      </c>
      <c r="L203" s="65" t="s">
        <v>43</v>
      </c>
      <c r="M203" s="76"/>
    </row>
    <row r="204" spans="1:13" ht="14.25" thickBot="1" x14ac:dyDescent="0.45">
      <c r="A204" s="68" t="str">
        <f t="shared" si="78"/>
        <v>EAT</v>
      </c>
      <c r="B204" s="92">
        <f>B22/DLF_Income_Statement!B21-1</f>
        <v>-0.72131147540983609</v>
      </c>
      <c r="C204" s="89">
        <f t="shared" ref="C204:K204" si="91">C22/B22-1</f>
        <v>-9.4117647058823528E-2</v>
      </c>
      <c r="D204" s="89">
        <f t="shared" si="91"/>
        <v>0.73160173160173159</v>
      </c>
      <c r="E204" s="89">
        <f t="shared" si="91"/>
        <v>4.3650000000000002</v>
      </c>
      <c r="F204" s="89">
        <f t="shared" si="91"/>
        <v>-0.91425908667287981</v>
      </c>
      <c r="G204" s="89">
        <f t="shared" si="91"/>
        <v>-5.0190217391304346</v>
      </c>
      <c r="H204" s="89">
        <f t="shared" si="91"/>
        <v>-1.3231913455037188</v>
      </c>
      <c r="I204" s="89">
        <f t="shared" si="91"/>
        <v>0.76359832635983271</v>
      </c>
      <c r="J204" s="89">
        <f t="shared" si="91"/>
        <v>0.30486358244365364</v>
      </c>
      <c r="K204" s="89">
        <f t="shared" si="91"/>
        <v>0.48272727272727267</v>
      </c>
      <c r="L204" s="65" t="s">
        <v>43</v>
      </c>
      <c r="M204" s="76"/>
    </row>
    <row r="205" spans="1:13" ht="13.9" x14ac:dyDescent="0.4">
      <c r="A205" s="77" t="str">
        <f t="shared" si="78"/>
        <v/>
      </c>
      <c r="L205" s="65" t="s">
        <v>43</v>
      </c>
      <c r="M205" s="76"/>
    </row>
    <row r="206" spans="1:13" ht="13.9" x14ac:dyDescent="0.4">
      <c r="A206" s="77" t="str">
        <f t="shared" si="78"/>
        <v/>
      </c>
      <c r="L206" s="65" t="s">
        <v>43</v>
      </c>
      <c r="M206" s="76"/>
    </row>
    <row r="207" spans="1:13" ht="13.9" x14ac:dyDescent="0.4">
      <c r="A207" s="80" t="str">
        <f t="shared" si="78"/>
        <v>ii) BALANCE SHEET</v>
      </c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65" t="s">
        <v>43</v>
      </c>
      <c r="M207" s="76"/>
    </row>
    <row r="208" spans="1:13" x14ac:dyDescent="0.35">
      <c r="A208" s="69" t="str">
        <f t="shared" si="78"/>
        <v/>
      </c>
      <c r="L208" s="65" t="s">
        <v>43</v>
      </c>
      <c r="M208" s="76"/>
    </row>
    <row r="209" spans="1:13" ht="13.9" x14ac:dyDescent="0.4">
      <c r="A209" s="77" t="str">
        <f t="shared" si="78"/>
        <v>ASSETS</v>
      </c>
      <c r="L209" s="65" t="s">
        <v>43</v>
      </c>
      <c r="M209" s="76"/>
    </row>
    <row r="210" spans="1:13" x14ac:dyDescent="0.35">
      <c r="A210" s="69" t="str">
        <f t="shared" si="78"/>
        <v/>
      </c>
      <c r="L210" s="65" t="s">
        <v>43</v>
      </c>
      <c r="M210" s="76"/>
    </row>
    <row r="211" spans="1:13" ht="13.9" x14ac:dyDescent="0.4">
      <c r="A211" s="77" t="str">
        <f t="shared" si="78"/>
        <v>Current Assets</v>
      </c>
      <c r="L211" s="65" t="s">
        <v>43</v>
      </c>
      <c r="M211" s="76"/>
    </row>
    <row r="212" spans="1:13" x14ac:dyDescent="0.35">
      <c r="A212" s="69" t="str">
        <f t="shared" si="78"/>
        <v>Trade Receivables</v>
      </c>
      <c r="B212" s="102">
        <f>B30/DLF_Balance_Sheet!B20-1</f>
        <v>1.601537475976933E-2</v>
      </c>
      <c r="C212" s="103">
        <f>C30/B30-1</f>
        <v>1.1544766708701135</v>
      </c>
      <c r="D212" s="103">
        <f t="shared" ref="D212:K212" si="92">D30/C30-1</f>
        <v>-0.58530875036581798</v>
      </c>
      <c r="E212" s="103">
        <f t="shared" si="92"/>
        <v>-9.2448835568101573E-2</v>
      </c>
      <c r="F212" s="103">
        <f t="shared" si="92"/>
        <v>-0.35303265940902018</v>
      </c>
      <c r="G212" s="103">
        <f t="shared" si="92"/>
        <v>-0.13341346153846156</v>
      </c>
      <c r="H212" s="103">
        <f t="shared" si="92"/>
        <v>-0.19417475728155342</v>
      </c>
      <c r="I212" s="103">
        <f t="shared" si="92"/>
        <v>-2.9259896729776247E-2</v>
      </c>
      <c r="J212" s="103">
        <f t="shared" si="92"/>
        <v>-2.6595744680851019E-2</v>
      </c>
      <c r="K212" s="104">
        <f t="shared" si="92"/>
        <v>-2.0036429872495432E-2</v>
      </c>
      <c r="L212" s="65" t="s">
        <v>43</v>
      </c>
      <c r="M212" s="76"/>
    </row>
    <row r="213" spans="1:13" x14ac:dyDescent="0.35">
      <c r="A213" s="69" t="str">
        <f t="shared" si="78"/>
        <v>Inventory</v>
      </c>
      <c r="B213" s="102">
        <f>B31/DLF_Balance_Sheet!B21-1</f>
        <v>-4.8673761547188166E-2</v>
      </c>
      <c r="C213" s="103">
        <f t="shared" ref="C213:K213" si="93">C31/B31-1</f>
        <v>-4.4065871663827361E-2</v>
      </c>
      <c r="D213" s="103">
        <f t="shared" si="93"/>
        <v>0.19395271474397058</v>
      </c>
      <c r="E213" s="103">
        <f t="shared" si="93"/>
        <v>-1.7214786805313742E-2</v>
      </c>
      <c r="F213" s="103">
        <f t="shared" si="93"/>
        <v>0.11421049967093611</v>
      </c>
      <c r="G213" s="103">
        <f t="shared" si="93"/>
        <v>2.1672951974192278E-2</v>
      </c>
      <c r="H213" s="103">
        <f t="shared" si="93"/>
        <v>-6.2216490260606605E-2</v>
      </c>
      <c r="I213" s="103">
        <f t="shared" si="93"/>
        <v>-4.6474130981173256E-2</v>
      </c>
      <c r="J213" s="103">
        <f t="shared" si="93"/>
        <v>-3.7101506937882278E-2</v>
      </c>
      <c r="K213" s="104">
        <f t="shared" si="93"/>
        <v>9.2608852848509837E-2</v>
      </c>
      <c r="L213" s="65" t="s">
        <v>43</v>
      </c>
      <c r="M213" s="76"/>
    </row>
    <row r="214" spans="1:13" x14ac:dyDescent="0.35">
      <c r="A214" s="69" t="str">
        <f t="shared" si="78"/>
        <v>Cash and Bank</v>
      </c>
      <c r="B214" s="102">
        <f>B32/DLF_Balance_Sheet!B22-1</f>
        <v>0.1253071253071254</v>
      </c>
      <c r="C214" s="103">
        <f t="shared" ref="C214:K214" si="94">C32/B32-1</f>
        <v>0.23034934497816595</v>
      </c>
      <c r="D214" s="103">
        <f t="shared" si="94"/>
        <v>0.21236320615202597</v>
      </c>
      <c r="E214" s="103">
        <f t="shared" si="94"/>
        <v>-0.44425469626738234</v>
      </c>
      <c r="F214" s="103">
        <f t="shared" si="94"/>
        <v>1.1312554872695348</v>
      </c>
      <c r="G214" s="103">
        <f t="shared" si="94"/>
        <v>-0.50154479917610706</v>
      </c>
      <c r="H214" s="103">
        <f t="shared" si="94"/>
        <v>-0.41859504132231407</v>
      </c>
      <c r="I214" s="103">
        <f t="shared" si="94"/>
        <v>-0.33759772565742718</v>
      </c>
      <c r="J214" s="103">
        <f t="shared" si="94"/>
        <v>1.4409871244635193</v>
      </c>
      <c r="K214" s="104">
        <f t="shared" si="94"/>
        <v>0.92703296703296711</v>
      </c>
      <c r="L214" s="65" t="s">
        <v>43</v>
      </c>
      <c r="M214" s="76"/>
    </row>
    <row r="215" spans="1:13" x14ac:dyDescent="0.35">
      <c r="A215" s="69" t="str">
        <f t="shared" si="78"/>
        <v>Loans and Advances</v>
      </c>
      <c r="B215" s="102">
        <f>B33/DLF_Balance_Sheet!B23-1</f>
        <v>1.3333333333333335</v>
      </c>
      <c r="C215" s="103">
        <f t="shared" ref="C215:K215" si="95">C33/B33-1</f>
        <v>23.755102040816325</v>
      </c>
      <c r="D215" s="103">
        <f t="shared" si="95"/>
        <v>-0.90519373454245677</v>
      </c>
      <c r="E215" s="103">
        <f t="shared" si="95"/>
        <v>0.48695652173913051</v>
      </c>
      <c r="F215" s="103">
        <f t="shared" si="95"/>
        <v>5.7485380116959064</v>
      </c>
      <c r="G215" s="103">
        <f t="shared" si="95"/>
        <v>-0.34748700173310221</v>
      </c>
      <c r="H215" s="103">
        <f t="shared" si="95"/>
        <v>0.41832669322709171</v>
      </c>
      <c r="I215" s="103">
        <f t="shared" si="95"/>
        <v>-0.15355805243445697</v>
      </c>
      <c r="J215" s="103">
        <f t="shared" si="95"/>
        <v>0.34402654867256643</v>
      </c>
      <c r="K215" s="104">
        <f t="shared" si="95"/>
        <v>0.29465020576131695</v>
      </c>
      <c r="L215" s="65" t="s">
        <v>43</v>
      </c>
      <c r="M215" s="76"/>
    </row>
    <row r="216" spans="1:13" ht="13.9" thickBot="1" x14ac:dyDescent="0.4">
      <c r="A216" s="70" t="str">
        <f t="shared" si="78"/>
        <v>Other Assets</v>
      </c>
      <c r="B216" s="105">
        <f>B34/DLF_Balance_Sheet!B24-1</f>
        <v>0.11304881793061106</v>
      </c>
      <c r="C216" s="92">
        <f t="shared" ref="C216:K216" si="96">C34/B34-1</f>
        <v>-0.45647136709698777</v>
      </c>
      <c r="D216" s="92">
        <f t="shared" si="96"/>
        <v>0.24056029232643117</v>
      </c>
      <c r="E216" s="92">
        <f t="shared" si="96"/>
        <v>-0.34167893961708395</v>
      </c>
      <c r="F216" s="92">
        <f t="shared" si="96"/>
        <v>0.26808351976137201</v>
      </c>
      <c r="G216" s="92">
        <f t="shared" si="96"/>
        <v>-0.44437910418504356</v>
      </c>
      <c r="H216" s="92">
        <f t="shared" si="96"/>
        <v>-0.18010231081319461</v>
      </c>
      <c r="I216" s="92">
        <f t="shared" si="96"/>
        <v>-0.15275387263339069</v>
      </c>
      <c r="J216" s="92">
        <f t="shared" si="96"/>
        <v>0.23031995937023875</v>
      </c>
      <c r="K216" s="106">
        <f t="shared" si="96"/>
        <v>0.51310629514963879</v>
      </c>
      <c r="L216" s="65" t="s">
        <v>43</v>
      </c>
      <c r="M216" s="76"/>
    </row>
    <row r="217" spans="1:13" ht="13.9" x14ac:dyDescent="0.4">
      <c r="A217" s="77" t="str">
        <f t="shared" si="78"/>
        <v>Total Current Assets</v>
      </c>
      <c r="B217" s="111">
        <f>B35/(SUM(DLF_Balance_Sheet!B20:B24))-1</f>
        <v>3.3462132921174614E-2</v>
      </c>
      <c r="C217" s="112">
        <f t="shared" ref="C217:K217" si="97">C35/B35-1</f>
        <v>-0.13514793489369126</v>
      </c>
      <c r="D217" s="112">
        <f t="shared" si="97"/>
        <v>9.3812145142231351E-2</v>
      </c>
      <c r="E217" s="112">
        <f t="shared" si="97"/>
        <v>-0.16910834738617198</v>
      </c>
      <c r="F217" s="112">
        <f t="shared" si="97"/>
        <v>0.23844104775797548</v>
      </c>
      <c r="G217" s="112">
        <f t="shared" si="97"/>
        <v>-0.17934601695132257</v>
      </c>
      <c r="H217" s="112">
        <f t="shared" si="97"/>
        <v>-0.1016568379668632</v>
      </c>
      <c r="I217" s="112">
        <f t="shared" si="97"/>
        <v>-8.1483797019902049E-2</v>
      </c>
      <c r="J217" s="112">
        <f t="shared" si="97"/>
        <v>6.8065796937039069E-2</v>
      </c>
      <c r="K217" s="112">
        <f t="shared" si="97"/>
        <v>0.23844928305894841</v>
      </c>
      <c r="L217" s="65" t="s">
        <v>43</v>
      </c>
      <c r="M217" s="76"/>
    </row>
    <row r="218" spans="1:13" x14ac:dyDescent="0.35">
      <c r="A218" s="69" t="str">
        <f t="shared" si="78"/>
        <v/>
      </c>
      <c r="L218" s="65" t="s">
        <v>43</v>
      </c>
      <c r="M218" s="76"/>
    </row>
    <row r="219" spans="1:13" ht="13.9" x14ac:dyDescent="0.4">
      <c r="A219" s="77" t="str">
        <f t="shared" si="78"/>
        <v>Non-Current Assets</v>
      </c>
      <c r="B219" s="102"/>
      <c r="L219" s="65" t="s">
        <v>43</v>
      </c>
      <c r="M219" s="76"/>
    </row>
    <row r="220" spans="1:13" x14ac:dyDescent="0.35">
      <c r="A220" s="69" t="str">
        <f t="shared" si="78"/>
        <v>Net Block</v>
      </c>
      <c r="B220" s="102">
        <f>B38/DLF_Balance_Sheet!B16-1</f>
        <v>4.1624634988054243E-2</v>
      </c>
      <c r="C220" s="103">
        <f>C38/B38-1</f>
        <v>-0.7990213568479535</v>
      </c>
      <c r="D220" s="103">
        <f t="shared" ref="D220:K220" si="98">D38/C38-1</f>
        <v>5.249048947501902</v>
      </c>
      <c r="E220" s="103">
        <f t="shared" si="98"/>
        <v>-0.67199675324675323</v>
      </c>
      <c r="F220" s="103">
        <f t="shared" si="98"/>
        <v>-0.21776787923781238</v>
      </c>
      <c r="G220" s="103">
        <f t="shared" si="98"/>
        <v>-0.17953179373615946</v>
      </c>
      <c r="H220" s="103">
        <f t="shared" si="98"/>
        <v>-6.3813379602853271E-2</v>
      </c>
      <c r="I220" s="103">
        <f t="shared" si="98"/>
        <v>1.2355848434926209E-3</v>
      </c>
      <c r="J220" s="103">
        <f t="shared" si="98"/>
        <v>-1.5837104072398245E-2</v>
      </c>
      <c r="K220" s="103">
        <f t="shared" si="98"/>
        <v>-0.18913270637408564</v>
      </c>
      <c r="L220" s="65" t="s">
        <v>43</v>
      </c>
      <c r="M220" s="76"/>
    </row>
    <row r="221" spans="1:13" x14ac:dyDescent="0.35">
      <c r="A221" s="69" t="str">
        <f t="shared" ref="A221:A252" si="99">A152</f>
        <v>Capital Work in Progress</v>
      </c>
      <c r="B221" s="102">
        <f>B39/DLF_Balance_Sheet!B17-1</f>
        <v>-1.3045659809332699E-2</v>
      </c>
      <c r="C221" s="103">
        <f t="shared" ref="C221:K221" si="100">C39/B39-1</f>
        <v>-0.69852567361464157</v>
      </c>
      <c r="D221" s="103">
        <f t="shared" si="100"/>
        <v>-0.91399662731871834</v>
      </c>
      <c r="E221" s="103">
        <f t="shared" si="100"/>
        <v>-0.10457516339869277</v>
      </c>
      <c r="F221" s="103">
        <f t="shared" si="100"/>
        <v>-0.24817518248175185</v>
      </c>
      <c r="G221" s="103">
        <f t="shared" si="100"/>
        <v>-0.13592233009708743</v>
      </c>
      <c r="H221" s="103">
        <f t="shared" si="100"/>
        <v>6.7415730337078594E-2</v>
      </c>
      <c r="I221" s="103">
        <f t="shared" si="100"/>
        <v>-0.14736842105263159</v>
      </c>
      <c r="J221" s="103">
        <f t="shared" si="100"/>
        <v>-0.24691358024691357</v>
      </c>
      <c r="K221" s="103">
        <f t="shared" si="100"/>
        <v>0.16393442622950816</v>
      </c>
      <c r="L221" s="65" t="s">
        <v>43</v>
      </c>
      <c r="M221" s="76"/>
    </row>
    <row r="222" spans="1:13" ht="13.9" thickBot="1" x14ac:dyDescent="0.4">
      <c r="A222" s="70" t="str">
        <f t="shared" si="99"/>
        <v>Investments</v>
      </c>
      <c r="B222" s="105">
        <f>B40/DLF_Balance_Sheet!B18-1</f>
        <v>-0.30078563411896742</v>
      </c>
      <c r="C222" s="92">
        <f t="shared" ref="C222:K222" si="101">C40/B40-1</f>
        <v>33.205457463884429</v>
      </c>
      <c r="D222" s="92">
        <f t="shared" si="101"/>
        <v>-0.94326607226654158</v>
      </c>
      <c r="E222" s="92">
        <f t="shared" si="101"/>
        <v>16.23076923076923</v>
      </c>
      <c r="F222" s="92">
        <f t="shared" si="101"/>
        <v>8.304531490015421E-3</v>
      </c>
      <c r="G222" s="92">
        <f t="shared" si="101"/>
        <v>-0.11611521066412755</v>
      </c>
      <c r="H222" s="92">
        <f t="shared" si="101"/>
        <v>6.3557039750080868E-2</v>
      </c>
      <c r="I222" s="92">
        <f t="shared" si="101"/>
        <v>1.6712245518080149E-3</v>
      </c>
      <c r="J222" s="92">
        <f t="shared" si="101"/>
        <v>-1.5066484655442691E-2</v>
      </c>
      <c r="K222" s="92">
        <f t="shared" si="101"/>
        <v>3.372516811251991E-2</v>
      </c>
      <c r="L222" s="65" t="s">
        <v>43</v>
      </c>
      <c r="M222" s="76"/>
    </row>
    <row r="223" spans="1:13" ht="13.9" x14ac:dyDescent="0.4">
      <c r="A223" s="77" t="str">
        <f t="shared" si="99"/>
        <v>Total Non-Current Assets</v>
      </c>
      <c r="B223" s="111">
        <f>B41/(SUM(DLF_Balance_Sheet!B16:B18))-1</f>
        <v>1.7039486481229327E-2</v>
      </c>
      <c r="C223" s="112">
        <f t="shared" ref="C223:K223" si="102">C41/B41-1</f>
        <v>3.4005278659679394E-2</v>
      </c>
      <c r="D223" s="112">
        <f t="shared" si="102"/>
        <v>-3.8102989050014746E-2</v>
      </c>
      <c r="E223" s="112">
        <f t="shared" si="102"/>
        <v>0.11726021075301896</v>
      </c>
      <c r="F223" s="112">
        <f t="shared" si="102"/>
        <v>-5.5798423462187219E-2</v>
      </c>
      <c r="G223" s="112">
        <f t="shared" si="102"/>
        <v>-0.13080568720379149</v>
      </c>
      <c r="H223" s="112">
        <f t="shared" si="102"/>
        <v>3.5861085479406141E-2</v>
      </c>
      <c r="I223" s="112">
        <f t="shared" si="102"/>
        <v>1.0122686966027583E-3</v>
      </c>
      <c r="J223" s="112">
        <f t="shared" si="102"/>
        <v>-1.597767170940867E-2</v>
      </c>
      <c r="K223" s="112">
        <f t="shared" si="102"/>
        <v>-9.7833682739343342E-3</v>
      </c>
      <c r="L223" s="65" t="s">
        <v>43</v>
      </c>
      <c r="M223" s="76"/>
    </row>
    <row r="224" spans="1:13" x14ac:dyDescent="0.35">
      <c r="A224" s="69" t="str">
        <f t="shared" si="99"/>
        <v/>
      </c>
      <c r="L224" s="65" t="s">
        <v>43</v>
      </c>
      <c r="M224" s="76"/>
    </row>
    <row r="225" spans="1:13" x14ac:dyDescent="0.35">
      <c r="A225" s="69" t="str">
        <f t="shared" si="99"/>
        <v/>
      </c>
      <c r="L225" s="65" t="s">
        <v>43</v>
      </c>
      <c r="M225" s="76"/>
    </row>
    <row r="226" spans="1:13" ht="13.9" x14ac:dyDescent="0.4">
      <c r="A226" s="77" t="str">
        <f t="shared" si="99"/>
        <v>TOTAL ASSETS</v>
      </c>
      <c r="B226" s="91">
        <f>B44/DLF_Balance_Sheet!B26-1</f>
        <v>2.6919798527702543E-2</v>
      </c>
      <c r="C226" s="91">
        <f>C44/B44-1</f>
        <v>-6.8410250218828295E-2</v>
      </c>
      <c r="D226" s="91">
        <f t="shared" ref="D226:K226" si="103">D44/C44-1</f>
        <v>3.6044646762461774E-2</v>
      </c>
      <c r="E226" s="91">
        <f t="shared" si="103"/>
        <v>-5.2678487663007756E-2</v>
      </c>
      <c r="F226" s="91">
        <f t="shared" si="103"/>
        <v>9.7350829413221041E-2</v>
      </c>
      <c r="G226" s="91">
        <f t="shared" si="103"/>
        <v>-0.15931892363461331</v>
      </c>
      <c r="H226" s="91">
        <f t="shared" si="103"/>
        <v>-4.2994399813923501E-2</v>
      </c>
      <c r="I226" s="91">
        <f t="shared" si="103"/>
        <v>-4.3392910559377773E-2</v>
      </c>
      <c r="J226" s="91">
        <f t="shared" si="103"/>
        <v>2.7459104500947795E-2</v>
      </c>
      <c r="K226" s="91">
        <f t="shared" si="103"/>
        <v>0.12358289583808868</v>
      </c>
      <c r="L226" s="65" t="s">
        <v>43</v>
      </c>
      <c r="M226" s="76"/>
    </row>
    <row r="227" spans="1:13" x14ac:dyDescent="0.35">
      <c r="A227" s="69" t="str">
        <f t="shared" si="99"/>
        <v/>
      </c>
      <c r="L227" s="65" t="s">
        <v>43</v>
      </c>
      <c r="M227" s="76"/>
    </row>
    <row r="228" spans="1:13" x14ac:dyDescent="0.35">
      <c r="A228" s="69" t="str">
        <f t="shared" si="99"/>
        <v/>
      </c>
      <c r="L228" s="65" t="s">
        <v>43</v>
      </c>
      <c r="M228" s="76"/>
    </row>
    <row r="229" spans="1:13" ht="13.9" x14ac:dyDescent="0.4">
      <c r="A229" s="77" t="str">
        <f t="shared" si="99"/>
        <v>LIABILITIES</v>
      </c>
      <c r="L229" s="65" t="s">
        <v>43</v>
      </c>
      <c r="M229" s="76"/>
    </row>
    <row r="230" spans="1:13" x14ac:dyDescent="0.35">
      <c r="A230" s="69" t="str">
        <f t="shared" si="99"/>
        <v/>
      </c>
      <c r="L230" s="65" t="s">
        <v>43</v>
      </c>
      <c r="M230" s="76"/>
    </row>
    <row r="231" spans="1:13" ht="13.9" x14ac:dyDescent="0.4">
      <c r="A231" s="77" t="str">
        <f t="shared" si="99"/>
        <v>Current Liabilities</v>
      </c>
      <c r="L231" s="65" t="s">
        <v>43</v>
      </c>
      <c r="M231" s="76"/>
    </row>
    <row r="232" spans="1:13" x14ac:dyDescent="0.35">
      <c r="A232" s="69" t="str">
        <f t="shared" si="99"/>
        <v>Non Controlling Interest</v>
      </c>
      <c r="B232" s="84">
        <f>B50/DLF_Balance_Sheet!B8-1</f>
        <v>-0.13366336633663367</v>
      </c>
      <c r="C232" s="84">
        <f>C50/B50-1</f>
        <v>-0.28000000000000003</v>
      </c>
      <c r="D232" s="84">
        <f t="shared" ref="D232:K232" si="104">D50/C50-1</f>
        <v>-1.5873015873015928E-2</v>
      </c>
      <c r="E232" s="84">
        <f t="shared" si="104"/>
        <v>-0.60483870967741937</v>
      </c>
      <c r="F232" s="84">
        <f t="shared" si="104"/>
        <v>-0.16326530612244894</v>
      </c>
      <c r="G232" s="84">
        <f t="shared" si="104"/>
        <v>-0.56097560975609762</v>
      </c>
      <c r="H232" s="84">
        <f t="shared" si="104"/>
        <v>0.11111111111111116</v>
      </c>
      <c r="I232" s="84">
        <f t="shared" si="104"/>
        <v>-5.0000000000000044E-2</v>
      </c>
      <c r="J232" s="84">
        <f t="shared" si="104"/>
        <v>-0.78947368421052633</v>
      </c>
      <c r="K232" s="84">
        <f t="shared" si="104"/>
        <v>-0.75</v>
      </c>
      <c r="L232" s="65" t="s">
        <v>43</v>
      </c>
      <c r="M232" s="76"/>
    </row>
    <row r="233" spans="1:13" x14ac:dyDescent="0.35">
      <c r="A233" s="69" t="str">
        <f t="shared" si="99"/>
        <v>Trade Payables</v>
      </c>
      <c r="B233" s="84">
        <f>B51/DLF_Balance_Sheet!B9-1</f>
        <v>-0.18895221394125383</v>
      </c>
      <c r="C233" s="84">
        <f t="shared" ref="C233:K233" si="105">C51/B51-1</f>
        <v>-0.18162162162162165</v>
      </c>
      <c r="D233" s="84">
        <f t="shared" si="105"/>
        <v>-7.0673712021136037E-2</v>
      </c>
      <c r="E233" s="84">
        <f t="shared" si="105"/>
        <v>-0.1350390902629709</v>
      </c>
      <c r="F233" s="84">
        <f t="shared" si="105"/>
        <v>4.9301561216105183E-2</v>
      </c>
      <c r="G233" s="84">
        <f t="shared" si="105"/>
        <v>-0.17227877838684413</v>
      </c>
      <c r="H233" s="84">
        <f t="shared" si="105"/>
        <v>0.1674550614947965</v>
      </c>
      <c r="I233" s="84">
        <f t="shared" si="105"/>
        <v>0.23905996758508907</v>
      </c>
      <c r="J233" s="84">
        <f t="shared" si="105"/>
        <v>7.5212557226945753E-2</v>
      </c>
      <c r="K233" s="84">
        <f t="shared" si="105"/>
        <v>8.6982968369829772E-2</v>
      </c>
      <c r="L233" s="65" t="s">
        <v>43</v>
      </c>
      <c r="M233" s="76"/>
    </row>
    <row r="234" spans="1:13" x14ac:dyDescent="0.35">
      <c r="A234" s="69" t="str">
        <f t="shared" si="99"/>
        <v>Advance from Customers</v>
      </c>
      <c r="B234" s="84">
        <f>IF(DLF_Balance_Sheet!B10=0,0,B52/(DLF_Balance_Sheet!B10)-1)</f>
        <v>0</v>
      </c>
      <c r="C234" s="108">
        <f>IF(B52=0,0,C52/B52-1)</f>
        <v>0</v>
      </c>
      <c r="D234" s="108">
        <f t="shared" ref="D234:K234" si="106">IF(C52=0,0,D52/C52-1)</f>
        <v>0</v>
      </c>
      <c r="E234" s="108">
        <f t="shared" si="106"/>
        <v>0</v>
      </c>
      <c r="F234" s="108">
        <f t="shared" si="106"/>
        <v>0.75</v>
      </c>
      <c r="G234" s="108">
        <f t="shared" si="106"/>
        <v>-0.24761904761904763</v>
      </c>
      <c r="H234" s="108">
        <f t="shared" si="106"/>
        <v>0.139240506329114</v>
      </c>
      <c r="I234" s="108">
        <f t="shared" si="106"/>
        <v>-1</v>
      </c>
      <c r="J234" s="108">
        <f t="shared" si="106"/>
        <v>0</v>
      </c>
      <c r="K234" s="108">
        <f t="shared" si="106"/>
        <v>0</v>
      </c>
      <c r="L234" s="65" t="s">
        <v>43</v>
      </c>
      <c r="M234" s="76"/>
    </row>
    <row r="235" spans="1:13" ht="13.9" thickBot="1" x14ac:dyDescent="0.4">
      <c r="A235" s="70" t="str">
        <f t="shared" si="99"/>
        <v>Other Liabilities</v>
      </c>
      <c r="B235" s="110">
        <f>B53/DLF_Balance_Sheet!B11-1</f>
        <v>0.41973608720596678</v>
      </c>
      <c r="C235" s="89">
        <f t="shared" ref="C235:K235" si="107">C53/B53-1</f>
        <v>-0.13068778792532132</v>
      </c>
      <c r="D235" s="89">
        <f t="shared" si="107"/>
        <v>-0.19598363703979171</v>
      </c>
      <c r="E235" s="89">
        <f t="shared" si="107"/>
        <v>-0.25335337650323775</v>
      </c>
      <c r="F235" s="89">
        <f t="shared" si="107"/>
        <v>1.2087656806566516</v>
      </c>
      <c r="G235" s="89">
        <f t="shared" si="107"/>
        <v>-0.14549151591642129</v>
      </c>
      <c r="H235" s="89">
        <f t="shared" si="107"/>
        <v>-0.18651021580372529</v>
      </c>
      <c r="I235" s="89">
        <f t="shared" si="107"/>
        <v>-8.4627799072019338E-2</v>
      </c>
      <c r="J235" s="89">
        <f t="shared" si="107"/>
        <v>9.1239669421487646E-2</v>
      </c>
      <c r="K235" s="90">
        <f t="shared" si="107"/>
        <v>0.31434918711501569</v>
      </c>
      <c r="L235" s="65" t="s">
        <v>43</v>
      </c>
      <c r="M235" s="76"/>
    </row>
    <row r="236" spans="1:13" ht="13.9" x14ac:dyDescent="0.4">
      <c r="A236" s="77" t="str">
        <f t="shared" si="99"/>
        <v>Total Current Labilities</v>
      </c>
      <c r="B236" s="91">
        <f>B54/(SUM(DLF_Balance_Sheet!B8:B11))-1</f>
        <v>0.28576531523486337</v>
      </c>
      <c r="C236" s="91">
        <f t="shared" ref="C236:K236" si="108">C54/B54-1</f>
        <v>-0.1390470898735936</v>
      </c>
      <c r="D236" s="91">
        <f t="shared" si="108"/>
        <v>-0.17884801548886742</v>
      </c>
      <c r="E236" s="91">
        <f t="shared" si="108"/>
        <v>-0.23538658021416647</v>
      </c>
      <c r="F236" s="91">
        <f t="shared" si="108"/>
        <v>1.015289734035719</v>
      </c>
      <c r="G236" s="91">
        <f t="shared" si="108"/>
        <v>-0.14944214217405161</v>
      </c>
      <c r="H236" s="91">
        <f t="shared" si="108"/>
        <v>-0.15613522224720788</v>
      </c>
      <c r="I236" s="91">
        <f t="shared" si="108"/>
        <v>-5.6404334695327796E-2</v>
      </c>
      <c r="J236" s="91">
        <f t="shared" si="108"/>
        <v>8.7357620257930924E-2</v>
      </c>
      <c r="K236" s="91">
        <f t="shared" si="108"/>
        <v>0.28162063890572253</v>
      </c>
      <c r="L236" s="65" t="s">
        <v>43</v>
      </c>
      <c r="M236" s="76"/>
    </row>
    <row r="237" spans="1:13" x14ac:dyDescent="0.35">
      <c r="A237" s="69" t="str">
        <f t="shared" si="99"/>
        <v/>
      </c>
      <c r="L237" s="65" t="s">
        <v>43</v>
      </c>
      <c r="M237" s="76"/>
    </row>
    <row r="238" spans="1:13" ht="13.9" x14ac:dyDescent="0.4">
      <c r="A238" s="77" t="str">
        <f t="shared" si="99"/>
        <v>Non-Current Liabilities</v>
      </c>
      <c r="L238" s="65" t="s">
        <v>43</v>
      </c>
      <c r="M238" s="76"/>
    </row>
    <row r="239" spans="1:13" ht="13.9" thickBot="1" x14ac:dyDescent="0.4">
      <c r="A239" s="70" t="str">
        <f t="shared" si="99"/>
        <v>Borrowings</v>
      </c>
      <c r="B239" s="92">
        <f>'DLF Model'!B57/(DLF_Balance_Sheet!B6)-1</f>
        <v>-5.5414160111059707E-2</v>
      </c>
      <c r="C239" s="92">
        <f t="shared" ref="C239:K239" si="109">C57/B57-1</f>
        <v>3.1394162073892673E-2</v>
      </c>
      <c r="D239" s="92">
        <f t="shared" si="109"/>
        <v>0.15587397086763777</v>
      </c>
      <c r="E239" s="92">
        <f t="shared" si="109"/>
        <v>-0.40103417574138756</v>
      </c>
      <c r="F239" s="92">
        <f t="shared" si="109"/>
        <v>-1.5379337945228944E-2</v>
      </c>
      <c r="G239" s="92">
        <f t="shared" si="109"/>
        <v>-0.52949715480199744</v>
      </c>
      <c r="H239" s="92">
        <f t="shared" si="109"/>
        <v>-0.15019128717758856</v>
      </c>
      <c r="I239" s="92">
        <f t="shared" si="109"/>
        <v>-0.39268080162648855</v>
      </c>
      <c r="J239" s="92">
        <f t="shared" si="109"/>
        <v>-0.20277379244380678</v>
      </c>
      <c r="K239" s="92">
        <f t="shared" si="109"/>
        <v>0.44991001799640062</v>
      </c>
      <c r="L239" s="65" t="s">
        <v>43</v>
      </c>
      <c r="M239" s="76"/>
    </row>
    <row r="240" spans="1:13" ht="13.9" x14ac:dyDescent="0.4">
      <c r="A240" s="77" t="str">
        <f t="shared" si="99"/>
        <v>Total Non-Current Liabilities</v>
      </c>
      <c r="B240" s="91">
        <f>B58/DLF_Balance_Sheet!B6-1</f>
        <v>-5.5414160111059707E-2</v>
      </c>
      <c r="C240" s="91">
        <f t="shared" ref="C240:K240" si="110">C58/B58-1</f>
        <v>3.1394162073892673E-2</v>
      </c>
      <c r="D240" s="91">
        <f t="shared" si="110"/>
        <v>0.15587397086763777</v>
      </c>
      <c r="E240" s="91">
        <f t="shared" si="110"/>
        <v>-0.40103417574138756</v>
      </c>
      <c r="F240" s="91">
        <f t="shared" si="110"/>
        <v>-1.5379337945228944E-2</v>
      </c>
      <c r="G240" s="91">
        <f t="shared" si="110"/>
        <v>-0.52949715480199744</v>
      </c>
      <c r="H240" s="91">
        <f t="shared" si="110"/>
        <v>-0.15019128717758856</v>
      </c>
      <c r="I240" s="91">
        <f t="shared" si="110"/>
        <v>-0.39268080162648855</v>
      </c>
      <c r="J240" s="91">
        <f t="shared" si="110"/>
        <v>-0.20277379244380678</v>
      </c>
      <c r="K240" s="91">
        <f t="shared" si="110"/>
        <v>0.44991001799640062</v>
      </c>
      <c r="L240" s="65" t="s">
        <v>43</v>
      </c>
      <c r="M240" s="76"/>
    </row>
    <row r="241" spans="1:13" ht="13.9" x14ac:dyDescent="0.4">
      <c r="A241" s="77" t="str">
        <f t="shared" si="99"/>
        <v/>
      </c>
      <c r="L241" s="65" t="s">
        <v>43</v>
      </c>
      <c r="M241" s="76"/>
    </row>
    <row r="242" spans="1:13" ht="13.9" x14ac:dyDescent="0.4">
      <c r="A242" s="77" t="str">
        <f t="shared" si="99"/>
        <v/>
      </c>
      <c r="L242" s="65" t="s">
        <v>43</v>
      </c>
      <c r="M242" s="76"/>
    </row>
    <row r="243" spans="1:13" ht="13.9" x14ac:dyDescent="0.4">
      <c r="A243" s="77" t="str">
        <f t="shared" si="99"/>
        <v>TOTAL LIABILITIES</v>
      </c>
      <c r="B243" s="113">
        <f>'DLF Model'!B61/(SUM(DLF_Balance_Sheet!B6,DLF_Balance_Sheet!B8:B11))-1</f>
        <v>4.7481820630218108E-2</v>
      </c>
      <c r="C243" s="114">
        <f t="shared" ref="C243:K243" si="111">C61/B61-1</f>
        <v>-3.1702362893065605E-2</v>
      </c>
      <c r="D243" s="114">
        <f t="shared" si="111"/>
        <v>4.5698353690918792E-2</v>
      </c>
      <c r="E243" s="114">
        <f t="shared" si="111"/>
        <v>-0.35821843020746047</v>
      </c>
      <c r="F243" s="114">
        <f t="shared" si="111"/>
        <v>0.30200997072089897</v>
      </c>
      <c r="G243" s="114">
        <f t="shared" si="111"/>
        <v>-0.34834533685841917</v>
      </c>
      <c r="H243" s="114">
        <f t="shared" si="111"/>
        <v>-0.15388919977616111</v>
      </c>
      <c r="I243" s="114">
        <f t="shared" si="111"/>
        <v>-0.18402777777777779</v>
      </c>
      <c r="J243" s="114">
        <f t="shared" si="111"/>
        <v>5.4035798716649541E-3</v>
      </c>
      <c r="K243" s="114">
        <f t="shared" si="111"/>
        <v>0.31931474638898227</v>
      </c>
      <c r="L243" s="65" t="s">
        <v>43</v>
      </c>
      <c r="M243" s="76"/>
    </row>
    <row r="244" spans="1:13" ht="13.9" x14ac:dyDescent="0.4">
      <c r="A244" s="77" t="str">
        <f t="shared" si="99"/>
        <v/>
      </c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65" t="s">
        <v>43</v>
      </c>
      <c r="M244" s="76"/>
    </row>
    <row r="245" spans="1:13" x14ac:dyDescent="0.35">
      <c r="A245" s="69" t="str">
        <f t="shared" si="99"/>
        <v/>
      </c>
      <c r="L245" s="65" t="s">
        <v>43</v>
      </c>
      <c r="M245" s="76"/>
    </row>
    <row r="246" spans="1:13" ht="13.9" x14ac:dyDescent="0.4">
      <c r="A246" s="77" t="str">
        <f t="shared" si="99"/>
        <v>EQUITY</v>
      </c>
      <c r="L246" s="65" t="s">
        <v>43</v>
      </c>
      <c r="M246" s="76"/>
    </row>
    <row r="247" spans="1:13" x14ac:dyDescent="0.35">
      <c r="A247" s="69" t="str">
        <f t="shared" si="99"/>
        <v>Equity Share Capital</v>
      </c>
      <c r="B247" s="107">
        <f>B65/DLF_Balance_Sheet!B3-1</f>
        <v>0</v>
      </c>
      <c r="C247" s="108">
        <f t="shared" ref="C247:K247" si="112">C65/B65-1</f>
        <v>2.8089887640450062E-3</v>
      </c>
      <c r="D247" s="108">
        <f t="shared" si="112"/>
        <v>0</v>
      </c>
      <c r="E247" s="108">
        <f t="shared" si="112"/>
        <v>0</v>
      </c>
      <c r="F247" s="108">
        <f t="shared" si="112"/>
        <v>0.23529411764705888</v>
      </c>
      <c r="G247" s="108">
        <f t="shared" si="112"/>
        <v>0.12244897959183665</v>
      </c>
      <c r="H247" s="108">
        <f t="shared" si="112"/>
        <v>0</v>
      </c>
      <c r="I247" s="108">
        <f t="shared" si="112"/>
        <v>0</v>
      </c>
      <c r="J247" s="108">
        <f t="shared" si="112"/>
        <v>0</v>
      </c>
      <c r="K247" s="108">
        <f t="shared" si="112"/>
        <v>0</v>
      </c>
      <c r="L247" s="65" t="s">
        <v>43</v>
      </c>
      <c r="M247" s="76"/>
    </row>
    <row r="248" spans="1:13" ht="13.9" thickBot="1" x14ac:dyDescent="0.4">
      <c r="A248" s="70" t="str">
        <f t="shared" si="99"/>
        <v>Reserves</v>
      </c>
      <c r="B248" s="110">
        <f>B66/DLF_Balance_Sheet!B4-1</f>
        <v>-9.615740227079117E-4</v>
      </c>
      <c r="C248" s="89">
        <f t="shared" ref="C248:K248" si="113">C66/B66-1</f>
        <v>-0.12220042201902792</v>
      </c>
      <c r="D248" s="89">
        <f t="shared" si="113"/>
        <v>2.1255060728744946E-2</v>
      </c>
      <c r="E248" s="89">
        <f t="shared" si="113"/>
        <v>0.44342583415923364</v>
      </c>
      <c r="F248" s="89">
        <f t="shared" si="113"/>
        <v>-5.2039823768381344E-2</v>
      </c>
      <c r="G248" s="89">
        <f t="shared" si="113"/>
        <v>2.4656707409083989E-2</v>
      </c>
      <c r="H248" s="89">
        <f t="shared" si="113"/>
        <v>2.6419651272384437E-2</v>
      </c>
      <c r="I248" s="89">
        <f t="shared" si="113"/>
        <v>2.9211742087290826E-2</v>
      </c>
      <c r="J248" s="89">
        <f t="shared" si="113"/>
        <v>3.6942035854685473E-2</v>
      </c>
      <c r="K248" s="89">
        <f t="shared" si="113"/>
        <v>4.6891804689180416E-2</v>
      </c>
      <c r="L248" s="65" t="s">
        <v>43</v>
      </c>
      <c r="M248" s="76"/>
    </row>
    <row r="249" spans="1:13" ht="13.9" x14ac:dyDescent="0.4">
      <c r="A249" s="77" t="str">
        <f t="shared" si="99"/>
        <v>Total Equity</v>
      </c>
      <c r="B249" s="113">
        <f>B67/(SUM(DLF_Balance_Sheet!B3:B4))-1</f>
        <v>-9.4907829895962692E-4</v>
      </c>
      <c r="C249" s="114">
        <f t="shared" ref="C249:K249" si="114">C67/B67-1</f>
        <v>-0.12057437246519787</v>
      </c>
      <c r="D249" s="114">
        <f t="shared" si="114"/>
        <v>2.0939798080518601E-2</v>
      </c>
      <c r="E249" s="114">
        <f t="shared" si="114"/>
        <v>0.43698368127619736</v>
      </c>
      <c r="F249" s="114">
        <f t="shared" si="114"/>
        <v>-4.9134830506074589E-2</v>
      </c>
      <c r="G249" s="114">
        <f t="shared" si="114"/>
        <v>2.5941148439361461E-2</v>
      </c>
      <c r="H249" s="114">
        <f t="shared" si="114"/>
        <v>2.6040003483612573E-2</v>
      </c>
      <c r="I249" s="114">
        <f t="shared" si="114"/>
        <v>2.8802625622453615E-2</v>
      </c>
      <c r="J249" s="114">
        <f t="shared" si="114"/>
        <v>3.6439139761289319E-2</v>
      </c>
      <c r="K249" s="114">
        <f t="shared" si="114"/>
        <v>4.6275904157932368E-2</v>
      </c>
      <c r="L249" s="65" t="s">
        <v>43</v>
      </c>
      <c r="M249" s="76"/>
    </row>
    <row r="250" spans="1:13" x14ac:dyDescent="0.35">
      <c r="A250" s="69" t="str">
        <f t="shared" si="99"/>
        <v/>
      </c>
      <c r="L250" s="65" t="s">
        <v>43</v>
      </c>
      <c r="M250" s="76"/>
    </row>
    <row r="251" spans="1:13" x14ac:dyDescent="0.35">
      <c r="A251" s="69" t="str">
        <f t="shared" si="99"/>
        <v/>
      </c>
      <c r="L251" s="65" t="s">
        <v>43</v>
      </c>
      <c r="M251" s="76"/>
    </row>
    <row r="252" spans="1:13" ht="13.9" x14ac:dyDescent="0.4">
      <c r="A252" s="77" t="str">
        <f t="shared" si="99"/>
        <v>TOTAL LIABILITIES AND EQUITY</v>
      </c>
      <c r="B252" s="113">
        <f>B70/DLF_Balance_Sheet!B13-1</f>
        <v>2.6919798527702543E-2</v>
      </c>
      <c r="C252" s="114">
        <f t="shared" ref="C252:K252" si="115">C70/B70-1</f>
        <v>-6.8410250218828295E-2</v>
      </c>
      <c r="D252" s="114">
        <f t="shared" si="115"/>
        <v>3.6044646762461774E-2</v>
      </c>
      <c r="E252" s="114">
        <f t="shared" si="115"/>
        <v>-5.2678487663007756E-2</v>
      </c>
      <c r="F252" s="114">
        <f t="shared" si="115"/>
        <v>9.7350829413221041E-2</v>
      </c>
      <c r="G252" s="114">
        <f t="shared" si="115"/>
        <v>-0.15931892363461331</v>
      </c>
      <c r="H252" s="114">
        <f t="shared" si="115"/>
        <v>-4.2994399813923501E-2</v>
      </c>
      <c r="I252" s="114">
        <f t="shared" si="115"/>
        <v>-4.3392910559377773E-2</v>
      </c>
      <c r="J252" s="114">
        <f t="shared" si="115"/>
        <v>2.7459104500947795E-2</v>
      </c>
      <c r="K252" s="114">
        <f t="shared" si="115"/>
        <v>0.12358289583808868</v>
      </c>
      <c r="L252" s="65" t="s">
        <v>43</v>
      </c>
      <c r="M252" s="76"/>
    </row>
    <row r="253" spans="1:13" ht="13.9" x14ac:dyDescent="0.4">
      <c r="A253" s="69"/>
      <c r="B253" s="114"/>
      <c r="C253" s="114"/>
      <c r="D253" s="114"/>
      <c r="E253" s="114"/>
      <c r="F253" s="114"/>
      <c r="G253" s="114"/>
      <c r="H253" s="114"/>
      <c r="I253" s="114"/>
      <c r="J253" s="114"/>
      <c r="K253" s="114"/>
      <c r="L253" s="65" t="s">
        <v>43</v>
      </c>
      <c r="M253" s="76"/>
    </row>
    <row r="254" spans="1:13" x14ac:dyDescent="0.35">
      <c r="A254" s="69"/>
      <c r="L254" s="65" t="s">
        <v>43</v>
      </c>
      <c r="M254" s="76"/>
    </row>
    <row r="255" spans="1:13" ht="13.9" x14ac:dyDescent="0.4">
      <c r="A255" s="80" t="s">
        <v>183</v>
      </c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65" t="s">
        <v>43</v>
      </c>
      <c r="M255" s="76"/>
    </row>
    <row r="256" spans="1:13" x14ac:dyDescent="0.35">
      <c r="A256" s="69" t="str">
        <f t="shared" ref="A256:A293" si="116">IF(A75="","",A75)</f>
        <v/>
      </c>
      <c r="L256" s="65" t="s">
        <v>43</v>
      </c>
      <c r="M256" s="76"/>
    </row>
    <row r="257" spans="1:13" ht="13.9" x14ac:dyDescent="0.4">
      <c r="A257" s="77" t="str">
        <f t="shared" si="116"/>
        <v>A) Cash from Operating Activities</v>
      </c>
      <c r="L257" s="65" t="s">
        <v>43</v>
      </c>
      <c r="M257" s="76"/>
    </row>
    <row r="258" spans="1:13" x14ac:dyDescent="0.35">
      <c r="A258" s="69" t="str">
        <f t="shared" si="116"/>
        <v/>
      </c>
      <c r="L258" s="65" t="s">
        <v>43</v>
      </c>
      <c r="M258" s="76"/>
    </row>
    <row r="259" spans="1:13" ht="13.9" x14ac:dyDescent="0.4">
      <c r="A259" s="77" t="str">
        <f t="shared" si="116"/>
        <v>Net Income</v>
      </c>
      <c r="B259" s="91"/>
      <c r="C259" s="91">
        <f>C17/B17-1</f>
        <v>-9.4117647058823528E-2</v>
      </c>
      <c r="D259" s="91">
        <f t="shared" ref="D259:K259" si="117">D17/C17-1</f>
        <v>0.73160173160173159</v>
      </c>
      <c r="E259" s="91">
        <f t="shared" si="117"/>
        <v>4.3650000000000002</v>
      </c>
      <c r="F259" s="91">
        <f t="shared" si="117"/>
        <v>-0.91425908667287981</v>
      </c>
      <c r="G259" s="91">
        <f t="shared" si="117"/>
        <v>-5.0190217391304346</v>
      </c>
      <c r="H259" s="91">
        <f t="shared" si="117"/>
        <v>-1.3231913455037188</v>
      </c>
      <c r="I259" s="91">
        <f t="shared" si="117"/>
        <v>0.76359832635983271</v>
      </c>
      <c r="J259" s="91">
        <f t="shared" si="117"/>
        <v>0.30486358244365364</v>
      </c>
      <c r="K259" s="91">
        <f t="shared" si="117"/>
        <v>0.48272727272727267</v>
      </c>
      <c r="L259" s="65" t="s">
        <v>43</v>
      </c>
      <c r="M259" s="76"/>
    </row>
    <row r="260" spans="1:13" x14ac:dyDescent="0.35">
      <c r="A260" s="69" t="str">
        <f t="shared" si="116"/>
        <v/>
      </c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65" t="s">
        <v>43</v>
      </c>
      <c r="M260" s="76"/>
    </row>
    <row r="261" spans="1:13" x14ac:dyDescent="0.35">
      <c r="A261" s="69" t="str">
        <f t="shared" si="116"/>
        <v>Add: Non-Cash Items</v>
      </c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65" t="s">
        <v>43</v>
      </c>
      <c r="M261" s="76"/>
    </row>
    <row r="262" spans="1:13" x14ac:dyDescent="0.35">
      <c r="A262" s="69" t="str">
        <f t="shared" si="116"/>
        <v>Depreciation</v>
      </c>
      <c r="B262" s="84"/>
      <c r="C262" s="84">
        <f>C81/B81-1</f>
        <v>0.40550458715596327</v>
      </c>
      <c r="D262" s="84">
        <f t="shared" ref="D262:K262" si="118">D81/C81-1</f>
        <v>-0.25326370757180161</v>
      </c>
      <c r="E262" s="84">
        <f t="shared" si="118"/>
        <v>-6.643356643356646E-2</v>
      </c>
      <c r="F262" s="84">
        <f t="shared" si="118"/>
        <v>-0.5786516853932584</v>
      </c>
      <c r="G262" s="84">
        <f t="shared" si="118"/>
        <v>-0.11111111111111116</v>
      </c>
      <c r="H262" s="84">
        <f t="shared" si="118"/>
        <v>-0.20499999999999996</v>
      </c>
      <c r="I262" s="84">
        <f t="shared" si="118"/>
        <v>-6.2893081761006275E-2</v>
      </c>
      <c r="J262" s="84">
        <f t="shared" si="118"/>
        <v>0</v>
      </c>
      <c r="K262" s="84">
        <f t="shared" si="118"/>
        <v>-6.7114093959731447E-3</v>
      </c>
      <c r="L262" s="65" t="s">
        <v>43</v>
      </c>
      <c r="M262" s="76"/>
    </row>
    <row r="263" spans="1:13" x14ac:dyDescent="0.35">
      <c r="A263" s="69" t="str">
        <f t="shared" si="116"/>
        <v/>
      </c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65" t="s">
        <v>43</v>
      </c>
      <c r="M263" s="76"/>
    </row>
    <row r="264" spans="1:13" x14ac:dyDescent="0.35">
      <c r="A264" s="69" t="str">
        <f t="shared" si="116"/>
        <v>Changes in Net Working Capital</v>
      </c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65" t="s">
        <v>43</v>
      </c>
      <c r="M264" s="76"/>
    </row>
    <row r="265" spans="1:13" x14ac:dyDescent="0.35">
      <c r="A265" s="69" t="str">
        <f t="shared" si="116"/>
        <v>(Less) Trade Receivables</v>
      </c>
      <c r="B265" s="84"/>
      <c r="C265" s="84">
        <f t="shared" ref="C265:K265" si="119">C84/B84-1</f>
        <v>72.239999999999995</v>
      </c>
      <c r="D265" s="84">
        <f t="shared" si="119"/>
        <v>-2.0922992900054616</v>
      </c>
      <c r="E265" s="84">
        <f t="shared" si="119"/>
        <v>-0.9345</v>
      </c>
      <c r="F265" s="84">
        <f t="shared" si="119"/>
        <v>2.4656488549618323</v>
      </c>
      <c r="G265" s="84">
        <f t="shared" si="119"/>
        <v>-0.75550660792951541</v>
      </c>
      <c r="H265" s="84">
        <f t="shared" si="119"/>
        <v>0.26126126126126126</v>
      </c>
      <c r="I265" s="84">
        <f t="shared" si="119"/>
        <v>-0.87857142857142856</v>
      </c>
      <c r="J265" s="84">
        <f t="shared" si="119"/>
        <v>-0.11764705882352944</v>
      </c>
      <c r="K265" s="84">
        <f t="shared" si="119"/>
        <v>-0.26666666666666672</v>
      </c>
      <c r="L265" s="65" t="s">
        <v>43</v>
      </c>
      <c r="M265" s="76"/>
    </row>
    <row r="266" spans="1:13" x14ac:dyDescent="0.35">
      <c r="A266" s="69" t="str">
        <f t="shared" si="116"/>
        <v>(Less) Inventory</v>
      </c>
      <c r="B266" s="84"/>
      <c r="C266" s="84">
        <f t="shared" ref="C266:K266" si="120">C85/B85-1</f>
        <v>-0.13873473917869039</v>
      </c>
      <c r="D266" s="84">
        <f t="shared" si="120"/>
        <v>-5.2074742268041234</v>
      </c>
      <c r="E266" s="84">
        <f t="shared" si="120"/>
        <v>-1.1059724349157734</v>
      </c>
      <c r="F266" s="84">
        <f t="shared" si="120"/>
        <v>-7.5202312138728322</v>
      </c>
      <c r="G266" s="84">
        <f t="shared" si="120"/>
        <v>-0.78856382978723405</v>
      </c>
      <c r="H266" s="84">
        <f t="shared" si="120"/>
        <v>-3.9329140461215935</v>
      </c>
      <c r="I266" s="84">
        <f t="shared" si="120"/>
        <v>-0.29949964260185846</v>
      </c>
      <c r="J266" s="84">
        <f t="shared" si="120"/>
        <v>-0.23877551020408161</v>
      </c>
      <c r="K266" s="84">
        <f t="shared" si="120"/>
        <v>-3.4034852546916889</v>
      </c>
      <c r="L266" s="65" t="s">
        <v>43</v>
      </c>
      <c r="M266" s="76"/>
    </row>
    <row r="267" spans="1:13" x14ac:dyDescent="0.35">
      <c r="A267" s="69" t="str">
        <f t="shared" si="116"/>
        <v>(Less) Loans and Advances</v>
      </c>
      <c r="B267" s="84"/>
      <c r="C267" s="84">
        <f t="shared" ref="C267:K267" si="121">C86/B86-1</f>
        <v>40.571428571428569</v>
      </c>
      <c r="D267" s="84">
        <f t="shared" si="121"/>
        <v>-1.9432989690721649</v>
      </c>
      <c r="E267" s="84">
        <f t="shared" si="121"/>
        <v>-1.0510018214936248</v>
      </c>
      <c r="F267" s="84">
        <f t="shared" si="121"/>
        <v>16.553571428571427</v>
      </c>
      <c r="G267" s="84">
        <f t="shared" si="121"/>
        <v>-1.4079348931841302</v>
      </c>
      <c r="H267" s="84">
        <f t="shared" si="121"/>
        <v>-1.7855361596009975</v>
      </c>
      <c r="I267" s="84">
        <f t="shared" si="121"/>
        <v>-1.5206349206349206</v>
      </c>
      <c r="J267" s="84">
        <f t="shared" si="121"/>
        <v>-2.8963414634146343</v>
      </c>
      <c r="K267" s="84">
        <f t="shared" si="121"/>
        <v>0.15112540192926049</v>
      </c>
      <c r="L267" s="65" t="s">
        <v>43</v>
      </c>
      <c r="M267" s="76"/>
    </row>
    <row r="268" spans="1:13" x14ac:dyDescent="0.35">
      <c r="A268" s="69" t="str">
        <f t="shared" si="116"/>
        <v>(Less) Other Assets</v>
      </c>
      <c r="B268" s="84"/>
      <c r="C268" s="84">
        <f t="shared" ref="C268:K268" si="122">C87/B87-1</f>
        <v>-5.4942965779467681</v>
      </c>
      <c r="D268" s="84">
        <f t="shared" si="122"/>
        <v>-1.2864394488759971</v>
      </c>
      <c r="E268" s="84">
        <f t="shared" si="122"/>
        <v>-2.7620253164556963</v>
      </c>
      <c r="F268" s="84">
        <f t="shared" si="122"/>
        <v>-1.5165229885057472</v>
      </c>
      <c r="G268" s="84">
        <f t="shared" si="122"/>
        <v>-3.1019935095039406</v>
      </c>
      <c r="H268" s="84">
        <f t="shared" si="122"/>
        <v>-0.77481252756947505</v>
      </c>
      <c r="I268" s="84">
        <f t="shared" si="122"/>
        <v>-0.30460333006856022</v>
      </c>
      <c r="J268" s="84">
        <f t="shared" si="122"/>
        <v>-2.2774647887323942</v>
      </c>
      <c r="K268" s="84">
        <f t="shared" si="122"/>
        <v>1.7409040793825801</v>
      </c>
      <c r="L268" s="65" t="s">
        <v>43</v>
      </c>
      <c r="M268" s="76"/>
    </row>
    <row r="269" spans="1:13" x14ac:dyDescent="0.35">
      <c r="A269" s="69" t="str">
        <f t="shared" si="116"/>
        <v>(Add) Non Controlling Interest</v>
      </c>
      <c r="B269" s="84"/>
      <c r="C269" s="84">
        <f t="shared" ref="C269:K269" si="123">C88/B88-1</f>
        <v>0.81481481481481488</v>
      </c>
      <c r="D269" s="84">
        <f t="shared" si="123"/>
        <v>-0.95918367346938771</v>
      </c>
      <c r="E269" s="84">
        <f t="shared" si="123"/>
        <v>36.5</v>
      </c>
      <c r="F269" s="84">
        <f t="shared" si="123"/>
        <v>-0.89333333333333331</v>
      </c>
      <c r="G269" s="84">
        <f t="shared" si="123"/>
        <v>1.875</v>
      </c>
      <c r="H269" s="84">
        <f t="shared" si="123"/>
        <v>-1.0869565217391304</v>
      </c>
      <c r="I269" s="84">
        <f t="shared" si="123"/>
        <v>-1.5</v>
      </c>
      <c r="J269" s="84">
        <f t="shared" si="123"/>
        <v>14</v>
      </c>
      <c r="K269" s="84">
        <f t="shared" si="123"/>
        <v>-0.8</v>
      </c>
      <c r="L269" s="65" t="s">
        <v>43</v>
      </c>
      <c r="M269" s="76"/>
    </row>
    <row r="270" spans="1:13" x14ac:dyDescent="0.35">
      <c r="A270" s="69" t="str">
        <f t="shared" si="116"/>
        <v>(Add) Trade Payables</v>
      </c>
      <c r="B270" s="84"/>
      <c r="C270" s="84">
        <f t="shared" ref="C270:K270" si="124">C89/B89-1</f>
        <v>-0.22041763341067289</v>
      </c>
      <c r="D270" s="84">
        <f t="shared" si="124"/>
        <v>-0.68154761904761907</v>
      </c>
      <c r="E270" s="84">
        <f t="shared" si="124"/>
        <v>0.77570093457943923</v>
      </c>
      <c r="F270" s="84">
        <f t="shared" si="124"/>
        <v>-1.3157894736842106</v>
      </c>
      <c r="G270" s="84">
        <f t="shared" si="124"/>
        <v>-4.6666666666666661</v>
      </c>
      <c r="H270" s="84">
        <f t="shared" si="124"/>
        <v>-1.8045454545454547</v>
      </c>
      <c r="I270" s="84">
        <f t="shared" si="124"/>
        <v>0.66666666666666674</v>
      </c>
      <c r="J270" s="84">
        <f t="shared" si="124"/>
        <v>-0.61016949152542366</v>
      </c>
      <c r="K270" s="84">
        <f t="shared" si="124"/>
        <v>0.24347826086956514</v>
      </c>
      <c r="L270" s="65" t="s">
        <v>43</v>
      </c>
      <c r="M270" s="76"/>
    </row>
    <row r="271" spans="1:13" x14ac:dyDescent="0.35">
      <c r="A271" s="69" t="str">
        <f t="shared" si="116"/>
        <v>(Add) Advance from Customers</v>
      </c>
      <c r="B271" s="84"/>
      <c r="C271" s="84">
        <f>IF(B90=0,0,C90/B90-1)</f>
        <v>0</v>
      </c>
      <c r="D271" s="84">
        <f t="shared" ref="D271:K271" si="125">IF(C90=0,0,D90/C90-1)</f>
        <v>0</v>
      </c>
      <c r="E271" s="84">
        <f t="shared" si="125"/>
        <v>0</v>
      </c>
      <c r="F271" s="84">
        <f t="shared" si="125"/>
        <v>-0.25</v>
      </c>
      <c r="G271" s="84">
        <f t="shared" si="125"/>
        <v>-1.5777777777777777</v>
      </c>
      <c r="H271" s="84">
        <f t="shared" si="125"/>
        <v>-1.4230769230769231</v>
      </c>
      <c r="I271" s="84">
        <f t="shared" si="125"/>
        <v>-9.1818181818181817</v>
      </c>
      <c r="J271" s="84">
        <f t="shared" si="125"/>
        <v>-1</v>
      </c>
      <c r="K271" s="84">
        <f t="shared" si="125"/>
        <v>0</v>
      </c>
      <c r="L271" s="65" t="s">
        <v>43</v>
      </c>
      <c r="M271" s="76"/>
    </row>
    <row r="272" spans="1:13" x14ac:dyDescent="0.35">
      <c r="A272" s="69" t="str">
        <f t="shared" si="116"/>
        <v>(Add) Other Liabilities</v>
      </c>
      <c r="B272" s="84"/>
      <c r="C272" s="84">
        <f t="shared" ref="C272:K272" si="126">C91/B91-1</f>
        <v>-1.4420448332422089</v>
      </c>
      <c r="D272" s="84">
        <f t="shared" si="126"/>
        <v>0.30364873222016087</v>
      </c>
      <c r="E272" s="84">
        <f t="shared" si="126"/>
        <v>3.9373814041745669E-2</v>
      </c>
      <c r="F272" s="84">
        <f t="shared" si="126"/>
        <v>-4.5623003194888181</v>
      </c>
      <c r="G272" s="84">
        <f t="shared" si="126"/>
        <v>-1.2658552210121716</v>
      </c>
      <c r="H272" s="84">
        <f t="shared" si="126"/>
        <v>9.5421686746987922E-2</v>
      </c>
      <c r="I272" s="84">
        <f t="shared" si="126"/>
        <v>-0.63088429388473388</v>
      </c>
      <c r="J272" s="84">
        <f t="shared" si="126"/>
        <v>-1.9868891537544697</v>
      </c>
      <c r="K272" s="84">
        <f t="shared" si="126"/>
        <v>2.7596618357487923</v>
      </c>
      <c r="L272" s="65" t="s">
        <v>43</v>
      </c>
      <c r="M272" s="76"/>
    </row>
    <row r="273" spans="1:13" x14ac:dyDescent="0.35">
      <c r="A273" s="69" t="str">
        <f t="shared" si="116"/>
        <v/>
      </c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65" t="s">
        <v>43</v>
      </c>
      <c r="M273" s="76"/>
    </row>
    <row r="274" spans="1:13" ht="13.9" thickBot="1" x14ac:dyDescent="0.4">
      <c r="A274" s="70" t="str">
        <f t="shared" si="116"/>
        <v/>
      </c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65" t="s">
        <v>43</v>
      </c>
      <c r="M274" s="76"/>
    </row>
    <row r="275" spans="1:13" ht="13.9" x14ac:dyDescent="0.4">
      <c r="A275" s="77" t="str">
        <f t="shared" si="116"/>
        <v>Net Cash Flow generated from Operating Activities</v>
      </c>
      <c r="B275" s="91"/>
      <c r="C275" s="91">
        <f t="shared" ref="C275:K275" si="127">C94/B94-1</f>
        <v>0.75109011627906974</v>
      </c>
      <c r="D275" s="91">
        <f t="shared" si="127"/>
        <v>-1.867814899356713</v>
      </c>
      <c r="E275" s="91">
        <f t="shared" si="127"/>
        <v>-1.6539933046389288</v>
      </c>
      <c r="F275" s="91">
        <f t="shared" si="127"/>
        <v>0.16453382084095058</v>
      </c>
      <c r="G275" s="91">
        <f t="shared" si="127"/>
        <v>-0.23861852433281006</v>
      </c>
      <c r="H275" s="91">
        <f t="shared" si="127"/>
        <v>-0.86762886597938138</v>
      </c>
      <c r="I275" s="91">
        <f t="shared" si="127"/>
        <v>3.314641744548287</v>
      </c>
      <c r="J275" s="91">
        <f t="shared" si="127"/>
        <v>-0.55234657039711199</v>
      </c>
      <c r="K275" s="91">
        <f t="shared" si="127"/>
        <v>-2.975806451612903</v>
      </c>
      <c r="L275" s="65" t="s">
        <v>43</v>
      </c>
      <c r="M275" s="76"/>
    </row>
    <row r="276" spans="1:13" x14ac:dyDescent="0.35">
      <c r="A276" s="69" t="str">
        <f t="shared" si="116"/>
        <v/>
      </c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65" t="s">
        <v>43</v>
      </c>
      <c r="M276" s="76"/>
    </row>
    <row r="277" spans="1:13" x14ac:dyDescent="0.35">
      <c r="A277" s="69" t="str">
        <f t="shared" si="116"/>
        <v/>
      </c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65" t="s">
        <v>43</v>
      </c>
      <c r="M277" s="76"/>
    </row>
    <row r="278" spans="1:13" ht="13.9" x14ac:dyDescent="0.4">
      <c r="A278" s="77" t="str">
        <f t="shared" si="116"/>
        <v>B) Cash from Investing Activities</v>
      </c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65" t="s">
        <v>43</v>
      </c>
      <c r="M278" s="76"/>
    </row>
    <row r="279" spans="1:13" x14ac:dyDescent="0.35">
      <c r="A279" s="69" t="str">
        <f t="shared" si="116"/>
        <v/>
      </c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65" t="s">
        <v>43</v>
      </c>
      <c r="M279" s="76"/>
    </row>
    <row r="280" spans="1:13" x14ac:dyDescent="0.35">
      <c r="A280" s="69" t="str">
        <f t="shared" si="116"/>
        <v>Changes in Work-In-Progress</v>
      </c>
      <c r="B280" s="84"/>
      <c r="C280" s="84">
        <f t="shared" ref="C280:K280" si="128">C99/B99-1</f>
        <v>51.846153846153847</v>
      </c>
      <c r="D280" s="84">
        <f t="shared" si="128"/>
        <v>-0.6055312954876273</v>
      </c>
      <c r="E280" s="84">
        <f t="shared" si="128"/>
        <v>-0.99015990159901601</v>
      </c>
      <c r="F280" s="84">
        <f t="shared" si="128"/>
        <v>1.125</v>
      </c>
      <c r="G280" s="84">
        <f t="shared" si="128"/>
        <v>-0.58823529411764708</v>
      </c>
      <c r="H280" s="84">
        <f t="shared" si="128"/>
        <v>-1.4285714285714286</v>
      </c>
      <c r="I280" s="84">
        <f t="shared" si="128"/>
        <v>-3.3333333333333335</v>
      </c>
      <c r="J280" s="84">
        <f t="shared" si="128"/>
        <v>0.4285714285714286</v>
      </c>
      <c r="K280" s="84">
        <f t="shared" si="128"/>
        <v>-1.5</v>
      </c>
      <c r="L280" s="65" t="s">
        <v>43</v>
      </c>
      <c r="M280" s="76"/>
    </row>
    <row r="281" spans="1:13" x14ac:dyDescent="0.35">
      <c r="A281" s="69" t="str">
        <f t="shared" si="116"/>
        <v>Changes in Investments</v>
      </c>
      <c r="B281" s="84"/>
      <c r="C281" s="84">
        <f t="shared" ref="C281:K281" si="129">C100/B100-1</f>
        <v>-78.190298507462686</v>
      </c>
      <c r="D281" s="84">
        <f t="shared" si="129"/>
        <v>-1.9716730313723594</v>
      </c>
      <c r="E281" s="84">
        <f t="shared" si="129"/>
        <v>-1.9762200885528083</v>
      </c>
      <c r="F281" s="84">
        <f t="shared" si="129"/>
        <v>-0.99118381491107377</v>
      </c>
      <c r="G281" s="84">
        <f t="shared" si="129"/>
        <v>-15.098265895953757</v>
      </c>
      <c r="H281" s="84">
        <f t="shared" si="129"/>
        <v>-1.4838048380483806</v>
      </c>
      <c r="I281" s="84">
        <f t="shared" si="129"/>
        <v>-0.9720338983050848</v>
      </c>
      <c r="J281" s="84">
        <f t="shared" si="129"/>
        <v>-10.030303030303031</v>
      </c>
      <c r="K281" s="84">
        <f t="shared" si="129"/>
        <v>-3.2046979865771812</v>
      </c>
      <c r="L281" s="65" t="s">
        <v>43</v>
      </c>
      <c r="M281" s="76"/>
    </row>
    <row r="282" spans="1:13" ht="13.9" thickBot="1" x14ac:dyDescent="0.4">
      <c r="A282" s="70" t="str">
        <f t="shared" si="116"/>
        <v>Changes in Net Block</v>
      </c>
      <c r="B282" s="92"/>
      <c r="C282" s="92">
        <f t="shared" ref="C282:K282" si="130">C101/B101-1</f>
        <v>-20.994897959183675</v>
      </c>
      <c r="D282" s="92">
        <f t="shared" si="130"/>
        <v>-2.3202985455473337</v>
      </c>
      <c r="E282" s="92">
        <f t="shared" si="130"/>
        <v>-1.8000193264724356</v>
      </c>
      <c r="F282" s="92">
        <f t="shared" si="130"/>
        <v>-0.89370696944075367</v>
      </c>
      <c r="G282" s="92">
        <f t="shared" si="130"/>
        <v>-0.35511363636363635</v>
      </c>
      <c r="H282" s="92">
        <f t="shared" si="130"/>
        <v>-0.70837004405286341</v>
      </c>
      <c r="I282" s="92">
        <f t="shared" si="130"/>
        <v>-1.0181268882175227</v>
      </c>
      <c r="J282" s="92">
        <f t="shared" si="130"/>
        <v>-13.833333333333334</v>
      </c>
      <c r="K282" s="92">
        <f t="shared" si="130"/>
        <v>10.753246753246753</v>
      </c>
      <c r="L282" s="65" t="s">
        <v>43</v>
      </c>
      <c r="M282" s="76"/>
    </row>
    <row r="283" spans="1:13" ht="13.9" x14ac:dyDescent="0.4">
      <c r="A283" s="77" t="str">
        <f t="shared" si="116"/>
        <v>Net Cash Flow generated from Investing Activities</v>
      </c>
      <c r="B283" s="91"/>
      <c r="C283" s="91"/>
      <c r="D283" s="91"/>
      <c r="E283" s="91"/>
      <c r="F283" s="91"/>
      <c r="G283" s="91"/>
      <c r="H283" s="91"/>
      <c r="I283" s="91"/>
      <c r="J283" s="91"/>
      <c r="K283" s="91"/>
      <c r="L283" s="65" t="s">
        <v>43</v>
      </c>
      <c r="M283" s="76"/>
    </row>
    <row r="284" spans="1:13" x14ac:dyDescent="0.35">
      <c r="A284" s="69" t="str">
        <f t="shared" si="116"/>
        <v/>
      </c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65" t="s">
        <v>43</v>
      </c>
      <c r="M284" s="76"/>
    </row>
    <row r="285" spans="1:13" x14ac:dyDescent="0.35">
      <c r="A285" s="69" t="str">
        <f t="shared" si="116"/>
        <v/>
      </c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65" t="s">
        <v>43</v>
      </c>
      <c r="M285" s="76"/>
    </row>
    <row r="286" spans="1:13" ht="13.9" x14ac:dyDescent="0.4">
      <c r="A286" s="77" t="str">
        <f t="shared" si="116"/>
        <v>C) Cash from Financing Activities</v>
      </c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65" t="s">
        <v>43</v>
      </c>
      <c r="M286" s="76"/>
    </row>
    <row r="287" spans="1:13" ht="13.9" thickBot="1" x14ac:dyDescent="0.4">
      <c r="A287" s="70" t="str">
        <f t="shared" si="116"/>
        <v>Changes in Borrowings</v>
      </c>
      <c r="B287" s="89"/>
      <c r="C287" s="89">
        <f t="shared" ref="C287:K287" si="131">C106/B106-1</f>
        <v>-1.535142658315936</v>
      </c>
      <c r="D287" s="89">
        <f t="shared" si="131"/>
        <v>4.1209362808842656</v>
      </c>
      <c r="E287" s="89">
        <f t="shared" si="131"/>
        <v>-3.9738445911630271</v>
      </c>
      <c r="F287" s="89">
        <f t="shared" si="131"/>
        <v>-0.97703014260097343</v>
      </c>
      <c r="G287" s="89">
        <f t="shared" si="131"/>
        <v>32.899628252788105</v>
      </c>
      <c r="H287" s="89">
        <f t="shared" si="131"/>
        <v>-0.86654238403333705</v>
      </c>
      <c r="I287" s="89">
        <f t="shared" si="131"/>
        <v>1.2218570254724734</v>
      </c>
      <c r="J287" s="89">
        <f t="shared" si="131"/>
        <v>-0.68639053254437865</v>
      </c>
      <c r="K287" s="89">
        <f t="shared" si="131"/>
        <v>-2.7688679245283021</v>
      </c>
      <c r="L287" s="65" t="s">
        <v>43</v>
      </c>
      <c r="M287" s="76"/>
    </row>
    <row r="288" spans="1:13" ht="13.9" x14ac:dyDescent="0.4">
      <c r="A288" s="77" t="str">
        <f t="shared" si="116"/>
        <v>Net Cash Flow generated from Financing Activities</v>
      </c>
      <c r="B288" s="91"/>
      <c r="C288" s="91">
        <f t="shared" ref="C288:K288" si="132">C107/B107-1</f>
        <v>-1.535142658315936</v>
      </c>
      <c r="D288" s="91">
        <f t="shared" si="132"/>
        <v>4.1209362808842656</v>
      </c>
      <c r="E288" s="91">
        <f t="shared" si="132"/>
        <v>-3.9738445911630271</v>
      </c>
      <c r="F288" s="91">
        <f t="shared" si="132"/>
        <v>-0.97703014260097343</v>
      </c>
      <c r="G288" s="91">
        <f t="shared" si="132"/>
        <v>32.899628252788105</v>
      </c>
      <c r="H288" s="91">
        <f t="shared" si="132"/>
        <v>-0.86654238403333705</v>
      </c>
      <c r="I288" s="91">
        <f t="shared" si="132"/>
        <v>1.2218570254724734</v>
      </c>
      <c r="J288" s="91">
        <f t="shared" si="132"/>
        <v>-0.68639053254437865</v>
      </c>
      <c r="K288" s="91">
        <f t="shared" si="132"/>
        <v>-2.7688679245283021</v>
      </c>
      <c r="L288" s="65" t="s">
        <v>43</v>
      </c>
      <c r="M288" s="76"/>
    </row>
    <row r="289" spans="1:13" x14ac:dyDescent="0.35">
      <c r="A289" s="69" t="str">
        <f t="shared" si="116"/>
        <v/>
      </c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65" t="s">
        <v>43</v>
      </c>
      <c r="M289" s="76"/>
    </row>
    <row r="290" spans="1:13" ht="13.9" x14ac:dyDescent="0.4">
      <c r="A290" s="77" t="str">
        <f t="shared" si="116"/>
        <v/>
      </c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65" t="s">
        <v>43</v>
      </c>
      <c r="M290" s="76"/>
    </row>
    <row r="291" spans="1:13" x14ac:dyDescent="0.35">
      <c r="A291" s="69" t="str">
        <f t="shared" si="116"/>
        <v>Net Cash (A+B+C)</v>
      </c>
      <c r="B291" s="101"/>
      <c r="C291" s="101">
        <f t="shared" ref="C291:K291" si="133">C110/B110-1</f>
        <v>4.3580387685290765</v>
      </c>
      <c r="D291" s="101">
        <f t="shared" si="133"/>
        <v>-0.83273036816343904</v>
      </c>
      <c r="E291" s="101">
        <f t="shared" si="133"/>
        <v>-16.298982188295163</v>
      </c>
      <c r="F291" s="101">
        <f t="shared" si="133"/>
        <v>-1.3772972972972972</v>
      </c>
      <c r="G291" s="101">
        <f t="shared" si="133"/>
        <v>-1.6845933436191316</v>
      </c>
      <c r="H291" s="101">
        <f t="shared" si="133"/>
        <v>-0.43625241468126208</v>
      </c>
      <c r="I291" s="101">
        <f t="shared" si="133"/>
        <v>-0.23243860651056536</v>
      </c>
      <c r="J291" s="101">
        <f t="shared" si="133"/>
        <v>-1.1242559523809523</v>
      </c>
      <c r="K291" s="101">
        <f t="shared" si="133"/>
        <v>2.0718562874251498</v>
      </c>
      <c r="L291" s="65" t="s">
        <v>43</v>
      </c>
      <c r="M291" s="76"/>
    </row>
    <row r="292" spans="1:13" ht="13.9" thickBot="1" x14ac:dyDescent="0.4">
      <c r="A292" s="70" t="str">
        <f t="shared" si="116"/>
        <v>Opening Cash Balance</v>
      </c>
      <c r="B292" s="92"/>
      <c r="C292" s="92">
        <f t="shared" ref="C292:K292" si="134">C111/B111-1</f>
        <v>0.1253071253071254</v>
      </c>
      <c r="D292" s="92">
        <f t="shared" si="134"/>
        <v>0.23034934497816595</v>
      </c>
      <c r="E292" s="92">
        <f t="shared" si="134"/>
        <v>0.21236320615202597</v>
      </c>
      <c r="F292" s="92">
        <f t="shared" si="134"/>
        <v>-0.44425469626738234</v>
      </c>
      <c r="G292" s="92">
        <f t="shared" si="134"/>
        <v>1.1312554872695348</v>
      </c>
      <c r="H292" s="92">
        <f t="shared" si="134"/>
        <v>-0.50154479917610706</v>
      </c>
      <c r="I292" s="92">
        <f t="shared" si="134"/>
        <v>-0.41859504132231407</v>
      </c>
      <c r="J292" s="92">
        <f t="shared" si="134"/>
        <v>-0.33759772565742718</v>
      </c>
      <c r="K292" s="92">
        <f t="shared" si="134"/>
        <v>1.4409871244635193</v>
      </c>
      <c r="L292" s="65" t="s">
        <v>43</v>
      </c>
      <c r="M292" s="76"/>
    </row>
    <row r="293" spans="1:13" ht="13.9" x14ac:dyDescent="0.4">
      <c r="A293" s="77" t="str">
        <f t="shared" si="116"/>
        <v>Closing Cash Balance</v>
      </c>
      <c r="B293" s="115"/>
      <c r="C293" s="115">
        <f t="shared" ref="C293:K293" si="135">C112/B112-1</f>
        <v>1.2437481169026814</v>
      </c>
      <c r="D293" s="115">
        <f t="shared" si="135"/>
        <v>-0.44044581710756014</v>
      </c>
      <c r="E293" s="115">
        <f t="shared" si="135"/>
        <v>-2.9020878329733621</v>
      </c>
      <c r="F293" s="115">
        <f t="shared" si="135"/>
        <v>-1.8598284128185718</v>
      </c>
      <c r="G293" s="115">
        <f t="shared" si="135"/>
        <v>-0.74336023477622892</v>
      </c>
      <c r="H293" s="115">
        <f t="shared" si="135"/>
        <v>-0.61749571183533447</v>
      </c>
      <c r="I293" s="115">
        <f t="shared" si="135"/>
        <v>-0.905829596412556</v>
      </c>
      <c r="J293" s="115">
        <f t="shared" si="135"/>
        <v>16.444444444444443</v>
      </c>
      <c r="K293" s="115">
        <f t="shared" si="135"/>
        <v>1.5368516833484986</v>
      </c>
      <c r="L293" s="65" t="s">
        <v>43</v>
      </c>
      <c r="M293" s="76"/>
    </row>
    <row r="294" spans="1:13" ht="13.9" x14ac:dyDescent="0.4">
      <c r="A294" s="77"/>
      <c r="L294" s="65" t="s">
        <v>43</v>
      </c>
      <c r="M294" s="76"/>
    </row>
    <row r="295" spans="1:13" ht="13.9" x14ac:dyDescent="0.4">
      <c r="A295" s="77"/>
      <c r="L295" s="65"/>
      <c r="M295" s="76"/>
    </row>
    <row r="296" spans="1:13" ht="13.9" x14ac:dyDescent="0.4">
      <c r="A296" s="77"/>
      <c r="L296" s="65" t="s">
        <v>43</v>
      </c>
      <c r="M296" s="76"/>
    </row>
    <row r="297" spans="1:13" ht="13.9" x14ac:dyDescent="0.4">
      <c r="A297" s="78" t="s">
        <v>83</v>
      </c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65" t="s">
        <v>43</v>
      </c>
      <c r="M297" s="76"/>
    </row>
    <row r="298" spans="1:13" ht="13.9" x14ac:dyDescent="0.4">
      <c r="A298" s="77"/>
      <c r="L298" s="65" t="s">
        <v>43</v>
      </c>
      <c r="M298" s="76"/>
    </row>
    <row r="299" spans="1:13" ht="13.9" x14ac:dyDescent="0.4">
      <c r="A299" s="80" t="s">
        <v>86</v>
      </c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65" t="s">
        <v>43</v>
      </c>
      <c r="M299" s="76"/>
    </row>
    <row r="300" spans="1:13" x14ac:dyDescent="0.35">
      <c r="A300" s="69" t="s">
        <v>119</v>
      </c>
      <c r="B300" s="116">
        <f>DLF_Income_Statement!C16/DLF_Income_Statement!C13</f>
        <v>52.19733724524739</v>
      </c>
      <c r="C300" s="116">
        <f>DLF_Income_Statement!D16/DLF_Income_Statement!D13</f>
        <v>66.845060418027444</v>
      </c>
      <c r="D300" s="116">
        <f>DLF_Income_Statement!E16/DLF_Income_Statement!E13</f>
        <v>37.100111919418019</v>
      </c>
      <c r="E300" s="116">
        <f>DLF_Income_Statement!F16/DLF_Income_Statement!F13</f>
        <v>8.0434898271899211</v>
      </c>
      <c r="F300" s="116">
        <f>DLF_Income_Statement!G16/DLF_Income_Statement!G13</f>
        <v>33.872622801698</v>
      </c>
      <c r="G300" s="116">
        <f>DLF_Income_Statement!H16/DLF_Income_Statement!H13</f>
        <v>-58.338474794238671</v>
      </c>
      <c r="H300" s="116">
        <f>DLF_Income_Statement!I16/DLF_Income_Statement!I13</f>
        <v>64.972098116313106</v>
      </c>
      <c r="I300" s="116">
        <f>DLF_Income_Statement!J16/DLF_Income_Statement!J13</f>
        <v>62.746302761768327</v>
      </c>
      <c r="J300" s="116">
        <f>DLF_Income_Statement!K16/DLF_Income_Statement!K13</f>
        <v>43.370001915680582</v>
      </c>
      <c r="K300" s="116">
        <f>DLF_Income_Statement!L16/DLF_Income_Statement!L13</f>
        <v>81.417474909336249</v>
      </c>
      <c r="L300" s="65" t="s">
        <v>43</v>
      </c>
      <c r="M300" s="76" t="s">
        <v>121</v>
      </c>
    </row>
    <row r="301" spans="1:13" x14ac:dyDescent="0.35">
      <c r="A301" s="69" t="s">
        <v>120</v>
      </c>
      <c r="B301" s="117">
        <f>(DLF_Income_Statement!B14*DLF_Income_Statement!B13)/DLF_Income_Statement!B13</f>
        <v>0.55000000000000004</v>
      </c>
      <c r="C301" s="117">
        <f>(DLF_Income_Statement!C14*DLF_Income_Statement!C13)/DLF_Income_Statement!C13</f>
        <v>0.66</v>
      </c>
      <c r="D301" s="117">
        <f>(DLF_Income_Statement!D14*DLF_Income_Statement!D13)/DLF_Income_Statement!D13</f>
        <v>1.17</v>
      </c>
      <c r="E301" s="117">
        <f>(DLF_Income_Statement!E14*DLF_Income_Statement!E13)/DLF_Income_Statement!E13</f>
        <v>0.5</v>
      </c>
      <c r="F301" s="117">
        <f>(DLF_Income_Statement!F14*DLF_Income_Statement!F13)/DLF_Income_Statement!F13</f>
        <v>0.08</v>
      </c>
      <c r="G301" s="117">
        <f>(DLF_Income_Statement!G14*DLF_Income_Statement!G13)/DLF_Income_Statement!G13</f>
        <v>0.33</v>
      </c>
      <c r="H301" s="117">
        <f>(DLF_Income_Statement!H14*DLF_Income_Statement!H13)/DLF_Income_Statement!H13</f>
        <v>-0.85</v>
      </c>
      <c r="I301" s="117">
        <f>(DLF_Income_Statement!I14*DLF_Income_Statement!I13)/DLF_Income_Statement!I13</f>
        <v>0.45</v>
      </c>
      <c r="J301" s="117">
        <f>(DLF_Income_Statement!J14*DLF_Income_Statement!J13)/DLF_Income_Statement!J13</f>
        <v>0.49</v>
      </c>
      <c r="K301" s="117">
        <f>(DLF_Income_Statement!K14*DLF_Income_Statement!K13)/DLF_Income_Statement!K13</f>
        <v>0.48999999999999994</v>
      </c>
      <c r="L301" s="65" t="s">
        <v>43</v>
      </c>
      <c r="M301" s="76" t="s">
        <v>122</v>
      </c>
    </row>
    <row r="302" spans="1:13" ht="13.9" x14ac:dyDescent="0.4">
      <c r="A302" s="77"/>
      <c r="L302" s="65" t="s">
        <v>43</v>
      </c>
      <c r="M302" s="76"/>
    </row>
    <row r="303" spans="1:13" ht="13.9" x14ac:dyDescent="0.4">
      <c r="A303" s="80" t="s">
        <v>85</v>
      </c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65" t="s">
        <v>43</v>
      </c>
      <c r="M303" s="76"/>
    </row>
    <row r="304" spans="1:13" x14ac:dyDescent="0.35">
      <c r="A304" s="69" t="s">
        <v>139</v>
      </c>
      <c r="B304" s="99">
        <f>B17/B9</f>
        <v>6.6675382402928488E-2</v>
      </c>
      <c r="C304" s="99">
        <f t="shared" ref="C304:K304" si="136">C17/C9</f>
        <v>4.6544428772919602E-2</v>
      </c>
      <c r="D304" s="99">
        <f t="shared" si="136"/>
        <v>9.7311762559299353E-2</v>
      </c>
      <c r="E304" s="99">
        <f t="shared" si="136"/>
        <v>0.6399284329804682</v>
      </c>
      <c r="F304" s="99">
        <f t="shared" si="136"/>
        <v>4.3987568730576139E-2</v>
      </c>
      <c r="G304" s="99">
        <f t="shared" si="136"/>
        <v>-0.24313661022521782</v>
      </c>
      <c r="H304" s="99">
        <f t="shared" si="136"/>
        <v>8.8289619504987066E-2</v>
      </c>
      <c r="I304" s="99">
        <f t="shared" si="136"/>
        <v>0.14745495889452509</v>
      </c>
      <c r="J304" s="99">
        <f t="shared" si="136"/>
        <v>0.19315188762071994</v>
      </c>
      <c r="K304" s="99">
        <f t="shared" si="136"/>
        <v>0.25377314454644467</v>
      </c>
      <c r="L304" s="65" t="s">
        <v>43</v>
      </c>
      <c r="M304" s="76" t="s">
        <v>143</v>
      </c>
    </row>
    <row r="305" spans="1:13" x14ac:dyDescent="0.35">
      <c r="A305" s="69" t="s">
        <v>140</v>
      </c>
      <c r="B305" s="99">
        <f t="shared" ref="B305:C305" si="137">B11/B9</f>
        <v>0.3940384363969146</v>
      </c>
      <c r="C305" s="99">
        <f t="shared" si="137"/>
        <v>0.39955671972597218</v>
      </c>
      <c r="D305" s="99">
        <f>D11/D9</f>
        <v>0.41917041722418197</v>
      </c>
      <c r="E305" s="99">
        <f t="shared" ref="E305:K305" si="138">E11/E9</f>
        <v>0.35455494259728643</v>
      </c>
      <c r="F305" s="99">
        <f t="shared" si="138"/>
        <v>0.25675352617738467</v>
      </c>
      <c r="G305" s="99">
        <f t="shared" si="138"/>
        <v>0.18839388459641623</v>
      </c>
      <c r="H305" s="99">
        <f t="shared" si="138"/>
        <v>0.27133357960842258</v>
      </c>
      <c r="I305" s="99">
        <f t="shared" si="138"/>
        <v>0.30488018191359106</v>
      </c>
      <c r="J305" s="99">
        <f t="shared" si="138"/>
        <v>0.30307287093942054</v>
      </c>
      <c r="K305" s="99">
        <f t="shared" si="138"/>
        <v>0.3304807841916913</v>
      </c>
      <c r="L305" s="65" t="s">
        <v>43</v>
      </c>
      <c r="M305" s="76" t="s">
        <v>144</v>
      </c>
    </row>
    <row r="306" spans="1:13" x14ac:dyDescent="0.35">
      <c r="A306" s="69" t="s">
        <v>141</v>
      </c>
      <c r="B306" s="99">
        <f>B17/B44</f>
        <v>7.6967190848450089E-3</v>
      </c>
      <c r="C306" s="99">
        <f t="shared" ref="C306:K306" si="139">C17/C44</f>
        <v>7.4843266535987944E-3</v>
      </c>
      <c r="D306" s="99">
        <f t="shared" si="139"/>
        <v>1.2508990837164212E-2</v>
      </c>
      <c r="E306" s="99">
        <f t="shared" si="139"/>
        <v>7.0842617809688868E-2</v>
      </c>
      <c r="F306" s="99">
        <f t="shared" si="139"/>
        <v>5.5352496126829416E-3</v>
      </c>
      <c r="G306" s="99">
        <f t="shared" si="139"/>
        <v>-2.6462221108944195E-2</v>
      </c>
      <c r="H306" s="99">
        <f t="shared" si="139"/>
        <v>8.9365839066706549E-3</v>
      </c>
      <c r="I306" s="99">
        <f t="shared" si="139"/>
        <v>1.6475462700568724E-2</v>
      </c>
      <c r="J306" s="99">
        <f t="shared" si="139"/>
        <v>2.0923685612112913E-2</v>
      </c>
      <c r="K306" s="99">
        <f t="shared" si="139"/>
        <v>2.7611776058507845E-2</v>
      </c>
      <c r="L306" s="65" t="s">
        <v>43</v>
      </c>
      <c r="M306" s="76" t="s">
        <v>146</v>
      </c>
    </row>
    <row r="307" spans="1:13" x14ac:dyDescent="0.35">
      <c r="A307" s="69" t="s">
        <v>142</v>
      </c>
      <c r="B307" s="99">
        <f>B17/B67</f>
        <v>1.8634221199166939E-2</v>
      </c>
      <c r="C307" s="99">
        <f t="shared" ref="C307:K307" si="140">C17/C67</f>
        <v>1.9194814907141967E-2</v>
      </c>
      <c r="D307" s="99">
        <f t="shared" si="140"/>
        <v>3.2556057461441419E-2</v>
      </c>
      <c r="E307" s="99">
        <f t="shared" si="140"/>
        <v>0.12154852595508482</v>
      </c>
      <c r="F307" s="99">
        <f t="shared" si="140"/>
        <v>1.0960209673576363E-2</v>
      </c>
      <c r="G307" s="99">
        <f t="shared" si="140"/>
        <v>-4.2935524138531654E-2</v>
      </c>
      <c r="H307" s="99">
        <f t="shared" si="140"/>
        <v>1.3524219103666817E-2</v>
      </c>
      <c r="I307" s="99">
        <f t="shared" si="140"/>
        <v>2.3183543259446673E-2</v>
      </c>
      <c r="J307" s="99">
        <f t="shared" si="140"/>
        <v>2.9187783585851886E-2</v>
      </c>
      <c r="K307" s="99">
        <f t="shared" si="140"/>
        <v>4.1363394283685427E-2</v>
      </c>
      <c r="L307" s="65" t="s">
        <v>43</v>
      </c>
      <c r="M307" s="76" t="s">
        <v>145</v>
      </c>
    </row>
    <row r="308" spans="1:13" ht="13.9" x14ac:dyDescent="0.4">
      <c r="A308" s="77"/>
      <c r="L308" s="65" t="s">
        <v>43</v>
      </c>
      <c r="M308" s="76"/>
    </row>
    <row r="309" spans="1:13" ht="13.9" x14ac:dyDescent="0.4">
      <c r="A309" s="80" t="s">
        <v>87</v>
      </c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65" t="s">
        <v>43</v>
      </c>
      <c r="M309" s="76"/>
    </row>
    <row r="310" spans="1:13" x14ac:dyDescent="0.35">
      <c r="A310" s="69" t="s">
        <v>161</v>
      </c>
      <c r="B310" s="99">
        <f>(B9-DLF_Income_Statement!B2)/DLF_Income_Statement!B2</f>
        <v>-7.8211617257170407E-2</v>
      </c>
      <c r="C310" s="99">
        <f>(C9-B9)/B9</f>
        <v>0.29768597202248659</v>
      </c>
      <c r="D310" s="99">
        <f t="shared" ref="D310:K310" si="141">(D9-C9)/C9</f>
        <v>-0.17177110618577474</v>
      </c>
      <c r="E310" s="99">
        <f t="shared" si="141"/>
        <v>-0.18416251064347403</v>
      </c>
      <c r="F310" s="99">
        <f t="shared" si="141"/>
        <v>0.24735351125689578</v>
      </c>
      <c r="G310" s="99">
        <f t="shared" si="141"/>
        <v>-0.27289027014104711</v>
      </c>
      <c r="H310" s="99">
        <f t="shared" si="141"/>
        <v>-0.10997862896597074</v>
      </c>
      <c r="I310" s="99">
        <f t="shared" si="141"/>
        <v>5.596601403768009E-2</v>
      </c>
      <c r="J310" s="99">
        <f t="shared" si="141"/>
        <v>-3.8481721182438344E-3</v>
      </c>
      <c r="K310" s="99">
        <f t="shared" si="141"/>
        <v>0.12853380158033362</v>
      </c>
      <c r="L310" s="65" t="s">
        <v>43</v>
      </c>
      <c r="M310" s="76" t="s">
        <v>165</v>
      </c>
    </row>
    <row r="311" spans="1:13" x14ac:dyDescent="0.35">
      <c r="A311" s="69" t="s">
        <v>162</v>
      </c>
      <c r="B311" s="99">
        <f>(B19-DLF_Income_Statement!B18)/DLF_Income_Statement!B18</f>
        <v>-0.28188054882970137</v>
      </c>
      <c r="C311" s="99">
        <f>(C19-B19)/B19</f>
        <v>0.32958696262995224</v>
      </c>
      <c r="D311" s="99">
        <f t="shared" ref="D311:K311" si="142">(D19-C19)/C19</f>
        <v>-0.15088757396449703</v>
      </c>
      <c r="E311" s="99">
        <f t="shared" si="142"/>
        <v>-0.27526132404181186</v>
      </c>
      <c r="F311" s="99">
        <f t="shared" si="142"/>
        <v>-0.18509615384615385</v>
      </c>
      <c r="G311" s="99">
        <f t="shared" si="142"/>
        <v>-0.43278550358196377</v>
      </c>
      <c r="H311" s="99">
        <f t="shared" si="142"/>
        <v>0.20950965824665677</v>
      </c>
      <c r="I311" s="99">
        <f t="shared" si="142"/>
        <v>0.16216216216216217</v>
      </c>
      <c r="J311" s="99">
        <f t="shared" si="142"/>
        <v>-8.9852008456659613E-3</v>
      </c>
      <c r="K311" s="99">
        <f t="shared" si="142"/>
        <v>0.21173333333333333</v>
      </c>
      <c r="L311" s="65" t="s">
        <v>43</v>
      </c>
      <c r="M311" s="76" t="s">
        <v>166</v>
      </c>
    </row>
    <row r="312" spans="1:13" x14ac:dyDescent="0.35">
      <c r="A312" s="69" t="s">
        <v>163</v>
      </c>
      <c r="B312" s="99">
        <f>(B17-DLF_Income_Statement!B11)/DLF_Income_Statement!B11</f>
        <v>0.02</v>
      </c>
      <c r="C312" s="99">
        <f>(C17-B17)/B17</f>
        <v>-9.4117647058823528E-2</v>
      </c>
      <c r="D312" s="99">
        <f t="shared" ref="D312:K312" si="143">(D17-C17)/C17</f>
        <v>0.73160173160173159</v>
      </c>
      <c r="E312" s="99">
        <f t="shared" si="143"/>
        <v>4.3650000000000002</v>
      </c>
      <c r="F312" s="99">
        <f t="shared" si="143"/>
        <v>-0.91425908667287981</v>
      </c>
      <c r="G312" s="99">
        <f t="shared" si="143"/>
        <v>-5.0190217391304346</v>
      </c>
      <c r="H312" s="99">
        <f t="shared" si="143"/>
        <v>-1.3231913455037188</v>
      </c>
      <c r="I312" s="99">
        <f t="shared" si="143"/>
        <v>0.7635983263598326</v>
      </c>
      <c r="J312" s="99">
        <f t="shared" si="143"/>
        <v>0.30486358244365364</v>
      </c>
      <c r="K312" s="99">
        <f t="shared" si="143"/>
        <v>0.48272727272727273</v>
      </c>
      <c r="L312" s="65" t="s">
        <v>43</v>
      </c>
      <c r="M312" s="76" t="s">
        <v>167</v>
      </c>
    </row>
    <row r="313" spans="1:13" x14ac:dyDescent="0.35">
      <c r="A313" s="69" t="s">
        <v>164</v>
      </c>
      <c r="B313" s="99">
        <f>(DLF_Income_Statement!C13-DLF_Income_Statement!B13)/DLF_Income_Statement!B13</f>
        <v>-0.16480334777453781</v>
      </c>
      <c r="C313" s="99">
        <f>(DLF_Income_Statement!D13-DLF_Income_Statement!C13)/DLF_Income_Statement!C13</f>
        <v>-0.43377635109104112</v>
      </c>
      <c r="D313" s="99">
        <f>(DLF_Income_Statement!E13-DLF_Income_Statement!D13)/DLF_Income_Statement!D13</f>
        <v>1.3340293866958788</v>
      </c>
      <c r="E313" s="99">
        <f>(DLF_Income_Statement!F13-DLF_Income_Statement!E13)/DLF_Income_Statement!E13</f>
        <v>5.244557635222554</v>
      </c>
      <c r="F313" s="99">
        <f>(DLF_Income_Statement!G13-DLF_Income_Statement!F13)/DLF_Income_Statement!F13</f>
        <v>-0.76112121413985756</v>
      </c>
      <c r="G313" s="99">
        <f>(DLF_Income_Statement!H13-DLF_Income_Statement!G13)/DLF_Income_Statement!G13</f>
        <v>-1.3942037200187947</v>
      </c>
      <c r="H313" s="99">
        <f>(DLF_Income_Statement!I13-DLF_Income_Statement!H13)/DLF_Income_Statement!H13</f>
        <v>-2.8751714677640599</v>
      </c>
      <c r="I313" s="99">
        <f>(DLF_Income_Statement!J13-DLF_Income_Statement!I13)/DLF_Income_Statement!I13</f>
        <v>0.37239392831016843</v>
      </c>
      <c r="J313" s="99">
        <f>(DLF_Income_Statement!K13-DLF_Income_Statement!J13)/DLF_Income_Statement!J13</f>
        <v>0.35645134423826497</v>
      </c>
      <c r="K313" s="99">
        <f>(DLF_Income_Statement!L13-DLF_Income_Statement!K13)/DLF_Income_Statement!K13</f>
        <v>0.33955683922527924</v>
      </c>
      <c r="L313" s="65" t="s">
        <v>43</v>
      </c>
      <c r="M313" s="76" t="s">
        <v>168</v>
      </c>
    </row>
    <row r="314" spans="1:13" ht="13.9" x14ac:dyDescent="0.4">
      <c r="A314" s="77"/>
      <c r="L314" s="65" t="s">
        <v>43</v>
      </c>
      <c r="M314" s="76"/>
    </row>
    <row r="315" spans="1:13" ht="13.9" x14ac:dyDescent="0.4">
      <c r="A315" s="80" t="s">
        <v>88</v>
      </c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65" t="s">
        <v>43</v>
      </c>
      <c r="M315" s="76"/>
    </row>
    <row r="316" spans="1:13" x14ac:dyDescent="0.35">
      <c r="A316" s="69" t="s">
        <v>123</v>
      </c>
      <c r="B316" s="116">
        <f>B35/B$54</f>
        <v>2.7864286706487014</v>
      </c>
      <c r="C316" s="116">
        <f>C35/C$54</f>
        <v>2.7990480800258148</v>
      </c>
      <c r="D316" s="116">
        <f t="shared" ref="D316:K316" si="144">D35/D$54</f>
        <v>3.728460556046763</v>
      </c>
      <c r="E316" s="116">
        <f t="shared" si="144"/>
        <v>4.0516510343055376</v>
      </c>
      <c r="F316" s="116">
        <f t="shared" si="144"/>
        <v>2.4898310487727127</v>
      </c>
      <c r="G316" s="116">
        <f t="shared" si="144"/>
        <v>2.4022936811333482</v>
      </c>
      <c r="H316" s="116">
        <f t="shared" si="144"/>
        <v>2.5573814176585539</v>
      </c>
      <c r="I316" s="116">
        <f t="shared" si="144"/>
        <v>2.4894097712510592</v>
      </c>
      <c r="J316" s="116">
        <f t="shared" si="144"/>
        <v>2.4452428361180849</v>
      </c>
      <c r="K316" s="116">
        <f t="shared" si="144"/>
        <v>2.3628748986760333</v>
      </c>
      <c r="L316" s="65" t="s">
        <v>43</v>
      </c>
      <c r="M316" s="76" t="s">
        <v>134</v>
      </c>
    </row>
    <row r="317" spans="1:13" x14ac:dyDescent="0.35">
      <c r="A317" s="69" t="s">
        <v>124</v>
      </c>
      <c r="B317" s="116">
        <f>(B35-B31)/B$54</f>
        <v>1.5633421308515072</v>
      </c>
      <c r="C317" s="116">
        <f t="shared" ref="C317:K317" si="145">(C35-C31)/C$54</f>
        <v>1.4410293643110681</v>
      </c>
      <c r="D317" s="116">
        <f t="shared" si="145"/>
        <v>1.753905098732685</v>
      </c>
      <c r="E317" s="116">
        <f t="shared" si="145"/>
        <v>1.5136836695361686</v>
      </c>
      <c r="F317" s="116">
        <f t="shared" si="145"/>
        <v>1.0866432897672935</v>
      </c>
      <c r="G317" s="116">
        <f t="shared" si="145"/>
        <v>0.71681283262124273</v>
      </c>
      <c r="H317" s="116">
        <f t="shared" si="145"/>
        <v>0.68431337715402385</v>
      </c>
      <c r="I317" s="116">
        <f t="shared" si="145"/>
        <v>0.59662995387367035</v>
      </c>
      <c r="J317" s="116">
        <f t="shared" si="145"/>
        <v>0.76911089948922173</v>
      </c>
      <c r="K317" s="116">
        <f t="shared" si="145"/>
        <v>0.93393677384490681</v>
      </c>
      <c r="L317" s="65" t="s">
        <v>43</v>
      </c>
      <c r="M317" s="76" t="s">
        <v>135</v>
      </c>
    </row>
    <row r="318" spans="1:13" x14ac:dyDescent="0.35">
      <c r="A318" s="69" t="s">
        <v>125</v>
      </c>
      <c r="B318" s="116">
        <f>B32/B$54</f>
        <v>0.19085984164467287</v>
      </c>
      <c r="C318" s="116">
        <f t="shared" ref="C318:K318" si="146">C32/C$54</f>
        <v>0.27274927395934173</v>
      </c>
      <c r="D318" s="116">
        <f t="shared" si="146"/>
        <v>0.40269181648491992</v>
      </c>
      <c r="E318" s="116">
        <f t="shared" si="146"/>
        <v>0.29268919439804703</v>
      </c>
      <c r="F318" s="116">
        <f t="shared" si="146"/>
        <v>0.30953139942620339</v>
      </c>
      <c r="G318" s="116">
        <f t="shared" si="146"/>
        <v>0.18139569747395248</v>
      </c>
      <c r="H318" s="116">
        <f t="shared" si="146"/>
        <v>0.12497779356901759</v>
      </c>
      <c r="I318" s="116">
        <f t="shared" si="146"/>
        <v>8.7734161724559917E-2</v>
      </c>
      <c r="J318" s="116">
        <f t="shared" si="146"/>
        <v>0.19695264479265864</v>
      </c>
      <c r="K318" s="116">
        <f t="shared" si="146"/>
        <v>0.29613617941097004</v>
      </c>
      <c r="L318" s="65" t="s">
        <v>43</v>
      </c>
      <c r="M318" s="76" t="s">
        <v>136</v>
      </c>
    </row>
    <row r="319" spans="1:13" x14ac:dyDescent="0.35">
      <c r="A319" s="69" t="s">
        <v>126</v>
      </c>
      <c r="B319" s="116">
        <f>B94/B$54</f>
        <v>0.19113765800805668</v>
      </c>
      <c r="C319" s="116">
        <f t="shared" ref="C319:K319" si="147">C94/C$54</f>
        <v>0.38875443691513389</v>
      </c>
      <c r="D319" s="116">
        <f t="shared" si="147"/>
        <v>-0.41084585912172117</v>
      </c>
      <c r="E319" s="116">
        <f t="shared" si="147"/>
        <v>0.35140691250160605</v>
      </c>
      <c r="F319" s="116">
        <f t="shared" si="147"/>
        <v>0.20306024864520242</v>
      </c>
      <c r="G319" s="116">
        <f t="shared" si="147"/>
        <v>0.18177048197286561</v>
      </c>
      <c r="H319" s="116">
        <f t="shared" si="147"/>
        <v>2.8513057381417659E-2</v>
      </c>
      <c r="I319" s="116">
        <f t="shared" si="147"/>
        <v>0.1303774828202956</v>
      </c>
      <c r="J319" s="116">
        <f t="shared" si="147"/>
        <v>5.3675006492944335E-2</v>
      </c>
      <c r="K319" s="116">
        <f t="shared" si="147"/>
        <v>-8.2747905971359087E-2</v>
      </c>
      <c r="L319" s="65" t="s">
        <v>43</v>
      </c>
      <c r="M319" s="76" t="s">
        <v>137</v>
      </c>
    </row>
    <row r="320" spans="1:13" ht="13.9" x14ac:dyDescent="0.4">
      <c r="A320" s="77"/>
      <c r="L320" s="65" t="s">
        <v>43</v>
      </c>
      <c r="M320" s="76"/>
    </row>
    <row r="321" spans="1:13" ht="13.9" x14ac:dyDescent="0.4">
      <c r="A321" s="80" t="s">
        <v>89</v>
      </c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65" t="s">
        <v>43</v>
      </c>
      <c r="M321" s="76"/>
    </row>
    <row r="322" spans="1:13" x14ac:dyDescent="0.35">
      <c r="A322" s="69" t="s">
        <v>147</v>
      </c>
      <c r="B322" s="116">
        <f>B$9/(AVERAGE(B44,DLF_Balance_Sheet!B26))</f>
        <v>0.11696881188497328</v>
      </c>
      <c r="C322" s="116">
        <f>C$9/AVERAGE(B44:C44)</f>
        <v>0.15510465579611066</v>
      </c>
      <c r="D322" s="116">
        <f t="shared" ref="D322:K322" si="148">D$9/AVERAGE(C44:D44)</f>
        <v>0.13082119300144013</v>
      </c>
      <c r="E322" s="116">
        <f t="shared" si="148"/>
        <v>0.1077092316463116</v>
      </c>
      <c r="F322" s="116">
        <f t="shared" si="148"/>
        <v>0.13167752699342083</v>
      </c>
      <c r="G322" s="116">
        <f t="shared" si="148"/>
        <v>9.9416542729664797E-2</v>
      </c>
      <c r="H322" s="116">
        <f t="shared" si="148"/>
        <v>9.8995236745627588E-2</v>
      </c>
      <c r="I322" s="116">
        <f t="shared" si="148"/>
        <v>0.10925421623429363</v>
      </c>
      <c r="J322" s="116">
        <f t="shared" si="148"/>
        <v>0.10979477342176037</v>
      </c>
      <c r="K322" s="116">
        <f t="shared" si="148"/>
        <v>0.11513691206635555</v>
      </c>
      <c r="L322" s="65" t="s">
        <v>43</v>
      </c>
      <c r="M322" s="76" t="s">
        <v>154</v>
      </c>
    </row>
    <row r="323" spans="1:13" x14ac:dyDescent="0.35">
      <c r="A323" s="69" t="s">
        <v>148</v>
      </c>
      <c r="B323" s="116">
        <f>B$9/AVERAGE(B31,DLF_Balance_Sheet!B21)</f>
        <v>0.42352094349547353</v>
      </c>
      <c r="C323" s="116">
        <f>C$9/AVERAGE(B31,C31)</f>
        <v>0.5763558239461154</v>
      </c>
      <c r="D323" s="116">
        <f t="shared" ref="D323:K323" si="149">D$9/AVERAGE(C31,D31)</f>
        <v>0.44518452332602282</v>
      </c>
      <c r="E323" s="116">
        <f t="shared" si="149"/>
        <v>0.33659540299106694</v>
      </c>
      <c r="F323" s="116">
        <f t="shared" si="149"/>
        <v>0.40065130980317032</v>
      </c>
      <c r="G323" s="116">
        <f t="shared" si="149"/>
        <v>0.27342398022249692</v>
      </c>
      <c r="H323" s="116">
        <f t="shared" si="149"/>
        <v>0.24850251302412044</v>
      </c>
      <c r="I323" s="116">
        <f t="shared" si="149"/>
        <v>0.27756469388745936</v>
      </c>
      <c r="J323" s="116">
        <f t="shared" si="149"/>
        <v>0.28858822337083206</v>
      </c>
      <c r="K323" s="116">
        <f t="shared" si="149"/>
        <v>0.31726521041589534</v>
      </c>
      <c r="L323" s="65" t="s">
        <v>43</v>
      </c>
      <c r="M323" s="76" t="s">
        <v>155</v>
      </c>
    </row>
    <row r="324" spans="1:13" x14ac:dyDescent="0.35">
      <c r="A324" s="69" t="s">
        <v>149</v>
      </c>
      <c r="B324" s="116">
        <f>B$9/AVERAGE(B30,DLF_Balance_Sheet!B20)</f>
        <v>4.8611375913568482</v>
      </c>
      <c r="C324" s="116">
        <f>C$9/AVERAGE(B30:C30)</f>
        <v>3.9680191884869078</v>
      </c>
      <c r="D324" s="116">
        <f t="shared" ref="D324:K324" si="150">D$9/AVERAGE(C30:D30)</f>
        <v>3.4013239553165082</v>
      </c>
      <c r="E324" s="116">
        <f t="shared" si="150"/>
        <v>4.9626341102478726</v>
      </c>
      <c r="F324" s="116">
        <f t="shared" si="150"/>
        <v>7.8999055712936732</v>
      </c>
      <c r="G324" s="116">
        <f t="shared" si="150"/>
        <v>7.8338699291693494</v>
      </c>
      <c r="H324" s="116">
        <f t="shared" si="150"/>
        <v>8.3164362519201234</v>
      </c>
      <c r="I324" s="116">
        <f t="shared" si="150"/>
        <v>9.9860262008733631</v>
      </c>
      <c r="J324" s="116">
        <f t="shared" si="150"/>
        <v>10.233602875112309</v>
      </c>
      <c r="K324" s="116">
        <f t="shared" si="150"/>
        <v>11.82520699172033</v>
      </c>
      <c r="L324" s="65" t="s">
        <v>43</v>
      </c>
      <c r="M324" s="76" t="s">
        <v>156</v>
      </c>
    </row>
    <row r="325" spans="1:13" x14ac:dyDescent="0.35">
      <c r="A325" s="69" t="s">
        <v>152</v>
      </c>
      <c r="B325" s="116">
        <f>B$9/AVERAGE(B51,DLF_Balance_Sheet!B9)</f>
        <v>3.7032195594287098</v>
      </c>
      <c r="C325" s="116">
        <f>C$9/AVERAGE(C51,B51)</f>
        <v>5.9013079667063018</v>
      </c>
      <c r="D325" s="116">
        <f t="shared" ref="D325:K325" si="151">D$9/AVERAGE(D51,C51)</f>
        <v>5.6288942143101677</v>
      </c>
      <c r="E325" s="116">
        <f t="shared" si="151"/>
        <v>5.1120426829268295</v>
      </c>
      <c r="F325" s="116">
        <f t="shared" si="151"/>
        <v>6.7089013632718526</v>
      </c>
      <c r="G325" s="116">
        <f t="shared" si="151"/>
        <v>5.2125107112253639</v>
      </c>
      <c r="H325" s="116">
        <f t="shared" si="151"/>
        <v>4.7263203841117418</v>
      </c>
      <c r="I325" s="116">
        <f t="shared" si="151"/>
        <v>4.1382555193630113</v>
      </c>
      <c r="J325" s="116">
        <f t="shared" si="151"/>
        <v>3.5896627797037506</v>
      </c>
      <c r="K325" s="116">
        <f t="shared" si="151"/>
        <v>3.7464296123579133</v>
      </c>
      <c r="L325" s="65" t="s">
        <v>43</v>
      </c>
      <c r="M325" s="76" t="s">
        <v>158</v>
      </c>
    </row>
    <row r="326" spans="1:13" x14ac:dyDescent="0.35">
      <c r="A326" s="69" t="s">
        <v>151</v>
      </c>
      <c r="B326" s="116">
        <f>365/B324</f>
        <v>75.085305268662566</v>
      </c>
      <c r="C326" s="116">
        <f t="shared" ref="C326:K326" si="152">365/C324</f>
        <v>91.985442272818858</v>
      </c>
      <c r="D326" s="116">
        <f t="shared" si="152"/>
        <v>107.31115436078335</v>
      </c>
      <c r="E326" s="116">
        <f t="shared" si="152"/>
        <v>73.549649619800206</v>
      </c>
      <c r="F326" s="116">
        <f t="shared" si="152"/>
        <v>46.20308391106861</v>
      </c>
      <c r="G326" s="116">
        <f t="shared" si="152"/>
        <v>46.592553016603652</v>
      </c>
      <c r="H326" s="116">
        <f t="shared" si="152"/>
        <v>43.888991503509416</v>
      </c>
      <c r="I326" s="116">
        <f t="shared" si="152"/>
        <v>36.551075739023965</v>
      </c>
      <c r="J326" s="116">
        <f t="shared" si="152"/>
        <v>35.666812993854258</v>
      </c>
      <c r="K326" s="116">
        <f t="shared" si="152"/>
        <v>30.866267309786839</v>
      </c>
      <c r="L326" s="65" t="s">
        <v>43</v>
      </c>
      <c r="M326" s="76" t="s">
        <v>157</v>
      </c>
    </row>
    <row r="327" spans="1:13" x14ac:dyDescent="0.35">
      <c r="A327" s="69" t="s">
        <v>150</v>
      </c>
      <c r="B327" s="116">
        <f>365/B323</f>
        <v>861.82278729245661</v>
      </c>
      <c r="C327" s="116">
        <f t="shared" ref="C327:K327" si="153">365/C323</f>
        <v>633.28934112432</v>
      </c>
      <c r="D327" s="116">
        <f t="shared" si="153"/>
        <v>819.88474638121875</v>
      </c>
      <c r="E327" s="116">
        <f t="shared" si="153"/>
        <v>1084.3879528850455</v>
      </c>
      <c r="F327" s="116">
        <f t="shared" si="153"/>
        <v>911.01661486971079</v>
      </c>
      <c r="G327" s="116">
        <f t="shared" si="153"/>
        <v>1334.9231464737793</v>
      </c>
      <c r="H327" s="116">
        <f t="shared" si="153"/>
        <v>1468.7980236424087</v>
      </c>
      <c r="I327" s="116">
        <f t="shared" si="153"/>
        <v>1315.0087458457233</v>
      </c>
      <c r="J327" s="116">
        <f t="shared" si="153"/>
        <v>1264.7778753292362</v>
      </c>
      <c r="K327" s="116">
        <f t="shared" si="153"/>
        <v>1150.4570561692858</v>
      </c>
      <c r="L327" s="65" t="s">
        <v>43</v>
      </c>
      <c r="M327" s="76" t="s">
        <v>159</v>
      </c>
    </row>
    <row r="328" spans="1:13" x14ac:dyDescent="0.35">
      <c r="A328" s="69" t="s">
        <v>153</v>
      </c>
      <c r="B328" s="116">
        <f>365/B325</f>
        <v>98.562884037129038</v>
      </c>
      <c r="C328" s="116">
        <f t="shared" ref="C328:K328" si="154">365/C325</f>
        <v>61.850695144066094</v>
      </c>
      <c r="D328" s="116">
        <f t="shared" si="154"/>
        <v>64.843997080647128</v>
      </c>
      <c r="E328" s="116">
        <f t="shared" si="154"/>
        <v>71.400029819591467</v>
      </c>
      <c r="F328" s="116">
        <f t="shared" si="154"/>
        <v>54.405331102079849</v>
      </c>
      <c r="G328" s="116">
        <f t="shared" si="154"/>
        <v>70.023836922571107</v>
      </c>
      <c r="H328" s="116">
        <f t="shared" si="154"/>
        <v>77.227096416697449</v>
      </c>
      <c r="I328" s="116">
        <f t="shared" si="154"/>
        <v>88.201416827007165</v>
      </c>
      <c r="J328" s="116">
        <f t="shared" si="154"/>
        <v>101.68086040386304</v>
      </c>
      <c r="K328" s="116">
        <f t="shared" si="154"/>
        <v>97.426093044966549</v>
      </c>
      <c r="L328" s="65" t="s">
        <v>43</v>
      </c>
      <c r="M328" s="76" t="s">
        <v>160</v>
      </c>
    </row>
    <row r="329" spans="1:13" x14ac:dyDescent="0.35">
      <c r="A329" s="69"/>
      <c r="L329" s="65" t="s">
        <v>43</v>
      </c>
      <c r="M329" s="76"/>
    </row>
    <row r="330" spans="1:13" ht="13.9" x14ac:dyDescent="0.4">
      <c r="A330" s="80" t="s">
        <v>90</v>
      </c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65" t="s">
        <v>43</v>
      </c>
      <c r="M330" s="76"/>
    </row>
    <row r="331" spans="1:13" x14ac:dyDescent="0.35">
      <c r="A331" s="69" t="s">
        <v>127</v>
      </c>
      <c r="B331" s="116">
        <f>B61/B44</f>
        <v>0.58695783405269986</v>
      </c>
      <c r="C331" s="116">
        <f t="shared" ref="C331:K331" si="155">C61/C44</f>
        <v>0.61008602115699262</v>
      </c>
      <c r="D331" s="116">
        <f t="shared" si="155"/>
        <v>0.61577071019795482</v>
      </c>
      <c r="E331" s="116">
        <f t="shared" si="155"/>
        <v>0.41716596517289756</v>
      </c>
      <c r="F331" s="116">
        <f t="shared" si="155"/>
        <v>0.4949686385993412</v>
      </c>
      <c r="G331" s="116">
        <f t="shared" si="155"/>
        <v>0.38367536812724767</v>
      </c>
      <c r="H331" s="116">
        <f t="shared" si="155"/>
        <v>0.3392162728088543</v>
      </c>
      <c r="I331" s="116">
        <f t="shared" si="155"/>
        <v>0.28934664920749703</v>
      </c>
      <c r="J331" s="116">
        <f t="shared" si="155"/>
        <v>0.28313550939663701</v>
      </c>
      <c r="K331" s="116">
        <f t="shared" si="155"/>
        <v>0.33245865005332748</v>
      </c>
      <c r="L331" s="65" t="s">
        <v>43</v>
      </c>
      <c r="M331" s="76" t="s">
        <v>133</v>
      </c>
    </row>
    <row r="332" spans="1:13" x14ac:dyDescent="0.35">
      <c r="A332" s="69" t="s">
        <v>128</v>
      </c>
      <c r="B332" s="116">
        <f>B61/B67</f>
        <v>1.4210603237239212</v>
      </c>
      <c r="C332" s="116">
        <f t="shared" ref="C332:K332" si="156">C61/C67</f>
        <v>1.5646682454609664</v>
      </c>
      <c r="D332" s="116">
        <f t="shared" si="156"/>
        <v>1.6026126236112808</v>
      </c>
      <c r="E332" s="116">
        <f t="shared" si="156"/>
        <v>0.7157542975276826</v>
      </c>
      <c r="F332" s="116">
        <f t="shared" si="156"/>
        <v>0.98007505360972125</v>
      </c>
      <c r="G332" s="116">
        <f t="shared" si="156"/>
        <v>0.62252155485238192</v>
      </c>
      <c r="H332" s="116">
        <f t="shared" si="156"/>
        <v>0.51335445903123589</v>
      </c>
      <c r="I332" s="116">
        <f t="shared" si="156"/>
        <v>0.40715582201199052</v>
      </c>
      <c r="J332" s="116">
        <f t="shared" si="156"/>
        <v>0.39496378061400483</v>
      </c>
      <c r="K332" s="116">
        <f t="shared" si="156"/>
        <v>0.4980345413507139</v>
      </c>
      <c r="L332" s="65" t="s">
        <v>43</v>
      </c>
      <c r="M332" s="76" t="s">
        <v>132</v>
      </c>
    </row>
    <row r="333" spans="1:13" x14ac:dyDescent="0.35">
      <c r="A333" s="69" t="s">
        <v>129</v>
      </c>
      <c r="B333" s="116">
        <f>B11/B14</f>
        <v>1.3081597222222223</v>
      </c>
      <c r="C333" s="116">
        <f t="shared" ref="C333:K333" si="157">C11/C14</f>
        <v>1.4798507462686568</v>
      </c>
      <c r="D333" s="116">
        <f t="shared" si="157"/>
        <v>1.1563758389261745</v>
      </c>
      <c r="E333" s="116">
        <f t="shared" si="157"/>
        <v>0.80582853270077937</v>
      </c>
      <c r="F333" s="116">
        <f t="shared" si="157"/>
        <v>1.0417070805043647</v>
      </c>
      <c r="G333" s="116">
        <f t="shared" si="157"/>
        <v>0.80308339173090404</v>
      </c>
      <c r="H333" s="116">
        <f t="shared" si="157"/>
        <v>1.7221570926143024</v>
      </c>
      <c r="I333" s="116">
        <f t="shared" si="157"/>
        <v>2.7888000000000002</v>
      </c>
      <c r="J333" s="116">
        <f t="shared" si="157"/>
        <v>4.4030612244897958</v>
      </c>
      <c r="K333" s="116">
        <f t="shared" si="157"/>
        <v>5.9662921348314608</v>
      </c>
      <c r="L333" s="65" t="s">
        <v>43</v>
      </c>
      <c r="M333" s="76" t="s">
        <v>131</v>
      </c>
    </row>
    <row r="334" spans="1:13" x14ac:dyDescent="0.35">
      <c r="A334" s="69" t="s">
        <v>130</v>
      </c>
      <c r="B334" s="116">
        <f>B11/B57</f>
        <v>0.12304551949377424</v>
      </c>
      <c r="C334" s="116">
        <f t="shared" ref="C334:K334" si="158">C11/C57</f>
        <v>0.15698226725775807</v>
      </c>
      <c r="D334" s="116">
        <f t="shared" si="158"/>
        <v>0.11800561605369496</v>
      </c>
      <c r="E334" s="116">
        <f t="shared" si="158"/>
        <v>0.13595563432622493</v>
      </c>
      <c r="F334" s="116">
        <f t="shared" si="158"/>
        <v>0.12472418998954825</v>
      </c>
      <c r="G334" s="116">
        <f t="shared" si="158"/>
        <v>0.14142910033320993</v>
      </c>
      <c r="H334" s="116">
        <f t="shared" si="158"/>
        <v>0.21333139703746731</v>
      </c>
      <c r="I334" s="116">
        <f t="shared" si="158"/>
        <v>0.41678622668579629</v>
      </c>
      <c r="J334" s="116">
        <f t="shared" si="158"/>
        <v>0.51769646070785846</v>
      </c>
      <c r="K334" s="116">
        <f t="shared" si="158"/>
        <v>0.439387670666115</v>
      </c>
      <c r="L334" s="65" t="s">
        <v>43</v>
      </c>
      <c r="M334" s="76" t="s">
        <v>138</v>
      </c>
    </row>
    <row r="335" spans="1:13" x14ac:dyDescent="0.35">
      <c r="A335" s="69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65" t="s">
        <v>43</v>
      </c>
      <c r="M335" s="76"/>
    </row>
    <row r="336" spans="1:13" x14ac:dyDescent="0.35">
      <c r="A336" s="69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65"/>
      <c r="M336" s="76"/>
    </row>
    <row r="337" spans="1:13" ht="13.9" x14ac:dyDescent="0.4">
      <c r="A337" s="77"/>
      <c r="L337" s="65" t="s">
        <v>43</v>
      </c>
      <c r="M337" s="76"/>
    </row>
    <row r="338" spans="1:13" ht="13.9" x14ac:dyDescent="0.4">
      <c r="A338" s="78" t="s">
        <v>91</v>
      </c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65" t="s">
        <v>43</v>
      </c>
      <c r="M338" s="76"/>
    </row>
    <row r="339" spans="1:13" ht="13.9" x14ac:dyDescent="0.4">
      <c r="A339" s="77"/>
      <c r="L339" s="65" t="s">
        <v>43</v>
      </c>
      <c r="M339" s="76"/>
    </row>
    <row r="340" spans="1:13" ht="13.9" x14ac:dyDescent="0.4">
      <c r="A340" s="80" t="s">
        <v>117</v>
      </c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65" t="s">
        <v>43</v>
      </c>
      <c r="M340" s="76"/>
    </row>
    <row r="341" spans="1:13" x14ac:dyDescent="0.35">
      <c r="A341" s="69" t="s">
        <v>169</v>
      </c>
      <c r="B341" s="99">
        <f t="shared" ref="B341:K341" si="159">B17/B9</f>
        <v>6.6675382402928488E-2</v>
      </c>
      <c r="C341" s="99">
        <f t="shared" si="159"/>
        <v>4.6544428772919602E-2</v>
      </c>
      <c r="D341" s="99">
        <f t="shared" si="159"/>
        <v>9.7311762559299353E-2</v>
      </c>
      <c r="E341" s="99">
        <f t="shared" si="159"/>
        <v>0.6399284329804682</v>
      </c>
      <c r="F341" s="99">
        <f t="shared" si="159"/>
        <v>4.3987568730576139E-2</v>
      </c>
      <c r="G341" s="99">
        <f t="shared" si="159"/>
        <v>-0.24313661022521782</v>
      </c>
      <c r="H341" s="99">
        <f t="shared" si="159"/>
        <v>8.8289619504987066E-2</v>
      </c>
      <c r="I341" s="99">
        <f t="shared" si="159"/>
        <v>0.14745495889452509</v>
      </c>
      <c r="J341" s="99">
        <f t="shared" si="159"/>
        <v>0.19315188762071994</v>
      </c>
      <c r="K341" s="99">
        <f t="shared" si="159"/>
        <v>0.25377314454644467</v>
      </c>
      <c r="L341" s="65" t="s">
        <v>43</v>
      </c>
      <c r="M341" s="76"/>
    </row>
    <row r="342" spans="1:13" x14ac:dyDescent="0.35">
      <c r="A342" s="69" t="s">
        <v>171</v>
      </c>
      <c r="B342" s="99">
        <f>B9/AVERAGE(B44,DLF_Balance_Sheet!B26)</f>
        <v>0.11696881188497328</v>
      </c>
      <c r="C342" s="99">
        <f t="shared" ref="C342:K342" si="160">C9/AVERAGE(B44:C44)</f>
        <v>0.15510465579611066</v>
      </c>
      <c r="D342" s="99">
        <f t="shared" si="160"/>
        <v>0.13082119300144013</v>
      </c>
      <c r="E342" s="99">
        <f t="shared" si="160"/>
        <v>0.1077092316463116</v>
      </c>
      <c r="F342" s="99">
        <f t="shared" si="160"/>
        <v>0.13167752699342083</v>
      </c>
      <c r="G342" s="99">
        <f t="shared" si="160"/>
        <v>9.9416542729664797E-2</v>
      </c>
      <c r="H342" s="99">
        <f t="shared" si="160"/>
        <v>9.8995236745627588E-2</v>
      </c>
      <c r="I342" s="99">
        <f t="shared" si="160"/>
        <v>0.10925421623429363</v>
      </c>
      <c r="J342" s="99">
        <f t="shared" si="160"/>
        <v>0.10979477342176037</v>
      </c>
      <c r="K342" s="99">
        <f t="shared" si="160"/>
        <v>0.11513691206635555</v>
      </c>
      <c r="L342" s="65" t="s">
        <v>43</v>
      </c>
      <c r="M342" s="76"/>
    </row>
    <row r="343" spans="1:13" x14ac:dyDescent="0.35">
      <c r="A343" s="69" t="s">
        <v>170</v>
      </c>
      <c r="B343" s="99">
        <f>AVERAGE(B44,DLF_Balance_Sheet!B26)/AVERAGE(SUM(DLF_Balance_Sheet!B3:B4,'DLF Model'!B67))</f>
        <v>1.1940964867431159</v>
      </c>
      <c r="C343" s="99">
        <f t="shared" ref="C343:K343" si="161">AVERAGE(B44:C44)/AVERAGE(B67:C67)</f>
        <v>2.4882577083090323</v>
      </c>
      <c r="D343" s="99">
        <f t="shared" si="161"/>
        <v>2.583837013280704</v>
      </c>
      <c r="E343" s="99">
        <f t="shared" si="161"/>
        <v>2.0796706966802483</v>
      </c>
      <c r="F343" s="99">
        <f t="shared" si="161"/>
        <v>1.8445860612307112</v>
      </c>
      <c r="G343" s="99">
        <f t="shared" si="161"/>
        <v>1.7990091586669215</v>
      </c>
      <c r="H343" s="99">
        <f t="shared" si="161"/>
        <v>1.567236463154275</v>
      </c>
      <c r="I343" s="99">
        <f t="shared" si="161"/>
        <v>1.4595012969625973</v>
      </c>
      <c r="J343" s="99">
        <f t="shared" si="161"/>
        <v>1.4009507218193358</v>
      </c>
      <c r="K343" s="99">
        <f t="shared" si="161"/>
        <v>1.447664617858347</v>
      </c>
      <c r="L343" s="65" t="s">
        <v>43</v>
      </c>
      <c r="M343" s="76"/>
    </row>
    <row r="344" spans="1:13" ht="13.9" x14ac:dyDescent="0.4">
      <c r="A344" s="77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65" t="s">
        <v>43</v>
      </c>
      <c r="M344" s="76"/>
    </row>
    <row r="345" spans="1:13" ht="13.9" x14ac:dyDescent="0.4">
      <c r="A345" s="77" t="s">
        <v>177</v>
      </c>
      <c r="B345" s="119">
        <f>B341*B342*B343</f>
        <v>9.3126871667518814E-3</v>
      </c>
      <c r="C345" s="119">
        <f t="shared" ref="C345:K345" si="162">C341*C342*C343</f>
        <v>1.7963373381546716E-2</v>
      </c>
      <c r="D345" s="119">
        <f t="shared" si="162"/>
        <v>3.2893384318079026E-2</v>
      </c>
      <c r="E345" s="119">
        <f t="shared" si="162"/>
        <v>0.14334379800948502</v>
      </c>
      <c r="F345" s="119">
        <f t="shared" si="162"/>
        <v>1.0684163920623628E-2</v>
      </c>
      <c r="G345" s="119">
        <f t="shared" si="162"/>
        <v>-4.3485291739558674E-2</v>
      </c>
      <c r="H345" s="119">
        <f t="shared" si="162"/>
        <v>1.3698041294722815E-2</v>
      </c>
      <c r="I345" s="119">
        <f t="shared" si="162"/>
        <v>2.3512676763450757E-2</v>
      </c>
      <c r="J345" s="119">
        <f t="shared" si="162"/>
        <v>2.9710056854245159E-2</v>
      </c>
      <c r="K345" s="119">
        <f t="shared" si="162"/>
        <v>4.2298814803288468E-2</v>
      </c>
      <c r="L345" s="65" t="s">
        <v>43</v>
      </c>
      <c r="M345" s="76"/>
    </row>
    <row r="346" spans="1:13" ht="13.9" x14ac:dyDescent="0.4">
      <c r="A346" s="77"/>
      <c r="L346" s="65" t="s">
        <v>43</v>
      </c>
      <c r="M346" s="76"/>
    </row>
    <row r="347" spans="1:13" ht="13.9" x14ac:dyDescent="0.4">
      <c r="A347" s="80" t="s">
        <v>118</v>
      </c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65" t="s">
        <v>43</v>
      </c>
      <c r="M347" s="76"/>
    </row>
    <row r="348" spans="1:13" x14ac:dyDescent="0.35">
      <c r="A348" s="69" t="s">
        <v>172</v>
      </c>
      <c r="B348" s="99">
        <f t="shared" ref="B348:K348" si="163">B17/B15</f>
        <v>0.76347305389221554</v>
      </c>
      <c r="C348" s="99">
        <f t="shared" si="163"/>
        <v>0.45029239766081869</v>
      </c>
      <c r="D348" s="99">
        <f t="shared" si="163"/>
        <v>0.77745383867832851</v>
      </c>
      <c r="E348" s="99">
        <f t="shared" si="163"/>
        <v>0.49820081253627396</v>
      </c>
      <c r="F348" s="99">
        <f t="shared" si="163"/>
        <v>0.57054263565891472</v>
      </c>
      <c r="G348" s="99">
        <f t="shared" si="163"/>
        <v>-2.261467889908257</v>
      </c>
      <c r="H348" s="99">
        <f t="shared" si="163"/>
        <v>0.56904761904761902</v>
      </c>
      <c r="I348" s="99">
        <f t="shared" si="163"/>
        <v>0.72422680412371132</v>
      </c>
      <c r="J348" s="99">
        <f t="shared" si="163"/>
        <v>0.73235685752330226</v>
      </c>
      <c r="K348" s="99">
        <f t="shared" si="163"/>
        <v>0.75825197582519754</v>
      </c>
      <c r="L348" s="65" t="s">
        <v>43</v>
      </c>
      <c r="M348" s="76"/>
    </row>
    <row r="349" spans="1:13" x14ac:dyDescent="0.35">
      <c r="A349" s="69" t="s">
        <v>173</v>
      </c>
      <c r="B349" s="118">
        <f>B342</f>
        <v>0.11696881188497328</v>
      </c>
      <c r="C349" s="118">
        <f t="shared" ref="C349:K349" si="164">C342</f>
        <v>0.15510465579611066</v>
      </c>
      <c r="D349" s="118">
        <f t="shared" si="164"/>
        <v>0.13082119300144013</v>
      </c>
      <c r="E349" s="118">
        <f t="shared" si="164"/>
        <v>0.1077092316463116</v>
      </c>
      <c r="F349" s="118">
        <f t="shared" si="164"/>
        <v>0.13167752699342083</v>
      </c>
      <c r="G349" s="118">
        <f t="shared" si="164"/>
        <v>9.9416542729664797E-2</v>
      </c>
      <c r="H349" s="118">
        <f t="shared" si="164"/>
        <v>9.8995236745627588E-2</v>
      </c>
      <c r="I349" s="118">
        <f t="shared" si="164"/>
        <v>0.10925421623429363</v>
      </c>
      <c r="J349" s="118">
        <f t="shared" si="164"/>
        <v>0.10979477342176037</v>
      </c>
      <c r="K349" s="118">
        <f t="shared" si="164"/>
        <v>0.11513691206635555</v>
      </c>
      <c r="L349" s="65" t="s">
        <v>43</v>
      </c>
      <c r="M349" s="76"/>
    </row>
    <row r="350" spans="1:13" x14ac:dyDescent="0.35">
      <c r="A350" s="69" t="s">
        <v>174</v>
      </c>
      <c r="B350" s="118">
        <f>B343</f>
        <v>1.1940964867431159</v>
      </c>
      <c r="C350" s="118">
        <f t="shared" ref="C350:K350" si="165">C343</f>
        <v>2.4882577083090323</v>
      </c>
      <c r="D350" s="118">
        <f t="shared" si="165"/>
        <v>2.583837013280704</v>
      </c>
      <c r="E350" s="118">
        <f t="shared" si="165"/>
        <v>2.0796706966802483</v>
      </c>
      <c r="F350" s="118">
        <f t="shared" si="165"/>
        <v>1.8445860612307112</v>
      </c>
      <c r="G350" s="118">
        <f t="shared" si="165"/>
        <v>1.7990091586669215</v>
      </c>
      <c r="H350" s="118">
        <f t="shared" si="165"/>
        <v>1.567236463154275</v>
      </c>
      <c r="I350" s="118">
        <f t="shared" si="165"/>
        <v>1.4595012969625973</v>
      </c>
      <c r="J350" s="118">
        <f t="shared" si="165"/>
        <v>1.4009507218193358</v>
      </c>
      <c r="K350" s="118">
        <f t="shared" si="165"/>
        <v>1.447664617858347</v>
      </c>
      <c r="L350" s="65" t="s">
        <v>43</v>
      </c>
      <c r="M350" s="76"/>
    </row>
    <row r="351" spans="1:13" x14ac:dyDescent="0.35">
      <c r="A351" s="69" t="s">
        <v>175</v>
      </c>
      <c r="B351" s="99">
        <f t="shared" ref="B351:K351" si="166">B15/B11</f>
        <v>0.22163238221632381</v>
      </c>
      <c r="C351" s="99">
        <f t="shared" si="166"/>
        <v>0.25869894099848711</v>
      </c>
      <c r="D351" s="99">
        <f t="shared" si="166"/>
        <v>0.29860708067324432</v>
      </c>
      <c r="E351" s="99">
        <f t="shared" si="166"/>
        <v>3.6227922624053828</v>
      </c>
      <c r="F351" s="99">
        <f t="shared" si="166"/>
        <v>0.30027932960893855</v>
      </c>
      <c r="G351" s="99">
        <f t="shared" si="166"/>
        <v>0.5706806282722513</v>
      </c>
      <c r="H351" s="99">
        <f t="shared" si="166"/>
        <v>0.57181756296800546</v>
      </c>
      <c r="I351" s="99">
        <f t="shared" si="166"/>
        <v>0.66781411359724607</v>
      </c>
      <c r="J351" s="99">
        <f t="shared" si="166"/>
        <v>0.87022016222479726</v>
      </c>
      <c r="K351" s="99">
        <f t="shared" si="166"/>
        <v>1.0127118644067796</v>
      </c>
      <c r="L351" s="65" t="s">
        <v>43</v>
      </c>
      <c r="M351" s="76"/>
    </row>
    <row r="352" spans="1:13" x14ac:dyDescent="0.35">
      <c r="A352" s="69" t="s">
        <v>176</v>
      </c>
      <c r="B352" s="99">
        <f t="shared" ref="B352:K352" si="167">B11/B9</f>
        <v>0.3940384363969146</v>
      </c>
      <c r="C352" s="99">
        <f t="shared" si="167"/>
        <v>0.39955671972597218</v>
      </c>
      <c r="D352" s="99">
        <f t="shared" si="167"/>
        <v>0.41917041722418197</v>
      </c>
      <c r="E352" s="99">
        <f t="shared" si="167"/>
        <v>0.35455494259728643</v>
      </c>
      <c r="F352" s="99">
        <f t="shared" si="167"/>
        <v>0.25675352617738467</v>
      </c>
      <c r="G352" s="99">
        <f t="shared" si="167"/>
        <v>0.18839388459641623</v>
      </c>
      <c r="H352" s="99">
        <f t="shared" si="167"/>
        <v>0.27133357960842258</v>
      </c>
      <c r="I352" s="99">
        <f t="shared" si="167"/>
        <v>0.30488018191359106</v>
      </c>
      <c r="J352" s="99">
        <f t="shared" si="167"/>
        <v>0.30307287093942054</v>
      </c>
      <c r="K352" s="99">
        <f t="shared" si="167"/>
        <v>0.3304807841916913</v>
      </c>
      <c r="L352" s="65" t="s">
        <v>43</v>
      </c>
      <c r="M352" s="76"/>
    </row>
    <row r="353" spans="1:13" ht="13.9" x14ac:dyDescent="0.4">
      <c r="A353" s="77"/>
      <c r="L353" s="65" t="s">
        <v>43</v>
      </c>
      <c r="M353" s="76"/>
    </row>
    <row r="354" spans="1:13" ht="13.9" x14ac:dyDescent="0.4">
      <c r="A354" s="77" t="s">
        <v>178</v>
      </c>
      <c r="B354" s="119">
        <f>B348*B349*B350*B351*B352</f>
        <v>9.3126871667518797E-3</v>
      </c>
      <c r="C354" s="119">
        <f t="shared" ref="C354:K354" si="168">C348*C349*C350*C351*C352</f>
        <v>1.7963373381546712E-2</v>
      </c>
      <c r="D354" s="119">
        <f t="shared" si="168"/>
        <v>3.2893384318079026E-2</v>
      </c>
      <c r="E354" s="119">
        <f t="shared" si="168"/>
        <v>0.14334379800948502</v>
      </c>
      <c r="F354" s="119">
        <f t="shared" si="168"/>
        <v>1.0684163920623629E-2</v>
      </c>
      <c r="G354" s="119">
        <f t="shared" si="168"/>
        <v>-4.3485291739558674E-2</v>
      </c>
      <c r="H354" s="119">
        <f t="shared" si="168"/>
        <v>1.3698041294722811E-2</v>
      </c>
      <c r="I354" s="119">
        <f t="shared" si="168"/>
        <v>2.3512676763450757E-2</v>
      </c>
      <c r="J354" s="119">
        <f t="shared" si="168"/>
        <v>2.9710056854245156E-2</v>
      </c>
      <c r="K354" s="119">
        <f t="shared" si="168"/>
        <v>4.2298814803288468E-2</v>
      </c>
      <c r="L354" s="65" t="s">
        <v>43</v>
      </c>
      <c r="M354" s="76"/>
    </row>
    <row r="355" spans="1:13" ht="13.9" thickBot="1" x14ac:dyDescent="0.4">
      <c r="A355" s="70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6" t="s">
        <v>43</v>
      </c>
      <c r="M355" s="7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C6942-64EB-4996-8C90-B8CD3F980227}">
  <dimension ref="A1:Q23"/>
  <sheetViews>
    <sheetView showGridLines="0" zoomScale="104" workbookViewId="0">
      <selection activeCell="N7" sqref="N7"/>
    </sheetView>
  </sheetViews>
  <sheetFormatPr defaultColWidth="8.73046875" defaultRowHeight="12.75" x14ac:dyDescent="0.35"/>
  <cols>
    <col min="1" max="1" width="21.46484375" style="7" bestFit="1" customWidth="1"/>
    <col min="2" max="2" width="9.265625" style="7" customWidth="1"/>
    <col min="3" max="5" width="9.265625" style="7" bestFit="1" customWidth="1"/>
    <col min="6" max="6" width="9.9296875" style="7" bestFit="1" customWidth="1"/>
    <col min="7" max="7" width="9.265625" style="7" bestFit="1" customWidth="1"/>
    <col min="8" max="8" width="9.9296875" style="7" bestFit="1" customWidth="1"/>
    <col min="9" max="12" width="9.265625" style="7" bestFit="1" customWidth="1"/>
    <col min="13" max="16384" width="8.73046875" style="7"/>
  </cols>
  <sheetData>
    <row r="1" spans="1:17" ht="13.15" x14ac:dyDescent="0.4">
      <c r="A1" s="30" t="s">
        <v>11</v>
      </c>
      <c r="B1" s="31">
        <v>41729</v>
      </c>
      <c r="C1" s="31">
        <v>42094</v>
      </c>
      <c r="D1" s="31">
        <v>42460</v>
      </c>
      <c r="E1" s="31">
        <v>42825</v>
      </c>
      <c r="F1" s="31">
        <v>43190</v>
      </c>
      <c r="G1" s="31">
        <v>43555</v>
      </c>
      <c r="H1" s="31">
        <v>43921</v>
      </c>
      <c r="I1" s="31">
        <v>44286</v>
      </c>
      <c r="J1" s="31">
        <v>44651</v>
      </c>
      <c r="K1" s="31">
        <v>45016</v>
      </c>
      <c r="L1" s="32">
        <v>45382</v>
      </c>
      <c r="M1" s="124"/>
      <c r="N1" s="124"/>
      <c r="O1" s="124"/>
      <c r="P1" s="124"/>
      <c r="Q1" s="124"/>
    </row>
    <row r="2" spans="1:17" ht="13.15" x14ac:dyDescent="0.4">
      <c r="A2" s="126" t="s">
        <v>7</v>
      </c>
      <c r="B2" s="127">
        <v>8298</v>
      </c>
      <c r="C2" s="127">
        <v>7649</v>
      </c>
      <c r="D2" s="127">
        <v>9926</v>
      </c>
      <c r="E2" s="127">
        <v>8221</v>
      </c>
      <c r="F2" s="127">
        <v>6707</v>
      </c>
      <c r="G2" s="127">
        <v>8366</v>
      </c>
      <c r="H2" s="127">
        <v>6083</v>
      </c>
      <c r="I2" s="127">
        <v>5414</v>
      </c>
      <c r="J2" s="127">
        <v>5717</v>
      </c>
      <c r="K2" s="127">
        <v>5695</v>
      </c>
      <c r="L2" s="128">
        <v>6427</v>
      </c>
      <c r="M2" s="124"/>
      <c r="N2" s="124"/>
      <c r="O2" s="124"/>
      <c r="P2" s="124"/>
      <c r="Q2" s="124"/>
    </row>
    <row r="3" spans="1:17" x14ac:dyDescent="0.35">
      <c r="A3" s="129" t="s">
        <v>12</v>
      </c>
      <c r="B3" s="130">
        <v>5805</v>
      </c>
      <c r="C3" s="130">
        <v>4635</v>
      </c>
      <c r="D3" s="130">
        <v>5960</v>
      </c>
      <c r="E3" s="130">
        <v>4775</v>
      </c>
      <c r="F3" s="130">
        <v>4329</v>
      </c>
      <c r="G3" s="130">
        <v>6218</v>
      </c>
      <c r="H3" s="130">
        <v>4937</v>
      </c>
      <c r="I3" s="130">
        <v>3945</v>
      </c>
      <c r="J3" s="130">
        <v>3974</v>
      </c>
      <c r="K3" s="130">
        <v>3969</v>
      </c>
      <c r="L3" s="131">
        <v>4303</v>
      </c>
      <c r="M3" s="124"/>
      <c r="N3" s="124"/>
      <c r="O3" s="124"/>
      <c r="P3" s="124"/>
      <c r="Q3" s="124"/>
    </row>
    <row r="4" spans="1:17" ht="13.15" x14ac:dyDescent="0.4">
      <c r="A4" s="126" t="s">
        <v>103</v>
      </c>
      <c r="B4" s="132">
        <f>B2-B3</f>
        <v>2493</v>
      </c>
      <c r="C4" s="132">
        <f>C2-C3</f>
        <v>3014</v>
      </c>
      <c r="D4" s="132">
        <f t="shared" ref="D4:L4" si="0">D2-D3</f>
        <v>3966</v>
      </c>
      <c r="E4" s="132">
        <f t="shared" si="0"/>
        <v>3446</v>
      </c>
      <c r="F4" s="132">
        <f t="shared" si="0"/>
        <v>2378</v>
      </c>
      <c r="G4" s="132">
        <f t="shared" si="0"/>
        <v>2148</v>
      </c>
      <c r="H4" s="132">
        <f t="shared" si="0"/>
        <v>1146</v>
      </c>
      <c r="I4" s="132">
        <f t="shared" si="0"/>
        <v>1469</v>
      </c>
      <c r="J4" s="132">
        <f t="shared" si="0"/>
        <v>1743</v>
      </c>
      <c r="K4" s="132">
        <f t="shared" si="0"/>
        <v>1726</v>
      </c>
      <c r="L4" s="133">
        <f t="shared" si="0"/>
        <v>2124</v>
      </c>
      <c r="M4" s="124"/>
      <c r="N4" s="124"/>
      <c r="O4" s="124"/>
      <c r="P4" s="124"/>
      <c r="Q4" s="124"/>
    </row>
    <row r="5" spans="1:17" x14ac:dyDescent="0.35">
      <c r="A5" s="129" t="s">
        <v>13</v>
      </c>
      <c r="B5" s="130">
        <v>1133</v>
      </c>
      <c r="C5" s="130">
        <v>503</v>
      </c>
      <c r="D5" s="130">
        <v>506</v>
      </c>
      <c r="E5" s="130">
        <v>1135</v>
      </c>
      <c r="F5" s="130">
        <v>9722</v>
      </c>
      <c r="G5" s="130">
        <v>784</v>
      </c>
      <c r="H5" s="130">
        <v>1135</v>
      </c>
      <c r="I5" s="130">
        <v>383</v>
      </c>
      <c r="J5" s="130">
        <v>195</v>
      </c>
      <c r="K5" s="130">
        <v>317</v>
      </c>
      <c r="L5" s="131">
        <v>531</v>
      </c>
      <c r="M5" s="124"/>
      <c r="N5" s="124"/>
      <c r="O5" s="124"/>
      <c r="P5" s="124"/>
      <c r="Q5" s="124"/>
    </row>
    <row r="6" spans="1:17" x14ac:dyDescent="0.35">
      <c r="A6" s="129" t="s">
        <v>14</v>
      </c>
      <c r="B6" s="130">
        <v>2463</v>
      </c>
      <c r="C6" s="130">
        <v>545</v>
      </c>
      <c r="D6" s="130">
        <v>766</v>
      </c>
      <c r="E6" s="130">
        <v>572</v>
      </c>
      <c r="F6" s="130">
        <v>534</v>
      </c>
      <c r="G6" s="130">
        <v>225</v>
      </c>
      <c r="H6" s="130">
        <v>200</v>
      </c>
      <c r="I6" s="130">
        <v>159</v>
      </c>
      <c r="J6" s="130">
        <v>149</v>
      </c>
      <c r="K6" s="130">
        <v>149</v>
      </c>
      <c r="L6" s="131">
        <v>148</v>
      </c>
      <c r="M6" s="124"/>
      <c r="N6" s="124"/>
      <c r="O6" s="124"/>
      <c r="P6" s="124"/>
      <c r="Q6" s="124"/>
    </row>
    <row r="7" spans="1:17" x14ac:dyDescent="0.35">
      <c r="A7" s="129" t="s">
        <v>15</v>
      </c>
      <c r="B7" s="130">
        <v>663</v>
      </c>
      <c r="C7" s="130">
        <v>2304</v>
      </c>
      <c r="D7" s="130">
        <v>2680</v>
      </c>
      <c r="E7" s="130">
        <v>2980</v>
      </c>
      <c r="F7" s="130">
        <v>2951</v>
      </c>
      <c r="G7" s="130">
        <v>2062</v>
      </c>
      <c r="H7" s="130">
        <v>1427</v>
      </c>
      <c r="I7" s="130">
        <v>853</v>
      </c>
      <c r="J7" s="130">
        <v>625</v>
      </c>
      <c r="K7" s="130">
        <v>392</v>
      </c>
      <c r="L7" s="131">
        <v>356</v>
      </c>
      <c r="M7" s="124"/>
      <c r="N7" s="124"/>
      <c r="O7" s="124"/>
      <c r="P7" s="124"/>
      <c r="Q7" s="124"/>
    </row>
    <row r="8" spans="1:17" ht="13.15" x14ac:dyDescent="0.4">
      <c r="A8" s="126" t="s">
        <v>16</v>
      </c>
      <c r="B8" s="132">
        <f>B4+B5-B6-B7</f>
        <v>500</v>
      </c>
      <c r="C8" s="132">
        <f>C4+C5-C6-C7</f>
        <v>668</v>
      </c>
      <c r="D8" s="132">
        <f t="shared" ref="D8:L8" si="1">D4+D5-D6-D7</f>
        <v>1026</v>
      </c>
      <c r="E8" s="132">
        <f t="shared" si="1"/>
        <v>1029</v>
      </c>
      <c r="F8" s="132">
        <f t="shared" si="1"/>
        <v>8615</v>
      </c>
      <c r="G8" s="132">
        <f t="shared" si="1"/>
        <v>645</v>
      </c>
      <c r="H8" s="132">
        <f t="shared" si="1"/>
        <v>654</v>
      </c>
      <c r="I8" s="132">
        <f t="shared" si="1"/>
        <v>840</v>
      </c>
      <c r="J8" s="132">
        <f t="shared" si="1"/>
        <v>1164</v>
      </c>
      <c r="K8" s="132">
        <f t="shared" si="1"/>
        <v>1502</v>
      </c>
      <c r="L8" s="133">
        <f t="shared" si="1"/>
        <v>2151</v>
      </c>
      <c r="M8" s="124"/>
      <c r="N8" s="124"/>
      <c r="O8" s="124"/>
      <c r="P8" s="124"/>
      <c r="Q8" s="124"/>
    </row>
    <row r="9" spans="1:17" x14ac:dyDescent="0.35">
      <c r="A9" s="129" t="s">
        <v>17</v>
      </c>
      <c r="B9" s="130">
        <v>0</v>
      </c>
      <c r="C9" s="130">
        <v>158</v>
      </c>
      <c r="D9" s="130">
        <v>564</v>
      </c>
      <c r="E9" s="130">
        <v>229</v>
      </c>
      <c r="F9" s="130">
        <v>4323</v>
      </c>
      <c r="G9" s="130">
        <v>277</v>
      </c>
      <c r="H9" s="130">
        <v>2133</v>
      </c>
      <c r="I9" s="130">
        <v>362</v>
      </c>
      <c r="J9" s="130">
        <v>321</v>
      </c>
      <c r="K9" s="130">
        <v>402</v>
      </c>
      <c r="L9" s="131">
        <v>520</v>
      </c>
      <c r="M9" s="124"/>
      <c r="N9" s="124"/>
      <c r="O9" s="124"/>
      <c r="P9" s="124"/>
      <c r="Q9" s="124"/>
    </row>
    <row r="10" spans="1:17" x14ac:dyDescent="0.35">
      <c r="A10" s="129" t="s">
        <v>96</v>
      </c>
      <c r="B10" s="134">
        <v>0</v>
      </c>
      <c r="C10" s="134">
        <v>0.23617339312406577</v>
      </c>
      <c r="D10" s="134">
        <v>0.54970760233918126</v>
      </c>
      <c r="E10" s="134">
        <v>0.22254616132167152</v>
      </c>
      <c r="F10" s="134">
        <v>0.50179918746372609</v>
      </c>
      <c r="G10" s="134">
        <v>0.42879256965944273</v>
      </c>
      <c r="H10" s="134">
        <v>3.261467889908257</v>
      </c>
      <c r="I10" s="134">
        <v>0.43095238095238098</v>
      </c>
      <c r="J10" s="134">
        <v>0.27577319587628868</v>
      </c>
      <c r="K10" s="134">
        <v>0.26746506986027946</v>
      </c>
      <c r="L10" s="135">
        <v>0.24174802417480243</v>
      </c>
      <c r="M10" s="124"/>
      <c r="N10" s="124"/>
      <c r="O10" s="124"/>
      <c r="P10" s="124"/>
      <c r="Q10" s="124"/>
    </row>
    <row r="11" spans="1:17" ht="13.15" x14ac:dyDescent="0.4">
      <c r="A11" s="136" t="s">
        <v>18</v>
      </c>
      <c r="B11" s="137">
        <f>B8-B10</f>
        <v>500</v>
      </c>
      <c r="C11" s="137">
        <f>C8-C9</f>
        <v>510</v>
      </c>
      <c r="D11" s="137">
        <f t="shared" ref="D11:L11" si="2">D8-D9</f>
        <v>462</v>
      </c>
      <c r="E11" s="137">
        <f t="shared" si="2"/>
        <v>800</v>
      </c>
      <c r="F11" s="137">
        <f t="shared" si="2"/>
        <v>4292</v>
      </c>
      <c r="G11" s="137">
        <f t="shared" si="2"/>
        <v>368</v>
      </c>
      <c r="H11" s="137">
        <f t="shared" si="2"/>
        <v>-1479</v>
      </c>
      <c r="I11" s="137">
        <f t="shared" si="2"/>
        <v>478</v>
      </c>
      <c r="J11" s="137">
        <f t="shared" si="2"/>
        <v>843</v>
      </c>
      <c r="K11" s="137">
        <f t="shared" si="2"/>
        <v>1100</v>
      </c>
      <c r="L11" s="138">
        <f t="shared" si="2"/>
        <v>1631</v>
      </c>
      <c r="M11" s="124"/>
      <c r="N11" s="124"/>
      <c r="O11" s="124"/>
      <c r="P11" s="124"/>
      <c r="Q11" s="124"/>
    </row>
    <row r="12" spans="1:17" ht="13.15" x14ac:dyDescent="0.4">
      <c r="A12" s="126"/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3"/>
      <c r="M12" s="124"/>
      <c r="N12" s="124"/>
      <c r="O12" s="124"/>
      <c r="P12" s="124"/>
      <c r="Q12" s="124"/>
    </row>
    <row r="13" spans="1:17" ht="13.15" x14ac:dyDescent="0.4">
      <c r="A13" s="126" t="s">
        <v>93</v>
      </c>
      <c r="B13" s="132">
        <v>3.63</v>
      </c>
      <c r="C13" s="132">
        <v>3.0317638475784277</v>
      </c>
      <c r="D13" s="132">
        <v>1.7166563884061219</v>
      </c>
      <c r="E13" s="132">
        <v>4.006726457399103</v>
      </c>
      <c r="F13" s="132">
        <v>25.020234291799785</v>
      </c>
      <c r="G13" s="132">
        <v>5.9768031895614353</v>
      </c>
      <c r="H13" s="132">
        <v>-2.3560780511453161</v>
      </c>
      <c r="I13" s="132">
        <v>4.4180503373328479</v>
      </c>
      <c r="J13" s="132">
        <v>6.063305457924292</v>
      </c>
      <c r="K13" s="132">
        <v>8.2245788389286147</v>
      </c>
      <c r="L13" s="133">
        <v>11.017290833434332</v>
      </c>
      <c r="M13" s="124"/>
      <c r="N13" s="124"/>
      <c r="O13" s="124"/>
      <c r="P13" s="124"/>
      <c r="Q13" s="124"/>
    </row>
    <row r="14" spans="1:17" ht="13.15" x14ac:dyDescent="0.4">
      <c r="A14" s="139" t="s">
        <v>110</v>
      </c>
      <c r="B14" s="140">
        <v>0.55000000000000004</v>
      </c>
      <c r="C14" s="140">
        <v>0.66</v>
      </c>
      <c r="D14" s="140">
        <v>1.17</v>
      </c>
      <c r="E14" s="140">
        <v>0.5</v>
      </c>
      <c r="F14" s="140">
        <v>0.08</v>
      </c>
      <c r="G14" s="140">
        <v>0.33</v>
      </c>
      <c r="H14" s="140">
        <v>-0.85</v>
      </c>
      <c r="I14" s="140">
        <v>0.45</v>
      </c>
      <c r="J14" s="140">
        <v>0.49</v>
      </c>
      <c r="K14" s="140">
        <v>0.49</v>
      </c>
      <c r="L14" s="141">
        <v>0.45</v>
      </c>
      <c r="M14" s="124"/>
      <c r="N14" s="124"/>
      <c r="O14" s="124"/>
      <c r="P14" s="124"/>
      <c r="Q14" s="124"/>
    </row>
    <row r="15" spans="1:17" ht="13.15" x14ac:dyDescent="0.4">
      <c r="A15" s="139" t="s">
        <v>94</v>
      </c>
      <c r="B15" s="142">
        <v>48.443526170798897</v>
      </c>
      <c r="C15" s="142">
        <v>52.19733724524739</v>
      </c>
      <c r="D15" s="142">
        <v>66.845060418027444</v>
      </c>
      <c r="E15" s="142">
        <v>37.100111919418019</v>
      </c>
      <c r="F15" s="142">
        <v>8.0434898271899211</v>
      </c>
      <c r="G15" s="142">
        <v>33.872622801698</v>
      </c>
      <c r="H15" s="142">
        <v>-58.338474794238671</v>
      </c>
      <c r="I15" s="142">
        <v>64.972098116313106</v>
      </c>
      <c r="J15" s="142">
        <v>62.746302761768327</v>
      </c>
      <c r="K15" s="142">
        <v>43.370001915680582</v>
      </c>
      <c r="L15" s="143">
        <v>81.417474909336249</v>
      </c>
      <c r="M15" s="124"/>
      <c r="N15" s="124"/>
      <c r="O15" s="124"/>
      <c r="P15" s="124"/>
      <c r="Q15" s="124"/>
    </row>
    <row r="16" spans="1:17" ht="13.15" x14ac:dyDescent="0.4">
      <c r="A16" s="144" t="s">
        <v>95</v>
      </c>
      <c r="B16" s="145">
        <v>175.85</v>
      </c>
      <c r="C16" s="145">
        <v>158.25</v>
      </c>
      <c r="D16" s="145">
        <v>114.75</v>
      </c>
      <c r="E16" s="145">
        <v>148.65</v>
      </c>
      <c r="F16" s="145">
        <v>201.25</v>
      </c>
      <c r="G16" s="145">
        <v>202.45</v>
      </c>
      <c r="H16" s="145">
        <v>137.44999999999999</v>
      </c>
      <c r="I16" s="145">
        <v>287.05</v>
      </c>
      <c r="J16" s="145">
        <v>380.45</v>
      </c>
      <c r="K16" s="145">
        <v>356.7</v>
      </c>
      <c r="L16" s="146">
        <v>897</v>
      </c>
      <c r="M16" s="124"/>
      <c r="N16" s="124"/>
      <c r="O16" s="124"/>
      <c r="P16" s="124"/>
      <c r="Q16" s="124"/>
    </row>
    <row r="17" spans="1:17" ht="13.15" x14ac:dyDescent="0.4">
      <c r="A17" s="126"/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3"/>
      <c r="M17" s="124"/>
      <c r="N17" s="124"/>
      <c r="O17" s="124"/>
      <c r="P17" s="124"/>
      <c r="Q17" s="124"/>
    </row>
    <row r="18" spans="1:17" ht="13.15" x14ac:dyDescent="0.4">
      <c r="A18" s="126" t="s">
        <v>24</v>
      </c>
      <c r="B18" s="132">
        <f>B4+B6</f>
        <v>4956</v>
      </c>
      <c r="C18" s="132">
        <f>C4+C6</f>
        <v>3559</v>
      </c>
      <c r="D18" s="132">
        <f t="shared" ref="D18:L18" si="3">D4+D6</f>
        <v>4732</v>
      </c>
      <c r="E18" s="132">
        <f t="shared" si="3"/>
        <v>4018</v>
      </c>
      <c r="F18" s="132">
        <f t="shared" si="3"/>
        <v>2912</v>
      </c>
      <c r="G18" s="132">
        <f t="shared" si="3"/>
        <v>2373</v>
      </c>
      <c r="H18" s="132">
        <f t="shared" si="3"/>
        <v>1346</v>
      </c>
      <c r="I18" s="132">
        <f t="shared" si="3"/>
        <v>1628</v>
      </c>
      <c r="J18" s="132">
        <f t="shared" si="3"/>
        <v>1892</v>
      </c>
      <c r="K18" s="132">
        <f t="shared" si="3"/>
        <v>1875</v>
      </c>
      <c r="L18" s="133">
        <f t="shared" si="3"/>
        <v>2272</v>
      </c>
      <c r="M18" s="124"/>
      <c r="N18" s="124"/>
      <c r="O18" s="124"/>
      <c r="P18" s="124"/>
      <c r="Q18" s="124"/>
    </row>
    <row r="19" spans="1:17" ht="13.15" x14ac:dyDescent="0.4">
      <c r="A19" s="139" t="s">
        <v>19</v>
      </c>
      <c r="B19" s="142">
        <f>B4</f>
        <v>2493</v>
      </c>
      <c r="C19" s="142">
        <f>C4</f>
        <v>3014</v>
      </c>
      <c r="D19" s="142">
        <f t="shared" ref="D19:L19" si="4">D4</f>
        <v>3966</v>
      </c>
      <c r="E19" s="142">
        <f t="shared" si="4"/>
        <v>3446</v>
      </c>
      <c r="F19" s="142">
        <f t="shared" si="4"/>
        <v>2378</v>
      </c>
      <c r="G19" s="142">
        <f t="shared" si="4"/>
        <v>2148</v>
      </c>
      <c r="H19" s="142">
        <f t="shared" si="4"/>
        <v>1146</v>
      </c>
      <c r="I19" s="142">
        <f t="shared" si="4"/>
        <v>1469</v>
      </c>
      <c r="J19" s="142">
        <f t="shared" si="4"/>
        <v>1743</v>
      </c>
      <c r="K19" s="142">
        <f t="shared" si="4"/>
        <v>1726</v>
      </c>
      <c r="L19" s="143">
        <f t="shared" si="4"/>
        <v>2124</v>
      </c>
      <c r="M19" s="124"/>
      <c r="N19" s="124"/>
      <c r="O19" s="124"/>
      <c r="P19" s="124"/>
      <c r="Q19" s="124"/>
    </row>
    <row r="20" spans="1:17" ht="13.15" x14ac:dyDescent="0.4">
      <c r="A20" s="139" t="s">
        <v>20</v>
      </c>
      <c r="B20" s="142">
        <f>B4-B7</f>
        <v>1830</v>
      </c>
      <c r="C20" s="142">
        <f>C4-C7</f>
        <v>710</v>
      </c>
      <c r="D20" s="142">
        <f t="shared" ref="D20:L20" si="5">D4-D7</f>
        <v>1286</v>
      </c>
      <c r="E20" s="142">
        <f t="shared" si="5"/>
        <v>466</v>
      </c>
      <c r="F20" s="142">
        <f t="shared" si="5"/>
        <v>-573</v>
      </c>
      <c r="G20" s="142">
        <f t="shared" si="5"/>
        <v>86</v>
      </c>
      <c r="H20" s="142">
        <f t="shared" si="5"/>
        <v>-281</v>
      </c>
      <c r="I20" s="142">
        <f t="shared" si="5"/>
        <v>616</v>
      </c>
      <c r="J20" s="142">
        <f t="shared" si="5"/>
        <v>1118</v>
      </c>
      <c r="K20" s="142">
        <f t="shared" si="5"/>
        <v>1334</v>
      </c>
      <c r="L20" s="143">
        <f t="shared" si="5"/>
        <v>1768</v>
      </c>
      <c r="M20" s="124"/>
      <c r="N20" s="124"/>
      <c r="O20" s="124"/>
      <c r="P20" s="124"/>
      <c r="Q20" s="124"/>
    </row>
    <row r="21" spans="1:17" ht="13.15" x14ac:dyDescent="0.4">
      <c r="A21" s="144" t="s">
        <v>21</v>
      </c>
      <c r="B21" s="145">
        <f>B20-B9</f>
        <v>1830</v>
      </c>
      <c r="C21" s="145">
        <f>C20-C9</f>
        <v>552</v>
      </c>
      <c r="D21" s="145">
        <f t="shared" ref="D21:L21" si="6">D20-D9</f>
        <v>722</v>
      </c>
      <c r="E21" s="145">
        <f t="shared" si="6"/>
        <v>237</v>
      </c>
      <c r="F21" s="145">
        <f t="shared" si="6"/>
        <v>-4896</v>
      </c>
      <c r="G21" s="145">
        <f t="shared" si="6"/>
        <v>-191</v>
      </c>
      <c r="H21" s="145">
        <f t="shared" si="6"/>
        <v>-2414</v>
      </c>
      <c r="I21" s="145">
        <f t="shared" si="6"/>
        <v>254</v>
      </c>
      <c r="J21" s="145">
        <f t="shared" si="6"/>
        <v>797</v>
      </c>
      <c r="K21" s="145">
        <f t="shared" si="6"/>
        <v>932</v>
      </c>
      <c r="L21" s="146">
        <f t="shared" si="6"/>
        <v>1248</v>
      </c>
      <c r="M21" s="124"/>
      <c r="N21" s="124"/>
      <c r="O21" s="124"/>
      <c r="P21" s="124"/>
      <c r="Q21" s="124"/>
    </row>
    <row r="22" spans="1:17" ht="13.15" x14ac:dyDescent="0.4">
      <c r="A22" s="147"/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24"/>
      <c r="N22" s="124"/>
      <c r="O22" s="124"/>
      <c r="P22" s="124"/>
      <c r="Q22" s="124"/>
    </row>
    <row r="23" spans="1:17" x14ac:dyDescent="0.35">
      <c r="A23" s="124"/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7C8D2-1384-4528-9B56-B88741E55D28}">
  <dimension ref="A1:N32"/>
  <sheetViews>
    <sheetView showGridLines="0" zoomScale="77" workbookViewId="0">
      <pane xSplit="1" topLeftCell="B1" activePane="topRight" state="frozen"/>
      <selection pane="topRight" activeCell="B29" sqref="B29"/>
    </sheetView>
  </sheetViews>
  <sheetFormatPr defaultColWidth="8.73046875" defaultRowHeight="12.75" x14ac:dyDescent="0.35"/>
  <cols>
    <col min="1" max="1" width="30.59765625" style="7" bestFit="1" customWidth="1"/>
    <col min="2" max="2" width="16.796875" style="7" customWidth="1"/>
    <col min="3" max="12" width="16.796875" style="7" bestFit="1" customWidth="1"/>
    <col min="13" max="16384" width="8.73046875" style="7"/>
  </cols>
  <sheetData>
    <row r="1" spans="1:14" ht="13.15" x14ac:dyDescent="0.4">
      <c r="A1" s="30" t="s">
        <v>11</v>
      </c>
      <c r="B1" s="31">
        <v>41729</v>
      </c>
      <c r="C1" s="31">
        <v>42094</v>
      </c>
      <c r="D1" s="31">
        <v>42460</v>
      </c>
      <c r="E1" s="31">
        <v>42825</v>
      </c>
      <c r="F1" s="31">
        <v>43190</v>
      </c>
      <c r="G1" s="31">
        <v>43555</v>
      </c>
      <c r="H1" s="31">
        <v>43921</v>
      </c>
      <c r="I1" s="31">
        <v>44286</v>
      </c>
      <c r="J1" s="31">
        <v>44651</v>
      </c>
      <c r="K1" s="31">
        <v>45016</v>
      </c>
      <c r="L1" s="32">
        <v>45382</v>
      </c>
      <c r="M1" s="2"/>
      <c r="N1" s="2"/>
    </row>
    <row r="2" spans="1:14" s="96" customFormat="1" ht="14.25" x14ac:dyDescent="0.45">
      <c r="A2" s="28" t="s">
        <v>109</v>
      </c>
      <c r="B2"/>
      <c r="C2"/>
      <c r="D2"/>
      <c r="E2"/>
      <c r="F2"/>
      <c r="G2"/>
      <c r="H2"/>
      <c r="I2"/>
      <c r="J2"/>
      <c r="K2"/>
      <c r="L2" s="95"/>
      <c r="M2"/>
      <c r="N2"/>
    </row>
    <row r="3" spans="1:14" x14ac:dyDescent="0.35">
      <c r="A3" s="27" t="s">
        <v>27</v>
      </c>
      <c r="B3" s="58">
        <v>356</v>
      </c>
      <c r="C3" s="58">
        <v>356</v>
      </c>
      <c r="D3" s="58">
        <v>357</v>
      </c>
      <c r="E3" s="58">
        <v>357</v>
      </c>
      <c r="F3" s="58">
        <v>357</v>
      </c>
      <c r="G3" s="58">
        <v>441</v>
      </c>
      <c r="H3" s="58">
        <v>495</v>
      </c>
      <c r="I3" s="58">
        <v>495</v>
      </c>
      <c r="J3" s="58">
        <v>495</v>
      </c>
      <c r="K3" s="58">
        <v>495</v>
      </c>
      <c r="L3" s="59">
        <v>495</v>
      </c>
      <c r="M3" s="2"/>
      <c r="N3" s="2"/>
    </row>
    <row r="4" spans="1:14" x14ac:dyDescent="0.35">
      <c r="A4" s="27" t="s">
        <v>28</v>
      </c>
      <c r="B4" s="58">
        <v>27039</v>
      </c>
      <c r="C4" s="58">
        <v>27013</v>
      </c>
      <c r="D4" s="58">
        <v>23712</v>
      </c>
      <c r="E4" s="58">
        <v>24216</v>
      </c>
      <c r="F4" s="58">
        <v>34954</v>
      </c>
      <c r="G4" s="58">
        <v>33135</v>
      </c>
      <c r="H4" s="58">
        <v>33952</v>
      </c>
      <c r="I4" s="58">
        <v>34849</v>
      </c>
      <c r="J4" s="58">
        <v>35867</v>
      </c>
      <c r="K4" s="58">
        <v>37192</v>
      </c>
      <c r="L4" s="59">
        <v>38936</v>
      </c>
      <c r="M4" s="2"/>
      <c r="N4" s="2"/>
    </row>
    <row r="5" spans="1:14" ht="13.15" x14ac:dyDescent="0.4">
      <c r="A5" s="28" t="s">
        <v>107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9"/>
      <c r="M5" s="2"/>
      <c r="N5" s="2"/>
    </row>
    <row r="6" spans="1:14" x14ac:dyDescent="0.35">
      <c r="A6" s="27" t="s">
        <v>29</v>
      </c>
      <c r="B6" s="58">
        <v>25932</v>
      </c>
      <c r="C6" s="58">
        <v>24495</v>
      </c>
      <c r="D6" s="58">
        <v>25264</v>
      </c>
      <c r="E6" s="58">
        <v>29202</v>
      </c>
      <c r="F6" s="58">
        <v>17491</v>
      </c>
      <c r="G6" s="58">
        <v>17222</v>
      </c>
      <c r="H6" s="58">
        <v>8103</v>
      </c>
      <c r="I6" s="58">
        <v>6886</v>
      </c>
      <c r="J6" s="58">
        <v>4182</v>
      </c>
      <c r="K6" s="58">
        <v>3334</v>
      </c>
      <c r="L6" s="59">
        <v>4834</v>
      </c>
      <c r="M6" s="2"/>
      <c r="N6" s="2"/>
    </row>
    <row r="7" spans="1:14" ht="13.15" x14ac:dyDescent="0.4">
      <c r="A7" s="28" t="s">
        <v>108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9"/>
      <c r="M7" s="2"/>
      <c r="N7" s="2"/>
    </row>
    <row r="8" spans="1:14" x14ac:dyDescent="0.35">
      <c r="A8" s="27" t="s">
        <v>98</v>
      </c>
      <c r="B8" s="58">
        <v>202</v>
      </c>
      <c r="C8" s="58">
        <v>175</v>
      </c>
      <c r="D8" s="58">
        <v>126</v>
      </c>
      <c r="E8" s="58">
        <v>124</v>
      </c>
      <c r="F8" s="58">
        <v>49</v>
      </c>
      <c r="G8" s="58">
        <v>41</v>
      </c>
      <c r="H8" s="58">
        <v>18</v>
      </c>
      <c r="I8" s="58">
        <v>20</v>
      </c>
      <c r="J8" s="58">
        <v>19</v>
      </c>
      <c r="K8" s="58">
        <v>4</v>
      </c>
      <c r="L8" s="59">
        <v>1</v>
      </c>
      <c r="M8" s="2"/>
      <c r="N8" s="2"/>
    </row>
    <row r="9" spans="1:14" x14ac:dyDescent="0.35">
      <c r="A9" s="27" t="s">
        <v>99</v>
      </c>
      <c r="B9" s="58">
        <v>2281</v>
      </c>
      <c r="C9" s="58">
        <v>1850</v>
      </c>
      <c r="D9" s="58">
        <v>1514</v>
      </c>
      <c r="E9" s="58">
        <v>1407</v>
      </c>
      <c r="F9" s="58">
        <v>1217</v>
      </c>
      <c r="G9" s="58">
        <v>1277</v>
      </c>
      <c r="H9" s="58">
        <v>1057</v>
      </c>
      <c r="I9" s="58">
        <v>1234</v>
      </c>
      <c r="J9" s="58">
        <v>1529</v>
      </c>
      <c r="K9" s="58">
        <v>1644</v>
      </c>
      <c r="L9" s="59">
        <v>1787</v>
      </c>
      <c r="M9" s="2"/>
      <c r="N9" s="2"/>
    </row>
    <row r="10" spans="1:14" x14ac:dyDescent="0.35">
      <c r="A10" s="27" t="s">
        <v>100</v>
      </c>
      <c r="B10" s="58">
        <v>0</v>
      </c>
      <c r="C10" s="58">
        <v>0</v>
      </c>
      <c r="D10" s="58">
        <v>0</v>
      </c>
      <c r="E10" s="58">
        <v>0</v>
      </c>
      <c r="F10" s="58">
        <v>60</v>
      </c>
      <c r="G10" s="58">
        <v>105</v>
      </c>
      <c r="H10" s="58">
        <v>79</v>
      </c>
      <c r="I10" s="58">
        <v>90</v>
      </c>
      <c r="J10" s="58">
        <v>0</v>
      </c>
      <c r="K10" s="58">
        <v>0</v>
      </c>
      <c r="L10" s="59">
        <v>0</v>
      </c>
      <c r="M10" s="2"/>
      <c r="N10" s="2"/>
    </row>
    <row r="11" spans="1:14" x14ac:dyDescent="0.35">
      <c r="A11" s="27" t="s">
        <v>101</v>
      </c>
      <c r="B11" s="58">
        <v>8715</v>
      </c>
      <c r="C11" s="58">
        <v>12373</v>
      </c>
      <c r="D11" s="58">
        <v>10756</v>
      </c>
      <c r="E11" s="58">
        <v>8648</v>
      </c>
      <c r="F11" s="58">
        <v>6457</v>
      </c>
      <c r="G11" s="58">
        <v>14262</v>
      </c>
      <c r="H11" s="58">
        <v>12187</v>
      </c>
      <c r="I11" s="58">
        <v>9914</v>
      </c>
      <c r="J11" s="58">
        <v>9075</v>
      </c>
      <c r="K11" s="58">
        <v>9903</v>
      </c>
      <c r="L11" s="59">
        <v>13016</v>
      </c>
      <c r="M11" s="2"/>
      <c r="N11" s="2"/>
    </row>
    <row r="12" spans="1:14" ht="13.15" x14ac:dyDescent="0.4">
      <c r="A12" s="29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4"/>
      <c r="M12" s="2"/>
      <c r="N12" s="2"/>
    </row>
    <row r="13" spans="1:14" ht="13.15" x14ac:dyDescent="0.4">
      <c r="A13" s="26" t="s">
        <v>37</v>
      </c>
      <c r="B13" s="56">
        <f>SUM(B3:B11)</f>
        <v>64525</v>
      </c>
      <c r="C13" s="56">
        <f t="shared" ref="C13:L13" si="0">SUM(C3:C12)</f>
        <v>66262</v>
      </c>
      <c r="D13" s="56">
        <f t="shared" si="0"/>
        <v>61729</v>
      </c>
      <c r="E13" s="56">
        <f t="shared" si="0"/>
        <v>63954</v>
      </c>
      <c r="F13" s="56">
        <f t="shared" si="0"/>
        <v>60585</v>
      </c>
      <c r="G13" s="56">
        <f t="shared" si="0"/>
        <v>66483</v>
      </c>
      <c r="H13" s="56">
        <f t="shared" si="0"/>
        <v>55891</v>
      </c>
      <c r="I13" s="56">
        <f t="shared" si="0"/>
        <v>53488</v>
      </c>
      <c r="J13" s="56">
        <f t="shared" si="0"/>
        <v>51167</v>
      </c>
      <c r="K13" s="56">
        <f t="shared" si="0"/>
        <v>52572</v>
      </c>
      <c r="L13" s="57">
        <f t="shared" si="0"/>
        <v>59069</v>
      </c>
      <c r="M13" s="2"/>
      <c r="N13" s="2"/>
    </row>
    <row r="14" spans="1:14" ht="13.15" x14ac:dyDescent="0.4">
      <c r="A14" s="28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4"/>
      <c r="M14" s="2"/>
      <c r="N14" s="2"/>
    </row>
    <row r="15" spans="1:14" ht="13.15" x14ac:dyDescent="0.4">
      <c r="A15" s="28" t="s">
        <v>102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9"/>
      <c r="M15" s="2"/>
      <c r="N15" s="2"/>
    </row>
    <row r="16" spans="1:14" x14ac:dyDescent="0.35">
      <c r="A16" s="27" t="s">
        <v>31</v>
      </c>
      <c r="B16" s="58">
        <v>18835</v>
      </c>
      <c r="C16" s="58">
        <v>19619</v>
      </c>
      <c r="D16" s="58">
        <v>3943</v>
      </c>
      <c r="E16" s="58">
        <v>24640</v>
      </c>
      <c r="F16" s="58">
        <v>8082</v>
      </c>
      <c r="G16" s="58">
        <v>6322</v>
      </c>
      <c r="H16" s="58">
        <v>5187</v>
      </c>
      <c r="I16" s="58">
        <v>4856</v>
      </c>
      <c r="J16" s="58">
        <v>4862</v>
      </c>
      <c r="K16" s="58">
        <v>4785</v>
      </c>
      <c r="L16" s="59">
        <v>3880</v>
      </c>
      <c r="M16" s="2"/>
      <c r="N16" s="2"/>
    </row>
    <row r="17" spans="1:14" x14ac:dyDescent="0.35">
      <c r="A17" s="27" t="s">
        <v>32</v>
      </c>
      <c r="B17" s="58">
        <v>5979</v>
      </c>
      <c r="C17" s="58">
        <v>5901</v>
      </c>
      <c r="D17" s="58">
        <v>1779</v>
      </c>
      <c r="E17" s="58">
        <v>153</v>
      </c>
      <c r="F17" s="58">
        <v>137</v>
      </c>
      <c r="G17" s="58">
        <v>103</v>
      </c>
      <c r="H17" s="58">
        <v>89</v>
      </c>
      <c r="I17" s="58">
        <v>95</v>
      </c>
      <c r="J17" s="58">
        <v>81</v>
      </c>
      <c r="K17" s="58">
        <v>61</v>
      </c>
      <c r="L17" s="59">
        <v>71</v>
      </c>
      <c r="M17" s="2"/>
      <c r="N17" s="2"/>
    </row>
    <row r="18" spans="1:14" x14ac:dyDescent="0.35">
      <c r="A18" s="27" t="s">
        <v>33</v>
      </c>
      <c r="B18" s="58">
        <v>891</v>
      </c>
      <c r="C18" s="58">
        <v>623</v>
      </c>
      <c r="D18" s="58">
        <v>21310</v>
      </c>
      <c r="E18" s="58">
        <v>1209</v>
      </c>
      <c r="F18" s="58">
        <v>20832</v>
      </c>
      <c r="G18" s="58">
        <v>21005</v>
      </c>
      <c r="H18" s="58">
        <v>18566</v>
      </c>
      <c r="I18" s="58">
        <v>19746</v>
      </c>
      <c r="J18" s="58">
        <v>19779</v>
      </c>
      <c r="K18" s="58">
        <v>19481</v>
      </c>
      <c r="L18" s="59">
        <v>20138</v>
      </c>
      <c r="M18" s="2"/>
      <c r="N18" s="2"/>
    </row>
    <row r="19" spans="1:14" ht="13.15" x14ac:dyDescent="0.4">
      <c r="A19" s="28" t="s">
        <v>106</v>
      </c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9"/>
      <c r="M19" s="2"/>
      <c r="N19" s="2"/>
    </row>
    <row r="20" spans="1:14" x14ac:dyDescent="0.35">
      <c r="A20" s="27" t="s">
        <v>105</v>
      </c>
      <c r="B20" s="58">
        <v>1561</v>
      </c>
      <c r="C20" s="58">
        <v>1586</v>
      </c>
      <c r="D20" s="58">
        <v>3417</v>
      </c>
      <c r="E20" s="58">
        <v>1417</v>
      </c>
      <c r="F20" s="58">
        <v>1286</v>
      </c>
      <c r="G20" s="58">
        <v>832</v>
      </c>
      <c r="H20" s="58">
        <v>721</v>
      </c>
      <c r="I20" s="58">
        <v>581</v>
      </c>
      <c r="J20" s="58">
        <v>564</v>
      </c>
      <c r="K20" s="58">
        <v>549</v>
      </c>
      <c r="L20" s="59">
        <v>538</v>
      </c>
      <c r="M20" s="2"/>
      <c r="N20" s="2"/>
    </row>
    <row r="21" spans="1:14" x14ac:dyDescent="0.35">
      <c r="A21" s="27" t="s">
        <v>36</v>
      </c>
      <c r="B21" s="58">
        <v>18511</v>
      </c>
      <c r="C21" s="58">
        <v>17610</v>
      </c>
      <c r="D21" s="58">
        <v>16834</v>
      </c>
      <c r="E21" s="58">
        <v>20099</v>
      </c>
      <c r="F21" s="58">
        <v>19753</v>
      </c>
      <c r="G21" s="58">
        <v>22009</v>
      </c>
      <c r="H21" s="58">
        <v>22486</v>
      </c>
      <c r="I21" s="58">
        <v>21087</v>
      </c>
      <c r="J21" s="58">
        <v>20107</v>
      </c>
      <c r="K21" s="58">
        <v>19361</v>
      </c>
      <c r="L21" s="59">
        <v>21154</v>
      </c>
      <c r="M21" s="2"/>
      <c r="N21" s="2"/>
    </row>
    <row r="22" spans="1:14" x14ac:dyDescent="0.35">
      <c r="A22" s="27" t="s">
        <v>39</v>
      </c>
      <c r="B22" s="58">
        <v>2442</v>
      </c>
      <c r="C22" s="58">
        <v>2748</v>
      </c>
      <c r="D22" s="58">
        <v>3381</v>
      </c>
      <c r="E22" s="58">
        <v>4099</v>
      </c>
      <c r="F22" s="58">
        <v>2278</v>
      </c>
      <c r="G22" s="58">
        <v>4855</v>
      </c>
      <c r="H22" s="58">
        <v>2420</v>
      </c>
      <c r="I22" s="58">
        <v>1407</v>
      </c>
      <c r="J22" s="58">
        <v>932</v>
      </c>
      <c r="K22" s="58">
        <v>2275</v>
      </c>
      <c r="L22" s="59">
        <v>4384</v>
      </c>
      <c r="M22" s="2"/>
      <c r="N22" s="2"/>
    </row>
    <row r="23" spans="1:14" x14ac:dyDescent="0.35">
      <c r="A23" s="27" t="s">
        <v>104</v>
      </c>
      <c r="B23" s="58">
        <v>21</v>
      </c>
      <c r="C23" s="58">
        <v>49</v>
      </c>
      <c r="D23" s="58">
        <v>1213</v>
      </c>
      <c r="E23" s="58">
        <v>115</v>
      </c>
      <c r="F23" s="58">
        <v>171</v>
      </c>
      <c r="G23" s="58">
        <v>1154</v>
      </c>
      <c r="H23" s="58">
        <v>753</v>
      </c>
      <c r="I23" s="58">
        <v>1068</v>
      </c>
      <c r="J23" s="58">
        <v>904</v>
      </c>
      <c r="K23" s="58">
        <v>1215</v>
      </c>
      <c r="L23" s="59">
        <v>1573</v>
      </c>
      <c r="M23" s="2"/>
      <c r="N23" s="2"/>
    </row>
    <row r="24" spans="1:14" x14ac:dyDescent="0.35">
      <c r="A24" s="27" t="s">
        <v>34</v>
      </c>
      <c r="B24" s="58">
        <v>16285</v>
      </c>
      <c r="C24" s="58">
        <v>18126</v>
      </c>
      <c r="D24" s="58">
        <v>9852</v>
      </c>
      <c r="E24" s="58">
        <v>12222</v>
      </c>
      <c r="F24" s="58">
        <v>8046</v>
      </c>
      <c r="G24" s="58">
        <v>10203</v>
      </c>
      <c r="H24" s="58">
        <v>5669</v>
      </c>
      <c r="I24" s="58">
        <v>4648</v>
      </c>
      <c r="J24" s="58">
        <v>3938</v>
      </c>
      <c r="K24" s="58">
        <v>4845</v>
      </c>
      <c r="L24" s="59">
        <v>7331</v>
      </c>
      <c r="M24" s="2"/>
      <c r="N24" s="2"/>
    </row>
    <row r="25" spans="1:14" x14ac:dyDescent="0.35">
      <c r="A25" s="2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9"/>
      <c r="M25" s="2"/>
      <c r="N25" s="2"/>
    </row>
    <row r="26" spans="1:14" ht="13.15" x14ac:dyDescent="0.4">
      <c r="A26" s="26" t="s">
        <v>38</v>
      </c>
      <c r="B26" s="56">
        <f>SUM(B16:B24)</f>
        <v>64525</v>
      </c>
      <c r="C26" s="56">
        <f>SUM(C16:C24)</f>
        <v>66262</v>
      </c>
      <c r="D26" s="56">
        <f t="shared" ref="D26:L26" si="1">SUM(D16:D24)</f>
        <v>61729</v>
      </c>
      <c r="E26" s="56">
        <f t="shared" si="1"/>
        <v>63954</v>
      </c>
      <c r="F26" s="56">
        <f t="shared" si="1"/>
        <v>60585</v>
      </c>
      <c r="G26" s="56">
        <f t="shared" si="1"/>
        <v>66483</v>
      </c>
      <c r="H26" s="56">
        <f t="shared" si="1"/>
        <v>55891</v>
      </c>
      <c r="I26" s="56">
        <f t="shared" si="1"/>
        <v>53488</v>
      </c>
      <c r="J26" s="56">
        <f t="shared" si="1"/>
        <v>51167</v>
      </c>
      <c r="K26" s="56">
        <f t="shared" si="1"/>
        <v>52572</v>
      </c>
      <c r="L26" s="57">
        <f t="shared" si="1"/>
        <v>59069</v>
      </c>
      <c r="M26" s="2"/>
      <c r="N26" s="2"/>
    </row>
    <row r="27" spans="1:14" x14ac:dyDescent="0.35">
      <c r="A27" s="27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55"/>
      <c r="M27" s="2"/>
      <c r="N27" s="2"/>
    </row>
    <row r="28" spans="1:14" ht="13.15" x14ac:dyDescent="0.4">
      <c r="A28" s="28" t="s">
        <v>35</v>
      </c>
      <c r="B28" s="24">
        <f t="shared" ref="B28:L28" si="2">SUM(B20:B24)-SUM(B8:B11)</f>
        <v>27622</v>
      </c>
      <c r="C28" s="24">
        <f t="shared" si="2"/>
        <v>25721</v>
      </c>
      <c r="D28" s="24">
        <f t="shared" si="2"/>
        <v>22301</v>
      </c>
      <c r="E28" s="24">
        <f t="shared" si="2"/>
        <v>27773</v>
      </c>
      <c r="F28" s="24">
        <f t="shared" si="2"/>
        <v>23751</v>
      </c>
      <c r="G28" s="24">
        <f t="shared" si="2"/>
        <v>23368</v>
      </c>
      <c r="H28" s="24">
        <f t="shared" si="2"/>
        <v>18708</v>
      </c>
      <c r="I28" s="24">
        <f t="shared" si="2"/>
        <v>17533</v>
      </c>
      <c r="J28" s="24">
        <f t="shared" si="2"/>
        <v>15822</v>
      </c>
      <c r="K28" s="24">
        <f t="shared" si="2"/>
        <v>16694</v>
      </c>
      <c r="L28" s="60">
        <f t="shared" si="2"/>
        <v>20176</v>
      </c>
      <c r="M28" s="2"/>
      <c r="N28" s="2"/>
    </row>
    <row r="29" spans="1:14" ht="13.15" x14ac:dyDescent="0.4">
      <c r="A29" s="29" t="s">
        <v>40</v>
      </c>
      <c r="B29" s="97"/>
      <c r="C29" s="97">
        <v>1781927367</v>
      </c>
      <c r="D29" s="97">
        <v>1783716082</v>
      </c>
      <c r="E29" s="97">
        <v>1784003090</v>
      </c>
      <c r="F29" s="97">
        <v>1784067028</v>
      </c>
      <c r="G29" s="97">
        <v>2207221948</v>
      </c>
      <c r="H29" s="97">
        <v>2475311706</v>
      </c>
      <c r="I29" s="97">
        <v>2475311706</v>
      </c>
      <c r="J29" s="97">
        <v>2475311706</v>
      </c>
      <c r="K29" s="97">
        <v>2475311706</v>
      </c>
      <c r="L29" s="98">
        <v>2475311706</v>
      </c>
      <c r="M29" s="2"/>
      <c r="N29" s="2"/>
    </row>
    <row r="30" spans="1:14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</sheetData>
  <pageMargins left="0.7" right="0.7" top="0.75" bottom="0.75" header="0.3" footer="0.3"/>
  <ignoredErrors>
    <ignoredError sqref="A1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of Contents</vt:lpstr>
      <vt:lpstr>Read Me</vt:lpstr>
      <vt:lpstr>Cover</vt:lpstr>
      <vt:lpstr>Summary</vt:lpstr>
      <vt:lpstr>DLF Model</vt:lpstr>
      <vt:lpstr>DLF_Income_Statement</vt:lpstr>
      <vt:lpstr>DLF_Balance_Sheet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ABHIMANYU BABBAR</dc:creator>
  <cp:lastModifiedBy>ABHIMANYU BABBAR</cp:lastModifiedBy>
  <dcterms:created xsi:type="dcterms:W3CDTF">2024-12-22T06:15:35Z</dcterms:created>
  <dcterms:modified xsi:type="dcterms:W3CDTF">2026-03-03T12:07:57Z</dcterms:modified>
</cp:coreProperties>
</file>