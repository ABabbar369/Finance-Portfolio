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ASSIGNMENT\Financial Modelling\"/>
    </mc:Choice>
  </mc:AlternateContent>
  <xr:revisionPtr revIDLastSave="0" documentId="13_ncr:1_{18A7FDE5-0AB7-45EF-89B0-3FE4886577EB}" xr6:coauthVersionLast="47" xr6:coauthVersionMax="47" xr10:uidLastSave="{00000000-0000-0000-0000-000000000000}"/>
  <bookViews>
    <workbookView xWindow="-98" yWindow="-98" windowWidth="21795" windowHeight="12975" xr2:uid="{8BC4EF1A-9316-4B3D-BFE6-810DADD6851A}"/>
  </bookViews>
  <sheets>
    <sheet name="Code Sheet" sheetId="7" r:id="rId1"/>
    <sheet name="Table of Contents" sheetId="10" r:id="rId2"/>
    <sheet name="Sensitivity Analysis" sheetId="1" r:id="rId3"/>
    <sheet name="Scenario Analysis" sheetId="2" r:id="rId4"/>
    <sheet name="Scenario Summary" sheetId="6" r:id="rId5"/>
    <sheet name="SIP Calculator" sheetId="3" r:id="rId6"/>
    <sheet name="Wealth Curve Graph (SIP)" sheetId="8" r:id="rId7"/>
    <sheet name="Goal Seek (SIP)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9" l="1"/>
  <c r="E20" i="9"/>
  <c r="E10" i="9"/>
  <c r="E9" i="9"/>
  <c r="B21" i="9"/>
  <c r="B20" i="9"/>
  <c r="B10" i="9"/>
  <c r="B9" i="9"/>
  <c r="B18" i="3"/>
  <c r="B17" i="3"/>
  <c r="B16" i="3"/>
  <c r="B15" i="3"/>
  <c r="F8" i="2"/>
  <c r="F7" i="2"/>
  <c r="F9" i="2"/>
  <c r="D140" i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D116" i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92" i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F91" i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D69" i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F43" i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D45" i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A92" i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91" i="1"/>
  <c r="B12" i="1"/>
  <c r="B19" i="1" s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67" i="1"/>
  <c r="A43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19" i="1"/>
  <c r="B22" i="9" l="1"/>
  <c r="B19" i="3"/>
  <c r="B20" i="3"/>
  <c r="C144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B26" i="3"/>
  <c r="D26" i="3" s="1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E22" i="9"/>
  <c r="E11" i="9"/>
  <c r="B11" i="9"/>
  <c r="B21" i="3"/>
  <c r="D139" i="1"/>
  <c r="D115" i="1"/>
  <c r="D91" i="1"/>
  <c r="D67" i="1"/>
  <c r="D43" i="1"/>
  <c r="D19" i="1"/>
  <c r="B91" i="1"/>
  <c r="B43" i="1"/>
  <c r="B67" i="1"/>
  <c r="E26" i="3" l="1"/>
  <c r="D27" i="3"/>
  <c r="C19" i="3"/>
  <c r="E27" i="3" l="1"/>
  <c r="D28" i="3"/>
  <c r="E28" i="3" l="1"/>
  <c r="D29" i="3"/>
  <c r="E29" i="3" l="1"/>
  <c r="D30" i="3"/>
  <c r="E30" i="3" l="1"/>
  <c r="D31" i="3"/>
  <c r="E31" i="3" l="1"/>
  <c r="D32" i="3"/>
  <c r="E32" i="3" l="1"/>
  <c r="D33" i="3"/>
  <c r="E33" i="3" l="1"/>
  <c r="D34" i="3"/>
  <c r="E34" i="3" l="1"/>
  <c r="D35" i="3"/>
  <c r="E35" i="3" l="1"/>
  <c r="D36" i="3"/>
  <c r="E36" i="3" l="1"/>
  <c r="D37" i="3"/>
  <c r="E37" i="3" l="1"/>
  <c r="D38" i="3"/>
  <c r="E38" i="3" l="1"/>
  <c r="D39" i="3"/>
  <c r="E39" i="3" l="1"/>
  <c r="D40" i="3"/>
  <c r="E40" i="3" l="1"/>
  <c r="D41" i="3"/>
  <c r="E41" i="3" l="1"/>
  <c r="D42" i="3"/>
  <c r="E42" i="3" l="1"/>
  <c r="D43" i="3"/>
  <c r="E43" i="3" l="1"/>
  <c r="D44" i="3"/>
  <c r="E44" i="3" l="1"/>
  <c r="D45" i="3"/>
  <c r="E45" i="3" l="1"/>
  <c r="D46" i="3"/>
  <c r="E46" i="3" l="1"/>
  <c r="D47" i="3"/>
  <c r="E47" i="3" l="1"/>
  <c r="D48" i="3"/>
  <c r="E48" i="3" l="1"/>
  <c r="D49" i="3"/>
  <c r="E49" i="3" l="1"/>
  <c r="D50" i="3"/>
  <c r="E50" i="3" l="1"/>
  <c r="D51" i="3"/>
  <c r="E51" i="3" l="1"/>
  <c r="D52" i="3"/>
  <c r="E52" i="3" l="1"/>
  <c r="D53" i="3"/>
  <c r="E53" i="3" l="1"/>
  <c r="D54" i="3"/>
  <c r="E54" i="3" l="1"/>
  <c r="D55" i="3"/>
  <c r="E55" i="3" l="1"/>
  <c r="D56" i="3"/>
  <c r="E56" i="3" l="1"/>
  <c r="D57" i="3"/>
  <c r="E57" i="3" l="1"/>
  <c r="D58" i="3"/>
  <c r="E58" i="3" l="1"/>
  <c r="D59" i="3"/>
  <c r="E59" i="3" l="1"/>
  <c r="D60" i="3"/>
  <c r="E60" i="3" l="1"/>
  <c r="D61" i="3"/>
  <c r="E61" i="3" l="1"/>
  <c r="D62" i="3"/>
  <c r="E62" i="3" l="1"/>
  <c r="D63" i="3"/>
  <c r="E63" i="3" l="1"/>
  <c r="D64" i="3"/>
  <c r="E64" i="3" l="1"/>
  <c r="D65" i="3"/>
  <c r="E65" i="3" l="1"/>
  <c r="D66" i="3"/>
  <c r="E66" i="3" l="1"/>
  <c r="D67" i="3"/>
  <c r="E67" i="3" l="1"/>
  <c r="D68" i="3"/>
  <c r="E68" i="3" l="1"/>
  <c r="D69" i="3"/>
  <c r="E69" i="3" l="1"/>
  <c r="D70" i="3"/>
  <c r="E70" i="3" l="1"/>
  <c r="D71" i="3"/>
  <c r="E71" i="3" l="1"/>
  <c r="D72" i="3"/>
  <c r="E72" i="3" l="1"/>
  <c r="D73" i="3"/>
  <c r="E73" i="3" l="1"/>
  <c r="D74" i="3"/>
  <c r="E74" i="3" l="1"/>
  <c r="D75" i="3"/>
  <c r="E75" i="3" l="1"/>
  <c r="D76" i="3"/>
  <c r="E76" i="3" l="1"/>
  <c r="D77" i="3"/>
  <c r="E77" i="3" l="1"/>
  <c r="D78" i="3"/>
  <c r="E78" i="3" l="1"/>
  <c r="D79" i="3"/>
  <c r="E79" i="3" l="1"/>
  <c r="D80" i="3"/>
  <c r="E80" i="3" l="1"/>
  <c r="D81" i="3"/>
  <c r="E81" i="3" l="1"/>
  <c r="D82" i="3"/>
  <c r="E82" i="3" l="1"/>
  <c r="D83" i="3"/>
  <c r="E83" i="3" l="1"/>
  <c r="D84" i="3"/>
  <c r="E84" i="3" l="1"/>
  <c r="D85" i="3"/>
  <c r="E85" i="3" l="1"/>
  <c r="D86" i="3"/>
  <c r="E86" i="3" l="1"/>
  <c r="D87" i="3"/>
  <c r="E87" i="3" l="1"/>
  <c r="D88" i="3"/>
  <c r="E88" i="3" l="1"/>
  <c r="D89" i="3"/>
  <c r="E89" i="3" l="1"/>
  <c r="D90" i="3"/>
  <c r="E90" i="3" l="1"/>
  <c r="D91" i="3"/>
  <c r="E91" i="3" l="1"/>
  <c r="D92" i="3"/>
  <c r="E92" i="3" l="1"/>
  <c r="D93" i="3"/>
  <c r="E93" i="3" l="1"/>
  <c r="D94" i="3"/>
  <c r="E94" i="3" l="1"/>
  <c r="D95" i="3"/>
  <c r="E95" i="3" l="1"/>
  <c r="D96" i="3"/>
  <c r="E96" i="3" l="1"/>
  <c r="D97" i="3"/>
  <c r="E97" i="3" l="1"/>
  <c r="D98" i="3"/>
  <c r="E98" i="3" l="1"/>
  <c r="D99" i="3"/>
  <c r="E99" i="3" l="1"/>
  <c r="D100" i="3"/>
  <c r="E100" i="3" l="1"/>
  <c r="D101" i="3"/>
  <c r="E101" i="3" l="1"/>
  <c r="D102" i="3"/>
  <c r="E102" i="3" l="1"/>
  <c r="D103" i="3"/>
  <c r="E103" i="3" l="1"/>
  <c r="D104" i="3"/>
  <c r="E104" i="3" l="1"/>
  <c r="D105" i="3"/>
  <c r="E105" i="3" l="1"/>
  <c r="D106" i="3"/>
  <c r="E106" i="3" l="1"/>
  <c r="D107" i="3"/>
  <c r="E107" i="3" l="1"/>
  <c r="D108" i="3"/>
  <c r="E108" i="3" l="1"/>
  <c r="D109" i="3"/>
  <c r="E109" i="3" l="1"/>
  <c r="D110" i="3"/>
  <c r="E110" i="3" l="1"/>
  <c r="D111" i="3"/>
  <c r="E111" i="3" l="1"/>
  <c r="D112" i="3"/>
  <c r="E112" i="3" l="1"/>
  <c r="D113" i="3"/>
  <c r="E113" i="3" l="1"/>
  <c r="D114" i="3"/>
  <c r="E114" i="3" l="1"/>
  <c r="D115" i="3"/>
  <c r="E115" i="3" l="1"/>
  <c r="D116" i="3"/>
  <c r="E116" i="3" l="1"/>
  <c r="D117" i="3"/>
  <c r="E117" i="3" l="1"/>
  <c r="D118" i="3"/>
  <c r="E118" i="3" l="1"/>
  <c r="D119" i="3"/>
  <c r="E119" i="3" l="1"/>
  <c r="D120" i="3"/>
  <c r="E120" i="3" l="1"/>
  <c r="D121" i="3"/>
  <c r="E121" i="3" l="1"/>
  <c r="D122" i="3"/>
  <c r="E122" i="3" l="1"/>
  <c r="D123" i="3"/>
  <c r="E123" i="3" l="1"/>
  <c r="D124" i="3"/>
  <c r="E124" i="3" l="1"/>
  <c r="D125" i="3"/>
  <c r="E125" i="3" l="1"/>
  <c r="D126" i="3"/>
  <c r="E126" i="3" l="1"/>
  <c r="D127" i="3"/>
  <c r="E127" i="3" l="1"/>
  <c r="D128" i="3"/>
  <c r="E128" i="3" l="1"/>
  <c r="D129" i="3"/>
  <c r="E129" i="3" l="1"/>
  <c r="D130" i="3"/>
  <c r="E130" i="3" l="1"/>
  <c r="D131" i="3"/>
  <c r="E131" i="3" l="1"/>
  <c r="D132" i="3"/>
  <c r="E132" i="3" l="1"/>
  <c r="D133" i="3"/>
  <c r="E133" i="3" l="1"/>
  <c r="D134" i="3"/>
  <c r="E134" i="3" l="1"/>
  <c r="D135" i="3"/>
  <c r="E135" i="3" l="1"/>
  <c r="D136" i="3"/>
  <c r="E136" i="3" l="1"/>
  <c r="D137" i="3"/>
  <c r="E137" i="3" l="1"/>
  <c r="D138" i="3"/>
  <c r="E138" i="3" l="1"/>
  <c r="D139" i="3"/>
  <c r="E139" i="3" l="1"/>
  <c r="D140" i="3"/>
  <c r="E140" i="3" l="1"/>
  <c r="D141" i="3"/>
  <c r="E141" i="3" l="1"/>
  <c r="D142" i="3"/>
  <c r="E142" i="3" l="1"/>
  <c r="D143" i="3"/>
  <c r="E143" i="3" l="1"/>
  <c r="D144" i="3"/>
  <c r="E144" i="3" l="1"/>
  <c r="D145" i="3"/>
  <c r="C20" i="3" l="1"/>
  <c r="E145" i="3"/>
  <c r="C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ABHIMANYU BABBAR</author>
  </authors>
  <commentList>
    <comment ref="B8" authorId="0" shapeId="0" xr:uid="{3045437A-ECA0-4E7D-AD3A-5AA6BDA32AFF}">
      <text>
        <r>
          <rPr>
            <b/>
            <sz val="9"/>
            <color indexed="81"/>
            <rFont val="Tahoma"/>
            <family val="2"/>
          </rPr>
          <t>ABHIMANYU BABBAR:</t>
        </r>
        <r>
          <rPr>
            <sz val="9"/>
            <color indexed="81"/>
            <rFont val="Tahoma"/>
            <family val="2"/>
          </rPr>
          <t xml:space="preserve">
13% is the average of the large cap funds (12%) and mid cap funds(12%) in terms of SIP returns.</t>
        </r>
      </text>
    </comment>
    <comment ref="A24" authorId="0" shapeId="0" xr:uid="{881DF7DC-A995-4498-B3CE-DEC02C1D8A4F}">
      <text>
        <r>
          <rPr>
            <b/>
            <sz val="9"/>
            <color indexed="81"/>
            <rFont val="Tahoma"/>
            <family val="2"/>
          </rPr>
          <t>ABHIMANYU BABBAR:</t>
        </r>
        <r>
          <rPr>
            <sz val="9"/>
            <color indexed="81"/>
            <rFont val="Tahoma"/>
            <family val="2"/>
          </rPr>
          <t xml:space="preserve">
As it is end of period, the monthly return on the 120th month will be 0%.</t>
        </r>
      </text>
    </comment>
  </commentList>
</comments>
</file>

<file path=xl/sharedStrings.xml><?xml version="1.0" encoding="utf-8"?>
<sst xmlns="http://schemas.openxmlformats.org/spreadsheetml/2006/main" count="147" uniqueCount="99">
  <si>
    <t>Holding Period (N)</t>
  </si>
  <si>
    <t>Compounding Frequency (n)</t>
  </si>
  <si>
    <t>Assumptions to Compute Future Value of Money</t>
  </si>
  <si>
    <t>Return per annum (r) (%)</t>
  </si>
  <si>
    <t>Principal (p) (₹)</t>
  </si>
  <si>
    <t>Future Value (FV=p*((1+(r/n))^(N*n))</t>
  </si>
  <si>
    <t>i. Principal (p)</t>
  </si>
  <si>
    <t>ii. Return Per Annum (r)</t>
  </si>
  <si>
    <t>iii. Holding Period Return (N)</t>
  </si>
  <si>
    <t>iv. Compounding Frequency (n)</t>
  </si>
  <si>
    <t>v. Principal</t>
  </si>
  <si>
    <t>vi. Principal</t>
  </si>
  <si>
    <t>vii. Principal</t>
  </si>
  <si>
    <t>viii. Return Per Annum (r)</t>
  </si>
  <si>
    <t>i. Future Value (FV)</t>
  </si>
  <si>
    <t>ii. Future Value (FV)</t>
  </si>
  <si>
    <t>iii. Future Value (FV)</t>
  </si>
  <si>
    <t>iv. Future Value (FV)</t>
  </si>
  <si>
    <t>v. Returns Per Annum (r) ----&gt;</t>
  </si>
  <si>
    <t>vi. Holding Periods (N) ----&gt;</t>
  </si>
  <si>
    <t>vii. Compounding Frequencies (n) ----&gt;</t>
  </si>
  <si>
    <t>viii. Holding Periods (N) ----&gt;</t>
  </si>
  <si>
    <t>ix. Return Per Annum (r)</t>
  </si>
  <si>
    <t>ix. Compounding Frequencies (n) ----&gt;</t>
  </si>
  <si>
    <t>x. Holding Periods (N)</t>
  </si>
  <si>
    <t>x. Compounding Frequencies (n) ----&gt;</t>
  </si>
  <si>
    <t>SIP Calculator</t>
  </si>
  <si>
    <t>Case 1</t>
  </si>
  <si>
    <t>Case 2</t>
  </si>
  <si>
    <t>Case 3</t>
  </si>
  <si>
    <t>Rate of Return p.a. (r) (%)</t>
  </si>
  <si>
    <t>Future Value (FV)</t>
  </si>
  <si>
    <t>Notes:</t>
  </si>
  <si>
    <t>1) FV=(FV=p*((1+(r/n))^(N*n))</t>
  </si>
  <si>
    <t>Scenario Summary</t>
  </si>
  <si>
    <t>Changing Cells:</t>
  </si>
  <si>
    <t>Current Values:</t>
  </si>
  <si>
    <t>Result Cells:</t>
  </si>
  <si>
    <t>time Scenario Summary Report was created.  Changing cells for each</t>
  </si>
  <si>
    <t>scenario are highlighted in gray.</t>
  </si>
  <si>
    <r>
      <t>Refer to the "</t>
    </r>
    <r>
      <rPr>
        <b/>
        <sz val="10"/>
        <color rgb="FFFF0000"/>
        <rFont val="Times New Roman"/>
        <family val="1"/>
      </rPr>
      <t>Scenario Summary</t>
    </r>
    <r>
      <rPr>
        <b/>
        <sz val="10"/>
        <color theme="1"/>
        <rFont val="Times New Roman"/>
        <family val="1"/>
      </rPr>
      <t>" tab for the Scenario Analysis. ----&gt;</t>
    </r>
  </si>
  <si>
    <t>$B$7</t>
  </si>
  <si>
    <t>$C$7</t>
  </si>
  <si>
    <t>$D$7</t>
  </si>
  <si>
    <t>$E$7</t>
  </si>
  <si>
    <t>Created by ABHIMANYU BABBAR on 21-12-2024
Modified by ABHIMANYU BABBAR on 21-12-2024</t>
  </si>
  <si>
    <t>$F$7</t>
  </si>
  <si>
    <t>What does it indicate?</t>
  </si>
  <si>
    <t>Code</t>
  </si>
  <si>
    <t>XXX</t>
  </si>
  <si>
    <t xml:space="preserve">Input Cells - Given in the question. </t>
  </si>
  <si>
    <t>Input Cell Headers and Assumptions.</t>
  </si>
  <si>
    <t>Headers of any summarised data.</t>
  </si>
  <si>
    <t>Cell linked to given data.</t>
  </si>
  <si>
    <t>Used to cross check if the excel function has been used accurately.</t>
  </si>
  <si>
    <t>To indicate it is an important note for reference.</t>
  </si>
  <si>
    <t>Generated values using excel functions and formulas.</t>
  </si>
  <si>
    <t>Main header of each sheet.</t>
  </si>
  <si>
    <t>Where FV = Future Value; p = Principal; r = Rate of return p.a.; n = Compounding Frequencies; N = Holding Period</t>
  </si>
  <si>
    <t>Sheet generated using excel function.</t>
  </si>
  <si>
    <r>
      <rPr>
        <b/>
        <sz val="10"/>
        <color rgb="FFFF0000"/>
        <rFont val="Times New Roman"/>
        <family val="1"/>
      </rPr>
      <t>Notes:</t>
    </r>
    <r>
      <rPr>
        <sz val="10"/>
        <color theme="1"/>
        <rFont val="Times New Roman"/>
        <family val="1"/>
      </rPr>
      <t xml:space="preserve">  Current Values column represents values of changing cells at</t>
    </r>
  </si>
  <si>
    <t>Assignment 1 - Part 1 Sheet Headers</t>
  </si>
  <si>
    <t>Monthly Savings Amount (End of Month) (p) (₹)</t>
  </si>
  <si>
    <t>Return Per Annum (r) (%)</t>
  </si>
  <si>
    <t>Holding Period (N) (In years)</t>
  </si>
  <si>
    <t>Compounding Frequency (n) (Monthly)</t>
  </si>
  <si>
    <t>Monthly Amount (End of Month) (p) (₹)</t>
  </si>
  <si>
    <t>Total Cumulative Invested Amount (₹)</t>
  </si>
  <si>
    <t>Total Cumulative Estimated Returns (₹)</t>
  </si>
  <si>
    <t>a) Inputs:</t>
  </si>
  <si>
    <t>b) Output: One Variable Data Table</t>
  </si>
  <si>
    <t>b) Output: Two Variable Data Table</t>
  </si>
  <si>
    <t>Assumptions to Compute SIP</t>
  </si>
  <si>
    <t>Period (In Months)</t>
  </si>
  <si>
    <t>Total Future Value of the SIP (₹)</t>
  </si>
  <si>
    <t>Investment Amount (₹)</t>
  </si>
  <si>
    <t>Monthly Return (%)</t>
  </si>
  <si>
    <t>Investment Value (₹)</t>
  </si>
  <si>
    <t>Estimated Returns (₹)</t>
  </si>
  <si>
    <t>b) SIP Calculator - Output (End of Period)</t>
  </si>
  <si>
    <t>Cases (xi., xii. and xiii.)</t>
  </si>
  <si>
    <t>Cross Check of SIP for Accuracy</t>
  </si>
  <si>
    <t>2) SIP Calculator</t>
  </si>
  <si>
    <t>3) WEALTH CURVE GRAPH (SIP)</t>
  </si>
  <si>
    <t>4) GOAL SEEK (SIP)</t>
  </si>
  <si>
    <t>SIP Calculator - Output (End of Period) - Goal Seek (Changing Monthly Amount (₹))</t>
  </si>
  <si>
    <t>SIP Calculator - Output (End of Period) - Goal Seek (Changing Return Per Annum (%))</t>
  </si>
  <si>
    <t>SIP Calculator - Output (End of Period) - Goal Seek (Holding Period)</t>
  </si>
  <si>
    <t>SIP Calculator - Output (End of Period) - Goal Seek (Compounding Frequency)</t>
  </si>
  <si>
    <t>Table of Contents</t>
  </si>
  <si>
    <t>S.No</t>
  </si>
  <si>
    <t>Sensitivity Analysis</t>
  </si>
  <si>
    <t>Scenario Analysis</t>
  </si>
  <si>
    <t>Topic</t>
  </si>
  <si>
    <t>Sheet Tab Link</t>
  </si>
  <si>
    <t>Wealth Curve Graph (SIP)</t>
  </si>
  <si>
    <t>Goal Seek (SIP)</t>
  </si>
  <si>
    <t>1A) SENSITIVITY ANALYSIS</t>
  </si>
  <si>
    <t>1B) SCENARIO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</si>
</sst>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4"/>
      <name val="Times New Roman"/>
      <family val="1"/>
    </font>
    <font>
      <b/>
      <sz val="36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0"/>
      <color theme="10"/>
      <name val="Times New Roman"/>
      <family val="1"/>
    </font>
    <font>
      <sz val="10"/>
      <color rgb="FF0070C0"/>
      <name val="Times New Roman"/>
      <family val="1"/>
    </font>
    <font>
      <sz val="10"/>
      <color rgb="FFFF0000"/>
      <name val="Times New Roman"/>
      <family val="1"/>
    </font>
    <font>
      <sz val="10"/>
      <color indexed="9"/>
      <name val="Times New Roman"/>
      <family val="1"/>
    </font>
    <font>
      <b/>
      <sz val="10"/>
      <color indexed="9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8"/>
      <name val="Times New Roman"/>
      <family val="1"/>
    </font>
    <font>
      <b/>
      <sz val="10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03">
    <xf numFmtId="0" fontId="0" fillId="0" borderId="0" xfId="0"/>
    <xf numFmtId="0" fontId="3" fillId="0" borderId="0" xfId="0" applyFont="1"/>
    <xf numFmtId="0" fontId="2" fillId="3" borderId="3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43" fontId="4" fillId="0" borderId="3" xfId="1" applyFont="1" applyBorder="1" applyAlignment="1">
      <alignment horizontal="right"/>
    </xf>
    <xf numFmtId="9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43" fontId="3" fillId="6" borderId="5" xfId="0" applyNumberFormat="1" applyFont="1" applyFill="1" applyBorder="1"/>
    <xf numFmtId="9" fontId="3" fillId="6" borderId="5" xfId="2" applyFont="1" applyFill="1" applyBorder="1" applyAlignment="1">
      <alignment horizontal="center"/>
    </xf>
    <xf numFmtId="43" fontId="3" fillId="6" borderId="7" xfId="0" applyNumberFormat="1" applyFont="1" applyFill="1" applyBorder="1"/>
    <xf numFmtId="0" fontId="3" fillId="6" borderId="5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/>
    <xf numFmtId="0" fontId="3" fillId="0" borderId="15" xfId="0" applyFont="1" applyBorder="1"/>
    <xf numFmtId="0" fontId="3" fillId="0" borderId="9" xfId="0" applyFont="1" applyBorder="1"/>
    <xf numFmtId="43" fontId="3" fillId="6" borderId="1" xfId="0" applyNumberFormat="1" applyFont="1" applyFill="1" applyBorder="1"/>
    <xf numFmtId="43" fontId="3" fillId="0" borderId="7" xfId="1" applyFont="1" applyBorder="1"/>
    <xf numFmtId="43" fontId="3" fillId="0" borderId="2" xfId="1" applyFont="1" applyBorder="1"/>
    <xf numFmtId="43" fontId="3" fillId="5" borderId="7" xfId="1" applyFont="1" applyFill="1" applyBorder="1"/>
    <xf numFmtId="43" fontId="3" fillId="5" borderId="2" xfId="1" applyFont="1" applyFill="1" applyBorder="1"/>
    <xf numFmtId="0" fontId="3" fillId="5" borderId="6" xfId="2" applyNumberFormat="1" applyFont="1" applyFill="1" applyBorder="1" applyAlignment="1">
      <alignment horizontal="center"/>
    </xf>
    <xf numFmtId="9" fontId="3" fillId="5" borderId="5" xfId="2" applyFont="1" applyFill="1" applyBorder="1" applyAlignment="1">
      <alignment horizontal="center"/>
    </xf>
    <xf numFmtId="43" fontId="3" fillId="5" borderId="5" xfId="0" applyNumberFormat="1" applyFont="1" applyFill="1" applyBorder="1"/>
    <xf numFmtId="0" fontId="3" fillId="5" borderId="5" xfId="2" applyNumberFormat="1" applyFont="1" applyFill="1" applyBorder="1" applyAlignment="1">
      <alignment horizontal="center"/>
    </xf>
    <xf numFmtId="9" fontId="3" fillId="0" borderId="15" xfId="2" applyFont="1" applyBorder="1" applyAlignment="1">
      <alignment horizontal="center"/>
    </xf>
    <xf numFmtId="9" fontId="3" fillId="0" borderId="15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3" fillId="5" borderId="15" xfId="0" applyNumberFormat="1" applyFont="1" applyFill="1" applyBorder="1" applyAlignment="1">
      <alignment horizontal="center"/>
    </xf>
    <xf numFmtId="43" fontId="3" fillId="5" borderId="0" xfId="1" applyFont="1" applyFill="1" applyBorder="1"/>
    <xf numFmtId="0" fontId="3" fillId="0" borderId="10" xfId="0" applyFont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43" fontId="3" fillId="5" borderId="8" xfId="1" applyFont="1" applyFill="1" applyBorder="1"/>
    <xf numFmtId="0" fontId="3" fillId="0" borderId="11" xfId="0" applyFont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9" fontId="3" fillId="0" borderId="3" xfId="2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3" fillId="5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Continuous" vertical="center"/>
    </xf>
    <xf numFmtId="43" fontId="3" fillId="2" borderId="5" xfId="1" applyFont="1" applyFill="1" applyBorder="1"/>
    <xf numFmtId="43" fontId="3" fillId="2" borderId="7" xfId="1" applyFont="1" applyFill="1" applyBorder="1"/>
    <xf numFmtId="43" fontId="3" fillId="2" borderId="5" xfId="0" applyNumberFormat="1" applyFont="1" applyFill="1" applyBorder="1"/>
    <xf numFmtId="43" fontId="3" fillId="2" borderId="6" xfId="0" applyNumberFormat="1" applyFont="1" applyFill="1" applyBorder="1"/>
    <xf numFmtId="43" fontId="3" fillId="2" borderId="2" xfId="1" applyFont="1" applyFill="1" applyBorder="1"/>
    <xf numFmtId="9" fontId="3" fillId="2" borderId="5" xfId="2" applyFont="1" applyFill="1" applyBorder="1" applyAlignment="1">
      <alignment horizontal="center"/>
    </xf>
    <xf numFmtId="9" fontId="3" fillId="2" borderId="6" xfId="2" applyFont="1" applyFill="1" applyBorder="1" applyAlignment="1">
      <alignment horizontal="center"/>
    </xf>
    <xf numFmtId="0" fontId="3" fillId="2" borderId="5" xfId="2" applyNumberFormat="1" applyFont="1" applyFill="1" applyBorder="1" applyAlignment="1">
      <alignment horizontal="center"/>
    </xf>
    <xf numFmtId="0" fontId="3" fillId="2" borderId="6" xfId="2" applyNumberFormat="1" applyFont="1" applyFill="1" applyBorder="1" applyAlignment="1">
      <alignment horizontal="center"/>
    </xf>
    <xf numFmtId="43" fontId="3" fillId="2" borderId="0" xfId="1" applyFont="1" applyFill="1" applyBorder="1"/>
    <xf numFmtId="43" fontId="3" fillId="2" borderId="8" xfId="1" applyFont="1" applyFill="1" applyBorder="1"/>
    <xf numFmtId="43" fontId="3" fillId="2" borderId="15" xfId="1" applyFont="1" applyFill="1" applyBorder="1"/>
    <xf numFmtId="43" fontId="3" fillId="2" borderId="9" xfId="1" applyFont="1" applyFill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3" fontId="3" fillId="2" borderId="4" xfId="1" applyFont="1" applyFill="1" applyBorder="1"/>
    <xf numFmtId="43" fontId="3" fillId="2" borderId="13" xfId="1" applyFont="1" applyFill="1" applyBorder="1"/>
    <xf numFmtId="43" fontId="3" fillId="2" borderId="14" xfId="1" applyFont="1" applyFill="1" applyBorder="1"/>
    <xf numFmtId="43" fontId="3" fillId="2" borderId="6" xfId="1" applyFont="1" applyFill="1" applyBorder="1"/>
    <xf numFmtId="43" fontId="3" fillId="5" borderId="15" xfId="1" applyFont="1" applyFill="1" applyBorder="1"/>
    <xf numFmtId="0" fontId="2" fillId="0" borderId="0" xfId="0" applyFont="1"/>
    <xf numFmtId="9" fontId="3" fillId="0" borderId="0" xfId="2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43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0" borderId="0" xfId="0" applyFont="1"/>
    <xf numFmtId="43" fontId="3" fillId="6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43" fontId="4" fillId="0" borderId="1" xfId="1" applyFont="1" applyBorder="1"/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4" borderId="1" xfId="0" applyFont="1" applyFill="1" applyBorder="1"/>
    <xf numFmtId="0" fontId="10" fillId="4" borderId="1" xfId="3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43" fontId="3" fillId="2" borderId="1" xfId="0" applyNumberFormat="1" applyFont="1" applyFill="1" applyBorder="1"/>
    <xf numFmtId="0" fontId="11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12" fillId="0" borderId="1" xfId="0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3" fillId="11" borderId="1" xfId="0" applyFont="1" applyFill="1" applyBorder="1"/>
    <xf numFmtId="0" fontId="3" fillId="12" borderId="1" xfId="0" applyFont="1" applyFill="1" applyBorder="1"/>
    <xf numFmtId="0" fontId="13" fillId="8" borderId="16" xfId="0" applyFont="1" applyFill="1" applyBorder="1" applyAlignment="1">
      <alignment horizontal="right"/>
    </xf>
    <xf numFmtId="0" fontId="14" fillId="8" borderId="16" xfId="0" applyFont="1" applyFill="1" applyBorder="1" applyAlignment="1">
      <alignment horizontal="left"/>
    </xf>
    <xf numFmtId="0" fontId="14" fillId="8" borderId="15" xfId="0" applyFont="1" applyFill="1" applyBorder="1" applyAlignment="1">
      <alignment horizontal="left"/>
    </xf>
    <xf numFmtId="0" fontId="15" fillId="9" borderId="0" xfId="0" applyFont="1" applyFill="1" applyAlignment="1">
      <alignment horizontal="left"/>
    </xf>
    <xf numFmtId="0" fontId="3" fillId="0" borderId="0" xfId="0" applyFont="1" applyAlignment="1">
      <alignment vertical="top" wrapText="1"/>
    </xf>
    <xf numFmtId="0" fontId="16" fillId="9" borderId="10" xfId="0" applyFont="1" applyFill="1" applyBorder="1" applyAlignment="1">
      <alignment horizontal="left"/>
    </xf>
    <xf numFmtId="0" fontId="3" fillId="0" borderId="10" xfId="0" applyFont="1" applyBorder="1"/>
    <xf numFmtId="43" fontId="3" fillId="0" borderId="0" xfId="0" applyNumberFormat="1" applyFont="1"/>
    <xf numFmtId="43" fontId="3" fillId="10" borderId="0" xfId="0" applyNumberFormat="1" applyFont="1" applyFill="1"/>
    <xf numFmtId="9" fontId="3" fillId="0" borderId="0" xfId="0" applyNumberFormat="1" applyFont="1"/>
    <xf numFmtId="9" fontId="3" fillId="10" borderId="0" xfId="0" applyNumberFormat="1" applyFont="1" applyFill="1"/>
    <xf numFmtId="0" fontId="3" fillId="10" borderId="0" xfId="0" applyFont="1" applyFill="1"/>
    <xf numFmtId="0" fontId="15" fillId="9" borderId="17" xfId="0" applyFont="1" applyFill="1" applyBorder="1" applyAlignment="1">
      <alignment horizontal="left"/>
    </xf>
    <xf numFmtId="43" fontId="2" fillId="5" borderId="17" xfId="0" applyNumberFormat="1" applyFont="1" applyFill="1" applyBorder="1"/>
    <xf numFmtId="0" fontId="14" fillId="8" borderId="15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2" fillId="0" borderId="12" xfId="0" applyFont="1" applyBorder="1"/>
    <xf numFmtId="43" fontId="2" fillId="2" borderId="1" xfId="1" applyFont="1" applyFill="1" applyBorder="1"/>
    <xf numFmtId="43" fontId="17" fillId="0" borderId="3" xfId="1" applyFont="1" applyBorder="1"/>
    <xf numFmtId="9" fontId="17" fillId="0" borderId="7" xfId="0" applyNumberFormat="1" applyFont="1" applyBorder="1"/>
    <xf numFmtId="0" fontId="17" fillId="0" borderId="7" xfId="0" applyFont="1" applyBorder="1"/>
    <xf numFmtId="0" fontId="17" fillId="0" borderId="2" xfId="0" applyFont="1" applyBorder="1"/>
    <xf numFmtId="0" fontId="2" fillId="4" borderId="1" xfId="0" applyFont="1" applyFill="1" applyBorder="1" applyAlignment="1">
      <alignment horizontal="centerContinuous" vertical="center"/>
    </xf>
    <xf numFmtId="0" fontId="3" fillId="4" borderId="1" xfId="0" applyFont="1" applyFill="1" applyBorder="1" applyAlignment="1">
      <alignment horizontal="centerContinuous" vertical="center"/>
    </xf>
    <xf numFmtId="0" fontId="17" fillId="0" borderId="3" xfId="0" applyFont="1" applyBorder="1"/>
    <xf numFmtId="43" fontId="17" fillId="0" borderId="3" xfId="0" applyNumberFormat="1" applyFont="1" applyBorder="1"/>
    <xf numFmtId="9" fontId="17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2" fillId="2" borderId="7" xfId="0" applyFont="1" applyFill="1" applyBorder="1"/>
    <xf numFmtId="0" fontId="2" fillId="2" borderId="2" xfId="0" applyFont="1" applyFill="1" applyBorder="1"/>
    <xf numFmtId="8" fontId="2" fillId="2" borderId="7" xfId="0" applyNumberFormat="1" applyFont="1" applyFill="1" applyBorder="1"/>
    <xf numFmtId="8" fontId="2" fillId="2" borderId="2" xfId="1" applyNumberFormat="1" applyFont="1" applyFill="1" applyBorder="1"/>
    <xf numFmtId="0" fontId="0" fillId="0" borderId="5" xfId="0" applyBorder="1"/>
    <xf numFmtId="0" fontId="8" fillId="0" borderId="5" xfId="0" applyFont="1" applyBorder="1"/>
    <xf numFmtId="0" fontId="2" fillId="0" borderId="5" xfId="0" applyFont="1" applyBorder="1"/>
    <xf numFmtId="0" fontId="3" fillId="13" borderId="0" xfId="0" applyFont="1" applyFill="1"/>
    <xf numFmtId="0" fontId="2" fillId="13" borderId="0" xfId="0" applyFont="1" applyFill="1" applyAlignment="1">
      <alignment horizontal="center"/>
    </xf>
    <xf numFmtId="0" fontId="2" fillId="13" borderId="0" xfId="0" applyFont="1" applyFill="1"/>
    <xf numFmtId="43" fontId="3" fillId="13" borderId="0" xfId="0" applyNumberFormat="1" applyFont="1" applyFill="1"/>
    <xf numFmtId="9" fontId="3" fillId="13" borderId="0" xfId="2" applyFont="1" applyFill="1" applyBorder="1" applyAlignment="1">
      <alignment horizontal="center"/>
    </xf>
    <xf numFmtId="9" fontId="3" fillId="13" borderId="0" xfId="0" applyNumberFormat="1" applyFont="1" applyFill="1" applyAlignment="1">
      <alignment horizontal="center"/>
    </xf>
    <xf numFmtId="43" fontId="3" fillId="13" borderId="0" xfId="1" applyFont="1" applyFill="1" applyBorder="1"/>
    <xf numFmtId="0" fontId="3" fillId="13" borderId="0" xfId="0" applyFont="1" applyFill="1" applyAlignment="1">
      <alignment horizontal="center"/>
    </xf>
    <xf numFmtId="0" fontId="3" fillId="13" borderId="0" xfId="2" applyNumberFormat="1" applyFont="1" applyFill="1" applyBorder="1" applyAlignment="1">
      <alignment horizontal="center"/>
    </xf>
    <xf numFmtId="0" fontId="0" fillId="13" borderId="0" xfId="0" applyFill="1"/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43" fontId="3" fillId="0" borderId="1" xfId="1" applyFont="1" applyFill="1" applyBorder="1"/>
    <xf numFmtId="43" fontId="2" fillId="4" borderId="1" xfId="1" applyFont="1" applyFill="1" applyBorder="1" applyAlignment="1">
      <alignment horizontal="center"/>
    </xf>
    <xf numFmtId="0" fontId="17" fillId="0" borderId="2" xfId="0" applyFont="1" applyBorder="1" applyAlignment="1">
      <alignment horizontal="right"/>
    </xf>
    <xf numFmtId="10" fontId="3" fillId="0" borderId="1" xfId="2" applyNumberFormat="1" applyFont="1" applyBorder="1" applyAlignment="1">
      <alignment horizontal="center"/>
    </xf>
    <xf numFmtId="43" fontId="3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43" fontId="2" fillId="0" borderId="1" xfId="1" applyFont="1" applyFill="1" applyBorder="1" applyAlignment="1">
      <alignment horizontal="right"/>
    </xf>
    <xf numFmtId="10" fontId="2" fillId="0" borderId="1" xfId="2" applyNumberFormat="1" applyFont="1" applyBorder="1" applyAlignment="1">
      <alignment horizontal="center"/>
    </xf>
    <xf numFmtId="43" fontId="2" fillId="0" borderId="1" xfId="1" applyFont="1" applyFill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9" fontId="3" fillId="0" borderId="8" xfId="0" applyNumberFormat="1" applyFont="1" applyBorder="1" applyAlignment="1">
      <alignment horizontal="center"/>
    </xf>
    <xf numFmtId="43" fontId="3" fillId="0" borderId="8" xfId="1" applyFont="1" applyFill="1" applyBorder="1"/>
    <xf numFmtId="43" fontId="3" fillId="0" borderId="5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3" fillId="0" borderId="15" xfId="1" applyFont="1" applyFill="1" applyBorder="1"/>
    <xf numFmtId="43" fontId="3" fillId="0" borderId="9" xfId="1" applyFont="1" applyFill="1" applyBorder="1"/>
    <xf numFmtId="43" fontId="21" fillId="2" borderId="3" xfId="0" applyNumberFormat="1" applyFont="1" applyFill="1" applyBorder="1"/>
    <xf numFmtId="0" fontId="21" fillId="2" borderId="3" xfId="0" applyFont="1" applyFill="1" applyBorder="1"/>
    <xf numFmtId="0" fontId="21" fillId="2" borderId="7" xfId="0" applyFont="1" applyFill="1" applyBorder="1"/>
    <xf numFmtId="10" fontId="21" fillId="2" borderId="7" xfId="0" applyNumberFormat="1" applyFont="1" applyFill="1" applyBorder="1" applyAlignment="1">
      <alignment horizontal="right"/>
    </xf>
    <xf numFmtId="2" fontId="21" fillId="2" borderId="7" xfId="0" applyNumberFormat="1" applyFont="1" applyFill="1" applyBorder="1" applyAlignment="1">
      <alignment horizontal="right"/>
    </xf>
    <xf numFmtId="0" fontId="21" fillId="2" borderId="2" xfId="0" applyFont="1" applyFill="1" applyBorder="1"/>
    <xf numFmtId="2" fontId="21" fillId="2" borderId="2" xfId="0" applyNumberFormat="1" applyFont="1" applyFill="1" applyBorder="1" applyAlignment="1">
      <alignment horizontal="right"/>
    </xf>
    <xf numFmtId="0" fontId="11" fillId="1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2" fillId="0" borderId="1" xfId="3" quotePrefix="1" applyFont="1" applyBorder="1" applyAlignment="1">
      <alignment horizontal="left"/>
    </xf>
    <xf numFmtId="0" fontId="22" fillId="0" borderId="1" xfId="3" quotePrefix="1" applyFont="1" applyBorder="1"/>
    <xf numFmtId="0" fontId="3" fillId="15" borderId="0" xfId="0" applyFont="1" applyFill="1"/>
    <xf numFmtId="0" fontId="2" fillId="15" borderId="0" xfId="0" applyFont="1" applyFill="1"/>
    <xf numFmtId="0" fontId="2" fillId="15" borderId="0" xfId="0" applyFont="1" applyFill="1" applyAlignment="1">
      <alignment horizontal="center"/>
    </xf>
    <xf numFmtId="43" fontId="3" fillId="15" borderId="0" xfId="0" applyNumberFormat="1" applyFont="1" applyFill="1"/>
    <xf numFmtId="9" fontId="3" fillId="15" borderId="0" xfId="2" applyFont="1" applyFill="1" applyBorder="1" applyAlignment="1">
      <alignment horizontal="center"/>
    </xf>
    <xf numFmtId="9" fontId="3" fillId="15" borderId="0" xfId="0" applyNumberFormat="1" applyFont="1" applyFill="1" applyAlignment="1">
      <alignment horizontal="center"/>
    </xf>
    <xf numFmtId="43" fontId="3" fillId="15" borderId="0" xfId="1" applyFont="1" applyFill="1" applyBorder="1"/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43" fontId="2" fillId="4" borderId="12" xfId="0" applyNumberFormat="1" applyFont="1" applyFill="1" applyBorder="1" applyAlignment="1">
      <alignment horizontal="center" vertical="center"/>
    </xf>
    <xf numFmtId="43" fontId="2" fillId="4" borderId="10" xfId="0" applyNumberFormat="1" applyFont="1" applyFill="1" applyBorder="1" applyAlignment="1">
      <alignment horizontal="center" vertical="center"/>
    </xf>
    <xf numFmtId="43" fontId="2" fillId="4" borderId="1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3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'SIP Calculator'!$B$25</c:f>
              <c:strCache>
                <c:ptCount val="1"/>
                <c:pt idx="0">
                  <c:v>Investment Amount (₹)</c:v>
                </c:pt>
              </c:strCache>
            </c:strRef>
          </c:tx>
          <c:spPr>
            <a:ln w="34925" cap="rnd">
              <a:solidFill>
                <a:schemeClr val="accent1">
                  <a:alpha val="87000"/>
                </a:schemeClr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'SIP Calculator'!$A$26:$A$145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'SIP Calculator'!$B$26:$B$145</c:f>
              <c:numCache>
                <c:formatCode>_(* #,##0.00_);_(* \(#,##0.00\);_(* "-"??_);_(@_)</c:formatCode>
                <c:ptCount val="12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3-4390-B8FA-6F87688F4ECB}"/>
            </c:ext>
          </c:extLst>
        </c:ser>
        <c:ser>
          <c:idx val="1"/>
          <c:order val="1"/>
          <c:tx>
            <c:strRef>
              <c:f>'SIP Calculator'!$D$25</c:f>
              <c:strCache>
                <c:ptCount val="1"/>
                <c:pt idx="0">
                  <c:v>Investment Value (₹)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'SIP Calculator'!$A$26:$A$145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'SIP Calculator'!$D$26:$D$145</c:f>
              <c:numCache>
                <c:formatCode>_(* #,##0.00_);_(* \(#,##0.00\);_(* "-"??_);_(@_)</c:formatCode>
                <c:ptCount val="120"/>
                <c:pt idx="0">
                  <c:v>10108.333333333332</c:v>
                </c:pt>
                <c:pt idx="1">
                  <c:v>20326.173611111109</c:v>
                </c:pt>
                <c:pt idx="2">
                  <c:v>30654.707158564812</c:v>
                </c:pt>
                <c:pt idx="3">
                  <c:v>41095.13315278259</c:v>
                </c:pt>
                <c:pt idx="4">
                  <c:v>51648.663761937729</c:v>
                </c:pt>
                <c:pt idx="5">
                  <c:v>62316.524286025386</c:v>
                </c:pt>
                <c:pt idx="6">
                  <c:v>73099.953299123983</c:v>
                </c:pt>
                <c:pt idx="7">
                  <c:v>84000.202793197823</c:v>
                </c:pt>
                <c:pt idx="8">
                  <c:v>95018.538323457455</c:v>
                </c:pt>
                <c:pt idx="9">
                  <c:v>106156.2391552949</c:v>
                </c:pt>
                <c:pt idx="10">
                  <c:v>117414.59841281058</c:v>
                </c:pt>
                <c:pt idx="11">
                  <c:v>128794.92322894935</c:v>
                </c:pt>
                <c:pt idx="12">
                  <c:v>140298.53489726299</c:v>
                </c:pt>
                <c:pt idx="13">
                  <c:v>151926.76902531667</c:v>
                </c:pt>
                <c:pt idx="14">
                  <c:v>163680.97568975759</c:v>
                </c:pt>
                <c:pt idx="15">
                  <c:v>175562.51959306328</c:v>
                </c:pt>
                <c:pt idx="16">
                  <c:v>187572.78022198813</c:v>
                </c:pt>
                <c:pt idx="17">
                  <c:v>199713.15200772631</c:v>
                </c:pt>
                <c:pt idx="18">
                  <c:v>211985.04448781</c:v>
                </c:pt>
                <c:pt idx="19">
                  <c:v>224389.88246976124</c:v>
                </c:pt>
                <c:pt idx="20">
                  <c:v>236929.10619651698</c:v>
                </c:pt>
                <c:pt idx="21">
                  <c:v>249604.17151364588</c:v>
                </c:pt>
                <c:pt idx="22">
                  <c:v>262416.550038377</c:v>
                </c:pt>
                <c:pt idx="23">
                  <c:v>275367.72933045938</c:v>
                </c:pt>
                <c:pt idx="24">
                  <c:v>288459.21306487266</c:v>
                </c:pt>
                <c:pt idx="25">
                  <c:v>301692.52120640874</c:v>
                </c:pt>
                <c:pt idx="26">
                  <c:v>315069.19018614478</c:v>
                </c:pt>
                <c:pt idx="27">
                  <c:v>328590.77307982801</c:v>
                </c:pt>
                <c:pt idx="28">
                  <c:v>342258.83978819277</c:v>
                </c:pt>
                <c:pt idx="29">
                  <c:v>356074.97721923148</c:v>
                </c:pt>
                <c:pt idx="30">
                  <c:v>370040.78947243979</c:v>
                </c:pt>
                <c:pt idx="31">
                  <c:v>384157.89802505786</c:v>
                </c:pt>
                <c:pt idx="32">
                  <c:v>398427.94192032929</c:v>
                </c:pt>
                <c:pt idx="33">
                  <c:v>412852.57795779948</c:v>
                </c:pt>
                <c:pt idx="34">
                  <c:v>427433.48088567558</c:v>
                </c:pt>
                <c:pt idx="35">
                  <c:v>442172.34359527036</c:v>
                </c:pt>
                <c:pt idx="36">
                  <c:v>457070.8773175524</c:v>
                </c:pt>
                <c:pt idx="37">
                  <c:v>472130.81182182586</c:v>
                </c:pt>
                <c:pt idx="38">
                  <c:v>487353.89561656228</c:v>
                </c:pt>
                <c:pt idx="39">
                  <c:v>502741.89615240833</c:v>
                </c:pt>
                <c:pt idx="40">
                  <c:v>518296.60002739273</c:v>
                </c:pt>
                <c:pt idx="41">
                  <c:v>534019.81319435616</c:v>
                </c:pt>
                <c:pt idx="42">
                  <c:v>549913.36117062834</c:v>
                </c:pt>
                <c:pt idx="43">
                  <c:v>565979.08924997679</c:v>
                </c:pt>
                <c:pt idx="44">
                  <c:v>582218.86271685152</c:v>
                </c:pt>
                <c:pt idx="45">
                  <c:v>598634.56706295069</c:v>
                </c:pt>
                <c:pt idx="46">
                  <c:v>615228.10820613266</c:v>
                </c:pt>
                <c:pt idx="47">
                  <c:v>632001.41271169903</c:v>
                </c:pt>
                <c:pt idx="48">
                  <c:v>648956.42801607575</c:v>
                </c:pt>
                <c:pt idx="49">
                  <c:v>666095.12265291647</c:v>
                </c:pt>
                <c:pt idx="50">
                  <c:v>683419.48648165632</c:v>
                </c:pt>
                <c:pt idx="51">
                  <c:v>700931.5309185409</c:v>
                </c:pt>
                <c:pt idx="52">
                  <c:v>718633.28917015833</c:v>
                </c:pt>
                <c:pt idx="53">
                  <c:v>736526.8164695017</c:v>
                </c:pt>
                <c:pt idx="54">
                  <c:v>754614.1903145879</c:v>
                </c:pt>
                <c:pt idx="55">
                  <c:v>772897.51070966257</c:v>
                </c:pt>
                <c:pt idx="56">
                  <c:v>791378.90040901722</c:v>
                </c:pt>
                <c:pt idx="57">
                  <c:v>810060.50516344816</c:v>
                </c:pt>
                <c:pt idx="58">
                  <c:v>828944.4939693854</c:v>
                </c:pt>
                <c:pt idx="59">
                  <c:v>848033.05932072038</c:v>
                </c:pt>
                <c:pt idx="60">
                  <c:v>867328.4174633614</c:v>
                </c:pt>
                <c:pt idx="61">
                  <c:v>886832.80865254777</c:v>
                </c:pt>
                <c:pt idx="62">
                  <c:v>906548.49741295027</c:v>
                </c:pt>
                <c:pt idx="63">
                  <c:v>926477.7728015905</c:v>
                </c:pt>
                <c:pt idx="64">
                  <c:v>946622.94867360767</c:v>
                </c:pt>
                <c:pt idx="65">
                  <c:v>966986.36395090504</c:v>
                </c:pt>
                <c:pt idx="66">
                  <c:v>987570.38289370644</c:v>
                </c:pt>
                <c:pt idx="67">
                  <c:v>1008377.3953750548</c:v>
                </c:pt>
                <c:pt idx="68">
                  <c:v>1029409.8171582845</c:v>
                </c:pt>
                <c:pt idx="69">
                  <c:v>1050670.0901774992</c:v>
                </c:pt>
                <c:pt idx="70">
                  <c:v>1072160.6828210887</c:v>
                </c:pt>
                <c:pt idx="71">
                  <c:v>1093884.090218317</c:v>
                </c:pt>
                <c:pt idx="72">
                  <c:v>1115842.8345290152</c:v>
                </c:pt>
                <c:pt idx="73">
                  <c:v>1138039.4652364128</c:v>
                </c:pt>
                <c:pt idx="74">
                  <c:v>1160476.5594431406</c:v>
                </c:pt>
                <c:pt idx="75">
                  <c:v>1183156.7221704412</c:v>
                </c:pt>
                <c:pt idx="76">
                  <c:v>1206082.5866606208</c:v>
                </c:pt>
                <c:pt idx="77">
                  <c:v>1229256.8146827773</c:v>
                </c:pt>
                <c:pt idx="78">
                  <c:v>1252682.0968418405</c:v>
                </c:pt>
                <c:pt idx="79">
                  <c:v>1276361.1528909605</c:v>
                </c:pt>
                <c:pt idx="80">
                  <c:v>1300296.7320472791</c:v>
                </c:pt>
                <c:pt idx="81">
                  <c:v>1324491.6133111245</c:v>
                </c:pt>
                <c:pt idx="82">
                  <c:v>1348948.6057886616</c:v>
                </c:pt>
                <c:pt idx="83">
                  <c:v>1373670.5490180387</c:v>
                </c:pt>
                <c:pt idx="84">
                  <c:v>1398660.3132990673</c:v>
                </c:pt>
                <c:pt idx="85">
                  <c:v>1423920.8000264738</c:v>
                </c:pt>
                <c:pt idx="86">
                  <c:v>1449454.9420267604</c:v>
                </c:pt>
                <c:pt idx="87">
                  <c:v>1475265.703898717</c:v>
                </c:pt>
                <c:pt idx="88">
                  <c:v>1501356.0823576197</c:v>
                </c:pt>
                <c:pt idx="89">
                  <c:v>1527729.1065831603</c:v>
                </c:pt>
                <c:pt idx="90">
                  <c:v>1554387.8385711445</c:v>
                </c:pt>
                <c:pt idx="91">
                  <c:v>1581335.3734889985</c:v>
                </c:pt>
                <c:pt idx="92">
                  <c:v>1608574.8400351291</c:v>
                </c:pt>
                <c:pt idx="93">
                  <c:v>1636109.4008021762</c:v>
                </c:pt>
                <c:pt idx="94">
                  <c:v>1663942.2526441996</c:v>
                </c:pt>
                <c:pt idx="95">
                  <c:v>1692076.6270478449</c:v>
                </c:pt>
                <c:pt idx="96">
                  <c:v>1720515.7905075299</c:v>
                </c:pt>
                <c:pt idx="97">
                  <c:v>1749263.0449046947</c:v>
                </c:pt>
                <c:pt idx="98">
                  <c:v>1778321.727891162</c:v>
                </c:pt>
                <c:pt idx="99">
                  <c:v>1807695.2132766496</c:v>
                </c:pt>
                <c:pt idx="100">
                  <c:v>1837386.9114204799</c:v>
                </c:pt>
                <c:pt idx="101">
                  <c:v>1867400.269627535</c:v>
                </c:pt>
                <c:pt idx="102">
                  <c:v>1897738.7725484997</c:v>
                </c:pt>
                <c:pt idx="103">
                  <c:v>1928405.9425844417</c:v>
                </c:pt>
                <c:pt idx="104">
                  <c:v>1959405.340295773</c:v>
                </c:pt>
                <c:pt idx="105">
                  <c:v>1990740.5648156437</c:v>
                </c:pt>
                <c:pt idx="106">
                  <c:v>2022415.2542678129</c:v>
                </c:pt>
                <c:pt idx="107">
                  <c:v>2054433.0861890474</c:v>
                </c:pt>
                <c:pt idx="108">
                  <c:v>2086797.7779560953</c:v>
                </c:pt>
                <c:pt idx="109">
                  <c:v>2119513.0872172862</c:v>
                </c:pt>
                <c:pt idx="110">
                  <c:v>2152582.8123288066</c:v>
                </c:pt>
                <c:pt idx="111">
                  <c:v>2186010.7927957019</c:v>
                </c:pt>
                <c:pt idx="112">
                  <c:v>2219800.9097176553</c:v>
                </c:pt>
                <c:pt idx="113">
                  <c:v>2253957.0862395964</c:v>
                </c:pt>
                <c:pt idx="114">
                  <c:v>2288483.2880071918</c:v>
                </c:pt>
                <c:pt idx="115">
                  <c:v>2323383.5236272695</c:v>
                </c:pt>
                <c:pt idx="116">
                  <c:v>2358661.8451332315</c:v>
                </c:pt>
                <c:pt idx="117">
                  <c:v>2394322.3484555078</c:v>
                </c:pt>
                <c:pt idx="118">
                  <c:v>2430369.173897109</c:v>
                </c:pt>
                <c:pt idx="119">
                  <c:v>2440369.173897109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3-4390-B8FA-6F87688F4ECB}"/>
            </c:ext>
          </c:extLst>
        </c:ser>
        <c:ser>
          <c:idx val="2"/>
          <c:order val="2"/>
          <c:tx>
            <c:strRef>
              <c:f>'SIP Calculator'!$E$25</c:f>
              <c:strCache>
                <c:ptCount val="1"/>
                <c:pt idx="0">
                  <c:v>Estimated Returns (₹)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'SIP Calculator'!$A$26:$A$145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'SIP Calculator'!$E$26:$E$145</c:f>
              <c:numCache>
                <c:formatCode>_(* #,##0.00_);_(* \(#,##0.00\);_(* "-"??_);_(@_)</c:formatCode>
                <c:ptCount val="120"/>
                <c:pt idx="0">
                  <c:v>108.33333333333212</c:v>
                </c:pt>
                <c:pt idx="1">
                  <c:v>326.17361111110949</c:v>
                </c:pt>
                <c:pt idx="2">
                  <c:v>654.70715856481183</c:v>
                </c:pt>
                <c:pt idx="3">
                  <c:v>1095.1331527825896</c:v>
                </c:pt>
                <c:pt idx="4">
                  <c:v>1648.6637619377289</c:v>
                </c:pt>
                <c:pt idx="5">
                  <c:v>2316.5242860253857</c:v>
                </c:pt>
                <c:pt idx="6">
                  <c:v>3099.953299123983</c:v>
                </c:pt>
                <c:pt idx="7">
                  <c:v>4000.2027931978228</c:v>
                </c:pt>
                <c:pt idx="8">
                  <c:v>5018.5383234574547</c:v>
                </c:pt>
                <c:pt idx="9">
                  <c:v>6156.2391552948975</c:v>
                </c:pt>
                <c:pt idx="10">
                  <c:v>7414.5984128105774</c:v>
                </c:pt>
                <c:pt idx="11">
                  <c:v>8794.9232289493521</c:v>
                </c:pt>
                <c:pt idx="12">
                  <c:v>10298.534897262987</c:v>
                </c:pt>
                <c:pt idx="13">
                  <c:v>11926.769025316666</c:v>
                </c:pt>
                <c:pt idx="14">
                  <c:v>13680.975689757586</c:v>
                </c:pt>
                <c:pt idx="15">
                  <c:v>15562.519593063276</c:v>
                </c:pt>
                <c:pt idx="16">
                  <c:v>17572.780221988127</c:v>
                </c:pt>
                <c:pt idx="17">
                  <c:v>19713.152007726312</c:v>
                </c:pt>
                <c:pt idx="18">
                  <c:v>21985.044487809995</c:v>
                </c:pt>
                <c:pt idx="19">
                  <c:v>24389.882469761244</c:v>
                </c:pt>
                <c:pt idx="20">
                  <c:v>26929.106196516979</c:v>
                </c:pt>
                <c:pt idx="21">
                  <c:v>29604.171513645881</c:v>
                </c:pt>
                <c:pt idx="22">
                  <c:v>32416.550038376998</c:v>
                </c:pt>
                <c:pt idx="23">
                  <c:v>35367.729330459377</c:v>
                </c:pt>
                <c:pt idx="24">
                  <c:v>38459.21306487266</c:v>
                </c:pt>
                <c:pt idx="25">
                  <c:v>41692.521206408739</c:v>
                </c:pt>
                <c:pt idx="26">
                  <c:v>45069.190186144784</c:v>
                </c:pt>
                <c:pt idx="27">
                  <c:v>48590.77307982801</c:v>
                </c:pt>
                <c:pt idx="28">
                  <c:v>52258.839788192767</c:v>
                </c:pt>
                <c:pt idx="29">
                  <c:v>56074.977219231485</c:v>
                </c:pt>
                <c:pt idx="30">
                  <c:v>60040.789472439792</c:v>
                </c:pt>
                <c:pt idx="31">
                  <c:v>64157.898025057861</c:v>
                </c:pt>
                <c:pt idx="32">
                  <c:v>68427.941920329293</c:v>
                </c:pt>
                <c:pt idx="33">
                  <c:v>72852.577957799484</c:v>
                </c:pt>
                <c:pt idx="34">
                  <c:v>77433.480885675584</c:v>
                </c:pt>
                <c:pt idx="35">
                  <c:v>82172.343595270358</c:v>
                </c:pt>
                <c:pt idx="36">
                  <c:v>87070.877317552397</c:v>
                </c:pt>
                <c:pt idx="37">
                  <c:v>92130.811821825861</c:v>
                </c:pt>
                <c:pt idx="38">
                  <c:v>97353.89561656228</c:v>
                </c:pt>
                <c:pt idx="39">
                  <c:v>102741.89615240833</c:v>
                </c:pt>
                <c:pt idx="40">
                  <c:v>108296.60002739273</c:v>
                </c:pt>
                <c:pt idx="41">
                  <c:v>114019.81319435616</c:v>
                </c:pt>
                <c:pt idx="42">
                  <c:v>119913.36117062834</c:v>
                </c:pt>
                <c:pt idx="43">
                  <c:v>125979.08924997679</c:v>
                </c:pt>
                <c:pt idx="44">
                  <c:v>132218.86271685152</c:v>
                </c:pt>
                <c:pt idx="45">
                  <c:v>138634.56706295069</c:v>
                </c:pt>
                <c:pt idx="46">
                  <c:v>145228.10820613266</c:v>
                </c:pt>
                <c:pt idx="47">
                  <c:v>152001.41271169903</c:v>
                </c:pt>
                <c:pt idx="48">
                  <c:v>158956.42801607575</c:v>
                </c:pt>
                <c:pt idx="49">
                  <c:v>166095.12265291647</c:v>
                </c:pt>
                <c:pt idx="50">
                  <c:v>173419.48648165632</c:v>
                </c:pt>
                <c:pt idx="51">
                  <c:v>180931.5309185409</c:v>
                </c:pt>
                <c:pt idx="52">
                  <c:v>188633.28917015833</c:v>
                </c:pt>
                <c:pt idx="53">
                  <c:v>196526.8164695017</c:v>
                </c:pt>
                <c:pt idx="54">
                  <c:v>204614.1903145879</c:v>
                </c:pt>
                <c:pt idx="55">
                  <c:v>212897.51070966257</c:v>
                </c:pt>
                <c:pt idx="56">
                  <c:v>221378.90040901722</c:v>
                </c:pt>
                <c:pt idx="57">
                  <c:v>230060.50516344816</c:v>
                </c:pt>
                <c:pt idx="58">
                  <c:v>238944.4939693854</c:v>
                </c:pt>
                <c:pt idx="59">
                  <c:v>248033.05932072038</c:v>
                </c:pt>
                <c:pt idx="60">
                  <c:v>257328.4174633614</c:v>
                </c:pt>
                <c:pt idx="61">
                  <c:v>266832.80865254777</c:v>
                </c:pt>
                <c:pt idx="62">
                  <c:v>276548.49741295027</c:v>
                </c:pt>
                <c:pt idx="63">
                  <c:v>286477.7728015905</c:v>
                </c:pt>
                <c:pt idx="64">
                  <c:v>296622.94867360767</c:v>
                </c:pt>
                <c:pt idx="65">
                  <c:v>306986.36395090504</c:v>
                </c:pt>
                <c:pt idx="66">
                  <c:v>317570.38289370644</c:v>
                </c:pt>
                <c:pt idx="67">
                  <c:v>328377.3953750548</c:v>
                </c:pt>
                <c:pt idx="68">
                  <c:v>339409.81715828448</c:v>
                </c:pt>
                <c:pt idx="69">
                  <c:v>350670.09017749922</c:v>
                </c:pt>
                <c:pt idx="70">
                  <c:v>362160.6828210887</c:v>
                </c:pt>
                <c:pt idx="71">
                  <c:v>373884.090218317</c:v>
                </c:pt>
                <c:pt idx="72">
                  <c:v>385842.83452901524</c:v>
                </c:pt>
                <c:pt idx="73">
                  <c:v>398039.46523641283</c:v>
                </c:pt>
                <c:pt idx="74">
                  <c:v>410476.55944314064</c:v>
                </c:pt>
                <c:pt idx="75">
                  <c:v>423156.72217044118</c:v>
                </c:pt>
                <c:pt idx="76">
                  <c:v>436082.58666062076</c:v>
                </c:pt>
                <c:pt idx="77">
                  <c:v>449256.81468277727</c:v>
                </c:pt>
                <c:pt idx="78">
                  <c:v>462682.09684184054</c:v>
                </c:pt>
                <c:pt idx="79">
                  <c:v>476361.15289096045</c:v>
                </c:pt>
                <c:pt idx="80">
                  <c:v>490296.73204727913</c:v>
                </c:pt>
                <c:pt idx="81">
                  <c:v>504491.6133111245</c:v>
                </c:pt>
                <c:pt idx="82">
                  <c:v>518948.60578866163</c:v>
                </c:pt>
                <c:pt idx="83">
                  <c:v>533670.54901803867</c:v>
                </c:pt>
                <c:pt idx="84">
                  <c:v>548660.31329906732</c:v>
                </c:pt>
                <c:pt idx="85">
                  <c:v>563920.80002647382</c:v>
                </c:pt>
                <c:pt idx="86">
                  <c:v>579454.94202676043</c:v>
                </c:pt>
                <c:pt idx="87">
                  <c:v>595265.70389871695</c:v>
                </c:pt>
                <c:pt idx="88">
                  <c:v>611356.08235761966</c:v>
                </c:pt>
                <c:pt idx="89">
                  <c:v>627729.10658316035</c:v>
                </c:pt>
                <c:pt idx="90">
                  <c:v>644387.8385711445</c:v>
                </c:pt>
                <c:pt idx="91">
                  <c:v>661335.37348899851</c:v>
                </c:pt>
                <c:pt idx="92">
                  <c:v>678574.84003512911</c:v>
                </c:pt>
                <c:pt idx="93">
                  <c:v>696109.40080217621</c:v>
                </c:pt>
                <c:pt idx="94">
                  <c:v>713942.25264419965</c:v>
                </c:pt>
                <c:pt idx="95">
                  <c:v>732076.62704784493</c:v>
                </c:pt>
                <c:pt idx="96">
                  <c:v>750515.79050752986</c:v>
                </c:pt>
                <c:pt idx="97">
                  <c:v>769263.04490469466</c:v>
                </c:pt>
                <c:pt idx="98">
                  <c:v>788321.72789116204</c:v>
                </c:pt>
                <c:pt idx="99">
                  <c:v>807695.21327664959</c:v>
                </c:pt>
                <c:pt idx="100">
                  <c:v>827386.91142047988</c:v>
                </c:pt>
                <c:pt idx="101">
                  <c:v>847400.26962753502</c:v>
                </c:pt>
                <c:pt idx="102">
                  <c:v>867738.77254849975</c:v>
                </c:pt>
                <c:pt idx="103">
                  <c:v>888405.94258444174</c:v>
                </c:pt>
                <c:pt idx="104">
                  <c:v>909405.340295773</c:v>
                </c:pt>
                <c:pt idx="105">
                  <c:v>930740.56481564371</c:v>
                </c:pt>
                <c:pt idx="106">
                  <c:v>952415.25426781294</c:v>
                </c:pt>
                <c:pt idx="107">
                  <c:v>974433.08618904743</c:v>
                </c:pt>
                <c:pt idx="108">
                  <c:v>996797.77795609529</c:v>
                </c:pt>
                <c:pt idx="109">
                  <c:v>1019513.0872172862</c:v>
                </c:pt>
                <c:pt idx="110">
                  <c:v>1042582.8123288066</c:v>
                </c:pt>
                <c:pt idx="111">
                  <c:v>1066010.7927957019</c:v>
                </c:pt>
                <c:pt idx="112">
                  <c:v>1089800.9097176553</c:v>
                </c:pt>
                <c:pt idx="113">
                  <c:v>1113957.0862395964</c:v>
                </c:pt>
                <c:pt idx="114">
                  <c:v>1138483.2880071918</c:v>
                </c:pt>
                <c:pt idx="115">
                  <c:v>1163383.5236272695</c:v>
                </c:pt>
                <c:pt idx="116">
                  <c:v>1188661.8451332315</c:v>
                </c:pt>
                <c:pt idx="117">
                  <c:v>1214322.3484555078</c:v>
                </c:pt>
                <c:pt idx="118">
                  <c:v>1240369.173897109</c:v>
                </c:pt>
                <c:pt idx="119">
                  <c:v>1240369.173897109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3-4390-B8FA-6F87688F4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230736"/>
        <c:axId val="1587229296"/>
      </c:lineChart>
      <c:catAx>
        <c:axId val="158723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 (DURATION)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29296"/>
        <c:crosses val="autoZero"/>
        <c:auto val="1"/>
        <c:lblAlgn val="ctr"/>
        <c:lblOffset val="100"/>
        <c:noMultiLvlLbl val="0"/>
      </c:catAx>
      <c:valAx>
        <c:axId val="15872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3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567446</xdr:colOff>
      <xdr:row>3</xdr:row>
      <xdr:rowOff>112002</xdr:rowOff>
    </xdr:from>
    <xdr:to>
      <xdr:col>11</xdr:col>
      <xdr:colOff>238867</xdr:colOff>
      <xdr:row>24</xdr:row>
      <xdr:rowOff>13375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E5857-7AB3-4E02-8695-1F25DABA9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4A10-A881-4C9D-8600-7131AD2A9E68}">
  <dimension ref="A1:G14"/>
  <sheetViews>
    <sheetView showGridLines="0" tabSelected="1" zoomScale="181" zoomScaleNormal="175" workbookViewId="0">
      <selection activeCell="C3" sqref="C3"/>
    </sheetView>
  </sheetViews>
  <sheetFormatPr defaultColWidth="8.73046875" defaultRowHeight="13.15" x14ac:dyDescent="0.4"/>
  <cols>
    <col min="1" max="1" width="8.73046875" style="132"/>
    <col min="2" max="2" width="49.9296875" style="132" customWidth="1"/>
    <col min="3" max="16384" width="8.73046875" style="132"/>
  </cols>
  <sheetData>
    <row r="1" spans="1:7" x14ac:dyDescent="0.4">
      <c r="A1" s="81" t="s">
        <v>48</v>
      </c>
      <c r="B1" s="81" t="s">
        <v>47</v>
      </c>
      <c r="C1" s="1"/>
      <c r="D1" s="175"/>
      <c r="E1" s="175"/>
      <c r="F1" s="175"/>
      <c r="G1" s="175"/>
    </row>
    <row r="2" spans="1:7" x14ac:dyDescent="0.4">
      <c r="A2" s="170"/>
      <c r="B2" s="78" t="s">
        <v>89</v>
      </c>
      <c r="C2" s="1"/>
      <c r="D2" s="175"/>
      <c r="E2" s="175"/>
      <c r="F2" s="175"/>
      <c r="G2" s="175"/>
    </row>
    <row r="3" spans="1:7" x14ac:dyDescent="0.4">
      <c r="A3" s="87" t="s">
        <v>49</v>
      </c>
      <c r="B3" s="78" t="s">
        <v>50</v>
      </c>
      <c r="C3" s="1"/>
      <c r="D3" s="175"/>
      <c r="E3" s="175"/>
      <c r="F3" s="175"/>
      <c r="G3" s="175"/>
    </row>
    <row r="4" spans="1:7" x14ac:dyDescent="0.4">
      <c r="A4" s="93" t="s">
        <v>49</v>
      </c>
      <c r="B4" s="78" t="s">
        <v>55</v>
      </c>
      <c r="C4" s="1"/>
      <c r="D4" s="175"/>
      <c r="E4" s="175"/>
      <c r="F4" s="175"/>
      <c r="G4" s="175"/>
    </row>
    <row r="5" spans="1:7" x14ac:dyDescent="0.4">
      <c r="A5" s="94"/>
      <c r="B5" s="78" t="s">
        <v>57</v>
      </c>
      <c r="C5" s="1"/>
      <c r="D5" s="175"/>
      <c r="E5" s="175"/>
      <c r="F5" s="175"/>
      <c r="G5" s="175"/>
    </row>
    <row r="6" spans="1:7" x14ac:dyDescent="0.4">
      <c r="A6" s="88"/>
      <c r="B6" s="78" t="s">
        <v>51</v>
      </c>
      <c r="C6" s="1"/>
      <c r="D6" s="175"/>
      <c r="E6" s="175"/>
      <c r="F6" s="175"/>
      <c r="G6" s="175"/>
    </row>
    <row r="7" spans="1:7" x14ac:dyDescent="0.4">
      <c r="A7" s="89"/>
      <c r="B7" s="78" t="s">
        <v>52</v>
      </c>
      <c r="C7" s="1"/>
      <c r="D7" s="175"/>
      <c r="E7" s="175"/>
      <c r="F7" s="175"/>
      <c r="G7" s="175"/>
    </row>
    <row r="8" spans="1:7" x14ac:dyDescent="0.4">
      <c r="A8" s="90"/>
      <c r="B8" s="78" t="s">
        <v>56</v>
      </c>
      <c r="C8" s="1"/>
      <c r="D8" s="175"/>
      <c r="E8" s="175"/>
      <c r="F8" s="175"/>
      <c r="G8" s="175"/>
    </row>
    <row r="9" spans="1:7" x14ac:dyDescent="0.4">
      <c r="A9" s="91"/>
      <c r="B9" s="78" t="s">
        <v>53</v>
      </c>
      <c r="C9" s="1"/>
      <c r="D9" s="175"/>
      <c r="E9" s="175"/>
      <c r="F9" s="175"/>
      <c r="G9" s="175"/>
    </row>
    <row r="10" spans="1:7" x14ac:dyDescent="0.4">
      <c r="A10" s="92"/>
      <c r="B10" s="78" t="s">
        <v>54</v>
      </c>
      <c r="C10" s="1"/>
      <c r="D10" s="175"/>
      <c r="E10" s="175"/>
      <c r="F10" s="175"/>
      <c r="G10" s="175"/>
    </row>
    <row r="11" spans="1:7" x14ac:dyDescent="0.4">
      <c r="A11" s="96"/>
      <c r="B11" s="78" t="s">
        <v>59</v>
      </c>
      <c r="C11" s="1"/>
      <c r="D11" s="175"/>
      <c r="E11" s="175"/>
      <c r="F11" s="175"/>
      <c r="G11" s="175"/>
    </row>
    <row r="12" spans="1:7" x14ac:dyDescent="0.4">
      <c r="A12" s="95"/>
      <c r="B12" s="78" t="s">
        <v>61</v>
      </c>
      <c r="C12" s="1"/>
      <c r="D12" s="175"/>
      <c r="E12" s="175"/>
      <c r="F12" s="175"/>
      <c r="G12" s="175"/>
    </row>
    <row r="13" spans="1:7" x14ac:dyDescent="0.4">
      <c r="A13" s="1"/>
      <c r="B13" s="1"/>
      <c r="C13" s="1"/>
      <c r="D13" s="175"/>
      <c r="E13" s="175"/>
      <c r="F13" s="175"/>
      <c r="G13" s="175"/>
    </row>
    <row r="14" spans="1:7" x14ac:dyDescent="0.4">
      <c r="D14" s="175"/>
      <c r="E14" s="175"/>
      <c r="F14" s="175"/>
      <c r="G14" s="1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302A-0CA0-498E-B88B-E57998862315}">
  <sheetPr>
    <tabColor rgb="FF00B0F0"/>
  </sheetPr>
  <dimension ref="A1:D11"/>
  <sheetViews>
    <sheetView showGridLines="0" zoomScale="208" zoomScaleNormal="175" workbookViewId="0">
      <selection activeCell="B8" sqref="B8"/>
    </sheetView>
  </sheetViews>
  <sheetFormatPr defaultColWidth="8.73046875" defaultRowHeight="13.15" x14ac:dyDescent="0.4"/>
  <cols>
    <col min="1" max="1" width="4.46484375" style="132" bestFit="1" customWidth="1"/>
    <col min="2" max="2" width="49.9296875" style="132" customWidth="1"/>
    <col min="3" max="3" width="22.19921875" style="132" bestFit="1" customWidth="1"/>
    <col min="4" max="16384" width="8.73046875" style="132"/>
  </cols>
  <sheetData>
    <row r="1" spans="1:4" x14ac:dyDescent="0.4">
      <c r="A1" s="81" t="s">
        <v>90</v>
      </c>
      <c r="B1" s="81" t="s">
        <v>93</v>
      </c>
      <c r="C1" s="81" t="s">
        <v>94</v>
      </c>
      <c r="D1" s="1"/>
    </row>
    <row r="2" spans="1:4" x14ac:dyDescent="0.4">
      <c r="A2" s="171">
        <v>1</v>
      </c>
      <c r="B2" s="172" t="s">
        <v>91</v>
      </c>
      <c r="C2" s="173" t="s">
        <v>91</v>
      </c>
      <c r="D2" s="1"/>
    </row>
    <row r="3" spans="1:4" x14ac:dyDescent="0.4">
      <c r="A3" s="182">
        <v>2</v>
      </c>
      <c r="B3" s="184" t="s">
        <v>92</v>
      </c>
      <c r="C3" s="174" t="s">
        <v>92</v>
      </c>
      <c r="D3" s="1"/>
    </row>
    <row r="4" spans="1:4" x14ac:dyDescent="0.4">
      <c r="A4" s="183"/>
      <c r="B4" s="185"/>
      <c r="C4" s="174" t="s">
        <v>34</v>
      </c>
      <c r="D4" s="1"/>
    </row>
    <row r="5" spans="1:4" x14ac:dyDescent="0.4">
      <c r="A5" s="182">
        <v>3</v>
      </c>
      <c r="B5" s="186" t="s">
        <v>26</v>
      </c>
      <c r="C5" s="174" t="s">
        <v>26</v>
      </c>
      <c r="D5" s="1"/>
    </row>
    <row r="6" spans="1:4" x14ac:dyDescent="0.4">
      <c r="A6" s="189"/>
      <c r="B6" s="187"/>
      <c r="C6" s="174" t="s">
        <v>95</v>
      </c>
      <c r="D6" s="1"/>
    </row>
    <row r="7" spans="1:4" x14ac:dyDescent="0.4">
      <c r="A7" s="183"/>
      <c r="B7" s="188"/>
      <c r="C7" s="174" t="s">
        <v>96</v>
      </c>
      <c r="D7" s="1"/>
    </row>
    <row r="8" spans="1:4" x14ac:dyDescent="0.4">
      <c r="A8" s="1"/>
      <c r="B8" s="1"/>
      <c r="C8" s="1"/>
      <c r="D8" s="1"/>
    </row>
    <row r="9" spans="1:4" x14ac:dyDescent="0.4">
      <c r="A9" s="175"/>
      <c r="B9" s="175"/>
      <c r="C9" s="175"/>
      <c r="D9" s="175"/>
    </row>
    <row r="10" spans="1:4" x14ac:dyDescent="0.4">
      <c r="A10" s="175"/>
      <c r="B10" s="175"/>
      <c r="C10" s="175"/>
      <c r="D10" s="175"/>
    </row>
    <row r="11" spans="1:4" x14ac:dyDescent="0.4">
      <c r="A11" s="175"/>
      <c r="B11" s="175"/>
      <c r="C11" s="175"/>
      <c r="D11" s="175"/>
    </row>
  </sheetData>
  <mergeCells count="4">
    <mergeCell ref="A3:A4"/>
    <mergeCell ref="B3:B4"/>
    <mergeCell ref="B5:B7"/>
    <mergeCell ref="A5:A7"/>
  </mergeCells>
  <hyperlinks>
    <hyperlink ref="C2" location="'Sensitivity Analysis'!A1" display="Sensitivity Analysis" xr:uid="{C27F7897-1037-4694-A106-B2ADB1F5ABD2}"/>
    <hyperlink ref="C3" location="'Scenario Analysis'!A1" display="Scenario Analysis" xr:uid="{EBA48FBE-8847-44FA-B72A-856C4F5C7936}"/>
    <hyperlink ref="C4" location="'Scenario Summary'!A1" display="'Scenario Summary" xr:uid="{8F1C67D0-F828-4CC1-B698-041B00DD3CC7}"/>
    <hyperlink ref="C5" location="'SIP Calculator'!A1" display="SIP Calculator" xr:uid="{4394F2C3-37D1-4F6B-B1FC-FEAA5C29DCBF}"/>
    <hyperlink ref="C6" location="'Wealth Curve Graph (SIP)'!A1" display="'Wealth Curve Graph (SIP)" xr:uid="{D250B72C-089C-4852-98DE-21F96298B833}"/>
    <hyperlink ref="C7" location="'Goal Seek (SIP)'!A1" display="Goal Seek (SIP)" xr:uid="{F561FDE0-BD03-46E0-A35D-BA5FE3B346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119F-5CB0-4EFF-AED8-F57FDBBB4624}">
  <sheetPr>
    <tabColor rgb="FF00B050"/>
  </sheetPr>
  <dimension ref="A1:Z166"/>
  <sheetViews>
    <sheetView showGridLines="0" zoomScale="46" zoomScaleNormal="32" workbookViewId="0">
      <selection activeCell="F6" sqref="F6"/>
    </sheetView>
  </sheetViews>
  <sheetFormatPr defaultColWidth="8.73046875" defaultRowHeight="13.15" x14ac:dyDescent="0.4"/>
  <cols>
    <col min="1" max="1" width="37.33203125" style="132" bestFit="1" customWidth="1"/>
    <col min="2" max="2" width="25.46484375" style="132" customWidth="1"/>
    <col min="3" max="3" width="8.73046875" style="132"/>
    <col min="4" max="4" width="29.59765625" style="132" bestFit="1" customWidth="1"/>
    <col min="5" max="5" width="16.06640625" style="132" bestFit="1" customWidth="1"/>
    <col min="6" max="7" width="14.9296875" style="132" bestFit="1" customWidth="1"/>
    <col min="8" max="9" width="15.59765625" style="132" bestFit="1" customWidth="1"/>
    <col min="10" max="10" width="14.73046875" style="132" bestFit="1" customWidth="1"/>
    <col min="11" max="11" width="15.06640625" style="132" bestFit="1" customWidth="1"/>
    <col min="12" max="17" width="15.46484375" style="132" bestFit="1" customWidth="1"/>
    <col min="18" max="18" width="15.796875" style="132" bestFit="1" customWidth="1"/>
    <col min="19" max="20" width="16.265625" style="132" bestFit="1" customWidth="1"/>
    <col min="21" max="24" width="16.59765625" style="132" bestFit="1" customWidth="1"/>
    <col min="25" max="16384" width="8.73046875" style="132"/>
  </cols>
  <sheetData>
    <row r="1" spans="1:26" ht="45" x14ac:dyDescent="0.4">
      <c r="A1" s="195" t="s">
        <v>97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"/>
    </row>
    <row r="2" spans="1:26" x14ac:dyDescent="0.4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6"/>
      <c r="Z2" s="1"/>
    </row>
    <row r="3" spans="1:26" x14ac:dyDescent="0.4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6"/>
      <c r="Z3" s="1"/>
    </row>
    <row r="4" spans="1:26" x14ac:dyDescent="0.4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6"/>
      <c r="Z4" s="1"/>
    </row>
    <row r="5" spans="1:26" x14ac:dyDescent="0.4">
      <c r="A5" s="42" t="s">
        <v>69</v>
      </c>
      <c r="B5" s="4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6"/>
      <c r="Z5" s="1"/>
    </row>
    <row r="6" spans="1:26" x14ac:dyDescent="0.4">
      <c r="A6" s="2" t="s">
        <v>2</v>
      </c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6"/>
      <c r="Z6" s="1"/>
    </row>
    <row r="7" spans="1:26" x14ac:dyDescent="0.4">
      <c r="A7" s="142" t="s">
        <v>4</v>
      </c>
      <c r="B7" s="7">
        <v>300000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6"/>
      <c r="Z7" s="1"/>
    </row>
    <row r="8" spans="1:26" x14ac:dyDescent="0.4">
      <c r="A8" s="143" t="s">
        <v>3</v>
      </c>
      <c r="B8" s="8">
        <v>0.05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6"/>
      <c r="Z8" s="1"/>
    </row>
    <row r="9" spans="1:26" x14ac:dyDescent="0.4">
      <c r="A9" s="143" t="s">
        <v>0</v>
      </c>
      <c r="B9" s="9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6"/>
      <c r="Z9" s="1"/>
    </row>
    <row r="10" spans="1:26" x14ac:dyDescent="0.4">
      <c r="A10" s="144" t="s">
        <v>1</v>
      </c>
      <c r="B10" s="10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6"/>
      <c r="Z10" s="1"/>
    </row>
    <row r="11" spans="1:26" x14ac:dyDescent="0.4">
      <c r="A11" s="1"/>
      <c r="B11" s="11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6"/>
      <c r="Z11" s="1"/>
    </row>
    <row r="12" spans="1:26" x14ac:dyDescent="0.4">
      <c r="A12" s="113" t="s">
        <v>5</v>
      </c>
      <c r="B12" s="114">
        <f>B7*((1+(B8/B10))^(B9*B10))</f>
        <v>1332063.9686817715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6"/>
      <c r="Z12" s="1"/>
    </row>
    <row r="13" spans="1:26" x14ac:dyDescent="0.4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6"/>
      <c r="Z13" s="1"/>
    </row>
    <row r="14" spans="1:26" x14ac:dyDescent="0.4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6"/>
      <c r="Z14" s="1"/>
    </row>
    <row r="15" spans="1:26" x14ac:dyDescent="0.4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6"/>
      <c r="Z15" s="1"/>
    </row>
    <row r="16" spans="1:26" ht="20.25" x14ac:dyDescent="0.55000000000000004">
      <c r="A16" s="190" t="s">
        <v>70</v>
      </c>
      <c r="B16" s="191"/>
      <c r="C16" s="71"/>
      <c r="D16" s="192" t="s">
        <v>71</v>
      </c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4"/>
      <c r="Y16" s="16"/>
      <c r="Z16" s="1"/>
    </row>
    <row r="17" spans="1:26" x14ac:dyDescent="0.4">
      <c r="A17" s="5"/>
      <c r="B17" s="1"/>
      <c r="C17" s="1"/>
      <c r="D17" s="65"/>
      <c r="E17" s="6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6"/>
      <c r="Z17" s="1"/>
    </row>
    <row r="18" spans="1:26" x14ac:dyDescent="0.4">
      <c r="A18" s="82" t="s">
        <v>6</v>
      </c>
      <c r="B18" s="81" t="s">
        <v>14</v>
      </c>
      <c r="C18" s="1"/>
      <c r="D18" s="82" t="s">
        <v>10</v>
      </c>
      <c r="E18" s="83" t="s">
        <v>18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5"/>
      <c r="Y18" s="16"/>
      <c r="Z18" s="1"/>
    </row>
    <row r="19" spans="1:26" x14ac:dyDescent="0.4">
      <c r="A19" s="11">
        <f>B7</f>
        <v>300000</v>
      </c>
      <c r="B19" s="13">
        <f>B12</f>
        <v>1332063.9686817715</v>
      </c>
      <c r="C19" s="1"/>
      <c r="D19" s="19">
        <f>B12</f>
        <v>1332063.9686817715</v>
      </c>
      <c r="E19" s="28">
        <f>1%</f>
        <v>0.01</v>
      </c>
      <c r="F19" s="29">
        <f>E19+0.01</f>
        <v>0.02</v>
      </c>
      <c r="G19" s="29">
        <f t="shared" ref="G19:X19" si="0">F19+0.01</f>
        <v>0.03</v>
      </c>
      <c r="H19" s="29">
        <f t="shared" si="0"/>
        <v>0.04</v>
      </c>
      <c r="I19" s="31">
        <f t="shared" si="0"/>
        <v>0.05</v>
      </c>
      <c r="J19" s="29">
        <f t="shared" si="0"/>
        <v>6.0000000000000005E-2</v>
      </c>
      <c r="K19" s="29">
        <f t="shared" si="0"/>
        <v>7.0000000000000007E-2</v>
      </c>
      <c r="L19" s="29">
        <f t="shared" si="0"/>
        <v>0.08</v>
      </c>
      <c r="M19" s="29">
        <f>L19+0.01</f>
        <v>0.09</v>
      </c>
      <c r="N19" s="29">
        <f t="shared" si="0"/>
        <v>9.9999999999999992E-2</v>
      </c>
      <c r="O19" s="29">
        <f>N19+0.01</f>
        <v>0.10999999999999999</v>
      </c>
      <c r="P19" s="29">
        <f t="shared" si="0"/>
        <v>0.11999999999999998</v>
      </c>
      <c r="Q19" s="29">
        <f t="shared" si="0"/>
        <v>0.12999999999999998</v>
      </c>
      <c r="R19" s="29">
        <f t="shared" si="0"/>
        <v>0.13999999999999999</v>
      </c>
      <c r="S19" s="29">
        <f t="shared" si="0"/>
        <v>0.15</v>
      </c>
      <c r="T19" s="29">
        <f>S19+0.01</f>
        <v>0.16</v>
      </c>
      <c r="U19" s="29">
        <f t="shared" si="0"/>
        <v>0.17</v>
      </c>
      <c r="V19" s="29">
        <f t="shared" si="0"/>
        <v>0.18000000000000002</v>
      </c>
      <c r="W19" s="29">
        <f>V19+0.01</f>
        <v>0.19000000000000003</v>
      </c>
      <c r="X19" s="30">
        <f t="shared" si="0"/>
        <v>0.20000000000000004</v>
      </c>
      <c r="Y19" s="16"/>
      <c r="Z19" s="1"/>
    </row>
    <row r="20" spans="1:26" x14ac:dyDescent="0.4">
      <c r="A20" s="44">
        <f>100000</f>
        <v>100000</v>
      </c>
      <c r="B20" s="45">
        <f t="dataTable" ref="B20:B39" dt2D="0" dtr="0" r1="B7"/>
        <v>444021.32289392385</v>
      </c>
      <c r="C20" s="1"/>
      <c r="D20" s="20">
        <v>100000</v>
      </c>
      <c r="E20" s="53">
        <f t="dataTable" ref="E20:X39" dt2D="1" dtr="1" r1="B8" r2="B7" ca="1"/>
        <v>134935.35471908259</v>
      </c>
      <c r="F20" s="53">
        <v>181939.67340322802</v>
      </c>
      <c r="G20" s="53">
        <v>245135.70781248179</v>
      </c>
      <c r="H20" s="53">
        <v>330038.689457367</v>
      </c>
      <c r="I20" s="53">
        <v>444021.32289392385</v>
      </c>
      <c r="J20" s="53">
        <v>596932.28723213391</v>
      </c>
      <c r="K20" s="53">
        <v>801918.34313395899</v>
      </c>
      <c r="L20" s="53">
        <v>1076516.3034201744</v>
      </c>
      <c r="M20" s="53">
        <v>1444102.4391359664</v>
      </c>
      <c r="N20" s="53">
        <v>1935814.9833777866</v>
      </c>
      <c r="O20" s="53">
        <v>2593102.3919156273</v>
      </c>
      <c r="P20" s="53">
        <v>3471098.7135601286</v>
      </c>
      <c r="Q20" s="53">
        <v>4643091.4695529602</v>
      </c>
      <c r="R20" s="53">
        <v>6206431.6240610648</v>
      </c>
      <c r="S20" s="53">
        <v>8290345.8045394942</v>
      </c>
      <c r="T20" s="53">
        <v>11066256.080425696</v>
      </c>
      <c r="U20" s="53">
        <v>14761403.015481511</v>
      </c>
      <c r="V20" s="53">
        <v>19676817.320350368</v>
      </c>
      <c r="W20" s="53">
        <v>26211012.442904327</v>
      </c>
      <c r="X20" s="54">
        <v>34891198.566720217</v>
      </c>
      <c r="Y20" s="16"/>
      <c r="Z20" s="1"/>
    </row>
    <row r="21" spans="1:26" x14ac:dyDescent="0.4">
      <c r="A21" s="46">
        <f>A20+100000</f>
        <v>200000</v>
      </c>
      <c r="B21" s="45">
        <v>888042.64578784769</v>
      </c>
      <c r="C21" s="1"/>
      <c r="D21" s="20">
        <f>D20+100000</f>
        <v>200000</v>
      </c>
      <c r="E21" s="53">
        <v>269870.70943816518</v>
      </c>
      <c r="F21" s="53">
        <v>363879.34680645604</v>
      </c>
      <c r="G21" s="53">
        <v>490271.41562496359</v>
      </c>
      <c r="H21" s="53">
        <v>660077.378914734</v>
      </c>
      <c r="I21" s="53">
        <v>888042.64578784769</v>
      </c>
      <c r="J21" s="53">
        <v>1193864.5744642678</v>
      </c>
      <c r="K21" s="53">
        <v>1603836.686267918</v>
      </c>
      <c r="L21" s="53">
        <v>2153032.6068403488</v>
      </c>
      <c r="M21" s="53">
        <v>2888204.8782719327</v>
      </c>
      <c r="N21" s="53">
        <v>3871629.9667555732</v>
      </c>
      <c r="O21" s="53">
        <v>5186204.7838312546</v>
      </c>
      <c r="P21" s="53">
        <v>6942197.4271202572</v>
      </c>
      <c r="Q21" s="53">
        <v>9286182.9391059205</v>
      </c>
      <c r="R21" s="53">
        <v>12412863.24812213</v>
      </c>
      <c r="S21" s="53">
        <v>16580691.609078988</v>
      </c>
      <c r="T21" s="53">
        <v>22132512.160851393</v>
      </c>
      <c r="U21" s="53">
        <v>29522806.030963022</v>
      </c>
      <c r="V21" s="53">
        <v>39353634.640700735</v>
      </c>
      <c r="W21" s="53">
        <v>52422024.885808654</v>
      </c>
      <c r="X21" s="54">
        <v>69782397.133440435</v>
      </c>
      <c r="Y21" s="16"/>
      <c r="Z21" s="1"/>
    </row>
    <row r="22" spans="1:26" x14ac:dyDescent="0.4">
      <c r="A22" s="26">
        <f t="shared" ref="A22:A38" si="1">A21+100000</f>
        <v>300000</v>
      </c>
      <c r="B22" s="22">
        <v>1332063.9686817715</v>
      </c>
      <c r="C22" s="1"/>
      <c r="D22" s="22">
        <f t="shared" ref="D22:D39" si="2">D21+100000</f>
        <v>300000</v>
      </c>
      <c r="E22" s="53">
        <v>404806.06415724772</v>
      </c>
      <c r="F22" s="53">
        <v>545819.02020968404</v>
      </c>
      <c r="G22" s="53">
        <v>735407.12343744538</v>
      </c>
      <c r="H22" s="53">
        <v>990116.06837210094</v>
      </c>
      <c r="I22" s="32">
        <v>1332063.9686817715</v>
      </c>
      <c r="J22" s="53">
        <v>1790796.8616964016</v>
      </c>
      <c r="K22" s="53">
        <v>2405755.029401877</v>
      </c>
      <c r="L22" s="53">
        <v>3229548.9102605227</v>
      </c>
      <c r="M22" s="53">
        <v>4332307.3174078986</v>
      </c>
      <c r="N22" s="53">
        <v>5807444.95013336</v>
      </c>
      <c r="O22" s="53">
        <v>7779307.1757468814</v>
      </c>
      <c r="P22" s="53">
        <v>10413296.140680386</v>
      </c>
      <c r="Q22" s="53">
        <v>13929274.408658881</v>
      </c>
      <c r="R22" s="53">
        <v>18619294.872183196</v>
      </c>
      <c r="S22" s="53">
        <v>24871037.413618483</v>
      </c>
      <c r="T22" s="53">
        <v>33198768.241277091</v>
      </c>
      <c r="U22" s="53">
        <v>44284209.046444535</v>
      </c>
      <c r="V22" s="53">
        <v>59030451.961051106</v>
      </c>
      <c r="W22" s="53">
        <v>78633037.32871297</v>
      </c>
      <c r="X22" s="54">
        <v>104673595.70016067</v>
      </c>
      <c r="Y22" s="16"/>
      <c r="Z22" s="1"/>
    </row>
    <row r="23" spans="1:26" x14ac:dyDescent="0.4">
      <c r="A23" s="46">
        <f t="shared" si="1"/>
        <v>400000</v>
      </c>
      <c r="B23" s="45">
        <v>1776085.2915756954</v>
      </c>
      <c r="C23" s="1"/>
      <c r="D23" s="20">
        <f t="shared" si="2"/>
        <v>400000</v>
      </c>
      <c r="E23" s="53">
        <v>539741.41887633037</v>
      </c>
      <c r="F23" s="53">
        <v>727758.69361291209</v>
      </c>
      <c r="G23" s="53">
        <v>980542.83124992717</v>
      </c>
      <c r="H23" s="53">
        <v>1320154.757829468</v>
      </c>
      <c r="I23" s="53">
        <v>1776085.2915756954</v>
      </c>
      <c r="J23" s="53">
        <v>2387729.1489285356</v>
      </c>
      <c r="K23" s="53">
        <v>3207673.372535836</v>
      </c>
      <c r="L23" s="53">
        <v>4306065.2136806976</v>
      </c>
      <c r="M23" s="53">
        <v>5776409.7565438654</v>
      </c>
      <c r="N23" s="53">
        <v>7743259.9335111463</v>
      </c>
      <c r="O23" s="53">
        <v>10372409.567662509</v>
      </c>
      <c r="P23" s="53">
        <v>13884394.854240514</v>
      </c>
      <c r="Q23" s="53">
        <v>18572365.878211841</v>
      </c>
      <c r="R23" s="53">
        <v>24825726.496244259</v>
      </c>
      <c r="S23" s="53">
        <v>33161383.218157977</v>
      </c>
      <c r="T23" s="53">
        <v>44265024.321702786</v>
      </c>
      <c r="U23" s="53">
        <v>59045612.061926045</v>
      </c>
      <c r="V23" s="53">
        <v>78707269.28140147</v>
      </c>
      <c r="W23" s="53">
        <v>104844049.77161731</v>
      </c>
      <c r="X23" s="54">
        <v>139564794.26688087</v>
      </c>
      <c r="Y23" s="16"/>
      <c r="Z23" s="1"/>
    </row>
    <row r="24" spans="1:26" x14ac:dyDescent="0.4">
      <c r="A24" s="46">
        <f t="shared" si="1"/>
        <v>500000</v>
      </c>
      <c r="B24" s="45">
        <v>2220106.614469619</v>
      </c>
      <c r="C24" s="1"/>
      <c r="D24" s="20">
        <f t="shared" si="2"/>
        <v>500000</v>
      </c>
      <c r="E24" s="53">
        <v>674676.77359541284</v>
      </c>
      <c r="F24" s="53">
        <v>909698.36701614014</v>
      </c>
      <c r="G24" s="53">
        <v>1225678.539062409</v>
      </c>
      <c r="H24" s="53">
        <v>1650193.4472868349</v>
      </c>
      <c r="I24" s="53">
        <v>2220106.614469619</v>
      </c>
      <c r="J24" s="53">
        <v>2984661.4361606692</v>
      </c>
      <c r="K24" s="53">
        <v>4009591.7156697949</v>
      </c>
      <c r="L24" s="53">
        <v>5382581.5171008715</v>
      </c>
      <c r="M24" s="53">
        <v>7220512.1956798313</v>
      </c>
      <c r="N24" s="53">
        <v>9679074.9168889336</v>
      </c>
      <c r="O24" s="53">
        <v>12965511.959578136</v>
      </c>
      <c r="P24" s="53">
        <v>17355493.567800645</v>
      </c>
      <c r="Q24" s="53">
        <v>23215457.347764801</v>
      </c>
      <c r="R24" s="53">
        <v>31032158.120305326</v>
      </c>
      <c r="S24" s="53">
        <v>41451729.022697471</v>
      </c>
      <c r="T24" s="53">
        <v>55331280.402128488</v>
      </c>
      <c r="U24" s="53">
        <v>73807015.077407554</v>
      </c>
      <c r="V24" s="53">
        <v>98384086.601751849</v>
      </c>
      <c r="W24" s="53">
        <v>131055062.21452163</v>
      </c>
      <c r="X24" s="54">
        <v>174455992.83360109</v>
      </c>
      <c r="Y24" s="16"/>
      <c r="Z24" s="1"/>
    </row>
    <row r="25" spans="1:26" x14ac:dyDescent="0.4">
      <c r="A25" s="46">
        <f t="shared" si="1"/>
        <v>600000</v>
      </c>
      <c r="B25" s="45">
        <v>2664127.9373635431</v>
      </c>
      <c r="C25" s="1"/>
      <c r="D25" s="20">
        <f t="shared" si="2"/>
        <v>600000</v>
      </c>
      <c r="E25" s="53">
        <v>809612.12831449544</v>
      </c>
      <c r="F25" s="53">
        <v>1091638.0404193681</v>
      </c>
      <c r="G25" s="53">
        <v>1470814.2468748908</v>
      </c>
      <c r="H25" s="53">
        <v>1980232.1367442019</v>
      </c>
      <c r="I25" s="53">
        <v>2664127.9373635431</v>
      </c>
      <c r="J25" s="53">
        <v>3581593.7233928032</v>
      </c>
      <c r="K25" s="53">
        <v>4811510.0588037539</v>
      </c>
      <c r="L25" s="53">
        <v>6459097.8205210455</v>
      </c>
      <c r="M25" s="53">
        <v>8664614.6348157972</v>
      </c>
      <c r="N25" s="53">
        <v>11614889.90026672</v>
      </c>
      <c r="O25" s="53">
        <v>15558614.351493763</v>
      </c>
      <c r="P25" s="53">
        <v>20826592.281360772</v>
      </c>
      <c r="Q25" s="53">
        <v>27858548.817317761</v>
      </c>
      <c r="R25" s="53">
        <v>37238589.744366392</v>
      </c>
      <c r="S25" s="53">
        <v>49742074.827236965</v>
      </c>
      <c r="T25" s="53">
        <v>66397536.482554182</v>
      </c>
      <c r="U25" s="53">
        <v>88568418.092889071</v>
      </c>
      <c r="V25" s="53">
        <v>118060903.92210221</v>
      </c>
      <c r="W25" s="53">
        <v>157266074.65742594</v>
      </c>
      <c r="X25" s="54">
        <v>209347191.40032133</v>
      </c>
      <c r="Y25" s="16"/>
      <c r="Z25" s="1"/>
    </row>
    <row r="26" spans="1:26" x14ac:dyDescent="0.4">
      <c r="A26" s="46">
        <f t="shared" si="1"/>
        <v>700000</v>
      </c>
      <c r="B26" s="45">
        <v>3108149.2602574667</v>
      </c>
      <c r="C26" s="1"/>
      <c r="D26" s="20">
        <f t="shared" si="2"/>
        <v>700000</v>
      </c>
      <c r="E26" s="53">
        <v>944547.48303357803</v>
      </c>
      <c r="F26" s="53">
        <v>1273577.7138225962</v>
      </c>
      <c r="G26" s="53">
        <v>1715949.9546873725</v>
      </c>
      <c r="H26" s="53">
        <v>2310270.8262015688</v>
      </c>
      <c r="I26" s="53">
        <v>3108149.2602574667</v>
      </c>
      <c r="J26" s="53">
        <v>4178526.0106249372</v>
      </c>
      <c r="K26" s="53">
        <v>5613428.4019377129</v>
      </c>
      <c r="L26" s="53">
        <v>7535614.1239412203</v>
      </c>
      <c r="M26" s="53">
        <v>10108717.073951764</v>
      </c>
      <c r="N26" s="53">
        <v>13550704.883644506</v>
      </c>
      <c r="O26" s="53">
        <v>18151716.743409388</v>
      </c>
      <c r="P26" s="53">
        <v>24297690.994920902</v>
      </c>
      <c r="Q26" s="53">
        <v>32501640.286870722</v>
      </c>
      <c r="R26" s="53">
        <v>43445021.368427455</v>
      </c>
      <c r="S26" s="53">
        <v>58032420.63177646</v>
      </c>
      <c r="T26" s="53">
        <v>77463792.562979877</v>
      </c>
      <c r="U26" s="53">
        <v>103329821.10837057</v>
      </c>
      <c r="V26" s="53">
        <v>137737721.24245259</v>
      </c>
      <c r="W26" s="53">
        <v>183477087.10033026</v>
      </c>
      <c r="X26" s="54">
        <v>244238389.96704155</v>
      </c>
      <c r="Y26" s="16"/>
      <c r="Z26" s="1"/>
    </row>
    <row r="27" spans="1:26" x14ac:dyDescent="0.4">
      <c r="A27" s="46">
        <f t="shared" si="1"/>
        <v>800000</v>
      </c>
      <c r="B27" s="45">
        <v>3552170.5831513908</v>
      </c>
      <c r="C27" s="1"/>
      <c r="D27" s="20">
        <f t="shared" si="2"/>
        <v>800000</v>
      </c>
      <c r="E27" s="53">
        <v>1079482.8377526607</v>
      </c>
      <c r="F27" s="53">
        <v>1455517.3872258242</v>
      </c>
      <c r="G27" s="53">
        <v>1961085.6624998543</v>
      </c>
      <c r="H27" s="53">
        <v>2640309.515658936</v>
      </c>
      <c r="I27" s="53">
        <v>3552170.5831513908</v>
      </c>
      <c r="J27" s="53">
        <v>4775458.2978570713</v>
      </c>
      <c r="K27" s="53">
        <v>6415346.7450716719</v>
      </c>
      <c r="L27" s="53">
        <v>8612130.4273613952</v>
      </c>
      <c r="M27" s="53">
        <v>11552819.513087731</v>
      </c>
      <c r="N27" s="53">
        <v>15486519.867022293</v>
      </c>
      <c r="O27" s="53">
        <v>20744819.135325018</v>
      </c>
      <c r="P27" s="53">
        <v>27768789.708481029</v>
      </c>
      <c r="Q27" s="53">
        <v>37144731.756423682</v>
      </c>
      <c r="R27" s="53">
        <v>49651452.992488518</v>
      </c>
      <c r="S27" s="53">
        <v>66322766.436315954</v>
      </c>
      <c r="T27" s="53">
        <v>88530048.643405572</v>
      </c>
      <c r="U27" s="53">
        <v>118091224.12385209</v>
      </c>
      <c r="V27" s="53">
        <v>157414538.56280294</v>
      </c>
      <c r="W27" s="53">
        <v>209688099.54323462</v>
      </c>
      <c r="X27" s="54">
        <v>279129588.53376174</v>
      </c>
      <c r="Y27" s="16"/>
      <c r="Z27" s="1"/>
    </row>
    <row r="28" spans="1:26" x14ac:dyDescent="0.4">
      <c r="A28" s="46">
        <f t="shared" si="1"/>
        <v>900000</v>
      </c>
      <c r="B28" s="45">
        <v>3996191.9060453144</v>
      </c>
      <c r="C28" s="1"/>
      <c r="D28" s="20">
        <f t="shared" si="2"/>
        <v>900000</v>
      </c>
      <c r="E28" s="53">
        <v>1214418.1924717431</v>
      </c>
      <c r="F28" s="53">
        <v>1637457.0606290523</v>
      </c>
      <c r="G28" s="53">
        <v>2206221.3703123364</v>
      </c>
      <c r="H28" s="53">
        <v>2970348.2051163027</v>
      </c>
      <c r="I28" s="53">
        <v>3996191.9060453144</v>
      </c>
      <c r="J28" s="53">
        <v>5372390.5850892048</v>
      </c>
      <c r="K28" s="53">
        <v>7217265.0882056309</v>
      </c>
      <c r="L28" s="53">
        <v>9688646.7307815682</v>
      </c>
      <c r="M28" s="53">
        <v>12996921.952223698</v>
      </c>
      <c r="N28" s="53">
        <v>17422334.850400079</v>
      </c>
      <c r="O28" s="53">
        <v>23337921.527240645</v>
      </c>
      <c r="P28" s="53">
        <v>31239888.422041159</v>
      </c>
      <c r="Q28" s="53">
        <v>41787823.225976638</v>
      </c>
      <c r="R28" s="53">
        <v>55857884.616549589</v>
      </c>
      <c r="S28" s="53">
        <v>74613112.24085544</v>
      </c>
      <c r="T28" s="53">
        <v>99596304.723831266</v>
      </c>
      <c r="U28" s="53">
        <v>132852627.13933361</v>
      </c>
      <c r="V28" s="53">
        <v>177091355.88315332</v>
      </c>
      <c r="W28" s="53">
        <v>235899111.98613894</v>
      </c>
      <c r="X28" s="54">
        <v>314020787.10048199</v>
      </c>
      <c r="Y28" s="16"/>
      <c r="Z28" s="1"/>
    </row>
    <row r="29" spans="1:26" x14ac:dyDescent="0.4">
      <c r="A29" s="46">
        <f t="shared" si="1"/>
        <v>1000000</v>
      </c>
      <c r="B29" s="45">
        <v>4440213.228939238</v>
      </c>
      <c r="C29" s="1"/>
      <c r="D29" s="20">
        <f t="shared" si="2"/>
        <v>1000000</v>
      </c>
      <c r="E29" s="53">
        <v>1349353.5471908257</v>
      </c>
      <c r="F29" s="53">
        <v>1819396.7340322803</v>
      </c>
      <c r="G29" s="53">
        <v>2451357.0781248179</v>
      </c>
      <c r="H29" s="53">
        <v>3300386.8945736699</v>
      </c>
      <c r="I29" s="53">
        <v>4440213.228939238</v>
      </c>
      <c r="J29" s="53">
        <v>5969322.8723213384</v>
      </c>
      <c r="K29" s="53">
        <v>8019183.4313395899</v>
      </c>
      <c r="L29" s="53">
        <v>10765163.034201743</v>
      </c>
      <c r="M29" s="53">
        <v>14441024.391359663</v>
      </c>
      <c r="N29" s="53">
        <v>19358149.833777867</v>
      </c>
      <c r="O29" s="53">
        <v>25931023.919156272</v>
      </c>
      <c r="P29" s="53">
        <v>34710987.13560129</v>
      </c>
      <c r="Q29" s="53">
        <v>46430914.695529602</v>
      </c>
      <c r="R29" s="53">
        <v>62064316.240610652</v>
      </c>
      <c r="S29" s="53">
        <v>82903458.045394942</v>
      </c>
      <c r="T29" s="53">
        <v>110662560.80425698</v>
      </c>
      <c r="U29" s="53">
        <v>147614030.15481511</v>
      </c>
      <c r="V29" s="53">
        <v>196768173.2035037</v>
      </c>
      <c r="W29" s="53">
        <v>262110124.42904326</v>
      </c>
      <c r="X29" s="54">
        <v>348911985.66720217</v>
      </c>
      <c r="Y29" s="16"/>
      <c r="Z29" s="1"/>
    </row>
    <row r="30" spans="1:26" x14ac:dyDescent="0.4">
      <c r="A30" s="46">
        <f t="shared" si="1"/>
        <v>1100000</v>
      </c>
      <c r="B30" s="45">
        <v>4884234.5518331621</v>
      </c>
      <c r="C30" s="1"/>
      <c r="D30" s="20">
        <f t="shared" si="2"/>
        <v>1100000</v>
      </c>
      <c r="E30" s="53">
        <v>1484288.9019099083</v>
      </c>
      <c r="F30" s="53">
        <v>2001336.4074355084</v>
      </c>
      <c r="G30" s="53">
        <v>2696492.7859373</v>
      </c>
      <c r="H30" s="53">
        <v>3630425.5840310371</v>
      </c>
      <c r="I30" s="53">
        <v>4884234.5518331621</v>
      </c>
      <c r="J30" s="53">
        <v>6566255.1595534729</v>
      </c>
      <c r="K30" s="53">
        <v>8821101.7744735479</v>
      </c>
      <c r="L30" s="53">
        <v>11841679.337621918</v>
      </c>
      <c r="M30" s="53">
        <v>15885126.830495629</v>
      </c>
      <c r="N30" s="53">
        <v>21293964.817155652</v>
      </c>
      <c r="O30" s="53">
        <v>28524126.311071899</v>
      </c>
      <c r="P30" s="53">
        <v>38182085.849161416</v>
      </c>
      <c r="Q30" s="53">
        <v>51074006.165082559</v>
      </c>
      <c r="R30" s="53">
        <v>68270747.864671722</v>
      </c>
      <c r="S30" s="53">
        <v>91193803.849934429</v>
      </c>
      <c r="T30" s="53">
        <v>121728816.88468267</v>
      </c>
      <c r="U30" s="53">
        <v>162375433.17029661</v>
      </c>
      <c r="V30" s="53">
        <v>216444990.52385408</v>
      </c>
      <c r="W30" s="53">
        <v>288321136.87194759</v>
      </c>
      <c r="X30" s="54">
        <v>383803184.23392242</v>
      </c>
      <c r="Y30" s="16"/>
      <c r="Z30" s="1"/>
    </row>
    <row r="31" spans="1:26" x14ac:dyDescent="0.4">
      <c r="A31" s="46">
        <f t="shared" si="1"/>
        <v>1200000</v>
      </c>
      <c r="B31" s="45">
        <v>5328255.8747270862</v>
      </c>
      <c r="C31" s="1"/>
      <c r="D31" s="20">
        <f t="shared" si="2"/>
        <v>1200000</v>
      </c>
      <c r="E31" s="53">
        <v>1619224.2566289909</v>
      </c>
      <c r="F31" s="53">
        <v>2183276.0808387361</v>
      </c>
      <c r="G31" s="53">
        <v>2941628.4937497815</v>
      </c>
      <c r="H31" s="53">
        <v>3960464.2734884038</v>
      </c>
      <c r="I31" s="53">
        <v>5328255.8747270862</v>
      </c>
      <c r="J31" s="53">
        <v>7163187.4467856064</v>
      </c>
      <c r="K31" s="53">
        <v>9623020.1176075079</v>
      </c>
      <c r="L31" s="53">
        <v>12918195.641042091</v>
      </c>
      <c r="M31" s="53">
        <v>17329229.269631594</v>
      </c>
      <c r="N31" s="53">
        <v>23229779.80053344</v>
      </c>
      <c r="O31" s="53">
        <v>31117228.702987526</v>
      </c>
      <c r="P31" s="53">
        <v>41653184.562721543</v>
      </c>
      <c r="Q31" s="53">
        <v>55717097.634635523</v>
      </c>
      <c r="R31" s="53">
        <v>74477179.488732785</v>
      </c>
      <c r="S31" s="53">
        <v>99484149.654473931</v>
      </c>
      <c r="T31" s="53">
        <v>132795072.96510836</v>
      </c>
      <c r="U31" s="53">
        <v>177136836.18577814</v>
      </c>
      <c r="V31" s="53">
        <v>236121807.84420443</v>
      </c>
      <c r="W31" s="53">
        <v>314532149.31485188</v>
      </c>
      <c r="X31" s="54">
        <v>418694382.80064267</v>
      </c>
      <c r="Y31" s="16"/>
      <c r="Z31" s="1"/>
    </row>
    <row r="32" spans="1:26" x14ac:dyDescent="0.4">
      <c r="A32" s="46">
        <f t="shared" si="1"/>
        <v>1300000</v>
      </c>
      <c r="B32" s="45">
        <v>5772277.1976210093</v>
      </c>
      <c r="C32" s="1"/>
      <c r="D32" s="20">
        <f t="shared" si="2"/>
        <v>1300000</v>
      </c>
      <c r="E32" s="53">
        <v>1754159.6113480735</v>
      </c>
      <c r="F32" s="53">
        <v>2365215.7542419643</v>
      </c>
      <c r="G32" s="53">
        <v>3186764.2015622635</v>
      </c>
      <c r="H32" s="53">
        <v>4290502.9629457705</v>
      </c>
      <c r="I32" s="53">
        <v>5772277.1976210093</v>
      </c>
      <c r="J32" s="53">
        <v>7760119.73401774</v>
      </c>
      <c r="K32" s="53">
        <v>10424938.460741466</v>
      </c>
      <c r="L32" s="53">
        <v>13994711.944462266</v>
      </c>
      <c r="M32" s="53">
        <v>18773331.708767563</v>
      </c>
      <c r="N32" s="53">
        <v>25165594.783911224</v>
      </c>
      <c r="O32" s="53">
        <v>33710331.094903149</v>
      </c>
      <c r="P32" s="53">
        <v>45124283.27628167</v>
      </c>
      <c r="Q32" s="53">
        <v>60360189.104188479</v>
      </c>
      <c r="R32" s="53">
        <v>80683611.112793848</v>
      </c>
      <c r="S32" s="53">
        <v>107774495.45901342</v>
      </c>
      <c r="T32" s="53">
        <v>143861329.04553407</v>
      </c>
      <c r="U32" s="53">
        <v>191898239.20125964</v>
      </c>
      <c r="V32" s="53">
        <v>255798625.1645548</v>
      </c>
      <c r="W32" s="53">
        <v>340743161.75775623</v>
      </c>
      <c r="X32" s="54">
        <v>453585581.36736286</v>
      </c>
      <c r="Y32" s="16"/>
      <c r="Z32" s="1"/>
    </row>
    <row r="33" spans="1:26" x14ac:dyDescent="0.4">
      <c r="A33" s="46">
        <f t="shared" si="1"/>
        <v>1400000</v>
      </c>
      <c r="B33" s="45">
        <v>6216298.5205149334</v>
      </c>
      <c r="C33" s="1"/>
      <c r="D33" s="20">
        <f t="shared" si="2"/>
        <v>1400000</v>
      </c>
      <c r="E33" s="53">
        <v>1889094.9660671561</v>
      </c>
      <c r="F33" s="53">
        <v>2547155.4276451925</v>
      </c>
      <c r="G33" s="53">
        <v>3431899.9093747451</v>
      </c>
      <c r="H33" s="53">
        <v>4620541.6524031376</v>
      </c>
      <c r="I33" s="53">
        <v>6216298.5205149334</v>
      </c>
      <c r="J33" s="53">
        <v>8357052.0212498745</v>
      </c>
      <c r="K33" s="53">
        <v>11226856.803875426</v>
      </c>
      <c r="L33" s="53">
        <v>15071228.247882441</v>
      </c>
      <c r="M33" s="53">
        <v>20217434.147903528</v>
      </c>
      <c r="N33" s="53">
        <v>27101409.767289013</v>
      </c>
      <c r="O33" s="53">
        <v>36303433.486818776</v>
      </c>
      <c r="P33" s="53">
        <v>48595381.989841804</v>
      </c>
      <c r="Q33" s="53">
        <v>65003280.573741443</v>
      </c>
      <c r="R33" s="53">
        <v>86890042.736854911</v>
      </c>
      <c r="S33" s="53">
        <v>116064841.26355292</v>
      </c>
      <c r="T33" s="53">
        <v>154927585.12595975</v>
      </c>
      <c r="U33" s="53">
        <v>206659642.21674114</v>
      </c>
      <c r="V33" s="53">
        <v>275475442.48490518</v>
      </c>
      <c r="W33" s="53">
        <v>366954174.20066053</v>
      </c>
      <c r="X33" s="54">
        <v>488476779.9340831</v>
      </c>
      <c r="Y33" s="16"/>
      <c r="Z33" s="1"/>
    </row>
    <row r="34" spans="1:26" x14ac:dyDescent="0.4">
      <c r="A34" s="46">
        <f t="shared" si="1"/>
        <v>1500000</v>
      </c>
      <c r="B34" s="45">
        <v>6660319.8434088575</v>
      </c>
      <c r="C34" s="1"/>
      <c r="D34" s="20">
        <f t="shared" si="2"/>
        <v>1500000</v>
      </c>
      <c r="E34" s="53">
        <v>2024030.3207862386</v>
      </c>
      <c r="F34" s="53">
        <v>2729095.1010484206</v>
      </c>
      <c r="G34" s="53">
        <v>3677035.6171872271</v>
      </c>
      <c r="H34" s="53">
        <v>4950580.3418605048</v>
      </c>
      <c r="I34" s="53">
        <v>6660319.8434088575</v>
      </c>
      <c r="J34" s="53">
        <v>8953984.3084820081</v>
      </c>
      <c r="K34" s="53">
        <v>12028775.147009384</v>
      </c>
      <c r="L34" s="53">
        <v>16147744.551302614</v>
      </c>
      <c r="M34" s="53">
        <v>21661536.587039497</v>
      </c>
      <c r="N34" s="53">
        <v>29037224.750666797</v>
      </c>
      <c r="O34" s="53">
        <v>38896535.87873441</v>
      </c>
      <c r="P34" s="53">
        <v>52066480.703401931</v>
      </c>
      <c r="Q34" s="53">
        <v>69646372.0432944</v>
      </c>
      <c r="R34" s="53">
        <v>93096474.360915974</v>
      </c>
      <c r="S34" s="53">
        <v>124355187.06809241</v>
      </c>
      <c r="T34" s="53">
        <v>165993841.20638546</v>
      </c>
      <c r="U34" s="53">
        <v>221421045.23222268</v>
      </c>
      <c r="V34" s="53">
        <v>295152259.80525553</v>
      </c>
      <c r="W34" s="53">
        <v>393165186.64356488</v>
      </c>
      <c r="X34" s="54">
        <v>523367978.50080329</v>
      </c>
      <c r="Y34" s="16"/>
      <c r="Z34" s="1"/>
    </row>
    <row r="35" spans="1:26" x14ac:dyDescent="0.4">
      <c r="A35" s="46">
        <f t="shared" si="1"/>
        <v>1600000</v>
      </c>
      <c r="B35" s="45">
        <v>7104341.1663027816</v>
      </c>
      <c r="C35" s="1"/>
      <c r="D35" s="20">
        <f t="shared" si="2"/>
        <v>1600000</v>
      </c>
      <c r="E35" s="53">
        <v>2158965.6755053215</v>
      </c>
      <c r="F35" s="53">
        <v>2911034.7744516484</v>
      </c>
      <c r="G35" s="53">
        <v>3922171.3249997087</v>
      </c>
      <c r="H35" s="53">
        <v>5280619.031317872</v>
      </c>
      <c r="I35" s="53">
        <v>7104341.1663027816</v>
      </c>
      <c r="J35" s="53">
        <v>9550916.5957141425</v>
      </c>
      <c r="K35" s="53">
        <v>12830693.490143344</v>
      </c>
      <c r="L35" s="53">
        <v>17224260.85472279</v>
      </c>
      <c r="M35" s="53">
        <v>23105639.026175462</v>
      </c>
      <c r="N35" s="53">
        <v>30973039.734044585</v>
      </c>
      <c r="O35" s="53">
        <v>41489638.270650037</v>
      </c>
      <c r="P35" s="53">
        <v>55537579.416962057</v>
      </c>
      <c r="Q35" s="53">
        <v>74289463.512847364</v>
      </c>
      <c r="R35" s="53">
        <v>99302905.984977037</v>
      </c>
      <c r="S35" s="53">
        <v>132645532.87263191</v>
      </c>
      <c r="T35" s="53">
        <v>177060097.28681114</v>
      </c>
      <c r="U35" s="53">
        <v>236182448.24770418</v>
      </c>
      <c r="V35" s="53">
        <v>314829077.12560588</v>
      </c>
      <c r="W35" s="53">
        <v>419376199.08646923</v>
      </c>
      <c r="X35" s="54">
        <v>558259177.06752348</v>
      </c>
      <c r="Y35" s="16"/>
      <c r="Z35" s="1"/>
    </row>
    <row r="36" spans="1:26" x14ac:dyDescent="0.4">
      <c r="A36" s="46">
        <f t="shared" si="1"/>
        <v>1700000</v>
      </c>
      <c r="B36" s="45">
        <v>7548362.4891967047</v>
      </c>
      <c r="C36" s="1"/>
      <c r="D36" s="20">
        <f t="shared" si="2"/>
        <v>1700000</v>
      </c>
      <c r="E36" s="53">
        <v>2293901.0302244038</v>
      </c>
      <c r="F36" s="53">
        <v>3092974.4478548765</v>
      </c>
      <c r="G36" s="53">
        <v>4167307.0328121907</v>
      </c>
      <c r="H36" s="53">
        <v>5610657.7207752392</v>
      </c>
      <c r="I36" s="53">
        <v>7548362.4891967047</v>
      </c>
      <c r="J36" s="53">
        <v>10147848.882946275</v>
      </c>
      <c r="K36" s="53">
        <v>13632611.833277302</v>
      </c>
      <c r="L36" s="53">
        <v>18300777.158142962</v>
      </c>
      <c r="M36" s="53">
        <v>24549741.465311427</v>
      </c>
      <c r="N36" s="53">
        <v>32908854.71742237</v>
      </c>
      <c r="O36" s="53">
        <v>44082740.662565663</v>
      </c>
      <c r="P36" s="53">
        <v>59008678.130522184</v>
      </c>
      <c r="Q36" s="53">
        <v>78932554.982400328</v>
      </c>
      <c r="R36" s="53">
        <v>105509337.6090381</v>
      </c>
      <c r="S36" s="53">
        <v>140935878.67717141</v>
      </c>
      <c r="T36" s="53">
        <v>188126353.36723685</v>
      </c>
      <c r="U36" s="53">
        <v>250943851.26318568</v>
      </c>
      <c r="V36" s="53">
        <v>334505894.44595629</v>
      </c>
      <c r="W36" s="53">
        <v>445587211.52937353</v>
      </c>
      <c r="X36" s="54">
        <v>593150375.63424373</v>
      </c>
      <c r="Y36" s="16"/>
      <c r="Z36" s="1"/>
    </row>
    <row r="37" spans="1:26" x14ac:dyDescent="0.4">
      <c r="A37" s="46">
        <f t="shared" si="1"/>
        <v>1800000</v>
      </c>
      <c r="B37" s="45">
        <v>7992383.8120906288</v>
      </c>
      <c r="C37" s="1"/>
      <c r="D37" s="20">
        <f t="shared" si="2"/>
        <v>1800000</v>
      </c>
      <c r="E37" s="53">
        <v>2428836.3849434862</v>
      </c>
      <c r="F37" s="53">
        <v>3274914.1212581047</v>
      </c>
      <c r="G37" s="53">
        <v>4412442.7406246727</v>
      </c>
      <c r="H37" s="53">
        <v>5940696.4102326054</v>
      </c>
      <c r="I37" s="53">
        <v>7992383.8120906288</v>
      </c>
      <c r="J37" s="53">
        <v>10744781.17017841</v>
      </c>
      <c r="K37" s="53">
        <v>14434530.176411262</v>
      </c>
      <c r="L37" s="53">
        <v>19377293.461563136</v>
      </c>
      <c r="M37" s="53">
        <v>25993843.904447395</v>
      </c>
      <c r="N37" s="53">
        <v>34844669.700800158</v>
      </c>
      <c r="O37" s="53">
        <v>46675843.05448129</v>
      </c>
      <c r="P37" s="53">
        <v>62479776.844082318</v>
      </c>
      <c r="Q37" s="53">
        <v>83575646.451953277</v>
      </c>
      <c r="R37" s="53">
        <v>111715769.23309918</v>
      </c>
      <c r="S37" s="53">
        <v>149226224.48171088</v>
      </c>
      <c r="T37" s="53">
        <v>199192609.44766253</v>
      </c>
      <c r="U37" s="53">
        <v>265705254.27866721</v>
      </c>
      <c r="V37" s="53">
        <v>354182711.76630664</v>
      </c>
      <c r="W37" s="53">
        <v>471798223.97227788</v>
      </c>
      <c r="X37" s="54">
        <v>628041574.20096397</v>
      </c>
      <c r="Y37" s="16"/>
      <c r="Z37" s="1"/>
    </row>
    <row r="38" spans="1:26" x14ac:dyDescent="0.4">
      <c r="A38" s="46">
        <f t="shared" si="1"/>
        <v>1900000</v>
      </c>
      <c r="B38" s="45">
        <v>8436405.1349845529</v>
      </c>
      <c r="C38" s="1"/>
      <c r="D38" s="20">
        <f t="shared" si="2"/>
        <v>1900000</v>
      </c>
      <c r="E38" s="53">
        <v>2563771.739662569</v>
      </c>
      <c r="F38" s="53">
        <v>3456853.7946613324</v>
      </c>
      <c r="G38" s="53">
        <v>4657578.4484371543</v>
      </c>
      <c r="H38" s="53">
        <v>6270735.0996899726</v>
      </c>
      <c r="I38" s="53">
        <v>8436405.1349845529</v>
      </c>
      <c r="J38" s="53">
        <v>11341713.457410544</v>
      </c>
      <c r="K38" s="53">
        <v>15236448.51954522</v>
      </c>
      <c r="L38" s="53">
        <v>20453809.764983311</v>
      </c>
      <c r="M38" s="53">
        <v>27437946.34358336</v>
      </c>
      <c r="N38" s="53">
        <v>36780484.684177943</v>
      </c>
      <c r="O38" s="53">
        <v>49268945.446396917</v>
      </c>
      <c r="P38" s="53">
        <v>65950875.557642445</v>
      </c>
      <c r="Q38" s="53">
        <v>88218737.921506241</v>
      </c>
      <c r="R38" s="53">
        <v>117922200.85716024</v>
      </c>
      <c r="S38" s="53">
        <v>157516570.28625038</v>
      </c>
      <c r="T38" s="53">
        <v>210258865.52808824</v>
      </c>
      <c r="U38" s="53">
        <v>280466657.29414868</v>
      </c>
      <c r="V38" s="53">
        <v>373859529.08665699</v>
      </c>
      <c r="W38" s="53">
        <v>498009236.41518217</v>
      </c>
      <c r="X38" s="54">
        <v>662932772.76768422</v>
      </c>
      <c r="Y38" s="16"/>
      <c r="Z38" s="1"/>
    </row>
    <row r="39" spans="1:26" x14ac:dyDescent="0.4">
      <c r="A39" s="47">
        <f>A38+100000</f>
        <v>2000000</v>
      </c>
      <c r="B39" s="48">
        <v>8880426.457878476</v>
      </c>
      <c r="C39" s="1"/>
      <c r="D39" s="21">
        <f t="shared" si="2"/>
        <v>2000000</v>
      </c>
      <c r="E39" s="55">
        <v>2698707.0943816514</v>
      </c>
      <c r="F39" s="55">
        <v>3638793.4680645606</v>
      </c>
      <c r="G39" s="55">
        <v>4902714.1562496359</v>
      </c>
      <c r="H39" s="55">
        <v>6600773.7891473398</v>
      </c>
      <c r="I39" s="55">
        <v>8880426.457878476</v>
      </c>
      <c r="J39" s="55">
        <v>11938645.744642677</v>
      </c>
      <c r="K39" s="55">
        <v>16038366.86267918</v>
      </c>
      <c r="L39" s="55">
        <v>21530326.068403486</v>
      </c>
      <c r="M39" s="55">
        <v>28882048.782719325</v>
      </c>
      <c r="N39" s="55">
        <v>38716299.667555735</v>
      </c>
      <c r="O39" s="55">
        <v>51862047.838312544</v>
      </c>
      <c r="P39" s="55">
        <v>69421974.271202579</v>
      </c>
      <c r="Q39" s="55">
        <v>92861829.391059205</v>
      </c>
      <c r="R39" s="55">
        <v>124128632.4812213</v>
      </c>
      <c r="S39" s="55">
        <v>165806916.09078988</v>
      </c>
      <c r="T39" s="55">
        <v>221325121.60851395</v>
      </c>
      <c r="U39" s="55">
        <v>295228060.30963022</v>
      </c>
      <c r="V39" s="55">
        <v>393536346.4070074</v>
      </c>
      <c r="W39" s="55">
        <v>524220248.85808653</v>
      </c>
      <c r="X39" s="56">
        <v>697823971.33440435</v>
      </c>
      <c r="Y39" s="16"/>
      <c r="Z39" s="1"/>
    </row>
    <row r="40" spans="1:26" x14ac:dyDescent="0.4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6"/>
      <c r="Z40" s="1"/>
    </row>
    <row r="41" spans="1:26" x14ac:dyDescent="0.4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6"/>
      <c r="Z41" s="1"/>
    </row>
    <row r="42" spans="1:26" x14ac:dyDescent="0.4">
      <c r="A42" s="82" t="s">
        <v>7</v>
      </c>
      <c r="B42" s="81" t="s">
        <v>15</v>
      </c>
      <c r="C42" s="1"/>
      <c r="D42" s="82" t="s">
        <v>11</v>
      </c>
      <c r="E42" s="83" t="s">
        <v>19</v>
      </c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5"/>
      <c r="Y42" s="16"/>
      <c r="Z42" s="1"/>
    </row>
    <row r="43" spans="1:26" x14ac:dyDescent="0.4">
      <c r="A43" s="12">
        <f>B8</f>
        <v>0.05</v>
      </c>
      <c r="B43" s="13">
        <f>B12</f>
        <v>1332063.9686817715</v>
      </c>
      <c r="C43" s="1"/>
      <c r="D43" s="19">
        <f>B12</f>
        <v>1332063.9686817715</v>
      </c>
      <c r="E43" s="33">
        <v>11</v>
      </c>
      <c r="F43" s="33">
        <f>E43+1</f>
        <v>12</v>
      </c>
      <c r="G43" s="33">
        <f t="shared" ref="G43:X43" si="3">F43+1</f>
        <v>13</v>
      </c>
      <c r="H43" s="33">
        <f t="shared" si="3"/>
        <v>14</v>
      </c>
      <c r="I43" s="33">
        <f t="shared" si="3"/>
        <v>15</v>
      </c>
      <c r="J43" s="33">
        <f t="shared" si="3"/>
        <v>16</v>
      </c>
      <c r="K43" s="33">
        <f t="shared" si="3"/>
        <v>17</v>
      </c>
      <c r="L43" s="33">
        <f t="shared" si="3"/>
        <v>18</v>
      </c>
      <c r="M43" s="33">
        <f t="shared" si="3"/>
        <v>19</v>
      </c>
      <c r="N43" s="33">
        <f t="shared" si="3"/>
        <v>20</v>
      </c>
      <c r="O43" s="33">
        <f t="shared" si="3"/>
        <v>21</v>
      </c>
      <c r="P43" s="33">
        <f t="shared" si="3"/>
        <v>22</v>
      </c>
      <c r="Q43" s="33">
        <f t="shared" si="3"/>
        <v>23</v>
      </c>
      <c r="R43" s="33">
        <f t="shared" si="3"/>
        <v>24</v>
      </c>
      <c r="S43" s="33">
        <f t="shared" si="3"/>
        <v>25</v>
      </c>
      <c r="T43" s="33">
        <f t="shared" si="3"/>
        <v>26</v>
      </c>
      <c r="U43" s="33">
        <f t="shared" si="3"/>
        <v>27</v>
      </c>
      <c r="V43" s="33">
        <f t="shared" si="3"/>
        <v>28</v>
      </c>
      <c r="W43" s="33">
        <f t="shared" si="3"/>
        <v>29</v>
      </c>
      <c r="X43" s="34">
        <f t="shared" si="3"/>
        <v>30</v>
      </c>
      <c r="Y43" s="16"/>
      <c r="Z43" s="1"/>
    </row>
    <row r="44" spans="1:26" x14ac:dyDescent="0.4">
      <c r="A44" s="49">
        <f>1%</f>
        <v>0.01</v>
      </c>
      <c r="B44" s="45">
        <f t="dataTable" ref="B44:B63" dt2D="0" dtr="0" r1="B8" ca="1"/>
        <v>404806.06415724772</v>
      </c>
      <c r="C44" s="1"/>
      <c r="D44" s="20">
        <v>100000</v>
      </c>
      <c r="E44" s="53">
        <f t="dataTable" ref="E44:X63" dt2D="1" dtr="1" r1="B9" r2="B7" ca="1"/>
        <v>172735.42108128688</v>
      </c>
      <c r="F44" s="53">
        <v>181535.48530526549</v>
      </c>
      <c r="G44" s="53">
        <v>190783.87176600005</v>
      </c>
      <c r="H44" s="53">
        <v>200503.4203908882</v>
      </c>
      <c r="I44" s="53">
        <v>210718.13469512391</v>
      </c>
      <c r="J44" s="53">
        <v>221453.2410610698</v>
      </c>
      <c r="K44" s="53">
        <v>232735.25103763709</v>
      </c>
      <c r="L44" s="53">
        <v>244592.02681352844</v>
      </c>
      <c r="M44" s="53">
        <v>257052.85002603705</v>
      </c>
      <c r="N44" s="53">
        <v>270148.49407533347</v>
      </c>
      <c r="O44" s="53">
        <v>283911.30012282793</v>
      </c>
      <c r="P44" s="53">
        <v>298375.25696129486</v>
      </c>
      <c r="Q44" s="53">
        <v>313576.08495400799</v>
      </c>
      <c r="R44" s="53">
        <v>329551.3242501826</v>
      </c>
      <c r="S44" s="53">
        <v>346340.42749458359</v>
      </c>
      <c r="T44" s="53">
        <v>363984.85726025555</v>
      </c>
      <c r="U44" s="53">
        <v>382528.18844499619</v>
      </c>
      <c r="V44" s="53">
        <v>402016.21588445251</v>
      </c>
      <c r="W44" s="53">
        <v>422497.0674476024</v>
      </c>
      <c r="X44" s="54">
        <v>444021.32289392385</v>
      </c>
      <c r="Y44" s="16"/>
      <c r="Z44" s="1"/>
    </row>
    <row r="45" spans="1:26" x14ac:dyDescent="0.4">
      <c r="A45" s="49">
        <f>A44+0.01</f>
        <v>0.02</v>
      </c>
      <c r="B45" s="45">
        <v>545819.02020968404</v>
      </c>
      <c r="C45" s="1"/>
      <c r="D45" s="20">
        <f>D44+100000</f>
        <v>200000</v>
      </c>
      <c r="E45" s="53">
        <v>345470.84216257377</v>
      </c>
      <c r="F45" s="53">
        <v>363070.97061053099</v>
      </c>
      <c r="G45" s="53">
        <v>381567.74353200011</v>
      </c>
      <c r="H45" s="53">
        <v>401006.84078177641</v>
      </c>
      <c r="I45" s="53">
        <v>421436.26939024782</v>
      </c>
      <c r="J45" s="53">
        <v>442906.4821221396</v>
      </c>
      <c r="K45" s="53">
        <v>465470.50207527418</v>
      </c>
      <c r="L45" s="53">
        <v>489184.05362705688</v>
      </c>
      <c r="M45" s="53">
        <v>514105.7000520741</v>
      </c>
      <c r="N45" s="53">
        <v>540296.98815066693</v>
      </c>
      <c r="O45" s="53">
        <v>567822.60024565586</v>
      </c>
      <c r="P45" s="53">
        <v>596750.51392258971</v>
      </c>
      <c r="Q45" s="53">
        <v>627152.16990801599</v>
      </c>
      <c r="R45" s="53">
        <v>659102.64850036521</v>
      </c>
      <c r="S45" s="53">
        <v>692680.85498916719</v>
      </c>
      <c r="T45" s="53">
        <v>727969.7145205111</v>
      </c>
      <c r="U45" s="53">
        <v>765056.37688999239</v>
      </c>
      <c r="V45" s="53">
        <v>804032.43176890502</v>
      </c>
      <c r="W45" s="53">
        <v>844994.1348952048</v>
      </c>
      <c r="X45" s="54">
        <v>888042.64578784769</v>
      </c>
      <c r="Y45" s="16"/>
      <c r="Z45" s="1"/>
    </row>
    <row r="46" spans="1:26" x14ac:dyDescent="0.4">
      <c r="A46" s="49">
        <f t="shared" ref="A46:A63" si="4">A45+0.01</f>
        <v>0.03</v>
      </c>
      <c r="B46" s="45">
        <v>735407.12343744538</v>
      </c>
      <c r="C46" s="1"/>
      <c r="D46" s="22">
        <f t="shared" ref="D46:D63" si="5">D45+100000</f>
        <v>300000</v>
      </c>
      <c r="E46" s="53">
        <v>518206.26324386062</v>
      </c>
      <c r="F46" s="53">
        <v>544606.45591579645</v>
      </c>
      <c r="G46" s="53">
        <v>572351.61529800016</v>
      </c>
      <c r="H46" s="53">
        <v>601510.26117266458</v>
      </c>
      <c r="I46" s="53">
        <v>632154.40408537176</v>
      </c>
      <c r="J46" s="53">
        <v>664359.72318320943</v>
      </c>
      <c r="K46" s="53">
        <v>698205.75311291125</v>
      </c>
      <c r="L46" s="53">
        <v>733776.08044058527</v>
      </c>
      <c r="M46" s="53">
        <v>771158.55007811112</v>
      </c>
      <c r="N46" s="53">
        <v>810445.4822260004</v>
      </c>
      <c r="O46" s="53">
        <v>851733.90036848374</v>
      </c>
      <c r="P46" s="53">
        <v>895125.77088388463</v>
      </c>
      <c r="Q46" s="53">
        <v>940728.25486202398</v>
      </c>
      <c r="R46" s="53">
        <v>988653.97275054781</v>
      </c>
      <c r="S46" s="53">
        <v>1039021.2824837508</v>
      </c>
      <c r="T46" s="53">
        <v>1091954.5717807666</v>
      </c>
      <c r="U46" s="53">
        <v>1147584.5653349885</v>
      </c>
      <c r="V46" s="53">
        <v>1206048.6476533576</v>
      </c>
      <c r="W46" s="53">
        <v>1267491.2023428073</v>
      </c>
      <c r="X46" s="35">
        <v>1332063.9686817715</v>
      </c>
      <c r="Y46" s="16"/>
      <c r="Z46" s="1"/>
    </row>
    <row r="47" spans="1:26" x14ac:dyDescent="0.4">
      <c r="A47" s="49">
        <f t="shared" si="4"/>
        <v>0.04</v>
      </c>
      <c r="B47" s="45">
        <v>990116.06837210094</v>
      </c>
      <c r="C47" s="1"/>
      <c r="D47" s="20">
        <f t="shared" si="5"/>
        <v>400000</v>
      </c>
      <c r="E47" s="53">
        <v>690941.68432514754</v>
      </c>
      <c r="F47" s="53">
        <v>726141.94122106198</v>
      </c>
      <c r="G47" s="53">
        <v>763135.48706400022</v>
      </c>
      <c r="H47" s="53">
        <v>802013.68156355282</v>
      </c>
      <c r="I47" s="53">
        <v>842872.53878049564</v>
      </c>
      <c r="J47" s="53">
        <v>885812.9642442792</v>
      </c>
      <c r="K47" s="53">
        <v>930941.00415054837</v>
      </c>
      <c r="L47" s="53">
        <v>978368.10725411377</v>
      </c>
      <c r="M47" s="53">
        <v>1028211.4001041482</v>
      </c>
      <c r="N47" s="53">
        <v>1080593.9763013339</v>
      </c>
      <c r="O47" s="53">
        <v>1135645.2004913117</v>
      </c>
      <c r="P47" s="53">
        <v>1193501.0278451794</v>
      </c>
      <c r="Q47" s="53">
        <v>1254304.339816032</v>
      </c>
      <c r="R47" s="53">
        <v>1318205.2970007304</v>
      </c>
      <c r="S47" s="53">
        <v>1385361.7099783344</v>
      </c>
      <c r="T47" s="53">
        <v>1455939.4290410222</v>
      </c>
      <c r="U47" s="53">
        <v>1530112.7537799848</v>
      </c>
      <c r="V47" s="53">
        <v>1608064.86353781</v>
      </c>
      <c r="W47" s="53">
        <v>1689988.2697904096</v>
      </c>
      <c r="X47" s="54">
        <v>1776085.2915756954</v>
      </c>
      <c r="Y47" s="16"/>
      <c r="Z47" s="1"/>
    </row>
    <row r="48" spans="1:26" x14ac:dyDescent="0.4">
      <c r="A48" s="25">
        <f t="shared" si="4"/>
        <v>0.05</v>
      </c>
      <c r="B48" s="22">
        <v>1332063.9686817715</v>
      </c>
      <c r="C48" s="1"/>
      <c r="D48" s="20">
        <f t="shared" si="5"/>
        <v>500000</v>
      </c>
      <c r="E48" s="53">
        <v>863677.10540643439</v>
      </c>
      <c r="F48" s="53">
        <v>907677.42652632738</v>
      </c>
      <c r="G48" s="53">
        <v>953919.35883000039</v>
      </c>
      <c r="H48" s="53">
        <v>1002517.1019544409</v>
      </c>
      <c r="I48" s="53">
        <v>1053590.6734756194</v>
      </c>
      <c r="J48" s="53">
        <v>1107266.2053053491</v>
      </c>
      <c r="K48" s="53">
        <v>1163676.2551881855</v>
      </c>
      <c r="L48" s="53">
        <v>1222960.134067642</v>
      </c>
      <c r="M48" s="53">
        <v>1285264.2501301852</v>
      </c>
      <c r="N48" s="53">
        <v>1350742.4703766673</v>
      </c>
      <c r="O48" s="53">
        <v>1419556.5006141395</v>
      </c>
      <c r="P48" s="53">
        <v>1491876.2848064743</v>
      </c>
      <c r="Q48" s="53">
        <v>1567880.42477004</v>
      </c>
      <c r="R48" s="53">
        <v>1647756.621250913</v>
      </c>
      <c r="S48" s="53">
        <v>1731702.137472918</v>
      </c>
      <c r="T48" s="53">
        <v>1819924.2863012776</v>
      </c>
      <c r="U48" s="53">
        <v>1912640.942224981</v>
      </c>
      <c r="V48" s="53">
        <v>2010081.0794222625</v>
      </c>
      <c r="W48" s="53">
        <v>2112485.3372380123</v>
      </c>
      <c r="X48" s="54">
        <v>2220106.614469619</v>
      </c>
      <c r="Y48" s="16"/>
      <c r="Z48" s="1"/>
    </row>
    <row r="49" spans="1:26" x14ac:dyDescent="0.4">
      <c r="A49" s="49">
        <f t="shared" si="4"/>
        <v>6.0000000000000005E-2</v>
      </c>
      <c r="B49" s="45">
        <v>1790796.8616964016</v>
      </c>
      <c r="C49" s="1"/>
      <c r="D49" s="20">
        <f t="shared" si="5"/>
        <v>600000</v>
      </c>
      <c r="E49" s="53">
        <v>1036412.5264877212</v>
      </c>
      <c r="F49" s="53">
        <v>1089212.9118315929</v>
      </c>
      <c r="G49" s="53">
        <v>1144703.2305960003</v>
      </c>
      <c r="H49" s="53">
        <v>1203020.5223453292</v>
      </c>
      <c r="I49" s="53">
        <v>1264308.8081707435</v>
      </c>
      <c r="J49" s="53">
        <v>1328719.4463664189</v>
      </c>
      <c r="K49" s="53">
        <v>1396411.5062258225</v>
      </c>
      <c r="L49" s="53">
        <v>1467552.1608811705</v>
      </c>
      <c r="M49" s="53">
        <v>1542317.1001562222</v>
      </c>
      <c r="N49" s="53">
        <v>1620890.9644520008</v>
      </c>
      <c r="O49" s="53">
        <v>1703467.8007369675</v>
      </c>
      <c r="P49" s="53">
        <v>1790251.5417677693</v>
      </c>
      <c r="Q49" s="53">
        <v>1881456.509724048</v>
      </c>
      <c r="R49" s="53">
        <v>1977307.9455010956</v>
      </c>
      <c r="S49" s="53">
        <v>2078042.5649675017</v>
      </c>
      <c r="T49" s="53">
        <v>2183909.1435615332</v>
      </c>
      <c r="U49" s="53">
        <v>2295169.1306699771</v>
      </c>
      <c r="V49" s="53">
        <v>2412097.2953067152</v>
      </c>
      <c r="W49" s="53">
        <v>2534982.4046856146</v>
      </c>
      <c r="X49" s="54">
        <v>2664127.9373635431</v>
      </c>
      <c r="Y49" s="16"/>
      <c r="Z49" s="1"/>
    </row>
    <row r="50" spans="1:26" x14ac:dyDescent="0.4">
      <c r="A50" s="49">
        <f t="shared" si="4"/>
        <v>7.0000000000000007E-2</v>
      </c>
      <c r="B50" s="45">
        <v>2405755.029401877</v>
      </c>
      <c r="C50" s="1"/>
      <c r="D50" s="20">
        <f t="shared" si="5"/>
        <v>700000</v>
      </c>
      <c r="E50" s="53">
        <v>1209147.9475690082</v>
      </c>
      <c r="F50" s="53">
        <v>1270748.3971368584</v>
      </c>
      <c r="G50" s="53">
        <v>1335487.1023620004</v>
      </c>
      <c r="H50" s="53">
        <v>1403523.9427362173</v>
      </c>
      <c r="I50" s="53">
        <v>1475026.9428658674</v>
      </c>
      <c r="J50" s="53">
        <v>1550172.6874274886</v>
      </c>
      <c r="K50" s="53">
        <v>1629146.7572634595</v>
      </c>
      <c r="L50" s="53">
        <v>1712144.187694699</v>
      </c>
      <c r="M50" s="53">
        <v>1799369.9501822593</v>
      </c>
      <c r="N50" s="53">
        <v>1891039.4585273343</v>
      </c>
      <c r="O50" s="53">
        <v>1987379.1008597952</v>
      </c>
      <c r="P50" s="53">
        <v>2088626.7987290642</v>
      </c>
      <c r="Q50" s="53">
        <v>2195032.594678056</v>
      </c>
      <c r="R50" s="53">
        <v>2306859.2697512782</v>
      </c>
      <c r="S50" s="53">
        <v>2424382.9924620851</v>
      </c>
      <c r="T50" s="53">
        <v>2547894.0008217888</v>
      </c>
      <c r="U50" s="53">
        <v>2677697.3191149733</v>
      </c>
      <c r="V50" s="53">
        <v>2814113.5111911674</v>
      </c>
      <c r="W50" s="53">
        <v>2957479.4721332169</v>
      </c>
      <c r="X50" s="54">
        <v>3108149.2602574667</v>
      </c>
      <c r="Y50" s="16"/>
      <c r="Z50" s="1"/>
    </row>
    <row r="51" spans="1:26" x14ac:dyDescent="0.4">
      <c r="A51" s="49">
        <f t="shared" si="4"/>
        <v>0.08</v>
      </c>
      <c r="B51" s="45">
        <v>3229548.9102605227</v>
      </c>
      <c r="C51" s="1"/>
      <c r="D51" s="20">
        <f t="shared" si="5"/>
        <v>800000</v>
      </c>
      <c r="E51" s="53">
        <v>1381883.3686502951</v>
      </c>
      <c r="F51" s="53">
        <v>1452283.882442124</v>
      </c>
      <c r="G51" s="53">
        <v>1526270.9741280004</v>
      </c>
      <c r="H51" s="53">
        <v>1604027.3631271056</v>
      </c>
      <c r="I51" s="53">
        <v>1685745.0775609913</v>
      </c>
      <c r="J51" s="53">
        <v>1771625.9284885584</v>
      </c>
      <c r="K51" s="53">
        <v>1861882.0083010967</v>
      </c>
      <c r="L51" s="53">
        <v>1956736.2145082275</v>
      </c>
      <c r="M51" s="53">
        <v>2056422.8002082964</v>
      </c>
      <c r="N51" s="53">
        <v>2161187.9526026677</v>
      </c>
      <c r="O51" s="53">
        <v>2271290.4009826235</v>
      </c>
      <c r="P51" s="53">
        <v>2387002.0556903589</v>
      </c>
      <c r="Q51" s="53">
        <v>2508608.679632064</v>
      </c>
      <c r="R51" s="53">
        <v>2636410.5940014608</v>
      </c>
      <c r="S51" s="53">
        <v>2770723.4199566687</v>
      </c>
      <c r="T51" s="53">
        <v>2911878.8580820444</v>
      </c>
      <c r="U51" s="53">
        <v>3060225.5075599696</v>
      </c>
      <c r="V51" s="53">
        <v>3216129.7270756201</v>
      </c>
      <c r="W51" s="53">
        <v>3379976.5395808192</v>
      </c>
      <c r="X51" s="54">
        <v>3552170.5831513908</v>
      </c>
      <c r="Y51" s="16"/>
      <c r="Z51" s="1"/>
    </row>
    <row r="52" spans="1:26" x14ac:dyDescent="0.4">
      <c r="A52" s="49">
        <f t="shared" si="4"/>
        <v>0.09</v>
      </c>
      <c r="B52" s="45">
        <v>4332307.3174078986</v>
      </c>
      <c r="C52" s="1"/>
      <c r="D52" s="20">
        <f t="shared" si="5"/>
        <v>900000</v>
      </c>
      <c r="E52" s="53">
        <v>1554618.7897315819</v>
      </c>
      <c r="F52" s="53">
        <v>1633819.3677473895</v>
      </c>
      <c r="G52" s="53">
        <v>1717054.8458940007</v>
      </c>
      <c r="H52" s="53">
        <v>1804530.7835179938</v>
      </c>
      <c r="I52" s="53">
        <v>1896463.2122561152</v>
      </c>
      <c r="J52" s="53">
        <v>1993079.1695496282</v>
      </c>
      <c r="K52" s="53">
        <v>2094617.2593387337</v>
      </c>
      <c r="L52" s="53">
        <v>2201328.241321756</v>
      </c>
      <c r="M52" s="53">
        <v>2313475.6502343332</v>
      </c>
      <c r="N52" s="53">
        <v>2431336.446678001</v>
      </c>
      <c r="O52" s="53">
        <v>2555201.7011054512</v>
      </c>
      <c r="P52" s="53">
        <v>2685377.3126516538</v>
      </c>
      <c r="Q52" s="53">
        <v>2822184.7645860719</v>
      </c>
      <c r="R52" s="53">
        <v>2965961.9182516434</v>
      </c>
      <c r="S52" s="53">
        <v>3117063.8474512524</v>
      </c>
      <c r="T52" s="53">
        <v>3275863.7153423</v>
      </c>
      <c r="U52" s="53">
        <v>3442753.6960049658</v>
      </c>
      <c r="V52" s="53">
        <v>3618145.9429600728</v>
      </c>
      <c r="W52" s="53">
        <v>3802473.6070284219</v>
      </c>
      <c r="X52" s="54">
        <v>3996191.9060453144</v>
      </c>
      <c r="Y52" s="16"/>
      <c r="Z52" s="1"/>
    </row>
    <row r="53" spans="1:26" x14ac:dyDescent="0.4">
      <c r="A53" s="49">
        <f t="shared" si="4"/>
        <v>9.9999999999999992E-2</v>
      </c>
      <c r="B53" s="45">
        <v>5807444.95013336</v>
      </c>
      <c r="C53" s="1"/>
      <c r="D53" s="20">
        <f t="shared" si="5"/>
        <v>1000000</v>
      </c>
      <c r="E53" s="53">
        <v>1727354.2108128688</v>
      </c>
      <c r="F53" s="53">
        <v>1815354.8530526548</v>
      </c>
      <c r="G53" s="53">
        <v>1907838.7176600008</v>
      </c>
      <c r="H53" s="53">
        <v>2005034.2039088819</v>
      </c>
      <c r="I53" s="53">
        <v>2107181.3469512388</v>
      </c>
      <c r="J53" s="53">
        <v>2214532.4106106982</v>
      </c>
      <c r="K53" s="53">
        <v>2327352.510376371</v>
      </c>
      <c r="L53" s="53">
        <v>2445920.2681352841</v>
      </c>
      <c r="M53" s="53">
        <v>2570528.5002603703</v>
      </c>
      <c r="N53" s="53">
        <v>2701484.9407533347</v>
      </c>
      <c r="O53" s="53">
        <v>2839113.001228279</v>
      </c>
      <c r="P53" s="53">
        <v>2983752.5696129487</v>
      </c>
      <c r="Q53" s="53">
        <v>3135760.8495400799</v>
      </c>
      <c r="R53" s="53">
        <v>3295513.242501826</v>
      </c>
      <c r="S53" s="53">
        <v>3463404.274945836</v>
      </c>
      <c r="T53" s="53">
        <v>3639848.5726025552</v>
      </c>
      <c r="U53" s="53">
        <v>3825281.8844499621</v>
      </c>
      <c r="V53" s="53">
        <v>4020162.158844525</v>
      </c>
      <c r="W53" s="53">
        <v>4224970.6744760247</v>
      </c>
      <c r="X53" s="54">
        <v>4440213.228939238</v>
      </c>
      <c r="Y53" s="16"/>
      <c r="Z53" s="1"/>
    </row>
    <row r="54" spans="1:26" x14ac:dyDescent="0.4">
      <c r="A54" s="49">
        <f t="shared" si="4"/>
        <v>0.10999999999999999</v>
      </c>
      <c r="B54" s="45">
        <v>7779307.1757468814</v>
      </c>
      <c r="C54" s="1"/>
      <c r="D54" s="20">
        <f t="shared" si="5"/>
        <v>1100000</v>
      </c>
      <c r="E54" s="53">
        <v>1900089.6318941556</v>
      </c>
      <c r="F54" s="53">
        <v>1996890.3383579203</v>
      </c>
      <c r="G54" s="53">
        <v>2098622.5894260006</v>
      </c>
      <c r="H54" s="53">
        <v>2205537.6242997702</v>
      </c>
      <c r="I54" s="53">
        <v>2317899.4816463632</v>
      </c>
      <c r="J54" s="53">
        <v>2435985.6516717677</v>
      </c>
      <c r="K54" s="53">
        <v>2560087.7614140077</v>
      </c>
      <c r="L54" s="53">
        <v>2690512.2949488126</v>
      </c>
      <c r="M54" s="53">
        <v>2827581.3502864074</v>
      </c>
      <c r="N54" s="53">
        <v>2971633.4348286679</v>
      </c>
      <c r="O54" s="53">
        <v>3123024.3013511067</v>
      </c>
      <c r="P54" s="53">
        <v>3282127.8265742436</v>
      </c>
      <c r="Q54" s="53">
        <v>3449336.9344940879</v>
      </c>
      <c r="R54" s="53">
        <v>3625064.5667520086</v>
      </c>
      <c r="S54" s="53">
        <v>3809744.7024404197</v>
      </c>
      <c r="T54" s="53">
        <v>4003833.4298628108</v>
      </c>
      <c r="U54" s="53">
        <v>4207810.0728949578</v>
      </c>
      <c r="V54" s="53">
        <v>4422178.3747289777</v>
      </c>
      <c r="W54" s="53">
        <v>4647467.7419236265</v>
      </c>
      <c r="X54" s="54">
        <v>4884234.5518331621</v>
      </c>
      <c r="Y54" s="16"/>
      <c r="Z54" s="1"/>
    </row>
    <row r="55" spans="1:26" x14ac:dyDescent="0.4">
      <c r="A55" s="49">
        <f t="shared" si="4"/>
        <v>0.11999999999999998</v>
      </c>
      <c r="B55" s="45">
        <v>10413296.140680386</v>
      </c>
      <c r="C55" s="1"/>
      <c r="D55" s="20">
        <f t="shared" si="5"/>
        <v>1200000</v>
      </c>
      <c r="E55" s="53">
        <v>2072825.0529754425</v>
      </c>
      <c r="F55" s="53">
        <v>2178425.8236631858</v>
      </c>
      <c r="G55" s="53">
        <v>2289406.4611920007</v>
      </c>
      <c r="H55" s="53">
        <v>2406041.0446906583</v>
      </c>
      <c r="I55" s="53">
        <v>2528617.616341487</v>
      </c>
      <c r="J55" s="53">
        <v>2657438.8927328377</v>
      </c>
      <c r="K55" s="53">
        <v>2792823.012451645</v>
      </c>
      <c r="L55" s="53">
        <v>2935104.3217623411</v>
      </c>
      <c r="M55" s="53">
        <v>3084634.2003124445</v>
      </c>
      <c r="N55" s="53">
        <v>3241781.9289040016</v>
      </c>
      <c r="O55" s="53">
        <v>3406935.6014739349</v>
      </c>
      <c r="P55" s="53">
        <v>3580503.0835355385</v>
      </c>
      <c r="Q55" s="53">
        <v>3762913.0194480959</v>
      </c>
      <c r="R55" s="53">
        <v>3954615.8910021912</v>
      </c>
      <c r="S55" s="53">
        <v>4156085.1299350034</v>
      </c>
      <c r="T55" s="53">
        <v>4367818.2871230664</v>
      </c>
      <c r="U55" s="53">
        <v>4590338.2613399541</v>
      </c>
      <c r="V55" s="53">
        <v>4824194.5906134304</v>
      </c>
      <c r="W55" s="53">
        <v>5069964.8093712293</v>
      </c>
      <c r="X55" s="54">
        <v>5328255.8747270862</v>
      </c>
      <c r="Y55" s="16"/>
      <c r="Z55" s="1"/>
    </row>
    <row r="56" spans="1:26" x14ac:dyDescent="0.4">
      <c r="A56" s="49">
        <f t="shared" si="4"/>
        <v>0.12999999999999998</v>
      </c>
      <c r="B56" s="45">
        <v>13929274.408658881</v>
      </c>
      <c r="C56" s="1"/>
      <c r="D56" s="20">
        <f t="shared" si="5"/>
        <v>1300000</v>
      </c>
      <c r="E56" s="53">
        <v>2245560.4740567296</v>
      </c>
      <c r="F56" s="53">
        <v>2359961.3089684513</v>
      </c>
      <c r="G56" s="53">
        <v>2480190.3329580007</v>
      </c>
      <c r="H56" s="53">
        <v>2606544.4650815465</v>
      </c>
      <c r="I56" s="53">
        <v>2739335.7510366109</v>
      </c>
      <c r="J56" s="53">
        <v>2878892.1337939072</v>
      </c>
      <c r="K56" s="53">
        <v>3025558.2634892822</v>
      </c>
      <c r="L56" s="53">
        <v>3179696.3485758696</v>
      </c>
      <c r="M56" s="53">
        <v>3341687.0503384816</v>
      </c>
      <c r="N56" s="53">
        <v>3511930.4229793348</v>
      </c>
      <c r="O56" s="53">
        <v>3690846.9015967627</v>
      </c>
      <c r="P56" s="53">
        <v>3878878.3404968334</v>
      </c>
      <c r="Q56" s="53">
        <v>4076489.1044021039</v>
      </c>
      <c r="R56" s="53">
        <v>4284167.2152523734</v>
      </c>
      <c r="S56" s="53">
        <v>4502425.5574295865</v>
      </c>
      <c r="T56" s="53">
        <v>4731803.1443833215</v>
      </c>
      <c r="U56" s="53">
        <v>4972866.4497849504</v>
      </c>
      <c r="V56" s="53">
        <v>5226210.8064978831</v>
      </c>
      <c r="W56" s="53">
        <v>5492461.8768188311</v>
      </c>
      <c r="X56" s="54">
        <v>5772277.1976210093</v>
      </c>
      <c r="Y56" s="16"/>
      <c r="Z56" s="1"/>
    </row>
    <row r="57" spans="1:26" x14ac:dyDescent="0.4">
      <c r="A57" s="49">
        <f t="shared" si="4"/>
        <v>0.13999999999999999</v>
      </c>
      <c r="B57" s="45">
        <v>18619294.872183196</v>
      </c>
      <c r="C57" s="1"/>
      <c r="D57" s="20">
        <f t="shared" si="5"/>
        <v>1400000</v>
      </c>
      <c r="E57" s="53">
        <v>2418295.8951380164</v>
      </c>
      <c r="F57" s="53">
        <v>2541496.7942737169</v>
      </c>
      <c r="G57" s="53">
        <v>2670974.2047240008</v>
      </c>
      <c r="H57" s="53">
        <v>2807047.8854724346</v>
      </c>
      <c r="I57" s="53">
        <v>2950053.8857317348</v>
      </c>
      <c r="J57" s="53">
        <v>3100345.3748549772</v>
      </c>
      <c r="K57" s="53">
        <v>3258293.514526919</v>
      </c>
      <c r="L57" s="53">
        <v>3424288.3753893981</v>
      </c>
      <c r="M57" s="53">
        <v>3598739.9003645186</v>
      </c>
      <c r="N57" s="53">
        <v>3782078.9170546685</v>
      </c>
      <c r="O57" s="53">
        <v>3974758.2017195905</v>
      </c>
      <c r="P57" s="53">
        <v>4177253.5974581284</v>
      </c>
      <c r="Q57" s="53">
        <v>4390065.1893561119</v>
      </c>
      <c r="R57" s="53">
        <v>4613718.5395025564</v>
      </c>
      <c r="S57" s="53">
        <v>4848765.9849241702</v>
      </c>
      <c r="T57" s="53">
        <v>5095788.0016435776</v>
      </c>
      <c r="U57" s="53">
        <v>5355394.6382299466</v>
      </c>
      <c r="V57" s="53">
        <v>5628227.0223823348</v>
      </c>
      <c r="W57" s="53">
        <v>5914958.9442664338</v>
      </c>
      <c r="X57" s="54">
        <v>6216298.5205149334</v>
      </c>
      <c r="Y57" s="16"/>
      <c r="Z57" s="1"/>
    </row>
    <row r="58" spans="1:26" x14ac:dyDescent="0.4">
      <c r="A58" s="49">
        <f t="shared" si="4"/>
        <v>0.15</v>
      </c>
      <c r="B58" s="45">
        <v>24871037.413618483</v>
      </c>
      <c r="C58" s="1"/>
      <c r="D58" s="20">
        <f t="shared" si="5"/>
        <v>1500000</v>
      </c>
      <c r="E58" s="53">
        <v>2591031.3162193033</v>
      </c>
      <c r="F58" s="53">
        <v>2723032.2795789824</v>
      </c>
      <c r="G58" s="53">
        <v>2861758.0764900008</v>
      </c>
      <c r="H58" s="53">
        <v>3007551.3058633232</v>
      </c>
      <c r="I58" s="53">
        <v>3160772.0204268587</v>
      </c>
      <c r="J58" s="53">
        <v>3321798.6159160472</v>
      </c>
      <c r="K58" s="53">
        <v>3491028.7655645562</v>
      </c>
      <c r="L58" s="53">
        <v>3668880.4022029266</v>
      </c>
      <c r="M58" s="53">
        <v>3855792.7503905557</v>
      </c>
      <c r="N58" s="53">
        <v>4052227.4111300018</v>
      </c>
      <c r="O58" s="53">
        <v>4258669.5018424187</v>
      </c>
      <c r="P58" s="53">
        <v>4475628.8544194233</v>
      </c>
      <c r="Q58" s="53">
        <v>4703641.2743101195</v>
      </c>
      <c r="R58" s="53">
        <v>4943269.8637527386</v>
      </c>
      <c r="S58" s="53">
        <v>5195106.4124187538</v>
      </c>
      <c r="T58" s="53">
        <v>5459772.8589038327</v>
      </c>
      <c r="U58" s="53">
        <v>5737922.8266749429</v>
      </c>
      <c r="V58" s="53">
        <v>6030243.2382667875</v>
      </c>
      <c r="W58" s="53">
        <v>6337456.0117140366</v>
      </c>
      <c r="X58" s="54">
        <v>6660319.8434088575</v>
      </c>
      <c r="Y58" s="16"/>
      <c r="Z58" s="1"/>
    </row>
    <row r="59" spans="1:26" x14ac:dyDescent="0.4">
      <c r="A59" s="49">
        <f t="shared" si="4"/>
        <v>0.16</v>
      </c>
      <c r="B59" s="45">
        <v>33198768.241277091</v>
      </c>
      <c r="C59" s="1"/>
      <c r="D59" s="20">
        <f t="shared" si="5"/>
        <v>1600000</v>
      </c>
      <c r="E59" s="53">
        <v>2763766.7373005901</v>
      </c>
      <c r="F59" s="53">
        <v>2904567.7648842479</v>
      </c>
      <c r="G59" s="53">
        <v>3052541.9482560009</v>
      </c>
      <c r="H59" s="53">
        <v>3208054.7262542113</v>
      </c>
      <c r="I59" s="53">
        <v>3371490.1551219826</v>
      </c>
      <c r="J59" s="53">
        <v>3543251.8569771168</v>
      </c>
      <c r="K59" s="53">
        <v>3723764.0166021935</v>
      </c>
      <c r="L59" s="53">
        <v>3913472.4290164551</v>
      </c>
      <c r="M59" s="53">
        <v>4112845.6004165928</v>
      </c>
      <c r="N59" s="53">
        <v>4322375.9052053355</v>
      </c>
      <c r="O59" s="53">
        <v>4542580.8019652469</v>
      </c>
      <c r="P59" s="53">
        <v>4774004.1113807177</v>
      </c>
      <c r="Q59" s="53">
        <v>5017217.3592641279</v>
      </c>
      <c r="R59" s="53">
        <v>5272821.1880029216</v>
      </c>
      <c r="S59" s="53">
        <v>5541446.8399133375</v>
      </c>
      <c r="T59" s="53">
        <v>5823757.7161640888</v>
      </c>
      <c r="U59" s="53">
        <v>6120451.0151199391</v>
      </c>
      <c r="V59" s="53">
        <v>6432259.4541512402</v>
      </c>
      <c r="W59" s="53">
        <v>6759953.0791616384</v>
      </c>
      <c r="X59" s="54">
        <v>7104341.1663027816</v>
      </c>
      <c r="Y59" s="16"/>
      <c r="Z59" s="1"/>
    </row>
    <row r="60" spans="1:26" x14ac:dyDescent="0.4">
      <c r="A60" s="49">
        <f t="shared" si="4"/>
        <v>0.17</v>
      </c>
      <c r="B60" s="45">
        <v>44284209.046444535</v>
      </c>
      <c r="C60" s="1"/>
      <c r="D60" s="20">
        <f t="shared" si="5"/>
        <v>1700000</v>
      </c>
      <c r="E60" s="53">
        <v>2936502.158381877</v>
      </c>
      <c r="F60" s="53">
        <v>3086103.2501895134</v>
      </c>
      <c r="G60" s="53">
        <v>3243325.8200220009</v>
      </c>
      <c r="H60" s="53">
        <v>3408558.1466450994</v>
      </c>
      <c r="I60" s="53">
        <v>3582208.2898171064</v>
      </c>
      <c r="J60" s="53">
        <v>3764705.0980381868</v>
      </c>
      <c r="K60" s="53">
        <v>3956499.2676398302</v>
      </c>
      <c r="L60" s="53">
        <v>4158064.4558299831</v>
      </c>
      <c r="M60" s="53">
        <v>4369898.4504426299</v>
      </c>
      <c r="N60" s="53">
        <v>4592524.3992806692</v>
      </c>
      <c r="O60" s="53">
        <v>4826492.1020880742</v>
      </c>
      <c r="P60" s="53">
        <v>5072379.3683420131</v>
      </c>
      <c r="Q60" s="53">
        <v>5330793.4442181354</v>
      </c>
      <c r="R60" s="53">
        <v>5602372.5122531038</v>
      </c>
      <c r="S60" s="53">
        <v>5887787.2674079211</v>
      </c>
      <c r="T60" s="53">
        <v>6187742.573424344</v>
      </c>
      <c r="U60" s="53">
        <v>6502979.2035649354</v>
      </c>
      <c r="V60" s="53">
        <v>6834275.6700356929</v>
      </c>
      <c r="W60" s="53">
        <v>7182450.1466092411</v>
      </c>
      <c r="X60" s="54">
        <v>7548362.4891967047</v>
      </c>
      <c r="Y60" s="16"/>
      <c r="Z60" s="1"/>
    </row>
    <row r="61" spans="1:26" x14ac:dyDescent="0.4">
      <c r="A61" s="49">
        <f t="shared" si="4"/>
        <v>0.18000000000000002</v>
      </c>
      <c r="B61" s="45">
        <v>59030451.961051106</v>
      </c>
      <c r="C61" s="1"/>
      <c r="D61" s="20">
        <f t="shared" si="5"/>
        <v>1800000</v>
      </c>
      <c r="E61" s="53">
        <v>3109237.5794631639</v>
      </c>
      <c r="F61" s="53">
        <v>3267638.735494779</v>
      </c>
      <c r="G61" s="53">
        <v>3434109.6917880015</v>
      </c>
      <c r="H61" s="53">
        <v>3609061.5670359875</v>
      </c>
      <c r="I61" s="53">
        <v>3792926.4245122303</v>
      </c>
      <c r="J61" s="53">
        <v>3986158.3390992563</v>
      </c>
      <c r="K61" s="53">
        <v>4189234.5186774675</v>
      </c>
      <c r="L61" s="53">
        <v>4402656.4826435121</v>
      </c>
      <c r="M61" s="53">
        <v>4626951.3004686665</v>
      </c>
      <c r="N61" s="53">
        <v>4862672.8933560019</v>
      </c>
      <c r="O61" s="53">
        <v>5110403.4022109024</v>
      </c>
      <c r="P61" s="53">
        <v>5370754.6253033075</v>
      </c>
      <c r="Q61" s="53">
        <v>5644369.5291721439</v>
      </c>
      <c r="R61" s="53">
        <v>5931923.8365032868</v>
      </c>
      <c r="S61" s="53">
        <v>6234127.6949025048</v>
      </c>
      <c r="T61" s="53">
        <v>6551727.4306846</v>
      </c>
      <c r="U61" s="53">
        <v>6885507.3920099316</v>
      </c>
      <c r="V61" s="53">
        <v>7236291.8859201455</v>
      </c>
      <c r="W61" s="53">
        <v>7604947.2140568439</v>
      </c>
      <c r="X61" s="54">
        <v>7992383.8120906288</v>
      </c>
      <c r="Y61" s="16"/>
      <c r="Z61" s="1"/>
    </row>
    <row r="62" spans="1:26" x14ac:dyDescent="0.4">
      <c r="A62" s="49">
        <f t="shared" si="4"/>
        <v>0.19000000000000003</v>
      </c>
      <c r="B62" s="45">
        <v>78633037.32871297</v>
      </c>
      <c r="C62" s="1"/>
      <c r="D62" s="20">
        <f t="shared" si="5"/>
        <v>1900000</v>
      </c>
      <c r="E62" s="53">
        <v>3281973.0005444507</v>
      </c>
      <c r="F62" s="53">
        <v>3449174.2208000445</v>
      </c>
      <c r="G62" s="53">
        <v>3624893.5635540015</v>
      </c>
      <c r="H62" s="53">
        <v>3809564.9874268756</v>
      </c>
      <c r="I62" s="53">
        <v>4003644.5592073542</v>
      </c>
      <c r="J62" s="53">
        <v>4207611.5801603263</v>
      </c>
      <c r="K62" s="53">
        <v>4421969.7697151043</v>
      </c>
      <c r="L62" s="53">
        <v>4647248.5094570406</v>
      </c>
      <c r="M62" s="53">
        <v>4884004.150494704</v>
      </c>
      <c r="N62" s="53">
        <v>5132821.3874313356</v>
      </c>
      <c r="O62" s="53">
        <v>5394314.7023337297</v>
      </c>
      <c r="P62" s="53">
        <v>5669129.8822646029</v>
      </c>
      <c r="Q62" s="53">
        <v>5957945.6141261514</v>
      </c>
      <c r="R62" s="53">
        <v>6261475.160753469</v>
      </c>
      <c r="S62" s="53">
        <v>6580468.1223970884</v>
      </c>
      <c r="T62" s="53">
        <v>6915712.2879448552</v>
      </c>
      <c r="U62" s="53">
        <v>7268035.5804549279</v>
      </c>
      <c r="V62" s="53">
        <v>7638308.1018045973</v>
      </c>
      <c r="W62" s="53">
        <v>8027444.2815044457</v>
      </c>
      <c r="X62" s="54">
        <v>8436405.1349845529</v>
      </c>
      <c r="Y62" s="16"/>
      <c r="Z62" s="1"/>
    </row>
    <row r="63" spans="1:26" x14ac:dyDescent="0.4">
      <c r="A63" s="50">
        <f t="shared" si="4"/>
        <v>0.20000000000000004</v>
      </c>
      <c r="B63" s="48">
        <v>104673595.70016067</v>
      </c>
      <c r="C63" s="1"/>
      <c r="D63" s="21">
        <f t="shared" si="5"/>
        <v>2000000</v>
      </c>
      <c r="E63" s="55">
        <v>3454708.4216257376</v>
      </c>
      <c r="F63" s="55">
        <v>3630709.7061053095</v>
      </c>
      <c r="G63" s="55">
        <v>3815677.4353200016</v>
      </c>
      <c r="H63" s="55">
        <v>4010068.4078177637</v>
      </c>
      <c r="I63" s="55">
        <v>4214362.6939024776</v>
      </c>
      <c r="J63" s="55">
        <v>4429064.8212213963</v>
      </c>
      <c r="K63" s="55">
        <v>4654705.020752742</v>
      </c>
      <c r="L63" s="55">
        <v>4891840.5362705681</v>
      </c>
      <c r="M63" s="55">
        <v>5141057.0005207406</v>
      </c>
      <c r="N63" s="55">
        <v>5402969.8815066693</v>
      </c>
      <c r="O63" s="55">
        <v>5678226.0024565579</v>
      </c>
      <c r="P63" s="55">
        <v>5967505.1392258974</v>
      </c>
      <c r="Q63" s="55">
        <v>6271521.6990801599</v>
      </c>
      <c r="R63" s="55">
        <v>6591026.4850036521</v>
      </c>
      <c r="S63" s="55">
        <v>6926808.5498916721</v>
      </c>
      <c r="T63" s="55">
        <v>7279697.1452051103</v>
      </c>
      <c r="U63" s="55">
        <v>7650563.7688999241</v>
      </c>
      <c r="V63" s="55">
        <v>8040324.31768905</v>
      </c>
      <c r="W63" s="55">
        <v>8449941.3489520494</v>
      </c>
      <c r="X63" s="56">
        <v>8880426.457878476</v>
      </c>
      <c r="Y63" s="16"/>
      <c r="Z63" s="1"/>
    </row>
    <row r="64" spans="1:26" x14ac:dyDescent="0.4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6"/>
      <c r="Z64" s="1"/>
    </row>
    <row r="65" spans="1:26" x14ac:dyDescent="0.4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6"/>
      <c r="Z65" s="1"/>
    </row>
    <row r="66" spans="1:26" x14ac:dyDescent="0.4">
      <c r="A66" s="82" t="s">
        <v>8</v>
      </c>
      <c r="B66" s="81" t="s">
        <v>16</v>
      </c>
      <c r="C66" s="1"/>
      <c r="D66" s="82" t="s">
        <v>12</v>
      </c>
      <c r="E66" s="83" t="s">
        <v>20</v>
      </c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5"/>
      <c r="Y66" s="16"/>
      <c r="Z66" s="1"/>
    </row>
    <row r="67" spans="1:26" x14ac:dyDescent="0.4">
      <c r="A67" s="14">
        <f>B9</f>
        <v>30</v>
      </c>
      <c r="B67" s="13">
        <f>B12</f>
        <v>1332063.9686817715</v>
      </c>
      <c r="C67" s="1"/>
      <c r="D67" s="19">
        <f>B12</f>
        <v>1332063.9686817715</v>
      </c>
      <c r="E67" s="33">
        <f>1</f>
        <v>1</v>
      </c>
      <c r="F67" s="33">
        <f>E67+1</f>
        <v>2</v>
      </c>
      <c r="G67" s="33">
        <f t="shared" ref="G67:X67" si="6">F67+1</f>
        <v>3</v>
      </c>
      <c r="H67" s="37">
        <f t="shared" si="6"/>
        <v>4</v>
      </c>
      <c r="I67" s="33">
        <f t="shared" si="6"/>
        <v>5</v>
      </c>
      <c r="J67" s="33">
        <f t="shared" si="6"/>
        <v>6</v>
      </c>
      <c r="K67" s="33">
        <f t="shared" si="6"/>
        <v>7</v>
      </c>
      <c r="L67" s="33">
        <f t="shared" si="6"/>
        <v>8</v>
      </c>
      <c r="M67" s="33">
        <f t="shared" si="6"/>
        <v>9</v>
      </c>
      <c r="N67" s="33">
        <f t="shared" si="6"/>
        <v>10</v>
      </c>
      <c r="O67" s="33">
        <f t="shared" si="6"/>
        <v>11</v>
      </c>
      <c r="P67" s="33">
        <f t="shared" si="6"/>
        <v>12</v>
      </c>
      <c r="Q67" s="33">
        <f t="shared" si="6"/>
        <v>13</v>
      </c>
      <c r="R67" s="33">
        <f t="shared" si="6"/>
        <v>14</v>
      </c>
      <c r="S67" s="33">
        <f t="shared" si="6"/>
        <v>15</v>
      </c>
      <c r="T67" s="33">
        <f t="shared" si="6"/>
        <v>16</v>
      </c>
      <c r="U67" s="33">
        <f t="shared" si="6"/>
        <v>17</v>
      </c>
      <c r="V67" s="33">
        <f t="shared" si="6"/>
        <v>18</v>
      </c>
      <c r="W67" s="33">
        <f t="shared" si="6"/>
        <v>19</v>
      </c>
      <c r="X67" s="36">
        <f t="shared" si="6"/>
        <v>20</v>
      </c>
      <c r="Y67" s="16"/>
      <c r="Z67" s="1"/>
    </row>
    <row r="68" spans="1:26" x14ac:dyDescent="0.4">
      <c r="A68" s="51">
        <f>11</f>
        <v>11</v>
      </c>
      <c r="B68" s="45">
        <f t="dataTable" ref="B68:B87" dt2D="0" dtr="0" r1="B9" ca="1"/>
        <v>518206.26324386062</v>
      </c>
      <c r="C68" s="1"/>
      <c r="D68" s="20">
        <v>100000</v>
      </c>
      <c r="E68" s="53">
        <f t="dataTable" ref="E68:X87" dt2D="1" dtr="1" r1="B10" r2="B7" ca="1"/>
        <v>432194.23751506623</v>
      </c>
      <c r="F68" s="53">
        <v>439978.97488150344</v>
      </c>
      <c r="G68" s="53">
        <v>442662.38177534012</v>
      </c>
      <c r="H68" s="53">
        <v>444021.32289392385</v>
      </c>
      <c r="I68" s="53">
        <v>444842.28960300592</v>
      </c>
      <c r="J68" s="53">
        <v>445391.95517319842</v>
      </c>
      <c r="K68" s="53">
        <v>445785.73306699248</v>
      </c>
      <c r="L68" s="53">
        <v>446081.70314055344</v>
      </c>
      <c r="M68" s="53">
        <v>446312.28045666189</v>
      </c>
      <c r="N68" s="53">
        <v>446496.98121621017</v>
      </c>
      <c r="O68" s="53">
        <v>446648.25825571723</v>
      </c>
      <c r="P68" s="53">
        <v>446774.43140061561</v>
      </c>
      <c r="Q68" s="53">
        <v>446881.27074344439</v>
      </c>
      <c r="R68" s="53">
        <v>446972.90388819866</v>
      </c>
      <c r="S68" s="53">
        <v>447052.36155251437</v>
      </c>
      <c r="T68" s="53">
        <v>447121.91923256492</v>
      </c>
      <c r="U68" s="53">
        <v>447183.31864883797</v>
      </c>
      <c r="V68" s="53">
        <v>447237.91558941937</v>
      </c>
      <c r="W68" s="53">
        <v>447286.78119336703</v>
      </c>
      <c r="X68" s="54">
        <v>447330.77292851242</v>
      </c>
      <c r="Y68" s="16"/>
      <c r="Z68" s="1"/>
    </row>
    <row r="69" spans="1:26" x14ac:dyDescent="0.4">
      <c r="A69" s="51">
        <f>A68+1</f>
        <v>12</v>
      </c>
      <c r="B69" s="45">
        <v>544606.45591579645</v>
      </c>
      <c r="C69" s="1"/>
      <c r="D69" s="20">
        <f>D68+100000</f>
        <v>200000</v>
      </c>
      <c r="E69" s="53">
        <v>864388.47503013245</v>
      </c>
      <c r="F69" s="53">
        <v>879957.94976300688</v>
      </c>
      <c r="G69" s="53">
        <v>885324.76355068025</v>
      </c>
      <c r="H69" s="53">
        <v>888042.64578784769</v>
      </c>
      <c r="I69" s="53">
        <v>889684.57920601184</v>
      </c>
      <c r="J69" s="53">
        <v>890783.91034639685</v>
      </c>
      <c r="K69" s="53">
        <v>891571.46613398497</v>
      </c>
      <c r="L69" s="53">
        <v>892163.40628110687</v>
      </c>
      <c r="M69" s="53">
        <v>892624.56091332377</v>
      </c>
      <c r="N69" s="53">
        <v>892993.96243242035</v>
      </c>
      <c r="O69" s="53">
        <v>893296.51651143446</v>
      </c>
      <c r="P69" s="53">
        <v>893548.86280123121</v>
      </c>
      <c r="Q69" s="53">
        <v>893762.54148688877</v>
      </c>
      <c r="R69" s="53">
        <v>893945.80777639733</v>
      </c>
      <c r="S69" s="53">
        <v>894104.72310502874</v>
      </c>
      <c r="T69" s="53">
        <v>894243.83846512984</v>
      </c>
      <c r="U69" s="53">
        <v>894366.63729767594</v>
      </c>
      <c r="V69" s="53">
        <v>894475.83117883874</v>
      </c>
      <c r="W69" s="53">
        <v>894573.56238673406</v>
      </c>
      <c r="X69" s="54">
        <v>894661.54585702484</v>
      </c>
      <c r="Y69" s="16"/>
      <c r="Z69" s="1"/>
    </row>
    <row r="70" spans="1:26" x14ac:dyDescent="0.4">
      <c r="A70" s="51">
        <f t="shared" ref="A70:A87" si="7">A69+1</f>
        <v>13</v>
      </c>
      <c r="B70" s="45">
        <v>572351.61529800016</v>
      </c>
      <c r="C70" s="1"/>
      <c r="D70" s="22">
        <f t="shared" ref="D70:D87" si="8">D69+100000</f>
        <v>300000</v>
      </c>
      <c r="E70" s="53">
        <v>1296582.7125451989</v>
      </c>
      <c r="F70" s="53">
        <v>1319936.9246445103</v>
      </c>
      <c r="G70" s="53">
        <v>1327987.1453260204</v>
      </c>
      <c r="H70" s="32">
        <v>1332063.9686817715</v>
      </c>
      <c r="I70" s="53">
        <v>1334526.8688090176</v>
      </c>
      <c r="J70" s="53">
        <v>1336175.8655195953</v>
      </c>
      <c r="K70" s="53">
        <v>1337357.1992009776</v>
      </c>
      <c r="L70" s="53">
        <v>1338245.1094216604</v>
      </c>
      <c r="M70" s="53">
        <v>1338936.8413699856</v>
      </c>
      <c r="N70" s="53">
        <v>1339490.9436486305</v>
      </c>
      <c r="O70" s="53">
        <v>1339944.7747671518</v>
      </c>
      <c r="P70" s="53">
        <v>1340323.2942018467</v>
      </c>
      <c r="Q70" s="53">
        <v>1340643.8122303332</v>
      </c>
      <c r="R70" s="53">
        <v>1340918.7116645959</v>
      </c>
      <c r="S70" s="53">
        <v>1341157.0846575431</v>
      </c>
      <c r="T70" s="53">
        <v>1341365.7576976947</v>
      </c>
      <c r="U70" s="53">
        <v>1341549.9559465139</v>
      </c>
      <c r="V70" s="53">
        <v>1341713.746768258</v>
      </c>
      <c r="W70" s="53">
        <v>1341860.3435801012</v>
      </c>
      <c r="X70" s="54">
        <v>1341992.3187855373</v>
      </c>
      <c r="Y70" s="16"/>
      <c r="Z70" s="1"/>
    </row>
    <row r="71" spans="1:26" x14ac:dyDescent="0.4">
      <c r="A71" s="51">
        <f t="shared" si="7"/>
        <v>14</v>
      </c>
      <c r="B71" s="45">
        <v>601510.26117266458</v>
      </c>
      <c r="C71" s="1"/>
      <c r="D71" s="20">
        <f t="shared" si="8"/>
        <v>400000</v>
      </c>
      <c r="E71" s="53">
        <v>1728776.9500602649</v>
      </c>
      <c r="F71" s="53">
        <v>1759915.8995260138</v>
      </c>
      <c r="G71" s="53">
        <v>1770649.5271013605</v>
      </c>
      <c r="H71" s="53">
        <v>1776085.2915756954</v>
      </c>
      <c r="I71" s="53">
        <v>1779369.1584120237</v>
      </c>
      <c r="J71" s="53">
        <v>1781567.8206927937</v>
      </c>
      <c r="K71" s="53">
        <v>1783142.9322679699</v>
      </c>
      <c r="L71" s="53">
        <v>1784326.8125622137</v>
      </c>
      <c r="M71" s="53">
        <v>1785249.1218266475</v>
      </c>
      <c r="N71" s="53">
        <v>1785987.9248648407</v>
      </c>
      <c r="O71" s="53">
        <v>1786593.0330228689</v>
      </c>
      <c r="P71" s="53">
        <v>1787097.7256024624</v>
      </c>
      <c r="Q71" s="53">
        <v>1787525.0829737775</v>
      </c>
      <c r="R71" s="53">
        <v>1787891.6155527947</v>
      </c>
      <c r="S71" s="53">
        <v>1788209.4462100575</v>
      </c>
      <c r="T71" s="53">
        <v>1788487.6769302597</v>
      </c>
      <c r="U71" s="53">
        <v>1788733.2745953519</v>
      </c>
      <c r="V71" s="53">
        <v>1788951.6623576775</v>
      </c>
      <c r="W71" s="53">
        <v>1789147.1247734681</v>
      </c>
      <c r="X71" s="54">
        <v>1789323.0917140497</v>
      </c>
      <c r="Y71" s="16"/>
      <c r="Z71" s="1"/>
    </row>
    <row r="72" spans="1:26" x14ac:dyDescent="0.4">
      <c r="A72" s="51">
        <f t="shared" si="7"/>
        <v>15</v>
      </c>
      <c r="B72" s="45">
        <v>632154.40408537176</v>
      </c>
      <c r="C72" s="1"/>
      <c r="D72" s="20">
        <f t="shared" si="8"/>
        <v>500000</v>
      </c>
      <c r="E72" s="53">
        <v>2160971.1875753314</v>
      </c>
      <c r="F72" s="53">
        <v>2199894.8744075173</v>
      </c>
      <c r="G72" s="53">
        <v>2213311.9088767008</v>
      </c>
      <c r="H72" s="53">
        <v>2220106.614469619</v>
      </c>
      <c r="I72" s="53">
        <v>2224211.4480150295</v>
      </c>
      <c r="J72" s="53">
        <v>2226959.7758659921</v>
      </c>
      <c r="K72" s="53">
        <v>2228928.6653349623</v>
      </c>
      <c r="L72" s="53">
        <v>2230408.5157027673</v>
      </c>
      <c r="M72" s="53">
        <v>2231561.4022833095</v>
      </c>
      <c r="N72" s="53">
        <v>2232484.9060810511</v>
      </c>
      <c r="O72" s="53">
        <v>2233241.2912785863</v>
      </c>
      <c r="P72" s="53">
        <v>2233872.1570030781</v>
      </c>
      <c r="Q72" s="53">
        <v>2234406.3537172219</v>
      </c>
      <c r="R72" s="53">
        <v>2234864.5194409932</v>
      </c>
      <c r="S72" s="53">
        <v>2235261.8077625721</v>
      </c>
      <c r="T72" s="53">
        <v>2235609.5961628244</v>
      </c>
      <c r="U72" s="53">
        <v>2235916.5932441899</v>
      </c>
      <c r="V72" s="53">
        <v>2236189.5779470969</v>
      </c>
      <c r="W72" s="53">
        <v>2236433.9059668351</v>
      </c>
      <c r="X72" s="54">
        <v>2236653.8646425619</v>
      </c>
      <c r="Y72" s="16"/>
      <c r="Z72" s="1"/>
    </row>
    <row r="73" spans="1:26" x14ac:dyDescent="0.4">
      <c r="A73" s="51">
        <f t="shared" si="7"/>
        <v>16</v>
      </c>
      <c r="B73" s="45">
        <v>664359.72318320943</v>
      </c>
      <c r="C73" s="1"/>
      <c r="D73" s="20">
        <f t="shared" si="8"/>
        <v>600000</v>
      </c>
      <c r="E73" s="53">
        <v>2593165.4250903977</v>
      </c>
      <c r="F73" s="53">
        <v>2639873.8492890205</v>
      </c>
      <c r="G73" s="53">
        <v>2655974.2906520409</v>
      </c>
      <c r="H73" s="53">
        <v>2664127.9373635431</v>
      </c>
      <c r="I73" s="53">
        <v>2669053.7376180352</v>
      </c>
      <c r="J73" s="53">
        <v>2672351.7310391907</v>
      </c>
      <c r="K73" s="53">
        <v>2674714.3984019551</v>
      </c>
      <c r="L73" s="53">
        <v>2676490.2188433209</v>
      </c>
      <c r="M73" s="53">
        <v>2677873.6827399712</v>
      </c>
      <c r="N73" s="53">
        <v>2678981.887297261</v>
      </c>
      <c r="O73" s="53">
        <v>2679889.5495343036</v>
      </c>
      <c r="P73" s="53">
        <v>2680646.5884036934</v>
      </c>
      <c r="Q73" s="53">
        <v>2681287.6244606664</v>
      </c>
      <c r="R73" s="53">
        <v>2681837.4233291917</v>
      </c>
      <c r="S73" s="53">
        <v>2682314.1693150862</v>
      </c>
      <c r="T73" s="53">
        <v>2682731.5153953894</v>
      </c>
      <c r="U73" s="53">
        <v>2683099.9118930278</v>
      </c>
      <c r="V73" s="53">
        <v>2683427.4935365161</v>
      </c>
      <c r="W73" s="53">
        <v>2683720.6871602023</v>
      </c>
      <c r="X73" s="54">
        <v>2683984.6375710745</v>
      </c>
      <c r="Y73" s="16"/>
      <c r="Z73" s="1"/>
    </row>
    <row r="74" spans="1:26" x14ac:dyDescent="0.4">
      <c r="A74" s="51">
        <f t="shared" si="7"/>
        <v>17</v>
      </c>
      <c r="B74" s="45">
        <v>698205.75311291125</v>
      </c>
      <c r="C74" s="1"/>
      <c r="D74" s="20">
        <f t="shared" si="8"/>
        <v>700000</v>
      </c>
      <c r="E74" s="53">
        <v>3025359.6626054635</v>
      </c>
      <c r="F74" s="53">
        <v>3079852.8241705238</v>
      </c>
      <c r="G74" s="53">
        <v>3098636.6724273809</v>
      </c>
      <c r="H74" s="53">
        <v>3108149.2602574667</v>
      </c>
      <c r="I74" s="53">
        <v>3113896.0272210413</v>
      </c>
      <c r="J74" s="53">
        <v>3117743.6862123893</v>
      </c>
      <c r="K74" s="53">
        <v>3120500.1314689475</v>
      </c>
      <c r="L74" s="53">
        <v>3122571.9219838744</v>
      </c>
      <c r="M74" s="53">
        <v>3124185.9631966334</v>
      </c>
      <c r="N74" s="53">
        <v>3125478.8685134714</v>
      </c>
      <c r="O74" s="53">
        <v>3126537.8077900205</v>
      </c>
      <c r="P74" s="53">
        <v>3127421.0198043091</v>
      </c>
      <c r="Q74" s="53">
        <v>3128168.895204111</v>
      </c>
      <c r="R74" s="53">
        <v>3128810.3272173908</v>
      </c>
      <c r="S74" s="53">
        <v>3129366.5308676008</v>
      </c>
      <c r="T74" s="53">
        <v>3129853.4346279544</v>
      </c>
      <c r="U74" s="53">
        <v>3130283.2305418658</v>
      </c>
      <c r="V74" s="53">
        <v>3130665.4091259358</v>
      </c>
      <c r="W74" s="53">
        <v>3131007.4683535695</v>
      </c>
      <c r="X74" s="54">
        <v>3131315.4104995867</v>
      </c>
      <c r="Y74" s="16"/>
      <c r="Z74" s="1"/>
    </row>
    <row r="75" spans="1:26" x14ac:dyDescent="0.4">
      <c r="A75" s="51">
        <f t="shared" si="7"/>
        <v>18</v>
      </c>
      <c r="B75" s="45">
        <v>733776.08044058527</v>
      </c>
      <c r="C75" s="1"/>
      <c r="D75" s="20">
        <f t="shared" si="8"/>
        <v>800000</v>
      </c>
      <c r="E75" s="53">
        <v>3457553.9001205298</v>
      </c>
      <c r="F75" s="53">
        <v>3519831.7990520275</v>
      </c>
      <c r="G75" s="53">
        <v>3541299.054202721</v>
      </c>
      <c r="H75" s="53">
        <v>3552170.5831513908</v>
      </c>
      <c r="I75" s="53">
        <v>3558738.3168240474</v>
      </c>
      <c r="J75" s="53">
        <v>3563135.6413855874</v>
      </c>
      <c r="K75" s="53">
        <v>3566285.8645359399</v>
      </c>
      <c r="L75" s="53">
        <v>3568653.6251244275</v>
      </c>
      <c r="M75" s="53">
        <v>3570498.2436532951</v>
      </c>
      <c r="N75" s="53">
        <v>3571975.8497296814</v>
      </c>
      <c r="O75" s="53">
        <v>3573186.0660457378</v>
      </c>
      <c r="P75" s="53">
        <v>3574195.4512049248</v>
      </c>
      <c r="Q75" s="53">
        <v>3575050.1659475551</v>
      </c>
      <c r="R75" s="53">
        <v>3575783.2311055893</v>
      </c>
      <c r="S75" s="53">
        <v>3576418.8924201149</v>
      </c>
      <c r="T75" s="53">
        <v>3576975.3538605194</v>
      </c>
      <c r="U75" s="53">
        <v>3577466.5491907038</v>
      </c>
      <c r="V75" s="53">
        <v>3577903.3247153549</v>
      </c>
      <c r="W75" s="53">
        <v>3578294.2495469362</v>
      </c>
      <c r="X75" s="54">
        <v>3578646.1834280994</v>
      </c>
      <c r="Y75" s="16"/>
      <c r="Z75" s="1"/>
    </row>
    <row r="76" spans="1:26" x14ac:dyDescent="0.4">
      <c r="A76" s="51">
        <f t="shared" si="7"/>
        <v>19</v>
      </c>
      <c r="B76" s="45">
        <v>771158.55007811112</v>
      </c>
      <c r="C76" s="1"/>
      <c r="D76" s="20">
        <f t="shared" si="8"/>
        <v>900000</v>
      </c>
      <c r="E76" s="53">
        <v>3889748.1376355961</v>
      </c>
      <c r="F76" s="53">
        <v>3959810.7739335308</v>
      </c>
      <c r="G76" s="53">
        <v>3983961.4359780611</v>
      </c>
      <c r="H76" s="53">
        <v>3996191.9060453144</v>
      </c>
      <c r="I76" s="53">
        <v>4003580.606427053</v>
      </c>
      <c r="J76" s="53">
        <v>4008527.596558786</v>
      </c>
      <c r="K76" s="53">
        <v>4012071.5976029322</v>
      </c>
      <c r="L76" s="53">
        <v>4014735.328264981</v>
      </c>
      <c r="M76" s="53">
        <v>4016810.5241099568</v>
      </c>
      <c r="N76" s="53">
        <v>4018472.8309458918</v>
      </c>
      <c r="O76" s="53">
        <v>4019834.3243014552</v>
      </c>
      <c r="P76" s="53">
        <v>4020969.8826055401</v>
      </c>
      <c r="Q76" s="53">
        <v>4021931.4366909997</v>
      </c>
      <c r="R76" s="53">
        <v>4022756.1349937879</v>
      </c>
      <c r="S76" s="53">
        <v>4023471.2539726296</v>
      </c>
      <c r="T76" s="53">
        <v>4024097.2730930843</v>
      </c>
      <c r="U76" s="53">
        <v>4024649.8678395418</v>
      </c>
      <c r="V76" s="53">
        <v>4025141.2403047741</v>
      </c>
      <c r="W76" s="53">
        <v>4025581.0307403035</v>
      </c>
      <c r="X76" s="54">
        <v>4025976.9563566116</v>
      </c>
      <c r="Y76" s="16"/>
      <c r="Z76" s="1"/>
    </row>
    <row r="77" spans="1:26" x14ac:dyDescent="0.4">
      <c r="A77" s="51">
        <f t="shared" si="7"/>
        <v>20</v>
      </c>
      <c r="B77" s="45">
        <v>810445.4822260004</v>
      </c>
      <c r="C77" s="1"/>
      <c r="D77" s="20">
        <f t="shared" si="8"/>
        <v>1000000</v>
      </c>
      <c r="E77" s="53">
        <v>4321942.3751506628</v>
      </c>
      <c r="F77" s="53">
        <v>4399789.7488150345</v>
      </c>
      <c r="G77" s="53">
        <v>4426623.8177534016</v>
      </c>
      <c r="H77" s="53">
        <v>4440213.228939238</v>
      </c>
      <c r="I77" s="53">
        <v>4448422.8960300591</v>
      </c>
      <c r="J77" s="53">
        <v>4453919.5517319841</v>
      </c>
      <c r="K77" s="53">
        <v>4457857.3306699246</v>
      </c>
      <c r="L77" s="53">
        <v>4460817.0314055346</v>
      </c>
      <c r="M77" s="53">
        <v>4463122.804566619</v>
      </c>
      <c r="N77" s="53">
        <v>4464969.8121621022</v>
      </c>
      <c r="O77" s="53">
        <v>4466482.5825571725</v>
      </c>
      <c r="P77" s="53">
        <v>4467744.3140061563</v>
      </c>
      <c r="Q77" s="53">
        <v>4468812.7074344438</v>
      </c>
      <c r="R77" s="53">
        <v>4469729.0388819864</v>
      </c>
      <c r="S77" s="53">
        <v>4470523.6155251442</v>
      </c>
      <c r="T77" s="53">
        <v>4471219.1923256489</v>
      </c>
      <c r="U77" s="53">
        <v>4471833.1864883797</v>
      </c>
      <c r="V77" s="53">
        <v>4472379.1558941938</v>
      </c>
      <c r="W77" s="53">
        <v>4472867.8119336702</v>
      </c>
      <c r="X77" s="54">
        <v>4473307.7292851238</v>
      </c>
      <c r="Y77" s="16"/>
      <c r="Z77" s="1"/>
    </row>
    <row r="78" spans="1:26" x14ac:dyDescent="0.4">
      <c r="A78" s="51">
        <f t="shared" si="7"/>
        <v>21</v>
      </c>
      <c r="B78" s="45">
        <v>851733.90036848374</v>
      </c>
      <c r="C78" s="1"/>
      <c r="D78" s="20">
        <f t="shared" si="8"/>
        <v>1100000</v>
      </c>
      <c r="E78" s="53">
        <v>4754136.6126657287</v>
      </c>
      <c r="F78" s="53">
        <v>4839768.7236965373</v>
      </c>
      <c r="G78" s="53">
        <v>4869286.1995287417</v>
      </c>
      <c r="H78" s="53">
        <v>4884234.5518331621</v>
      </c>
      <c r="I78" s="53">
        <v>4893265.1856330652</v>
      </c>
      <c r="J78" s="53">
        <v>4899311.5069051832</v>
      </c>
      <c r="K78" s="53">
        <v>4903643.0637369175</v>
      </c>
      <c r="L78" s="53">
        <v>4906898.7345460877</v>
      </c>
      <c r="M78" s="53">
        <v>4909435.0850232812</v>
      </c>
      <c r="N78" s="53">
        <v>4911466.7933783121</v>
      </c>
      <c r="O78" s="53">
        <v>4913130.8408128899</v>
      </c>
      <c r="P78" s="53">
        <v>4914518.7454067711</v>
      </c>
      <c r="Q78" s="53">
        <v>4915693.9781778883</v>
      </c>
      <c r="R78" s="53">
        <v>4916701.9427701849</v>
      </c>
      <c r="S78" s="53">
        <v>4917575.9770776583</v>
      </c>
      <c r="T78" s="53">
        <v>4918341.1115582138</v>
      </c>
      <c r="U78" s="53">
        <v>4919016.5051372172</v>
      </c>
      <c r="V78" s="53">
        <v>4919617.071483613</v>
      </c>
      <c r="W78" s="53">
        <v>4920154.5931270374</v>
      </c>
      <c r="X78" s="54">
        <v>4920638.5022136364</v>
      </c>
      <c r="Y78" s="16"/>
      <c r="Z78" s="1"/>
    </row>
    <row r="79" spans="1:26" x14ac:dyDescent="0.4">
      <c r="A79" s="51">
        <f t="shared" si="7"/>
        <v>22</v>
      </c>
      <c r="B79" s="45">
        <v>895125.77088388463</v>
      </c>
      <c r="C79" s="1"/>
      <c r="D79" s="20">
        <f t="shared" si="8"/>
        <v>1200000</v>
      </c>
      <c r="E79" s="53">
        <v>5186330.8501807954</v>
      </c>
      <c r="F79" s="53">
        <v>5279747.698578041</v>
      </c>
      <c r="G79" s="53">
        <v>5311948.5813040817</v>
      </c>
      <c r="H79" s="53">
        <v>5328255.8747270862</v>
      </c>
      <c r="I79" s="53">
        <v>5338107.4752360703</v>
      </c>
      <c r="J79" s="53">
        <v>5344703.4620783813</v>
      </c>
      <c r="K79" s="53">
        <v>5349428.7968039103</v>
      </c>
      <c r="L79" s="53">
        <v>5352980.4376866417</v>
      </c>
      <c r="M79" s="53">
        <v>5355747.3654799424</v>
      </c>
      <c r="N79" s="53">
        <v>5357963.7745945221</v>
      </c>
      <c r="O79" s="53">
        <v>5359779.0990686072</v>
      </c>
      <c r="P79" s="53">
        <v>5361293.1768073868</v>
      </c>
      <c r="Q79" s="53">
        <v>5362575.2489213329</v>
      </c>
      <c r="R79" s="53">
        <v>5363674.8466583835</v>
      </c>
      <c r="S79" s="53">
        <v>5364628.3386301724</v>
      </c>
      <c r="T79" s="53">
        <v>5365463.0307907788</v>
      </c>
      <c r="U79" s="53">
        <v>5366199.8237860557</v>
      </c>
      <c r="V79" s="53">
        <v>5366854.9870730322</v>
      </c>
      <c r="W79" s="53">
        <v>5367441.3743204046</v>
      </c>
      <c r="X79" s="54">
        <v>5367969.2751421491</v>
      </c>
      <c r="Y79" s="16"/>
      <c r="Z79" s="1"/>
    </row>
    <row r="80" spans="1:26" x14ac:dyDescent="0.4">
      <c r="A80" s="51">
        <f t="shared" si="7"/>
        <v>23</v>
      </c>
      <c r="B80" s="45">
        <v>940728.25486202398</v>
      </c>
      <c r="C80" s="1"/>
      <c r="D80" s="20">
        <f t="shared" si="8"/>
        <v>1300000</v>
      </c>
      <c r="E80" s="53">
        <v>5618525.0876958612</v>
      </c>
      <c r="F80" s="53">
        <v>5719726.6734595448</v>
      </c>
      <c r="G80" s="53">
        <v>5754610.9630794218</v>
      </c>
      <c r="H80" s="53">
        <v>5772277.1976210093</v>
      </c>
      <c r="I80" s="53">
        <v>5782949.7648390764</v>
      </c>
      <c r="J80" s="53">
        <v>5790095.4172515795</v>
      </c>
      <c r="K80" s="53">
        <v>5795214.5298709022</v>
      </c>
      <c r="L80" s="53">
        <v>5799062.1408271948</v>
      </c>
      <c r="M80" s="53">
        <v>5802059.6459366046</v>
      </c>
      <c r="N80" s="53">
        <v>5804460.755810733</v>
      </c>
      <c r="O80" s="53">
        <v>5806427.3573243236</v>
      </c>
      <c r="P80" s="53">
        <v>5808067.6082080025</v>
      </c>
      <c r="Q80" s="53">
        <v>5809456.5196647774</v>
      </c>
      <c r="R80" s="53">
        <v>5810647.750546583</v>
      </c>
      <c r="S80" s="53">
        <v>5811680.7001826866</v>
      </c>
      <c r="T80" s="53">
        <v>5812584.9500233438</v>
      </c>
      <c r="U80" s="53">
        <v>5813383.1424348932</v>
      </c>
      <c r="V80" s="53">
        <v>5814092.9026624514</v>
      </c>
      <c r="W80" s="53">
        <v>5814728.1555137718</v>
      </c>
      <c r="X80" s="54">
        <v>5815300.0480706608</v>
      </c>
      <c r="Y80" s="16"/>
      <c r="Z80" s="1"/>
    </row>
    <row r="81" spans="1:26" x14ac:dyDescent="0.4">
      <c r="A81" s="51">
        <f t="shared" si="7"/>
        <v>24</v>
      </c>
      <c r="B81" s="45">
        <v>988653.97275054781</v>
      </c>
      <c r="C81" s="1"/>
      <c r="D81" s="20">
        <f t="shared" si="8"/>
        <v>1400000</v>
      </c>
      <c r="E81" s="53">
        <v>6050719.3252109271</v>
      </c>
      <c r="F81" s="53">
        <v>6159705.6483410476</v>
      </c>
      <c r="G81" s="53">
        <v>6197273.3448547618</v>
      </c>
      <c r="H81" s="53">
        <v>6216298.5205149334</v>
      </c>
      <c r="I81" s="53">
        <v>6227792.0544420825</v>
      </c>
      <c r="J81" s="53">
        <v>6235487.3724247785</v>
      </c>
      <c r="K81" s="53">
        <v>6241000.262937895</v>
      </c>
      <c r="L81" s="53">
        <v>6245143.8439677488</v>
      </c>
      <c r="M81" s="53">
        <v>6248371.9263932668</v>
      </c>
      <c r="N81" s="53">
        <v>6250957.7370269429</v>
      </c>
      <c r="O81" s="53">
        <v>6253075.615580041</v>
      </c>
      <c r="P81" s="53">
        <v>6254842.0396086182</v>
      </c>
      <c r="Q81" s="53">
        <v>6256337.790408222</v>
      </c>
      <c r="R81" s="53">
        <v>6257620.6544347815</v>
      </c>
      <c r="S81" s="53">
        <v>6258733.0617352016</v>
      </c>
      <c r="T81" s="53">
        <v>6259706.8692559088</v>
      </c>
      <c r="U81" s="53">
        <v>6260566.4610837316</v>
      </c>
      <c r="V81" s="53">
        <v>6261330.8182518715</v>
      </c>
      <c r="W81" s="53">
        <v>6262014.936707139</v>
      </c>
      <c r="X81" s="54">
        <v>6262630.8209991734</v>
      </c>
      <c r="Y81" s="16"/>
      <c r="Z81" s="1"/>
    </row>
    <row r="82" spans="1:26" x14ac:dyDescent="0.4">
      <c r="A82" s="51">
        <f t="shared" si="7"/>
        <v>25</v>
      </c>
      <c r="B82" s="45">
        <v>1039021.2824837508</v>
      </c>
      <c r="C82" s="1"/>
      <c r="D82" s="20">
        <f t="shared" si="8"/>
        <v>1500000</v>
      </c>
      <c r="E82" s="53">
        <v>6482913.5627259938</v>
      </c>
      <c r="F82" s="53">
        <v>6599684.6232225513</v>
      </c>
      <c r="G82" s="53">
        <v>6639935.7266301019</v>
      </c>
      <c r="H82" s="53">
        <v>6660319.8434088575</v>
      </c>
      <c r="I82" s="53">
        <v>6672634.3440450886</v>
      </c>
      <c r="J82" s="53">
        <v>6680879.3275979767</v>
      </c>
      <c r="K82" s="53">
        <v>6686785.9960048879</v>
      </c>
      <c r="L82" s="53">
        <v>6691225.5471083019</v>
      </c>
      <c r="M82" s="53">
        <v>6694684.206849928</v>
      </c>
      <c r="N82" s="53">
        <v>6697454.7182431528</v>
      </c>
      <c r="O82" s="53">
        <v>6699723.8738357583</v>
      </c>
      <c r="P82" s="53">
        <v>6701616.471009234</v>
      </c>
      <c r="Q82" s="53">
        <v>6703219.0611516666</v>
      </c>
      <c r="R82" s="53">
        <v>6704593.5583229801</v>
      </c>
      <c r="S82" s="53">
        <v>6705785.4232877158</v>
      </c>
      <c r="T82" s="53">
        <v>6706828.7884884737</v>
      </c>
      <c r="U82" s="53">
        <v>6707749.7797325691</v>
      </c>
      <c r="V82" s="53">
        <v>6708568.7338412907</v>
      </c>
      <c r="W82" s="53">
        <v>6709301.7179005053</v>
      </c>
      <c r="X82" s="54">
        <v>6709961.5939276861</v>
      </c>
      <c r="Y82" s="16"/>
      <c r="Z82" s="1"/>
    </row>
    <row r="83" spans="1:26" x14ac:dyDescent="0.4">
      <c r="A83" s="51">
        <f t="shared" si="7"/>
        <v>26</v>
      </c>
      <c r="B83" s="45">
        <v>1091954.5717807666</v>
      </c>
      <c r="C83" s="1"/>
      <c r="D83" s="20">
        <f t="shared" si="8"/>
        <v>1600000</v>
      </c>
      <c r="E83" s="53">
        <v>6915107.8002410596</v>
      </c>
      <c r="F83" s="53">
        <v>7039663.598104055</v>
      </c>
      <c r="G83" s="53">
        <v>7082598.108405442</v>
      </c>
      <c r="H83" s="53">
        <v>7104341.1663027816</v>
      </c>
      <c r="I83" s="53">
        <v>7117476.6336480947</v>
      </c>
      <c r="J83" s="53">
        <v>7126271.2827711748</v>
      </c>
      <c r="K83" s="53">
        <v>7132571.7290718798</v>
      </c>
      <c r="L83" s="53">
        <v>7137307.250248855</v>
      </c>
      <c r="M83" s="53">
        <v>7140996.4873065902</v>
      </c>
      <c r="N83" s="53">
        <v>7143951.6994593628</v>
      </c>
      <c r="O83" s="53">
        <v>7146372.1320914757</v>
      </c>
      <c r="P83" s="53">
        <v>7148390.9024098497</v>
      </c>
      <c r="Q83" s="53">
        <v>7150100.3318951102</v>
      </c>
      <c r="R83" s="53">
        <v>7151566.4622111786</v>
      </c>
      <c r="S83" s="53">
        <v>7152837.7848402299</v>
      </c>
      <c r="T83" s="53">
        <v>7153950.7077210387</v>
      </c>
      <c r="U83" s="53">
        <v>7154933.0983814076</v>
      </c>
      <c r="V83" s="53">
        <v>7155806.6494307099</v>
      </c>
      <c r="W83" s="53">
        <v>7156588.4990938725</v>
      </c>
      <c r="X83" s="54">
        <v>7157292.3668561988</v>
      </c>
      <c r="Y83" s="16"/>
      <c r="Z83" s="1"/>
    </row>
    <row r="84" spans="1:26" x14ac:dyDescent="0.4">
      <c r="A84" s="51">
        <f t="shared" si="7"/>
        <v>27</v>
      </c>
      <c r="B84" s="45">
        <v>1147584.5653349885</v>
      </c>
      <c r="C84" s="1"/>
      <c r="D84" s="20">
        <f t="shared" si="8"/>
        <v>1700000</v>
      </c>
      <c r="E84" s="53">
        <v>7347302.0377561264</v>
      </c>
      <c r="F84" s="53">
        <v>7479642.5729855578</v>
      </c>
      <c r="G84" s="53">
        <v>7525260.490180782</v>
      </c>
      <c r="H84" s="53">
        <v>7548362.4891967047</v>
      </c>
      <c r="I84" s="53">
        <v>7562318.9232510999</v>
      </c>
      <c r="J84" s="53">
        <v>7571663.2379443739</v>
      </c>
      <c r="K84" s="53">
        <v>7578357.4621388726</v>
      </c>
      <c r="L84" s="53">
        <v>7583388.953389409</v>
      </c>
      <c r="M84" s="53">
        <v>7587308.7677632524</v>
      </c>
      <c r="N84" s="53">
        <v>7590448.6806755736</v>
      </c>
      <c r="O84" s="53">
        <v>7593020.390347193</v>
      </c>
      <c r="P84" s="53">
        <v>7595165.3338104654</v>
      </c>
      <c r="Q84" s="53">
        <v>7596981.6026385548</v>
      </c>
      <c r="R84" s="53">
        <v>7598539.3660993772</v>
      </c>
      <c r="S84" s="53">
        <v>7599890.146392744</v>
      </c>
      <c r="T84" s="53">
        <v>7601072.6269536037</v>
      </c>
      <c r="U84" s="53">
        <v>7602116.4170302451</v>
      </c>
      <c r="V84" s="53">
        <v>7603044.5650201291</v>
      </c>
      <c r="W84" s="53">
        <v>7603875.2802872397</v>
      </c>
      <c r="X84" s="54">
        <v>7604623.1397847105</v>
      </c>
      <c r="Y84" s="16"/>
      <c r="Z84" s="1"/>
    </row>
    <row r="85" spans="1:26" x14ac:dyDescent="0.4">
      <c r="A85" s="51">
        <f t="shared" si="7"/>
        <v>28</v>
      </c>
      <c r="B85" s="45">
        <v>1206048.6476533576</v>
      </c>
      <c r="C85" s="1"/>
      <c r="D85" s="20">
        <f t="shared" si="8"/>
        <v>1800000</v>
      </c>
      <c r="E85" s="53">
        <v>7779496.2752711922</v>
      </c>
      <c r="F85" s="53">
        <v>7919621.5478670616</v>
      </c>
      <c r="G85" s="53">
        <v>7967922.8719561221</v>
      </c>
      <c r="H85" s="53">
        <v>7992383.8120906288</v>
      </c>
      <c r="I85" s="53">
        <v>8007161.212854106</v>
      </c>
      <c r="J85" s="53">
        <v>8017055.193117572</v>
      </c>
      <c r="K85" s="53">
        <v>8024143.1952058645</v>
      </c>
      <c r="L85" s="53">
        <v>8029470.6565299621</v>
      </c>
      <c r="M85" s="53">
        <v>8033621.0482199136</v>
      </c>
      <c r="N85" s="53">
        <v>8036945.6618917836</v>
      </c>
      <c r="O85" s="53">
        <v>8039668.6486029103</v>
      </c>
      <c r="P85" s="53">
        <v>8041939.7652110802</v>
      </c>
      <c r="Q85" s="53">
        <v>8043862.8733819993</v>
      </c>
      <c r="R85" s="53">
        <v>8045512.2699875757</v>
      </c>
      <c r="S85" s="53">
        <v>8046942.5079452591</v>
      </c>
      <c r="T85" s="53">
        <v>8048194.5461861687</v>
      </c>
      <c r="U85" s="53">
        <v>8049299.7356790835</v>
      </c>
      <c r="V85" s="53">
        <v>8050282.4806095483</v>
      </c>
      <c r="W85" s="53">
        <v>8051162.0614806069</v>
      </c>
      <c r="X85" s="54">
        <v>8051953.9127132231</v>
      </c>
      <c r="Y85" s="16"/>
      <c r="Z85" s="1"/>
    </row>
    <row r="86" spans="1:26" x14ac:dyDescent="0.4">
      <c r="A86" s="51">
        <f t="shared" si="7"/>
        <v>29</v>
      </c>
      <c r="B86" s="45">
        <v>1267491.2023428073</v>
      </c>
      <c r="C86" s="1"/>
      <c r="D86" s="20">
        <f t="shared" si="8"/>
        <v>1900000</v>
      </c>
      <c r="E86" s="53">
        <v>8211690.5127862589</v>
      </c>
      <c r="F86" s="53">
        <v>8359600.5227485653</v>
      </c>
      <c r="G86" s="53">
        <v>8410585.2537314631</v>
      </c>
      <c r="H86" s="53">
        <v>8436405.1349845529</v>
      </c>
      <c r="I86" s="53">
        <v>8452003.5024571121</v>
      </c>
      <c r="J86" s="53">
        <v>8462447.1482907701</v>
      </c>
      <c r="K86" s="53">
        <v>8469928.9282728583</v>
      </c>
      <c r="L86" s="53">
        <v>8475552.3596705161</v>
      </c>
      <c r="M86" s="53">
        <v>8479933.3286765758</v>
      </c>
      <c r="N86" s="53">
        <v>8483442.6431079935</v>
      </c>
      <c r="O86" s="53">
        <v>8486316.9068586268</v>
      </c>
      <c r="P86" s="53">
        <v>8488714.1966116969</v>
      </c>
      <c r="Q86" s="53">
        <v>8490744.144125443</v>
      </c>
      <c r="R86" s="53">
        <v>8492485.1738757752</v>
      </c>
      <c r="S86" s="53">
        <v>8493994.8694977723</v>
      </c>
      <c r="T86" s="53">
        <v>8495316.4654187337</v>
      </c>
      <c r="U86" s="53">
        <v>8496483.0543279219</v>
      </c>
      <c r="V86" s="53">
        <v>8497520.3961989675</v>
      </c>
      <c r="W86" s="53">
        <v>8498448.8426739741</v>
      </c>
      <c r="X86" s="54">
        <v>8499284.6856417358</v>
      </c>
      <c r="Y86" s="16"/>
      <c r="Z86" s="1"/>
    </row>
    <row r="87" spans="1:26" x14ac:dyDescent="0.4">
      <c r="A87" s="24">
        <f t="shared" si="7"/>
        <v>30</v>
      </c>
      <c r="B87" s="23">
        <v>1332063.9686817715</v>
      </c>
      <c r="C87" s="1"/>
      <c r="D87" s="21">
        <f t="shared" si="8"/>
        <v>2000000</v>
      </c>
      <c r="E87" s="55">
        <v>8643884.7503013257</v>
      </c>
      <c r="F87" s="55">
        <v>8799579.497630069</v>
      </c>
      <c r="G87" s="55">
        <v>8853247.6355068032</v>
      </c>
      <c r="H87" s="55">
        <v>8880426.457878476</v>
      </c>
      <c r="I87" s="55">
        <v>8896845.7920601182</v>
      </c>
      <c r="J87" s="55">
        <v>8907839.1034639683</v>
      </c>
      <c r="K87" s="55">
        <v>8915714.6613398492</v>
      </c>
      <c r="L87" s="55">
        <v>8921634.0628110692</v>
      </c>
      <c r="M87" s="55">
        <v>8926245.609133238</v>
      </c>
      <c r="N87" s="55">
        <v>8929939.6243242044</v>
      </c>
      <c r="O87" s="55">
        <v>8932965.165114345</v>
      </c>
      <c r="P87" s="55">
        <v>8935488.6280123126</v>
      </c>
      <c r="Q87" s="55">
        <v>8937625.4148688875</v>
      </c>
      <c r="R87" s="55">
        <v>8939458.0777639728</v>
      </c>
      <c r="S87" s="55">
        <v>8941047.2310502883</v>
      </c>
      <c r="T87" s="55">
        <v>8942438.3846512977</v>
      </c>
      <c r="U87" s="55">
        <v>8943666.3729767594</v>
      </c>
      <c r="V87" s="55">
        <v>8944758.3117883876</v>
      </c>
      <c r="W87" s="55">
        <v>8945735.6238673404</v>
      </c>
      <c r="X87" s="56">
        <v>8946615.4585702475</v>
      </c>
      <c r="Y87" s="16"/>
      <c r="Z87" s="1"/>
    </row>
    <row r="88" spans="1:26" x14ac:dyDescent="0.4">
      <c r="A88" s="6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6"/>
      <c r="Z88" s="1"/>
    </row>
    <row r="89" spans="1:26" x14ac:dyDescent="0.4">
      <c r="A89" s="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6"/>
      <c r="Z89" s="1"/>
    </row>
    <row r="90" spans="1:26" x14ac:dyDescent="0.4">
      <c r="A90" s="82" t="s">
        <v>9</v>
      </c>
      <c r="B90" s="81" t="s">
        <v>17</v>
      </c>
      <c r="C90" s="1"/>
      <c r="D90" s="82" t="s">
        <v>13</v>
      </c>
      <c r="E90" s="83" t="s">
        <v>21</v>
      </c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5"/>
      <c r="Y90" s="16"/>
      <c r="Z90" s="1"/>
    </row>
    <row r="91" spans="1:26" x14ac:dyDescent="0.4">
      <c r="A91" s="14">
        <f>B10</f>
        <v>4</v>
      </c>
      <c r="B91" s="13">
        <f>B12</f>
        <v>1332063.9686817715</v>
      </c>
      <c r="C91" s="1"/>
      <c r="D91" s="19">
        <f>B12</f>
        <v>1332063.9686817715</v>
      </c>
      <c r="E91" s="33">
        <v>11</v>
      </c>
      <c r="F91" s="33">
        <f>E91+1</f>
        <v>12</v>
      </c>
      <c r="G91" s="33">
        <f t="shared" ref="G91:X91" si="9">F91+1</f>
        <v>13</v>
      </c>
      <c r="H91" s="33">
        <f t="shared" si="9"/>
        <v>14</v>
      </c>
      <c r="I91" s="33">
        <f t="shared" si="9"/>
        <v>15</v>
      </c>
      <c r="J91" s="33">
        <f t="shared" si="9"/>
        <v>16</v>
      </c>
      <c r="K91" s="33">
        <f t="shared" si="9"/>
        <v>17</v>
      </c>
      <c r="L91" s="33">
        <f t="shared" si="9"/>
        <v>18</v>
      </c>
      <c r="M91" s="33">
        <f t="shared" si="9"/>
        <v>19</v>
      </c>
      <c r="N91" s="33">
        <f t="shared" si="9"/>
        <v>20</v>
      </c>
      <c r="O91" s="33">
        <f t="shared" si="9"/>
        <v>21</v>
      </c>
      <c r="P91" s="33">
        <f t="shared" si="9"/>
        <v>22</v>
      </c>
      <c r="Q91" s="33">
        <f t="shared" si="9"/>
        <v>23</v>
      </c>
      <c r="R91" s="33">
        <f t="shared" si="9"/>
        <v>24</v>
      </c>
      <c r="S91" s="33">
        <f t="shared" si="9"/>
        <v>25</v>
      </c>
      <c r="T91" s="33">
        <f t="shared" si="9"/>
        <v>26</v>
      </c>
      <c r="U91" s="33">
        <f t="shared" si="9"/>
        <v>27</v>
      </c>
      <c r="V91" s="33">
        <f t="shared" si="9"/>
        <v>28</v>
      </c>
      <c r="W91" s="33">
        <f t="shared" si="9"/>
        <v>29</v>
      </c>
      <c r="X91" s="34">
        <f t="shared" si="9"/>
        <v>30</v>
      </c>
      <c r="Y91" s="16"/>
      <c r="Z91" s="1"/>
    </row>
    <row r="92" spans="1:26" x14ac:dyDescent="0.4">
      <c r="A92" s="51">
        <f>1</f>
        <v>1</v>
      </c>
      <c r="B92" s="45">
        <f t="dataTable" ref="B92:B111" dt2D="0" dtr="0" r1="B10" ca="1"/>
        <v>1296582.7125451989</v>
      </c>
      <c r="C92" s="1"/>
      <c r="D92" s="38">
        <f>1%</f>
        <v>0.01</v>
      </c>
      <c r="E92" s="53">
        <f t="dataTable" ref="E92:X111" dt2D="1" dtr="1" r1="B9" r2="B8" ca="1"/>
        <v>334837.45442279027</v>
      </c>
      <c r="F92" s="53">
        <v>338198.40631197952</v>
      </c>
      <c r="G92" s="53">
        <v>341593.09396594722</v>
      </c>
      <c r="H92" s="53">
        <v>345021.85600954207</v>
      </c>
      <c r="I92" s="53">
        <v>348485.0344665813</v>
      </c>
      <c r="J92" s="53">
        <v>351982.97479396692</v>
      </c>
      <c r="K92" s="53">
        <v>355516.02591614652</v>
      </c>
      <c r="L92" s="53">
        <v>359084.54025991872</v>
      </c>
      <c r="M92" s="53">
        <v>362688.87378958811</v>
      </c>
      <c r="N92" s="53">
        <v>366329.3860424732</v>
      </c>
      <c r="O92" s="53">
        <v>370006.44016477081</v>
      </c>
      <c r="P92" s="53">
        <v>373720.4029477805</v>
      </c>
      <c r="Q92" s="53">
        <v>377471.64486449241</v>
      </c>
      <c r="R92" s="53">
        <v>381260.54010654252</v>
      </c>
      <c r="S92" s="53">
        <v>385087.46662153868</v>
      </c>
      <c r="T92" s="53">
        <v>388952.80615076143</v>
      </c>
      <c r="U92" s="53">
        <v>392856.94426724338</v>
      </c>
      <c r="V92" s="53">
        <v>396800.27041423088</v>
      </c>
      <c r="W92" s="53">
        <v>400783.1779440305</v>
      </c>
      <c r="X92" s="54">
        <v>404806.06415724772</v>
      </c>
      <c r="Y92" s="16"/>
      <c r="Z92" s="1"/>
    </row>
    <row r="93" spans="1:26" x14ac:dyDescent="0.4">
      <c r="A93" s="51">
        <f>A92+1</f>
        <v>2</v>
      </c>
      <c r="B93" s="45">
        <v>1319936.9246445103</v>
      </c>
      <c r="C93" s="1"/>
      <c r="D93" s="39">
        <f>D92+0.01</f>
        <v>0.02</v>
      </c>
      <c r="E93" s="53">
        <v>373618.15545363433</v>
      </c>
      <c r="F93" s="53">
        <v>381146.74832861382</v>
      </c>
      <c r="G93" s="53">
        <v>388827.04611902608</v>
      </c>
      <c r="H93" s="53">
        <v>396662.10575486423</v>
      </c>
      <c r="I93" s="53">
        <v>404655.04576479114</v>
      </c>
      <c r="J93" s="53">
        <v>412809.0475173837</v>
      </c>
      <c r="K93" s="53">
        <v>421127.3564873882</v>
      </c>
      <c r="L93" s="53">
        <v>429613.28354749159</v>
      </c>
      <c r="M93" s="53">
        <v>438270.20628612337</v>
      </c>
      <c r="N93" s="53">
        <v>447101.57035181049</v>
      </c>
      <c r="O93" s="53">
        <v>456110.89082462294</v>
      </c>
      <c r="P93" s="53">
        <v>465301.75361525355</v>
      </c>
      <c r="Q93" s="53">
        <v>474677.81689229095</v>
      </c>
      <c r="R93" s="53">
        <v>484242.81253825239</v>
      </c>
      <c r="S93" s="53">
        <v>494000.54763495584</v>
      </c>
      <c r="T93" s="53">
        <v>503954.90597882419</v>
      </c>
      <c r="U93" s="53">
        <v>514109.84962672193</v>
      </c>
      <c r="V93" s="53">
        <v>524469.42047294346</v>
      </c>
      <c r="W93" s="53">
        <v>535037.74185797654</v>
      </c>
      <c r="X93" s="54">
        <v>545819.02020968404</v>
      </c>
      <c r="Y93" s="16"/>
      <c r="Z93" s="1"/>
    </row>
    <row r="94" spans="1:26" x14ac:dyDescent="0.4">
      <c r="A94" s="51">
        <f t="shared" ref="A94:A111" si="10">A93+1</f>
        <v>3</v>
      </c>
      <c r="B94" s="45">
        <v>1327987.1453260204</v>
      </c>
      <c r="C94" s="1"/>
      <c r="D94" s="39">
        <f t="shared" ref="D94:D111" si="11">D93+0.01</f>
        <v>0.03</v>
      </c>
      <c r="E94" s="53">
        <v>416776.92539031507</v>
      </c>
      <c r="F94" s="53">
        <v>429421.59999411373</v>
      </c>
      <c r="G94" s="53">
        <v>442449.90379160212</v>
      </c>
      <c r="H94" s="53">
        <v>455873.47578203172</v>
      </c>
      <c r="I94" s="53">
        <v>469704.30808247195</v>
      </c>
      <c r="J94" s="53">
        <v>483954.75664111762</v>
      </c>
      <c r="K94" s="53">
        <v>498637.55227563262</v>
      </c>
      <c r="L94" s="53">
        <v>513765.81204638467</v>
      </c>
      <c r="M94" s="53">
        <v>529353.05097473704</v>
      </c>
      <c r="N94" s="53">
        <v>545413.19411686296</v>
      </c>
      <c r="O94" s="53">
        <v>561960.58900387003</v>
      </c>
      <c r="P94" s="53">
        <v>579010.01845934743</v>
      </c>
      <c r="Q94" s="53">
        <v>596576.7138057882</v>
      </c>
      <c r="R94" s="53">
        <v>614676.36847168196</v>
      </c>
      <c r="S94" s="53">
        <v>633325.15201143804</v>
      </c>
      <c r="T94" s="53">
        <v>652539.72455065965</v>
      </c>
      <c r="U94" s="53">
        <v>672337.25166967721</v>
      </c>
      <c r="V94" s="53">
        <v>692735.41973863554</v>
      </c>
      <c r="W94" s="53">
        <v>713752.45171783573</v>
      </c>
      <c r="X94" s="54">
        <v>735407.12343744538</v>
      </c>
      <c r="Y94" s="16"/>
      <c r="Z94" s="1"/>
    </row>
    <row r="95" spans="1:26" x14ac:dyDescent="0.4">
      <c r="A95" s="27">
        <f t="shared" si="10"/>
        <v>4</v>
      </c>
      <c r="B95" s="22">
        <v>1332063.9686817715</v>
      </c>
      <c r="C95" s="1"/>
      <c r="D95" s="39">
        <f t="shared" si="11"/>
        <v>0.04</v>
      </c>
      <c r="E95" s="53">
        <v>464795.27145464253</v>
      </c>
      <c r="F95" s="53">
        <v>483667.82330473961</v>
      </c>
      <c r="G95" s="53">
        <v>503306.67643888347</v>
      </c>
      <c r="H95" s="53">
        <v>523742.94576207473</v>
      </c>
      <c r="I95" s="53">
        <v>545009.00956922735</v>
      </c>
      <c r="J95" s="53">
        <v>567138.56084386643</v>
      </c>
      <c r="K95" s="53">
        <v>590166.66063975648</v>
      </c>
      <c r="L95" s="53">
        <v>614129.79363003979</v>
      </c>
      <c r="M95" s="53">
        <v>639065.92591189186</v>
      </c>
      <c r="N95" s="53">
        <v>665014.56515827763</v>
      </c>
      <c r="O95" s="53">
        <v>692016.82321211009</v>
      </c>
      <c r="P95" s="53">
        <v>720115.48122198286</v>
      </c>
      <c r="Q95" s="53">
        <v>749355.05742267496</v>
      </c>
      <c r="R95" s="53">
        <v>779781.87766781589</v>
      </c>
      <c r="S95" s="53">
        <v>811444.14882645872</v>
      </c>
      <c r="T95" s="53">
        <v>844392.03515984979</v>
      </c>
      <c r="U95" s="53">
        <v>878677.7377994007</v>
      </c>
      <c r="V95" s="53">
        <v>914355.5774517851</v>
      </c>
      <c r="W95" s="53">
        <v>951482.08046219312</v>
      </c>
      <c r="X95" s="54">
        <v>990116.06837210094</v>
      </c>
      <c r="Y95" s="16"/>
      <c r="Z95" s="1"/>
    </row>
    <row r="96" spans="1:26" x14ac:dyDescent="0.4">
      <c r="A96" s="51">
        <f t="shared" si="10"/>
        <v>5</v>
      </c>
      <c r="B96" s="45">
        <v>1334526.8688090176</v>
      </c>
      <c r="C96" s="1"/>
      <c r="D96" s="41">
        <f t="shared" si="11"/>
        <v>0.05</v>
      </c>
      <c r="E96" s="53">
        <v>518206.26324386062</v>
      </c>
      <c r="F96" s="53">
        <v>544606.45591579645</v>
      </c>
      <c r="G96" s="53">
        <v>572351.61529800016</v>
      </c>
      <c r="H96" s="53">
        <v>601510.26117266458</v>
      </c>
      <c r="I96" s="53">
        <v>632154.40408537176</v>
      </c>
      <c r="J96" s="53">
        <v>664359.72318320943</v>
      </c>
      <c r="K96" s="53">
        <v>698205.75311291125</v>
      </c>
      <c r="L96" s="53">
        <v>733776.08044058527</v>
      </c>
      <c r="M96" s="53">
        <v>771158.55007811112</v>
      </c>
      <c r="N96" s="53">
        <v>810445.4822260004</v>
      </c>
      <c r="O96" s="53">
        <v>851733.90036848374</v>
      </c>
      <c r="P96" s="53">
        <v>895125.77088388463</v>
      </c>
      <c r="Q96" s="53">
        <v>940728.25486202398</v>
      </c>
      <c r="R96" s="53">
        <v>988653.97275054781</v>
      </c>
      <c r="S96" s="53">
        <v>1039021.2824837508</v>
      </c>
      <c r="T96" s="53">
        <v>1091954.5717807666</v>
      </c>
      <c r="U96" s="53">
        <v>1147584.5653349885</v>
      </c>
      <c r="V96" s="53">
        <v>1206048.6476533576</v>
      </c>
      <c r="W96" s="53">
        <v>1267491.2023428073</v>
      </c>
      <c r="X96" s="35">
        <v>1332063.9686817715</v>
      </c>
      <c r="Y96" s="16"/>
      <c r="Z96" s="1"/>
    </row>
    <row r="97" spans="1:26" x14ac:dyDescent="0.4">
      <c r="A97" s="51">
        <f t="shared" si="10"/>
        <v>6</v>
      </c>
      <c r="B97" s="45">
        <v>1336175.8655195953</v>
      </c>
      <c r="C97" s="1"/>
      <c r="D97" s="39">
        <f t="shared" si="11"/>
        <v>6.0000000000000005E-2</v>
      </c>
      <c r="E97" s="53">
        <v>577599.90573719365</v>
      </c>
      <c r="F97" s="53">
        <v>613043.48679389281</v>
      </c>
      <c r="G97" s="53">
        <v>650662.01183109602</v>
      </c>
      <c r="H97" s="53">
        <v>690588.94313385745</v>
      </c>
      <c r="I97" s="53">
        <v>732965.9327069167</v>
      </c>
      <c r="J97" s="53">
        <v>777943.32482497755</v>
      </c>
      <c r="K97" s="53">
        <v>825680.68942125549</v>
      </c>
      <c r="L97" s="53">
        <v>876347.38820664107</v>
      </c>
      <c r="M97" s="53">
        <v>930123.17552794528</v>
      </c>
      <c r="N97" s="53">
        <v>987198.83609693951</v>
      </c>
      <c r="O97" s="53">
        <v>1047776.8618527146</v>
      </c>
      <c r="P97" s="53">
        <v>1112072.1703587167</v>
      </c>
      <c r="Q97" s="53">
        <v>1180312.8672831766</v>
      </c>
      <c r="R97" s="53">
        <v>1252741.0556680462</v>
      </c>
      <c r="S97" s="53">
        <v>1329613.6948575475</v>
      </c>
      <c r="T97" s="53">
        <v>1411203.5121336314</v>
      </c>
      <c r="U97" s="53">
        <v>1497799.9702926201</v>
      </c>
      <c r="V97" s="53">
        <v>1589710.2945957941</v>
      </c>
      <c r="W97" s="53">
        <v>1687260.5627373059</v>
      </c>
      <c r="X97" s="54">
        <v>1790796.8616964016</v>
      </c>
      <c r="Y97" s="16"/>
      <c r="Z97" s="1"/>
    </row>
    <row r="98" spans="1:26" x14ac:dyDescent="0.4">
      <c r="A98" s="51">
        <f t="shared" si="10"/>
        <v>7</v>
      </c>
      <c r="B98" s="45">
        <v>1337357.1992009776</v>
      </c>
      <c r="C98" s="1"/>
      <c r="D98" s="39">
        <f t="shared" si="11"/>
        <v>7.0000000000000007E-2</v>
      </c>
      <c r="E98" s="53">
        <v>643629.05678944394</v>
      </c>
      <c r="F98" s="53">
        <v>689879.61731982662</v>
      </c>
      <c r="G98" s="53">
        <v>739453.69832649885</v>
      </c>
      <c r="H98" s="53">
        <v>792590.124771356</v>
      </c>
      <c r="I98" s="53">
        <v>849544.88334670279</v>
      </c>
      <c r="J98" s="53">
        <v>910592.35570057679</v>
      </c>
      <c r="K98" s="53">
        <v>976026.64028044592</v>
      </c>
      <c r="L98" s="53">
        <v>1046162.9691633173</v>
      </c>
      <c r="M98" s="53">
        <v>1121339.2266978831</v>
      </c>
      <c r="N98" s="53">
        <v>1201917.5772748198</v>
      </c>
      <c r="O98" s="53">
        <v>1288286.2100670857</v>
      </c>
      <c r="P98" s="53">
        <v>1380861.2091455646</v>
      </c>
      <c r="Q98" s="53">
        <v>1480088.5579794087</v>
      </c>
      <c r="R98" s="53">
        <v>1586446.2879778347</v>
      </c>
      <c r="S98" s="53">
        <v>1700446.7814240516</v>
      </c>
      <c r="T98" s="53">
        <v>1822639.239895789</v>
      </c>
      <c r="U98" s="53">
        <v>1953612.3300641337</v>
      </c>
      <c r="V98" s="53">
        <v>2093997.0196169114</v>
      </c>
      <c r="W98" s="53">
        <v>2244469.6169687673</v>
      </c>
      <c r="X98" s="54">
        <v>2405755.029401877</v>
      </c>
      <c r="Y98" s="16"/>
      <c r="Z98" s="1"/>
    </row>
    <row r="99" spans="1:26" x14ac:dyDescent="0.4">
      <c r="A99" s="51">
        <f t="shared" si="10"/>
        <v>8</v>
      </c>
      <c r="B99" s="45">
        <v>1338245.1094216604</v>
      </c>
      <c r="C99" s="1"/>
      <c r="D99" s="39">
        <f t="shared" si="11"/>
        <v>0.08</v>
      </c>
      <c r="E99" s="53">
        <v>717015.94273568923</v>
      </c>
      <c r="F99" s="53">
        <v>776121.11564982834</v>
      </c>
      <c r="G99" s="53">
        <v>840098.45563445357</v>
      </c>
      <c r="H99" s="53">
        <v>909349.58594506548</v>
      </c>
      <c r="I99" s="53">
        <v>984309.23650962301</v>
      </c>
      <c r="J99" s="53">
        <v>1065447.972983062</v>
      </c>
      <c r="K99" s="53">
        <v>1153275.1507636774</v>
      </c>
      <c r="L99" s="53">
        <v>1248342.112515453</v>
      </c>
      <c r="M99" s="53">
        <v>1351245.6492690649</v>
      </c>
      <c r="N99" s="53">
        <v>1462631.7468289162</v>
      </c>
      <c r="O99" s="53">
        <v>1583199.6410045968</v>
      </c>
      <c r="P99" s="53">
        <v>1713706.2071238302</v>
      </c>
      <c r="Q99" s="53">
        <v>1854970.7113824552</v>
      </c>
      <c r="R99" s="53">
        <v>2007879.9538584473</v>
      </c>
      <c r="S99" s="53">
        <v>2173393.8354756995</v>
      </c>
      <c r="T99" s="53">
        <v>2352551.3838646463</v>
      </c>
      <c r="U99" s="53">
        <v>2546477.2759475983</v>
      </c>
      <c r="V99" s="53">
        <v>2756388.8981948742</v>
      </c>
      <c r="W99" s="53">
        <v>2983603.988873098</v>
      </c>
      <c r="X99" s="54">
        <v>3229548.9102605227</v>
      </c>
      <c r="Y99" s="16"/>
      <c r="Z99" s="1"/>
    </row>
    <row r="100" spans="1:26" x14ac:dyDescent="0.4">
      <c r="A100" s="51">
        <f t="shared" si="10"/>
        <v>9</v>
      </c>
      <c r="B100" s="45">
        <v>1338936.8413699856</v>
      </c>
      <c r="C100" s="1"/>
      <c r="D100" s="39">
        <f t="shared" si="11"/>
        <v>0.09</v>
      </c>
      <c r="E100" s="53">
        <v>798559.3308604788</v>
      </c>
      <c r="F100" s="53">
        <v>872891.88362694497</v>
      </c>
      <c r="G100" s="53">
        <v>954143.55709897692</v>
      </c>
      <c r="H100" s="53">
        <v>1042958.4059949508</v>
      </c>
      <c r="I100" s="53">
        <v>1140040.435783911</v>
      </c>
      <c r="J100" s="53">
        <v>1246159.1831004061</v>
      </c>
      <c r="K100" s="53">
        <v>1362155.8156028588</v>
      </c>
      <c r="L100" s="53">
        <v>1488949.7996269946</v>
      </c>
      <c r="M100" s="53">
        <v>1627546.1884865845</v>
      </c>
      <c r="N100" s="53">
        <v>1779043.5891934042</v>
      </c>
      <c r="O100" s="53">
        <v>1944642.8707459318</v>
      </c>
      <c r="P100" s="53">
        <v>2125656.683014452</v>
      </c>
      <c r="Q100" s="53">
        <v>2323519.861675587</v>
      </c>
      <c r="R100" s="53">
        <v>2539800.8016726533</v>
      </c>
      <c r="S100" s="53">
        <v>2776213.8893554644</v>
      </c>
      <c r="T100" s="53">
        <v>3034633.091844962</v>
      </c>
      <c r="U100" s="53">
        <v>3317106.8113410044</v>
      </c>
      <c r="V100" s="53">
        <v>3625874.1221184283</v>
      </c>
      <c r="W100" s="53">
        <v>3963382.5189165892</v>
      </c>
      <c r="X100" s="54">
        <v>4332307.3174078986</v>
      </c>
      <c r="Y100" s="16"/>
      <c r="Z100" s="1"/>
    </row>
    <row r="101" spans="1:26" x14ac:dyDescent="0.4">
      <c r="A101" s="51">
        <f t="shared" si="10"/>
        <v>10</v>
      </c>
      <c r="B101" s="45">
        <v>1339490.9436486305</v>
      </c>
      <c r="C101" s="1"/>
      <c r="D101" s="39">
        <f t="shared" si="11"/>
        <v>9.9999999999999992E-2</v>
      </c>
      <c r="E101" s="53">
        <v>889142.42308976606</v>
      </c>
      <c r="F101" s="53">
        <v>981446.86820803129</v>
      </c>
      <c r="G101" s="53">
        <v>1083333.7045915604</v>
      </c>
      <c r="H101" s="53">
        <v>1195797.7079766998</v>
      </c>
      <c r="I101" s="53">
        <v>1319936.9246445103</v>
      </c>
      <c r="J101" s="53">
        <v>1456963.3922345296</v>
      </c>
      <c r="K101" s="53">
        <v>1608214.9735172014</v>
      </c>
      <c r="L101" s="53">
        <v>1775168.4186644293</v>
      </c>
      <c r="M101" s="53">
        <v>1959453.7835521935</v>
      </c>
      <c r="N101" s="53">
        <v>2162870.3448688397</v>
      </c>
      <c r="O101" s="53">
        <v>2387404.167416764</v>
      </c>
      <c r="P101" s="53">
        <v>2635247.4951264691</v>
      </c>
      <c r="Q101" s="53">
        <v>2908820.1551078376</v>
      </c>
      <c r="R101" s="53">
        <v>3210793.1837178427</v>
      </c>
      <c r="S101" s="53">
        <v>3544114.9053186383</v>
      </c>
      <c r="T101" s="53">
        <v>3912039.7183469129</v>
      </c>
      <c r="U101" s="53">
        <v>4318159.8697483158</v>
      </c>
      <c r="V101" s="53">
        <v>4766440.5280077616</v>
      </c>
      <c r="W101" s="53">
        <v>5261258.4972123979</v>
      </c>
      <c r="X101" s="54">
        <v>5807444.95013336</v>
      </c>
      <c r="Y101" s="16"/>
      <c r="Z101" s="1"/>
    </row>
    <row r="102" spans="1:26" x14ac:dyDescent="0.4">
      <c r="A102" s="51">
        <f t="shared" si="10"/>
        <v>11</v>
      </c>
      <c r="B102" s="45">
        <v>1339944.7747671518</v>
      </c>
      <c r="C102" s="1"/>
      <c r="D102" s="39">
        <f t="shared" si="11"/>
        <v>0.10999999999999999</v>
      </c>
      <c r="E102" s="53">
        <v>989741.54138825403</v>
      </c>
      <c r="F102" s="53">
        <v>1103186.9633565913</v>
      </c>
      <c r="G102" s="53">
        <v>1229635.6424656992</v>
      </c>
      <c r="H102" s="53">
        <v>1370578.028425538</v>
      </c>
      <c r="I102" s="53">
        <v>1527675.4081689164</v>
      </c>
      <c r="J102" s="53">
        <v>1702779.4874291297</v>
      </c>
      <c r="K102" s="53">
        <v>1897954.2167826886</v>
      </c>
      <c r="L102" s="53">
        <v>2115500.1194205512</v>
      </c>
      <c r="M102" s="53">
        <v>2357981.4073991352</v>
      </c>
      <c r="N102" s="53">
        <v>2628256.2059901678</v>
      </c>
      <c r="O102" s="53">
        <v>2929510.2423835872</v>
      </c>
      <c r="P102" s="53">
        <v>3265294.3958319901</v>
      </c>
      <c r="Q102" s="53">
        <v>3639566.5518399337</v>
      </c>
      <c r="R102" s="53">
        <v>4056738.253733125</v>
      </c>
      <c r="S102" s="53">
        <v>4521726.7014892213</v>
      </c>
      <c r="T102" s="53">
        <v>5040012.7107401108</v>
      </c>
      <c r="U102" s="53">
        <v>5617705.3151080273</v>
      </c>
      <c r="V102" s="53">
        <v>6261613.7733427817</v>
      </c>
      <c r="W102" s="53">
        <v>6979327.8300077738</v>
      </c>
      <c r="X102" s="54">
        <v>7779307.1757468814</v>
      </c>
      <c r="Y102" s="16"/>
      <c r="Z102" s="1"/>
    </row>
    <row r="103" spans="1:26" x14ac:dyDescent="0.4">
      <c r="A103" s="51">
        <f t="shared" si="10"/>
        <v>12</v>
      </c>
      <c r="B103" s="45">
        <v>1340323.2942018467</v>
      </c>
      <c r="C103" s="1"/>
      <c r="D103" s="39">
        <f t="shared" si="11"/>
        <v>0.11999999999999998</v>
      </c>
      <c r="E103" s="53">
        <v>1101435.682034371</v>
      </c>
      <c r="F103" s="53">
        <v>1239675.5637780433</v>
      </c>
      <c r="G103" s="53">
        <v>1395265.7685739044</v>
      </c>
      <c r="H103" s="53">
        <v>1570383.9148213502</v>
      </c>
      <c r="I103" s="53">
        <v>1767480.9312137193</v>
      </c>
      <c r="J103" s="53">
        <v>1989315.3595880447</v>
      </c>
      <c r="K103" s="53">
        <v>2238991.9630846623</v>
      </c>
      <c r="L103" s="53">
        <v>2520005.179970982</v>
      </c>
      <c r="M103" s="53">
        <v>2836288.0313029755</v>
      </c>
      <c r="N103" s="53">
        <v>3192267.1669290541</v>
      </c>
      <c r="O103" s="53">
        <v>3592924.8202523915</v>
      </c>
      <c r="P103" s="53">
        <v>4043868.538861732</v>
      </c>
      <c r="Q103" s="53">
        <v>4551409.6669707075</v>
      </c>
      <c r="R103" s="53">
        <v>5122651.6780946963</v>
      </c>
      <c r="S103" s="53">
        <v>5765589.5942568649</v>
      </c>
      <c r="T103" s="53">
        <v>6489221.8831804246</v>
      </c>
      <c r="U103" s="53">
        <v>7303676.3995643593</v>
      </c>
      <c r="V103" s="53">
        <v>8220352.1330987671</v>
      </c>
      <c r="W103" s="53">
        <v>9252078.747104954</v>
      </c>
      <c r="X103" s="54">
        <v>10413296.140680386</v>
      </c>
      <c r="Y103" s="16"/>
      <c r="Z103" s="1"/>
    </row>
    <row r="104" spans="1:26" x14ac:dyDescent="0.4">
      <c r="A104" s="51">
        <f t="shared" si="10"/>
        <v>13</v>
      </c>
      <c r="B104" s="45">
        <v>1340643.8122303332</v>
      </c>
      <c r="C104" s="1"/>
      <c r="D104" s="39">
        <f t="shared" si="11"/>
        <v>0.12999999999999998</v>
      </c>
      <c r="E104" s="53">
        <v>1225417.0232511302</v>
      </c>
      <c r="F104" s="53">
        <v>1392656.9488873708</v>
      </c>
      <c r="G104" s="53">
        <v>1582721.0986009059</v>
      </c>
      <c r="H104" s="53">
        <v>1798724.4295573093</v>
      </c>
      <c r="I104" s="53">
        <v>2044207.0155925169</v>
      </c>
      <c r="J104" s="53">
        <v>2323192.0654049935</v>
      </c>
      <c r="K104" s="53">
        <v>2640251.8588345251</v>
      </c>
      <c r="L104" s="53">
        <v>3000582.6818558583</v>
      </c>
      <c r="M104" s="53">
        <v>3410089.988395148</v>
      </c>
      <c r="N104" s="53">
        <v>3875485.1846843529</v>
      </c>
      <c r="O104" s="53">
        <v>4404395.6223502234</v>
      </c>
      <c r="P104" s="53">
        <v>5005489.6029122043</v>
      </c>
      <c r="Q104" s="53">
        <v>5688618.4423852107</v>
      </c>
      <c r="R104" s="53">
        <v>6464977.9242809359</v>
      </c>
      <c r="S104" s="53">
        <v>7347291.7870573495</v>
      </c>
      <c r="T104" s="53">
        <v>8350020.2531881947</v>
      </c>
      <c r="U104" s="53">
        <v>9489597.0174307749</v>
      </c>
      <c r="V104" s="53">
        <v>10784698.578287559</v>
      </c>
      <c r="W104" s="53">
        <v>12256550.326728998</v>
      </c>
      <c r="X104" s="54">
        <v>13929274.408658881</v>
      </c>
      <c r="Y104" s="16"/>
      <c r="Z104" s="1"/>
    </row>
    <row r="105" spans="1:26" x14ac:dyDescent="0.4">
      <c r="A105" s="51">
        <f t="shared" si="10"/>
        <v>14</v>
      </c>
      <c r="B105" s="45">
        <v>1340918.7116645959</v>
      </c>
      <c r="C105" s="1"/>
      <c r="D105" s="39">
        <f t="shared" si="11"/>
        <v>0.13999999999999999</v>
      </c>
      <c r="E105" s="53">
        <v>1363002.4786481354</v>
      </c>
      <c r="F105" s="53">
        <v>1564076.6941576202</v>
      </c>
      <c r="G105" s="53">
        <v>1794813.9812873823</v>
      </c>
      <c r="H105" s="53">
        <v>2059590.3253705986</v>
      </c>
      <c r="I105" s="53">
        <v>2363427.2702274891</v>
      </c>
      <c r="J105" s="53">
        <v>2712087.1528903996</v>
      </c>
      <c r="K105" s="53">
        <v>3112182.3876413037</v>
      </c>
      <c r="L105" s="53">
        <v>3571300.8719584243</v>
      </c>
      <c r="M105" s="53">
        <v>4098149.8927244092</v>
      </c>
      <c r="N105" s="53">
        <v>4702721.261910134</v>
      </c>
      <c r="O105" s="53">
        <v>5396480.8135701008</v>
      </c>
      <c r="P105" s="53">
        <v>6192585.8560032016</v>
      </c>
      <c r="Q105" s="53">
        <v>7106134.703108727</v>
      </c>
      <c r="R105" s="53">
        <v>8154453.0173567664</v>
      </c>
      <c r="S105" s="53">
        <v>9357422.3949328195</v>
      </c>
      <c r="T105" s="53">
        <v>10737857.424748877</v>
      </c>
      <c r="U105" s="53">
        <v>12321938.372331265</v>
      </c>
      <c r="V105" s="53">
        <v>14139707.694533896</v>
      </c>
      <c r="W105" s="53">
        <v>16225639.801591933</v>
      </c>
      <c r="X105" s="54">
        <v>18619294.872183196</v>
      </c>
      <c r="Y105" s="16"/>
      <c r="Z105" s="1"/>
    </row>
    <row r="106" spans="1:26" x14ac:dyDescent="0.4">
      <c r="A106" s="51">
        <f t="shared" si="10"/>
        <v>15</v>
      </c>
      <c r="B106" s="45">
        <v>1341157.0846575431</v>
      </c>
      <c r="C106" s="1"/>
      <c r="D106" s="39">
        <f t="shared" si="11"/>
        <v>0.15</v>
      </c>
      <c r="E106" s="53">
        <v>1515646.397638513</v>
      </c>
      <c r="F106" s="53">
        <v>1756104.3276763237</v>
      </c>
      <c r="G106" s="53">
        <v>2034711.0081140671</v>
      </c>
      <c r="H106" s="53">
        <v>2357518.7540359143</v>
      </c>
      <c r="I106" s="53">
        <v>2731540.0828260873</v>
      </c>
      <c r="J106" s="53">
        <v>3164900.0506622819</v>
      </c>
      <c r="K106" s="53">
        <v>3667012.7572570047</v>
      </c>
      <c r="L106" s="53">
        <v>4248785.8531493675</v>
      </c>
      <c r="M106" s="53">
        <v>4922857.4921636144</v>
      </c>
      <c r="N106" s="53">
        <v>5703870.8764735321</v>
      </c>
      <c r="O106" s="53">
        <v>6608792.3583552828</v>
      </c>
      <c r="P106" s="53">
        <v>7657280.0089153368</v>
      </c>
      <c r="Q106" s="53">
        <v>8872110.6604000758</v>
      </c>
      <c r="R106" s="53">
        <v>10279674.698945042</v>
      </c>
      <c r="S106" s="53">
        <v>11910549.356399229</v>
      </c>
      <c r="T106" s="53">
        <v>13800162.955135209</v>
      </c>
      <c r="U106" s="53">
        <v>15989564.535574116</v>
      </c>
      <c r="V106" s="53">
        <v>18526315.585436832</v>
      </c>
      <c r="W106" s="53">
        <v>21465523.242211048</v>
      </c>
      <c r="X106" s="54">
        <v>24871037.413618483</v>
      </c>
      <c r="Y106" s="16"/>
      <c r="Z106" s="1"/>
    </row>
    <row r="107" spans="1:26" x14ac:dyDescent="0.4">
      <c r="A107" s="51">
        <f t="shared" si="10"/>
        <v>16</v>
      </c>
      <c r="B107" s="45">
        <v>1341365.7576976947</v>
      </c>
      <c r="C107" s="1"/>
      <c r="D107" s="39">
        <f t="shared" si="11"/>
        <v>0.16</v>
      </c>
      <c r="E107" s="53">
        <v>1684954.523498483</v>
      </c>
      <c r="F107" s="53">
        <v>1971158.4725254218</v>
      </c>
      <c r="G107" s="53">
        <v>2305976.6122003901</v>
      </c>
      <c r="H107" s="53">
        <v>2697666.4789424269</v>
      </c>
      <c r="I107" s="53">
        <v>3155888.2224158593</v>
      </c>
      <c r="J107" s="53">
        <v>3691942.8513963767</v>
      </c>
      <c r="K107" s="53">
        <v>4319050.9477368603</v>
      </c>
      <c r="L107" s="53">
        <v>5052678.7222860791</v>
      </c>
      <c r="M107" s="53">
        <v>5910919.4541962333</v>
      </c>
      <c r="N107" s="53">
        <v>6914939.7209619936</v>
      </c>
      <c r="O107" s="53">
        <v>8089501.4244514005</v>
      </c>
      <c r="P107" s="53">
        <v>9463572.4875266645</v>
      </c>
      <c r="Q107" s="53">
        <v>11071041.282713566</v>
      </c>
      <c r="R107" s="53">
        <v>12951552.412695847</v>
      </c>
      <c r="S107" s="53">
        <v>15151484.455280891</v>
      </c>
      <c r="T107" s="53">
        <v>17725093.786717296</v>
      </c>
      <c r="U107" s="53">
        <v>20735852.693194043</v>
      </c>
      <c r="V107" s="53">
        <v>24258014.772032108</v>
      </c>
      <c r="W107" s="53">
        <v>28378446.229668215</v>
      </c>
      <c r="X107" s="54">
        <v>33198768.241277091</v>
      </c>
      <c r="Y107" s="16"/>
      <c r="Z107" s="1"/>
    </row>
    <row r="108" spans="1:26" x14ac:dyDescent="0.4">
      <c r="A108" s="51">
        <f t="shared" si="10"/>
        <v>17</v>
      </c>
      <c r="B108" s="45">
        <v>1341549.9559465139</v>
      </c>
      <c r="C108" s="1"/>
      <c r="D108" s="39">
        <f t="shared" si="11"/>
        <v>0.17</v>
      </c>
      <c r="E108" s="53">
        <v>1872699.3301087257</v>
      </c>
      <c r="F108" s="53">
        <v>2211934.7407100308</v>
      </c>
      <c r="G108" s="53">
        <v>2612621.9081179951</v>
      </c>
      <c r="H108" s="53">
        <v>3085892.6844229749</v>
      </c>
      <c r="I108" s="53">
        <v>3644895.4325101506</v>
      </c>
      <c r="J108" s="53">
        <v>4305160.3126041777</v>
      </c>
      <c r="K108" s="53">
        <v>5085030.7396769142</v>
      </c>
      <c r="L108" s="53">
        <v>6006172.9984261626</v>
      </c>
      <c r="M108" s="53">
        <v>7094178.1738994056</v>
      </c>
      <c r="N108" s="53">
        <v>8379273.1205408704</v>
      </c>
      <c r="O108" s="53">
        <v>9897160.2217351273</v>
      </c>
      <c r="P108" s="53">
        <v>11690009.269965569</v>
      </c>
      <c r="Q108" s="53">
        <v>13807629.023906309</v>
      </c>
      <c r="R108" s="53">
        <v>16308850.990533171</v>
      </c>
      <c r="S108" s="53">
        <v>19263163.876354415</v>
      </c>
      <c r="T108" s="53">
        <v>22752644.115927048</v>
      </c>
      <c r="U108" s="53">
        <v>26874236.111415051</v>
      </c>
      <c r="V108" s="53">
        <v>31742445.532584123</v>
      </c>
      <c r="W108" s="53">
        <v>37492520.502232641</v>
      </c>
      <c r="X108" s="54">
        <v>44284209.046444535</v>
      </c>
      <c r="Y108" s="16"/>
      <c r="Z108" s="1"/>
    </row>
    <row r="109" spans="1:26" x14ac:dyDescent="0.4">
      <c r="A109" s="51">
        <f t="shared" si="10"/>
        <v>18</v>
      </c>
      <c r="B109" s="45">
        <v>1341713.746768258</v>
      </c>
      <c r="C109" s="1"/>
      <c r="D109" s="39">
        <f t="shared" si="11"/>
        <v>0.18000000000000002</v>
      </c>
      <c r="E109" s="53">
        <v>2080836.8697301664</v>
      </c>
      <c r="F109" s="53">
        <v>2481436.6720195222</v>
      </c>
      <c r="G109" s="53">
        <v>2959159.3876562766</v>
      </c>
      <c r="H109" s="53">
        <v>3528852.6119941929</v>
      </c>
      <c r="I109" s="53">
        <v>4208222.3786671888</v>
      </c>
      <c r="J109" s="53">
        <v>5018383.462127002</v>
      </c>
      <c r="K109" s="53">
        <v>5984515.6236553332</v>
      </c>
      <c r="L109" s="53">
        <v>7136646.1969399024</v>
      </c>
      <c r="M109" s="53">
        <v>8510583.3359304965</v>
      </c>
      <c r="N109" s="53">
        <v>10149028.930266276</v>
      </c>
      <c r="O109" s="53">
        <v>12102905.777623773</v>
      </c>
      <c r="P109" s="53">
        <v>14432940.261428125</v>
      </c>
      <c r="Q109" s="53">
        <v>17211549.723462477</v>
      </c>
      <c r="R109" s="53">
        <v>20525093.190811072</v>
      </c>
      <c r="S109" s="53">
        <v>24476555.409603722</v>
      </c>
      <c r="T109" s="53">
        <v>29188747.605180889</v>
      </c>
      <c r="U109" s="53">
        <v>34808124.448126622</v>
      </c>
      <c r="V109" s="53">
        <v>41509335.857260786</v>
      </c>
      <c r="W109" s="53">
        <v>49500655.109373748</v>
      </c>
      <c r="X109" s="54">
        <v>59030451.961051106</v>
      </c>
      <c r="Y109" s="16"/>
      <c r="Z109" s="1"/>
    </row>
    <row r="110" spans="1:26" x14ac:dyDescent="0.4">
      <c r="A110" s="51">
        <f t="shared" si="10"/>
        <v>19</v>
      </c>
      <c r="B110" s="45">
        <v>1341860.3435801012</v>
      </c>
      <c r="C110" s="1"/>
      <c r="D110" s="39">
        <f t="shared" si="11"/>
        <v>0.19000000000000003</v>
      </c>
      <c r="E110" s="53">
        <v>2311525.2765080743</v>
      </c>
      <c r="F110" s="53">
        <v>2783010.0416659652</v>
      </c>
      <c r="G110" s="53">
        <v>3350664.1570079941</v>
      </c>
      <c r="H110" s="53">
        <v>4034103.407811428</v>
      </c>
      <c r="I110" s="53">
        <v>4856944.6361487266</v>
      </c>
      <c r="J110" s="53">
        <v>5847621.8415560732</v>
      </c>
      <c r="K110" s="53">
        <v>7040368.7427983582</v>
      </c>
      <c r="L110" s="53">
        <v>8476401.7540132571</v>
      </c>
      <c r="M110" s="53">
        <v>10205344.254011445</v>
      </c>
      <c r="N110" s="53">
        <v>12286941.365606437</v>
      </c>
      <c r="O110" s="53">
        <v>14793124.500676081</v>
      </c>
      <c r="P110" s="53">
        <v>17810497.013119098</v>
      </c>
      <c r="Q110" s="53">
        <v>21443326.853622224</v>
      </c>
      <c r="R110" s="53">
        <v>25817149.640045326</v>
      </c>
      <c r="S110" s="53">
        <v>31083106.650678255</v>
      </c>
      <c r="T110" s="53">
        <v>37423167.643526986</v>
      </c>
      <c r="U110" s="53">
        <v>45056418.980725184</v>
      </c>
      <c r="V110" s="53">
        <v>54246634.349719249</v>
      </c>
      <c r="W110" s="53">
        <v>65311389.694130048</v>
      </c>
      <c r="X110" s="54">
        <v>78633037.32871297</v>
      </c>
      <c r="Y110" s="16"/>
      <c r="Z110" s="1"/>
    </row>
    <row r="111" spans="1:26" x14ac:dyDescent="0.4">
      <c r="A111" s="52">
        <f t="shared" si="10"/>
        <v>20</v>
      </c>
      <c r="B111" s="48">
        <v>1341992.3187855373</v>
      </c>
      <c r="C111" s="1"/>
      <c r="D111" s="40">
        <f t="shared" si="11"/>
        <v>0.20000000000000004</v>
      </c>
      <c r="E111" s="55">
        <v>2567145.0838550888</v>
      </c>
      <c r="F111" s="55">
        <v>3120380.8940826352</v>
      </c>
      <c r="G111" s="55">
        <v>3792842.4791380311</v>
      </c>
      <c r="H111" s="55">
        <v>4610223.7386577707</v>
      </c>
      <c r="I111" s="55">
        <v>5603755.7682368876</v>
      </c>
      <c r="J111" s="55">
        <v>6811400.1597654894</v>
      </c>
      <c r="K111" s="55">
        <v>8279299.4654459516</v>
      </c>
      <c r="L111" s="55">
        <v>10063540.245871214</v>
      </c>
      <c r="M111" s="55">
        <v>12232296.065982996</v>
      </c>
      <c r="N111" s="55">
        <v>14868432.320052747</v>
      </c>
      <c r="O111" s="55">
        <v>18072672.412726115</v>
      </c>
      <c r="P111" s="55">
        <v>21967446.271871172</v>
      </c>
      <c r="Q111" s="55">
        <v>26701568.239998609</v>
      </c>
      <c r="R111" s="55">
        <v>32455923.080519814</v>
      </c>
      <c r="S111" s="55">
        <v>39450377.353891082</v>
      </c>
      <c r="T111" s="55">
        <v>47952180.238513082</v>
      </c>
      <c r="U111" s="55">
        <v>58286174.781039141</v>
      </c>
      <c r="V111" s="55">
        <v>70847209.734945476</v>
      </c>
      <c r="W111" s="55">
        <v>86115226.227887079</v>
      </c>
      <c r="X111" s="56">
        <v>104673595.70016067</v>
      </c>
      <c r="Y111" s="16"/>
      <c r="Z111" s="1"/>
    </row>
    <row r="112" spans="1:26" x14ac:dyDescent="0.4">
      <c r="A112" s="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6"/>
      <c r="Z112" s="1"/>
    </row>
    <row r="113" spans="1:26" x14ac:dyDescent="0.4">
      <c r="A113" s="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6"/>
      <c r="Z113" s="1"/>
    </row>
    <row r="114" spans="1:26" x14ac:dyDescent="0.4">
      <c r="A114" s="5"/>
      <c r="B114" s="1"/>
      <c r="C114" s="1"/>
      <c r="D114" s="82" t="s">
        <v>22</v>
      </c>
      <c r="E114" s="83" t="s">
        <v>23</v>
      </c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5"/>
      <c r="Y114" s="16"/>
      <c r="Z114" s="1"/>
    </row>
    <row r="115" spans="1:26" x14ac:dyDescent="0.4">
      <c r="A115" s="5"/>
      <c r="B115" s="1"/>
      <c r="C115" s="1"/>
      <c r="D115" s="19">
        <f>B12</f>
        <v>1332063.9686817715</v>
      </c>
      <c r="E115" s="33">
        <f>1</f>
        <v>1</v>
      </c>
      <c r="F115" s="33">
        <f>E115+1</f>
        <v>2</v>
      </c>
      <c r="G115" s="33">
        <f t="shared" ref="G115:X115" si="12">F115+1</f>
        <v>3</v>
      </c>
      <c r="H115" s="37">
        <f t="shared" si="12"/>
        <v>4</v>
      </c>
      <c r="I115" s="33">
        <f t="shared" si="12"/>
        <v>5</v>
      </c>
      <c r="J115" s="33">
        <f t="shared" si="12"/>
        <v>6</v>
      </c>
      <c r="K115" s="33">
        <f t="shared" si="12"/>
        <v>7</v>
      </c>
      <c r="L115" s="33">
        <f t="shared" si="12"/>
        <v>8</v>
      </c>
      <c r="M115" s="33">
        <f t="shared" si="12"/>
        <v>9</v>
      </c>
      <c r="N115" s="33">
        <f t="shared" si="12"/>
        <v>10</v>
      </c>
      <c r="O115" s="33">
        <f t="shared" si="12"/>
        <v>11</v>
      </c>
      <c r="P115" s="33">
        <f t="shared" si="12"/>
        <v>12</v>
      </c>
      <c r="Q115" s="33">
        <f t="shared" si="12"/>
        <v>13</v>
      </c>
      <c r="R115" s="33">
        <f t="shared" si="12"/>
        <v>14</v>
      </c>
      <c r="S115" s="33">
        <f t="shared" si="12"/>
        <v>15</v>
      </c>
      <c r="T115" s="33">
        <f t="shared" si="12"/>
        <v>16</v>
      </c>
      <c r="U115" s="33">
        <f t="shared" si="12"/>
        <v>17</v>
      </c>
      <c r="V115" s="33">
        <f t="shared" si="12"/>
        <v>18</v>
      </c>
      <c r="W115" s="33">
        <f t="shared" si="12"/>
        <v>19</v>
      </c>
      <c r="X115" s="36">
        <f t="shared" si="12"/>
        <v>20</v>
      </c>
      <c r="Y115" s="16"/>
      <c r="Z115" s="1"/>
    </row>
    <row r="116" spans="1:26" x14ac:dyDescent="0.4">
      <c r="A116" s="5"/>
      <c r="B116" s="1"/>
      <c r="C116" s="1"/>
      <c r="D116" s="38">
        <f>1%</f>
        <v>0.01</v>
      </c>
      <c r="E116" s="60">
        <f t="dataTable" ref="E116:X135" dt2D="1" dtr="1" r1="B10" r2="B8" ca="1"/>
        <v>404354.67459987191</v>
      </c>
      <c r="F116" s="61">
        <v>404655.04576479114</v>
      </c>
      <c r="G116" s="61">
        <v>404755.66266987153</v>
      </c>
      <c r="H116" s="61">
        <v>404806.06415724772</v>
      </c>
      <c r="I116" s="61">
        <v>404836.33489337738</v>
      </c>
      <c r="J116" s="61">
        <v>404856.52783585258</v>
      </c>
      <c r="K116" s="61">
        <v>404870.95747028687</v>
      </c>
      <c r="L116" s="61">
        <v>404881.78303634748</v>
      </c>
      <c r="M116" s="61">
        <v>404890.20490134059</v>
      </c>
      <c r="N116" s="61">
        <v>404896.94364133844</v>
      </c>
      <c r="O116" s="61">
        <v>404902.45798128046</v>
      </c>
      <c r="P116" s="61">
        <v>404907.05383208225</v>
      </c>
      <c r="Q116" s="61">
        <v>404910.94303205633</v>
      </c>
      <c r="R116" s="61">
        <v>404914.27692610025</v>
      </c>
      <c r="S116" s="61">
        <v>404917.16652060085</v>
      </c>
      <c r="T116" s="61">
        <v>404919.69508315308</v>
      </c>
      <c r="U116" s="61">
        <v>404921.92629740963</v>
      </c>
      <c r="V116" s="61">
        <v>404923.90970114671</v>
      </c>
      <c r="W116" s="61">
        <v>404925.68440693227</v>
      </c>
      <c r="X116" s="62">
        <v>404927.28170792601</v>
      </c>
      <c r="Y116" s="16"/>
      <c r="Z116" s="1"/>
    </row>
    <row r="117" spans="1:26" x14ac:dyDescent="0.4">
      <c r="A117" s="5"/>
      <c r="B117" s="1"/>
      <c r="C117" s="1"/>
      <c r="D117" s="39">
        <f>D116+0.01</f>
        <v>0.02</v>
      </c>
      <c r="E117" s="44">
        <v>543408.47523100604</v>
      </c>
      <c r="F117" s="53">
        <v>545009.00956922735</v>
      </c>
      <c r="G117" s="53">
        <v>545548.28655848722</v>
      </c>
      <c r="H117" s="53">
        <v>545819.02020968404</v>
      </c>
      <c r="I117" s="53">
        <v>545981.81268360408</v>
      </c>
      <c r="J117" s="53">
        <v>546090.48821108963</v>
      </c>
      <c r="K117" s="53">
        <v>546168.18582634081</v>
      </c>
      <c r="L117" s="53">
        <v>546226.49859493959</v>
      </c>
      <c r="M117" s="53">
        <v>546271.87643455621</v>
      </c>
      <c r="N117" s="53">
        <v>546308.19349967607</v>
      </c>
      <c r="O117" s="53">
        <v>546337.91724861483</v>
      </c>
      <c r="P117" s="53">
        <v>546362.69377100829</v>
      </c>
      <c r="Q117" s="53">
        <v>546383.66330239631</v>
      </c>
      <c r="R117" s="53">
        <v>546401.64067635604</v>
      </c>
      <c r="S117" s="53">
        <v>546417.22367372632</v>
      </c>
      <c r="T117" s="53">
        <v>546430.86078230652</v>
      </c>
      <c r="U117" s="53">
        <v>546442.89506485336</v>
      </c>
      <c r="V117" s="53">
        <v>546453.59341683215</v>
      </c>
      <c r="W117" s="53">
        <v>546463.16659360612</v>
      </c>
      <c r="X117" s="54">
        <v>546471.78323365748</v>
      </c>
      <c r="Y117" s="16"/>
      <c r="Z117" s="1"/>
    </row>
    <row r="118" spans="1:26" x14ac:dyDescent="0.4">
      <c r="A118" s="5"/>
      <c r="B118" s="1"/>
      <c r="C118" s="1"/>
      <c r="D118" s="39">
        <f t="shared" ref="D118:D135" si="13">D117+0.01</f>
        <v>0.03</v>
      </c>
      <c r="E118" s="44">
        <v>728178.74135689775</v>
      </c>
      <c r="F118" s="53">
        <v>732965.9327069167</v>
      </c>
      <c r="G118" s="53">
        <v>734589.80239454482</v>
      </c>
      <c r="H118" s="53">
        <v>735407.12343744538</v>
      </c>
      <c r="I118" s="53">
        <v>735899.25405958656</v>
      </c>
      <c r="J118" s="53">
        <v>736228.06867414375</v>
      </c>
      <c r="K118" s="53">
        <v>736463.29366498475</v>
      </c>
      <c r="L118" s="53">
        <v>736639.90827578062</v>
      </c>
      <c r="M118" s="53">
        <v>736777.3914453109</v>
      </c>
      <c r="N118" s="53">
        <v>736887.45130613283</v>
      </c>
      <c r="O118" s="53">
        <v>736977.54880897712</v>
      </c>
      <c r="P118" s="53">
        <v>737052.66344870639</v>
      </c>
      <c r="Q118" s="53">
        <v>737116.24571237329</v>
      </c>
      <c r="R118" s="53">
        <v>737170.76211253088</v>
      </c>
      <c r="S118" s="53">
        <v>737218.02259543643</v>
      </c>
      <c r="T118" s="53">
        <v>737259.38537565537</v>
      </c>
      <c r="U118" s="53">
        <v>737295.88958963554</v>
      </c>
      <c r="V118" s="53">
        <v>737328.34379724541</v>
      </c>
      <c r="W118" s="53">
        <v>737357.38657433446</v>
      </c>
      <c r="X118" s="54">
        <v>737383.52895225154</v>
      </c>
      <c r="Y118" s="16"/>
      <c r="Z118" s="1"/>
    </row>
    <row r="119" spans="1:26" x14ac:dyDescent="0.4">
      <c r="A119" s="5"/>
      <c r="B119" s="1"/>
      <c r="C119" s="1"/>
      <c r="D119" s="39">
        <f t="shared" si="13"/>
        <v>0.04</v>
      </c>
      <c r="E119" s="44">
        <v>973019.25300826272</v>
      </c>
      <c r="F119" s="53">
        <v>984309.23650962301</v>
      </c>
      <c r="G119" s="53">
        <v>988168.15650567925</v>
      </c>
      <c r="H119" s="53">
        <v>990116.06837210094</v>
      </c>
      <c r="I119" s="53">
        <v>991290.78986842558</v>
      </c>
      <c r="J119" s="53">
        <v>992076.44322300388</v>
      </c>
      <c r="K119" s="53">
        <v>992638.85666005604</v>
      </c>
      <c r="L119" s="53">
        <v>993061.34274219815</v>
      </c>
      <c r="M119" s="53">
        <v>993390.34450359468</v>
      </c>
      <c r="N119" s="53">
        <v>993653.79927091394</v>
      </c>
      <c r="O119" s="53">
        <v>993869.52090700134</v>
      </c>
      <c r="P119" s="53">
        <v>994049.40438208741</v>
      </c>
      <c r="Q119" s="53">
        <v>994201.69552399695</v>
      </c>
      <c r="R119" s="53">
        <v>994332.29069612082</v>
      </c>
      <c r="S119" s="53">
        <v>994445.51793899701</v>
      </c>
      <c r="T119" s="53">
        <v>994544.62589095812</v>
      </c>
      <c r="U119" s="53">
        <v>994632.10053875425</v>
      </c>
      <c r="V119" s="53">
        <v>994709.87661110354</v>
      </c>
      <c r="W119" s="53">
        <v>994779.48235306167</v>
      </c>
      <c r="X119" s="54">
        <v>994842.14094959863</v>
      </c>
      <c r="Y119" s="16"/>
      <c r="Z119" s="1"/>
    </row>
    <row r="120" spans="1:26" x14ac:dyDescent="0.4">
      <c r="A120" s="5"/>
      <c r="B120" s="1"/>
      <c r="C120" s="1"/>
      <c r="D120" s="41">
        <f t="shared" si="13"/>
        <v>0.05</v>
      </c>
      <c r="E120" s="44">
        <v>1296582.7125451989</v>
      </c>
      <c r="F120" s="53">
        <v>1319936.9246445103</v>
      </c>
      <c r="G120" s="53">
        <v>1327987.1453260204</v>
      </c>
      <c r="H120" s="32">
        <v>1332063.9686817715</v>
      </c>
      <c r="I120" s="53">
        <v>1334526.8688090176</v>
      </c>
      <c r="J120" s="53">
        <v>1336175.8655195953</v>
      </c>
      <c r="K120" s="53">
        <v>1337357.1992009776</v>
      </c>
      <c r="L120" s="53">
        <v>1338245.1094216604</v>
      </c>
      <c r="M120" s="53">
        <v>1338936.8413699856</v>
      </c>
      <c r="N120" s="53">
        <v>1339490.9436486305</v>
      </c>
      <c r="O120" s="53">
        <v>1339944.7747671518</v>
      </c>
      <c r="P120" s="53">
        <v>1340323.2942018467</v>
      </c>
      <c r="Q120" s="53">
        <v>1340643.8122303332</v>
      </c>
      <c r="R120" s="53">
        <v>1340918.7116645959</v>
      </c>
      <c r="S120" s="53">
        <v>1341157.0846575431</v>
      </c>
      <c r="T120" s="53">
        <v>1341365.7576976947</v>
      </c>
      <c r="U120" s="53">
        <v>1341549.9559465139</v>
      </c>
      <c r="V120" s="53">
        <v>1341713.746768258</v>
      </c>
      <c r="W120" s="53">
        <v>1341860.3435801012</v>
      </c>
      <c r="X120" s="54">
        <v>1341992.3187855373</v>
      </c>
      <c r="Y120" s="16"/>
      <c r="Z120" s="1"/>
    </row>
    <row r="121" spans="1:26" x14ac:dyDescent="0.4">
      <c r="A121" s="5"/>
      <c r="B121" s="1"/>
      <c r="C121" s="1"/>
      <c r="D121" s="39">
        <f t="shared" si="13"/>
        <v>6.0000000000000005E-2</v>
      </c>
      <c r="E121" s="44">
        <v>1723047.3518739778</v>
      </c>
      <c r="F121" s="53">
        <v>1767480.9312137193</v>
      </c>
      <c r="G121" s="53">
        <v>1782939.9378916332</v>
      </c>
      <c r="H121" s="53">
        <v>1790796.8616964016</v>
      </c>
      <c r="I121" s="53">
        <v>1795552.5923677569</v>
      </c>
      <c r="J121" s="53">
        <v>1798740.5926068539</v>
      </c>
      <c r="K121" s="53">
        <v>1801026.3739400725</v>
      </c>
      <c r="L121" s="53">
        <v>1802745.4573417932</v>
      </c>
      <c r="M121" s="53">
        <v>1804085.345784493</v>
      </c>
      <c r="N121" s="53">
        <v>1805159.0404181867</v>
      </c>
      <c r="O121" s="53">
        <v>1806038.699923069</v>
      </c>
      <c r="P121" s="53">
        <v>1806772.5636788665</v>
      </c>
      <c r="Q121" s="53">
        <v>1807394.1043073409</v>
      </c>
      <c r="R121" s="53">
        <v>1807927.2763862584</v>
      </c>
      <c r="S121" s="53">
        <v>1808389.6750196121</v>
      </c>
      <c r="T121" s="53">
        <v>1808794.5148818353</v>
      </c>
      <c r="U121" s="53">
        <v>1809151.9135217012</v>
      </c>
      <c r="V121" s="53">
        <v>1809469.7484831898</v>
      </c>
      <c r="W121" s="53">
        <v>1809754.244707993</v>
      </c>
      <c r="X121" s="54">
        <v>1810010.3863081606</v>
      </c>
      <c r="Y121" s="16"/>
      <c r="Z121" s="1"/>
    </row>
    <row r="122" spans="1:26" x14ac:dyDescent="0.4">
      <c r="A122" s="5"/>
      <c r="B122" s="1"/>
      <c r="C122" s="1"/>
      <c r="D122" s="39">
        <f t="shared" si="13"/>
        <v>7.0000000000000007E-2</v>
      </c>
      <c r="E122" s="44">
        <v>2283676.5127986092</v>
      </c>
      <c r="F122" s="53">
        <v>2363427.2702274891</v>
      </c>
      <c r="G122" s="53">
        <v>2391454.5029237303</v>
      </c>
      <c r="H122" s="53">
        <v>2405755.029401877</v>
      </c>
      <c r="I122" s="53">
        <v>2414429.3640904562</v>
      </c>
      <c r="J122" s="53">
        <v>2420251.952802171</v>
      </c>
      <c r="K122" s="53">
        <v>2424430.5567104174</v>
      </c>
      <c r="L122" s="53">
        <v>2427575.2997318534</v>
      </c>
      <c r="M122" s="53">
        <v>2430027.6337395427</v>
      </c>
      <c r="N122" s="53">
        <v>2431993.5612828857</v>
      </c>
      <c r="O122" s="53">
        <v>2433604.7393649528</v>
      </c>
      <c r="P122" s="53">
        <v>2434949.2426078985</v>
      </c>
      <c r="Q122" s="53">
        <v>2436088.2187015386</v>
      </c>
      <c r="R122" s="53">
        <v>2437065.448140135</v>
      </c>
      <c r="S122" s="53">
        <v>2437913.1012384584</v>
      </c>
      <c r="T122" s="53">
        <v>2438655.3474772186</v>
      </c>
      <c r="U122" s="53">
        <v>2439310.6971887965</v>
      </c>
      <c r="V122" s="53">
        <v>2439893.566286115</v>
      </c>
      <c r="W122" s="53">
        <v>2440415.349027494</v>
      </c>
      <c r="X122" s="54">
        <v>2440885.1702906345</v>
      </c>
      <c r="Y122" s="16"/>
      <c r="Z122" s="1"/>
    </row>
    <row r="123" spans="1:26" x14ac:dyDescent="0.4">
      <c r="A123" s="5"/>
      <c r="B123" s="1"/>
      <c r="C123" s="1"/>
      <c r="D123" s="39">
        <f t="shared" si="13"/>
        <v>0.08</v>
      </c>
      <c r="E123" s="44">
        <v>3018797.0667220335</v>
      </c>
      <c r="F123" s="53">
        <v>3155888.2224158593</v>
      </c>
      <c r="G123" s="53">
        <v>3204592.5225425735</v>
      </c>
      <c r="H123" s="53">
        <v>3229548.9102605227</v>
      </c>
      <c r="I123" s="53">
        <v>3244721.6524688201</v>
      </c>
      <c r="J123" s="53">
        <v>3254921.0184394419</v>
      </c>
      <c r="K123" s="53">
        <v>3262247.9476538743</v>
      </c>
      <c r="L123" s="53">
        <v>3267766.0961620891</v>
      </c>
      <c r="M123" s="53">
        <v>3272071.6632089559</v>
      </c>
      <c r="N123" s="53">
        <v>3275524.7669265582</v>
      </c>
      <c r="O123" s="53">
        <v>3278355.7714850889</v>
      </c>
      <c r="P123" s="53">
        <v>3280718.8973266864</v>
      </c>
      <c r="Q123" s="53">
        <v>3282721.2801609766</v>
      </c>
      <c r="R123" s="53">
        <v>3284439.665837945</v>
      </c>
      <c r="S123" s="53">
        <v>3285930.4721926092</v>
      </c>
      <c r="T123" s="53">
        <v>3287236.1014964585</v>
      </c>
      <c r="U123" s="53">
        <v>3288389.0382162514</v>
      </c>
      <c r="V123" s="53">
        <v>3289414.5885099014</v>
      </c>
      <c r="W123" s="53">
        <v>3290332.759220886</v>
      </c>
      <c r="X123" s="54">
        <v>3291159.5760184051</v>
      </c>
      <c r="Y123" s="16"/>
      <c r="Z123" s="1"/>
    </row>
    <row r="124" spans="1:26" x14ac:dyDescent="0.4">
      <c r="A124" s="5"/>
      <c r="B124" s="1"/>
      <c r="C124" s="1"/>
      <c r="D124" s="39">
        <f t="shared" si="13"/>
        <v>0.09</v>
      </c>
      <c r="E124" s="44">
        <v>3980303.5407393808</v>
      </c>
      <c r="F124" s="53">
        <v>4208222.3786671888</v>
      </c>
      <c r="G124" s="53">
        <v>4290140.1328784125</v>
      </c>
      <c r="H124" s="53">
        <v>4332307.3174078986</v>
      </c>
      <c r="I124" s="53">
        <v>4358007.3144789515</v>
      </c>
      <c r="J124" s="53">
        <v>4375310.306739741</v>
      </c>
      <c r="K124" s="53">
        <v>4387753.690451175</v>
      </c>
      <c r="L124" s="53">
        <v>4397132.6120497826</v>
      </c>
      <c r="M124" s="53">
        <v>4404454.9882737175</v>
      </c>
      <c r="N124" s="53">
        <v>4410330.3992429469</v>
      </c>
      <c r="O124" s="53">
        <v>4415149.1752459118</v>
      </c>
      <c r="P124" s="53">
        <v>4419172.8369121663</v>
      </c>
      <c r="Q124" s="53">
        <v>4422583.1797297318</v>
      </c>
      <c r="R124" s="53">
        <v>4425510.5029895445</v>
      </c>
      <c r="S124" s="53">
        <v>4428050.6376755415</v>
      </c>
      <c r="T124" s="53">
        <v>4430275.636893604</v>
      </c>
      <c r="U124" s="53">
        <v>4432240.7199078202</v>
      </c>
      <c r="V124" s="53">
        <v>4433988.9169690777</v>
      </c>
      <c r="W124" s="53">
        <v>4435554.2566476474</v>
      </c>
      <c r="X124" s="54">
        <v>4436964.002713792</v>
      </c>
      <c r="Y124" s="16"/>
      <c r="Z124" s="1"/>
    </row>
    <row r="125" spans="1:26" x14ac:dyDescent="0.4">
      <c r="A125" s="5"/>
      <c r="B125" s="1"/>
      <c r="C125" s="1"/>
      <c r="D125" s="39">
        <f t="shared" si="13"/>
        <v>9.9999999999999992E-2</v>
      </c>
      <c r="E125" s="44">
        <v>5234820.6806659335</v>
      </c>
      <c r="F125" s="53">
        <v>5603755.7682368876</v>
      </c>
      <c r="G125" s="53">
        <v>5738003.0536730513</v>
      </c>
      <c r="H125" s="53">
        <v>5807444.95013336</v>
      </c>
      <c r="I125" s="53">
        <v>5849880.8300287602</v>
      </c>
      <c r="J125" s="53">
        <v>5878499.5271705082</v>
      </c>
      <c r="K125" s="53">
        <v>5899104.4071123088</v>
      </c>
      <c r="L125" s="53">
        <v>5914648.0555341057</v>
      </c>
      <c r="M125" s="53">
        <v>5926791.2739761425</v>
      </c>
      <c r="N125" s="53">
        <v>5936539.8785773367</v>
      </c>
      <c r="O125" s="53">
        <v>5944538.6092397608</v>
      </c>
      <c r="P125" s="53">
        <v>5951219.8119901326</v>
      </c>
      <c r="Q125" s="53">
        <v>5956884.2435062909</v>
      </c>
      <c r="R125" s="53">
        <v>5961747.5941822752</v>
      </c>
      <c r="S125" s="53">
        <v>5965968.5770554096</v>
      </c>
      <c r="T125" s="53">
        <v>5969666.576303306</v>
      </c>
      <c r="U125" s="53">
        <v>5972933.1185843972</v>
      </c>
      <c r="V125" s="53">
        <v>5975839.550592782</v>
      </c>
      <c r="W125" s="53">
        <v>5978442.3101358237</v>
      </c>
      <c r="X125" s="54">
        <v>5980786.6270556627</v>
      </c>
      <c r="Y125" s="16"/>
      <c r="Z125" s="1"/>
    </row>
    <row r="126" spans="1:26" x14ac:dyDescent="0.4">
      <c r="A126" s="5"/>
      <c r="B126" s="1"/>
      <c r="C126" s="1"/>
      <c r="D126" s="39">
        <f t="shared" si="13"/>
        <v>0.10999999999999999</v>
      </c>
      <c r="E126" s="44">
        <v>6867688.9715733984</v>
      </c>
      <c r="F126" s="53">
        <v>7451931.1335284347</v>
      </c>
      <c r="G126" s="53">
        <v>7667315.6428586999</v>
      </c>
      <c r="H126" s="53">
        <v>7779307.1757468814</v>
      </c>
      <c r="I126" s="53">
        <v>7847939.1047625476</v>
      </c>
      <c r="J126" s="53">
        <v>7894307.3226719061</v>
      </c>
      <c r="K126" s="53">
        <v>7927732.8167270105</v>
      </c>
      <c r="L126" s="53">
        <v>7952970.7894450398</v>
      </c>
      <c r="M126" s="53">
        <v>7972701.2156578507</v>
      </c>
      <c r="N126" s="53">
        <v>7988549.5263680117</v>
      </c>
      <c r="O126" s="53">
        <v>8001558.8361710059</v>
      </c>
      <c r="P126" s="53">
        <v>8012429.2751566004</v>
      </c>
      <c r="Q126" s="53">
        <v>8021648.249543393</v>
      </c>
      <c r="R126" s="53">
        <v>8029565.52845095</v>
      </c>
      <c r="S126" s="53">
        <v>8036438.6234282795</v>
      </c>
      <c r="T126" s="53">
        <v>8042461.324609993</v>
      </c>
      <c r="U126" s="53">
        <v>8047782.2622008752</v>
      </c>
      <c r="V126" s="53">
        <v>8052517.337017742</v>
      </c>
      <c r="W126" s="53">
        <v>8056758.2593966974</v>
      </c>
      <c r="X126" s="54">
        <v>8060578.5473919809</v>
      </c>
      <c r="Y126" s="16"/>
      <c r="Z126" s="1"/>
    </row>
    <row r="127" spans="1:26" x14ac:dyDescent="0.4">
      <c r="A127" s="5"/>
      <c r="B127" s="1"/>
      <c r="C127" s="1"/>
      <c r="D127" s="39">
        <f t="shared" si="13"/>
        <v>0.11999999999999998</v>
      </c>
      <c r="E127" s="44">
        <v>8987976.636273291</v>
      </c>
      <c r="F127" s="53">
        <v>9896307.255999757</v>
      </c>
      <c r="G127" s="53">
        <v>10235800.002508841</v>
      </c>
      <c r="H127" s="53">
        <v>10413296.140680386</v>
      </c>
      <c r="I127" s="53">
        <v>10522398.633130195</v>
      </c>
      <c r="J127" s="53">
        <v>10596249.407096736</v>
      </c>
      <c r="K127" s="53">
        <v>10649556.340023944</v>
      </c>
      <c r="L127" s="53">
        <v>10689844.666205602</v>
      </c>
      <c r="M127" s="53">
        <v>10721364.341209639</v>
      </c>
      <c r="N127" s="53">
        <v>10746697.039861908</v>
      </c>
      <c r="O127" s="53">
        <v>10767501.568498248</v>
      </c>
      <c r="P127" s="53">
        <v>10784892.398305519</v>
      </c>
      <c r="Q127" s="53">
        <v>10799646.011634061</v>
      </c>
      <c r="R127" s="53">
        <v>10812319.998759089</v>
      </c>
      <c r="S127" s="53">
        <v>10823325.111467395</v>
      </c>
      <c r="T127" s="53">
        <v>10832970.613221569</v>
      </c>
      <c r="U127" s="53">
        <v>10841493.799918432</v>
      </c>
      <c r="V127" s="53">
        <v>10849079.782914514</v>
      </c>
      <c r="W127" s="53">
        <v>10855875.086436637</v>
      </c>
      <c r="X127" s="54">
        <v>10861997.204011694</v>
      </c>
      <c r="Y127" s="16"/>
      <c r="Z127" s="1"/>
    </row>
    <row r="128" spans="1:26" x14ac:dyDescent="0.4">
      <c r="A128" s="5"/>
      <c r="B128" s="1"/>
      <c r="C128" s="1"/>
      <c r="D128" s="39">
        <f t="shared" si="13"/>
        <v>0.12999999999999998</v>
      </c>
      <c r="E128" s="44">
        <v>11734769.387202479</v>
      </c>
      <c r="F128" s="53">
        <v>13124951.921633827</v>
      </c>
      <c r="G128" s="53">
        <v>13652076.372031197</v>
      </c>
      <c r="H128" s="53">
        <v>13929274.408658881</v>
      </c>
      <c r="I128" s="53">
        <v>14100203.190594202</v>
      </c>
      <c r="J128" s="53">
        <v>14216136.963765407</v>
      </c>
      <c r="K128" s="53">
        <v>14299936.884162668</v>
      </c>
      <c r="L128" s="53">
        <v>14363335.974555911</v>
      </c>
      <c r="M128" s="53">
        <v>14412975.233452762</v>
      </c>
      <c r="N128" s="53">
        <v>14452895.507662764</v>
      </c>
      <c r="O128" s="53">
        <v>14485696.540285295</v>
      </c>
      <c r="P128" s="53">
        <v>14513126.795567846</v>
      </c>
      <c r="Q128" s="53">
        <v>14536405.521038201</v>
      </c>
      <c r="R128" s="53">
        <v>14556408.884054862</v>
      </c>
      <c r="S128" s="53">
        <v>14573782.711302131</v>
      </c>
      <c r="T128" s="53">
        <v>14589013.513880106</v>
      </c>
      <c r="U128" s="53">
        <v>14602474.758812694</v>
      </c>
      <c r="V128" s="53">
        <v>14614457.899251861</v>
      </c>
      <c r="W128" s="53">
        <v>14625193.715509236</v>
      </c>
      <c r="X128" s="54">
        <v>14634867.321969075</v>
      </c>
      <c r="Y128" s="16"/>
      <c r="Z128" s="1"/>
    </row>
    <row r="129" spans="1:26" x14ac:dyDescent="0.4">
      <c r="A129" s="5"/>
      <c r="B129" s="1"/>
      <c r="C129" s="1"/>
      <c r="D129" s="39">
        <f t="shared" si="13"/>
        <v>0.13999999999999999</v>
      </c>
      <c r="E129" s="44">
        <v>15285047.57499402</v>
      </c>
      <c r="F129" s="53">
        <v>17383928.050360054</v>
      </c>
      <c r="G129" s="53">
        <v>18191841.209102977</v>
      </c>
      <c r="H129" s="53">
        <v>18619294.872183196</v>
      </c>
      <c r="I129" s="53">
        <v>18883759.191559363</v>
      </c>
      <c r="J129" s="53">
        <v>19063515.465180617</v>
      </c>
      <c r="K129" s="53">
        <v>19193639.11159296</v>
      </c>
      <c r="L129" s="53">
        <v>19292190.87164142</v>
      </c>
      <c r="M129" s="53">
        <v>19369417.229615614</v>
      </c>
      <c r="N129" s="53">
        <v>19431563.847274151</v>
      </c>
      <c r="O129" s="53">
        <v>19482654.500573028</v>
      </c>
      <c r="P129" s="53">
        <v>19525398.383475736</v>
      </c>
      <c r="Q129" s="53">
        <v>19561686.400719509</v>
      </c>
      <c r="R129" s="53">
        <v>19592878.414370608</v>
      </c>
      <c r="S129" s="53">
        <v>19619977.431687556</v>
      </c>
      <c r="T129" s="53">
        <v>19643739.452893991</v>
      </c>
      <c r="U129" s="53">
        <v>19664745.096711155</v>
      </c>
      <c r="V129" s="53">
        <v>19683447.669126008</v>
      </c>
      <c r="W129" s="53">
        <v>19700206.244312786</v>
      </c>
      <c r="X129" s="54">
        <v>19715308.940404702</v>
      </c>
      <c r="Y129" s="16"/>
      <c r="Z129" s="1"/>
    </row>
    <row r="130" spans="1:26" x14ac:dyDescent="0.4">
      <c r="A130" s="5"/>
      <c r="B130" s="1"/>
      <c r="C130" s="1"/>
      <c r="D130" s="39">
        <f t="shared" si="13"/>
        <v>0.15</v>
      </c>
      <c r="E130" s="44">
        <v>19863531.587035727</v>
      </c>
      <c r="F130" s="53">
        <v>22994772.108256046</v>
      </c>
      <c r="G130" s="53">
        <v>24219109.514737967</v>
      </c>
      <c r="H130" s="53">
        <v>24871037.413618483</v>
      </c>
      <c r="I130" s="53">
        <v>25275802.923657615</v>
      </c>
      <c r="J130" s="53">
        <v>25551536.758404393</v>
      </c>
      <c r="K130" s="53">
        <v>25751446.551796038</v>
      </c>
      <c r="L130" s="53">
        <v>25903024.376418807</v>
      </c>
      <c r="M130" s="53">
        <v>26021906.019625079</v>
      </c>
      <c r="N130" s="53">
        <v>26117639.887524828</v>
      </c>
      <c r="O130" s="53">
        <v>26196386.495442986</v>
      </c>
      <c r="P130" s="53">
        <v>26262298.54070228</v>
      </c>
      <c r="Q130" s="53">
        <v>26318277.214703351</v>
      </c>
      <c r="R130" s="53">
        <v>26366410.611811284</v>
      </c>
      <c r="S130" s="53">
        <v>26408239.91905893</v>
      </c>
      <c r="T130" s="53">
        <v>26444927.462007031</v>
      </c>
      <c r="U130" s="53">
        <v>26477366.377982248</v>
      </c>
      <c r="V130" s="53">
        <v>26506254.2772776</v>
      </c>
      <c r="W130" s="53">
        <v>26532143.9718576</v>
      </c>
      <c r="X130" s="54">
        <v>26555479.189838845</v>
      </c>
      <c r="Y130" s="16"/>
      <c r="Z130" s="1"/>
    </row>
    <row r="131" spans="1:26" x14ac:dyDescent="0.4">
      <c r="A131" s="5"/>
      <c r="B131" s="1"/>
      <c r="C131" s="1"/>
      <c r="D131" s="39">
        <f t="shared" si="13"/>
        <v>0.16</v>
      </c>
      <c r="E131" s="44">
        <v>25754963.072628848</v>
      </c>
      <c r="F131" s="53">
        <v>30377119.100165177</v>
      </c>
      <c r="G131" s="53">
        <v>32214082.428308126</v>
      </c>
      <c r="H131" s="53">
        <v>33198768.241277091</v>
      </c>
      <c r="I131" s="53">
        <v>33812388.35039676</v>
      </c>
      <c r="J131" s="53">
        <v>34231377.451785922</v>
      </c>
      <c r="K131" s="53">
        <v>34535642.210326433</v>
      </c>
      <c r="L131" s="53">
        <v>34766620.545883112</v>
      </c>
      <c r="M131" s="53">
        <v>34947941.206660718</v>
      </c>
      <c r="N131" s="53">
        <v>35094062.006666638</v>
      </c>
      <c r="O131" s="53">
        <v>35214325.236315228</v>
      </c>
      <c r="P131" s="53">
        <v>35315036.120929524</v>
      </c>
      <c r="Q131" s="53">
        <v>35400604.1214398</v>
      </c>
      <c r="R131" s="53">
        <v>35474205.573239714</v>
      </c>
      <c r="S131" s="53">
        <v>35538186.5592869</v>
      </c>
      <c r="T131" s="53">
        <v>35594317.53075473</v>
      </c>
      <c r="U131" s="53">
        <v>35643959.642451338</v>
      </c>
      <c r="V131" s="53">
        <v>35688176.563916758</v>
      </c>
      <c r="W131" s="53">
        <v>35727811.537169442</v>
      </c>
      <c r="X131" s="54">
        <v>35763541.662497602</v>
      </c>
      <c r="Y131" s="16"/>
      <c r="Z131" s="1"/>
    </row>
    <row r="132" spans="1:26" x14ac:dyDescent="0.4">
      <c r="A132" s="5"/>
      <c r="B132" s="1"/>
      <c r="C132" s="1"/>
      <c r="D132" s="39">
        <f t="shared" si="13"/>
        <v>0.17</v>
      </c>
      <c r="E132" s="44">
        <v>33319395.003102455</v>
      </c>
      <c r="F132" s="53">
        <v>40077954.30659657</v>
      </c>
      <c r="G132" s="53">
        <v>42809674.877023585</v>
      </c>
      <c r="H132" s="53">
        <v>44284209.046444535</v>
      </c>
      <c r="I132" s="53">
        <v>45206623.269285783</v>
      </c>
      <c r="J132" s="53">
        <v>45838005.422649592</v>
      </c>
      <c r="K132" s="53">
        <v>46297286.963716663</v>
      </c>
      <c r="L132" s="53">
        <v>46646379.842911817</v>
      </c>
      <c r="M132" s="53">
        <v>46920684.266112641</v>
      </c>
      <c r="N132" s="53">
        <v>47141905.347405322</v>
      </c>
      <c r="O132" s="53">
        <v>47324090.984568886</v>
      </c>
      <c r="P132" s="53">
        <v>47476734.535200603</v>
      </c>
      <c r="Q132" s="53">
        <v>47606482.083877876</v>
      </c>
      <c r="R132" s="53">
        <v>47718125.362501316</v>
      </c>
      <c r="S132" s="53">
        <v>47815206.278011121</v>
      </c>
      <c r="T132" s="53">
        <v>47900399.434482373</v>
      </c>
      <c r="U132" s="53">
        <v>47975762.275842808</v>
      </c>
      <c r="V132" s="53">
        <v>48042903.380154058</v>
      </c>
      <c r="W132" s="53">
        <v>48103098.533280201</v>
      </c>
      <c r="X132" s="54">
        <v>48157372.556041233</v>
      </c>
      <c r="Y132" s="16"/>
      <c r="Z132" s="1"/>
    </row>
    <row r="133" spans="1:26" x14ac:dyDescent="0.4">
      <c r="A133" s="5"/>
      <c r="B133" s="1"/>
      <c r="C133" s="1"/>
      <c r="D133" s="39">
        <f t="shared" si="13"/>
        <v>0.18000000000000002</v>
      </c>
      <c r="E133" s="44">
        <v>43011191.531378224</v>
      </c>
      <c r="F133" s="53">
        <v>52809387.588074818</v>
      </c>
      <c r="G133" s="53">
        <v>56839353.369272038</v>
      </c>
      <c r="H133" s="53">
        <v>59030451.961051106</v>
      </c>
      <c r="I133" s="53">
        <v>60406624.209370233</v>
      </c>
      <c r="J133" s="53">
        <v>61351007.865779988</v>
      </c>
      <c r="K133" s="53">
        <v>62039193.384604596</v>
      </c>
      <c r="L133" s="53">
        <v>62562955.641553402</v>
      </c>
      <c r="M133" s="53">
        <v>62974920.865911029</v>
      </c>
      <c r="N133" s="53">
        <v>63307425.843506798</v>
      </c>
      <c r="O133" s="53">
        <v>63581434.802122243</v>
      </c>
      <c r="P133" s="53">
        <v>63811134.267543361</v>
      </c>
      <c r="Q133" s="53">
        <v>64006466.970929936</v>
      </c>
      <c r="R133" s="53">
        <v>64174608.160226353</v>
      </c>
      <c r="S133" s="53">
        <v>64320865.764383174</v>
      </c>
      <c r="T133" s="53">
        <v>64449250.693172485</v>
      </c>
      <c r="U133" s="53">
        <v>64562850.171144702</v>
      </c>
      <c r="V133" s="53">
        <v>64664079.14576409</v>
      </c>
      <c r="W133" s="53">
        <v>64754853.825075902</v>
      </c>
      <c r="X133" s="54">
        <v>64836714.101621509</v>
      </c>
      <c r="Y133" s="16"/>
      <c r="Z133" s="1"/>
    </row>
    <row r="134" spans="1:26" x14ac:dyDescent="0.4">
      <c r="A134" s="5"/>
      <c r="B134" s="1"/>
      <c r="C134" s="1"/>
      <c r="D134" s="39">
        <f t="shared" si="13"/>
        <v>0.19000000000000003</v>
      </c>
      <c r="E134" s="44">
        <v>55402593.646278821</v>
      </c>
      <c r="F134" s="53">
        <v>69497375.674724683</v>
      </c>
      <c r="G134" s="53">
        <v>75399732.499224588</v>
      </c>
      <c r="H134" s="53">
        <v>78633037.32871297</v>
      </c>
      <c r="I134" s="53">
        <v>80672270.753683805</v>
      </c>
      <c r="J134" s="53">
        <v>82075400.248525292</v>
      </c>
      <c r="K134" s="53">
        <v>83099771.983676374</v>
      </c>
      <c r="L134" s="53">
        <v>83880459.166621163</v>
      </c>
      <c r="M134" s="53">
        <v>84495149.820826083</v>
      </c>
      <c r="N134" s="53">
        <v>84991688.372003421</v>
      </c>
      <c r="O134" s="53">
        <v>85401147.637033165</v>
      </c>
      <c r="P134" s="53">
        <v>85744584.500520319</v>
      </c>
      <c r="Q134" s="53">
        <v>86036774.048523083</v>
      </c>
      <c r="R134" s="53">
        <v>86288389.23656258</v>
      </c>
      <c r="S134" s="53">
        <v>86507331.981379434</v>
      </c>
      <c r="T134" s="53">
        <v>86699577.579001039</v>
      </c>
      <c r="U134" s="53">
        <v>86869728.102412373</v>
      </c>
      <c r="V134" s="53">
        <v>87021385.427674323</v>
      </c>
      <c r="W134" s="53">
        <v>87157408.937619328</v>
      </c>
      <c r="X134" s="54">
        <v>87280097.457107425</v>
      </c>
      <c r="Y134" s="16"/>
      <c r="Z134" s="1"/>
    </row>
    <row r="135" spans="1:26" x14ac:dyDescent="0.4">
      <c r="A135" s="5"/>
      <c r="B135" s="1"/>
      <c r="C135" s="1"/>
      <c r="D135" s="40">
        <f t="shared" si="13"/>
        <v>0.20000000000000004</v>
      </c>
      <c r="E135" s="63">
        <v>71212894.139930904</v>
      </c>
      <c r="F135" s="55">
        <v>91344491.862425804</v>
      </c>
      <c r="G135" s="55">
        <v>99932414.056332648</v>
      </c>
      <c r="H135" s="55">
        <v>104673595.70016067</v>
      </c>
      <c r="I135" s="55">
        <v>107676802.24973959</v>
      </c>
      <c r="J135" s="55">
        <v>109748930.14653757</v>
      </c>
      <c r="K135" s="55">
        <v>111264623.39778563</v>
      </c>
      <c r="L135" s="55">
        <v>112421389.49609818</v>
      </c>
      <c r="M135" s="55">
        <v>113333183.8242406</v>
      </c>
      <c r="N135" s="55">
        <v>114070352.41845992</v>
      </c>
      <c r="O135" s="55">
        <v>114678666.34159146</v>
      </c>
      <c r="P135" s="55">
        <v>115189188.96981293</v>
      </c>
      <c r="Q135" s="55">
        <v>115623743.2612391</v>
      </c>
      <c r="R135" s="55">
        <v>115998109.3533729</v>
      </c>
      <c r="S135" s="55">
        <v>116323980.46850136</v>
      </c>
      <c r="T135" s="55">
        <v>116610205.40277793</v>
      </c>
      <c r="U135" s="55">
        <v>116863603.75798501</v>
      </c>
      <c r="V135" s="55">
        <v>117089516.01759915</v>
      </c>
      <c r="W135" s="55">
        <v>117292183.90137397</v>
      </c>
      <c r="X135" s="56">
        <v>117475019.09979676</v>
      </c>
      <c r="Y135" s="16"/>
      <c r="Z135" s="1"/>
    </row>
    <row r="136" spans="1:26" x14ac:dyDescent="0.4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6"/>
      <c r="Z136" s="1"/>
    </row>
    <row r="137" spans="1:26" x14ac:dyDescent="0.4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6"/>
      <c r="Z137" s="1"/>
    </row>
    <row r="138" spans="1:26" x14ac:dyDescent="0.4">
      <c r="A138" s="5"/>
      <c r="B138" s="1"/>
      <c r="C138" s="1"/>
      <c r="D138" s="82" t="s">
        <v>24</v>
      </c>
      <c r="E138" s="83" t="s">
        <v>25</v>
      </c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5"/>
      <c r="Y138" s="16"/>
      <c r="Z138" s="1"/>
    </row>
    <row r="139" spans="1:26" x14ac:dyDescent="0.4">
      <c r="A139" s="5"/>
      <c r="B139" s="1"/>
      <c r="C139" s="1"/>
      <c r="D139" s="72">
        <f>B12</f>
        <v>1332063.9686817715</v>
      </c>
      <c r="E139" s="33">
        <f>1</f>
        <v>1</v>
      </c>
      <c r="F139" s="33">
        <f>E139+1</f>
        <v>2</v>
      </c>
      <c r="G139" s="33">
        <f t="shared" ref="G139:X139" si="14">F139+1</f>
        <v>3</v>
      </c>
      <c r="H139" s="37">
        <f t="shared" si="14"/>
        <v>4</v>
      </c>
      <c r="I139" s="33">
        <f t="shared" si="14"/>
        <v>5</v>
      </c>
      <c r="J139" s="33">
        <f t="shared" si="14"/>
        <v>6</v>
      </c>
      <c r="K139" s="33">
        <f t="shared" si="14"/>
        <v>7</v>
      </c>
      <c r="L139" s="33">
        <f t="shared" si="14"/>
        <v>8</v>
      </c>
      <c r="M139" s="33">
        <f t="shared" si="14"/>
        <v>9</v>
      </c>
      <c r="N139" s="33">
        <f t="shared" si="14"/>
        <v>10</v>
      </c>
      <c r="O139" s="33">
        <f t="shared" si="14"/>
        <v>11</v>
      </c>
      <c r="P139" s="33">
        <f t="shared" si="14"/>
        <v>12</v>
      </c>
      <c r="Q139" s="33">
        <f t="shared" si="14"/>
        <v>13</v>
      </c>
      <c r="R139" s="33">
        <f t="shared" si="14"/>
        <v>14</v>
      </c>
      <c r="S139" s="33">
        <f t="shared" si="14"/>
        <v>15</v>
      </c>
      <c r="T139" s="33">
        <f t="shared" si="14"/>
        <v>16</v>
      </c>
      <c r="U139" s="33">
        <f t="shared" si="14"/>
        <v>17</v>
      </c>
      <c r="V139" s="33">
        <f t="shared" si="14"/>
        <v>18</v>
      </c>
      <c r="W139" s="33">
        <f t="shared" si="14"/>
        <v>19</v>
      </c>
      <c r="X139" s="36">
        <f t="shared" si="14"/>
        <v>20</v>
      </c>
      <c r="Y139" s="16"/>
      <c r="Z139" s="1"/>
    </row>
    <row r="140" spans="1:26" x14ac:dyDescent="0.4">
      <c r="A140" s="5"/>
      <c r="B140" s="1"/>
      <c r="C140" s="1"/>
      <c r="D140" s="57">
        <f>11</f>
        <v>11</v>
      </c>
      <c r="E140" s="60">
        <f t="dataTable" ref="E140:X159" dt2D="1" dtr="1" r1="B10" r2="B9" ca="1"/>
        <v>513101.80743489414</v>
      </c>
      <c r="F140" s="61">
        <v>516471.41927402897</v>
      </c>
      <c r="G140" s="61">
        <v>517624.17034117819</v>
      </c>
      <c r="H140" s="61">
        <v>518206.26324386062</v>
      </c>
      <c r="I140" s="61">
        <v>518557.37204165803</v>
      </c>
      <c r="J140" s="61">
        <v>518792.22220029071</v>
      </c>
      <c r="K140" s="61">
        <v>518960.35494484927</v>
      </c>
      <c r="L140" s="61">
        <v>519086.66442948428</v>
      </c>
      <c r="M140" s="61">
        <v>519185.02983782568</v>
      </c>
      <c r="N140" s="61">
        <v>519263.80086922966</v>
      </c>
      <c r="O140" s="61">
        <v>519328.30200754001</v>
      </c>
      <c r="P140" s="61">
        <v>519382.08882640838</v>
      </c>
      <c r="Q140" s="61">
        <v>519427.62624543224</v>
      </c>
      <c r="R140" s="61">
        <v>519466.67693571385</v>
      </c>
      <c r="S140" s="61">
        <v>519500.53477786324</v>
      </c>
      <c r="T140" s="61">
        <v>519530.17099225736</v>
      </c>
      <c r="U140" s="61">
        <v>519556.32881553075</v>
      </c>
      <c r="V140" s="61">
        <v>519579.58668840496</v>
      </c>
      <c r="W140" s="61">
        <v>519600.40153147461</v>
      </c>
      <c r="X140" s="62">
        <v>519619.13906450191</v>
      </c>
      <c r="Y140" s="16"/>
      <c r="Z140" s="1"/>
    </row>
    <row r="141" spans="1:26" x14ac:dyDescent="0.4">
      <c r="A141" s="5"/>
      <c r="B141" s="1"/>
      <c r="C141" s="1"/>
      <c r="D141" s="58">
        <f>D140+1</f>
        <v>12</v>
      </c>
      <c r="E141" s="44">
        <v>538756.89780663874</v>
      </c>
      <c r="F141" s="53">
        <v>542617.78487477673</v>
      </c>
      <c r="G141" s="53">
        <v>543939.12874171743</v>
      </c>
      <c r="H141" s="53">
        <v>544606.45591579645</v>
      </c>
      <c r="I141" s="53">
        <v>545009.00956922735</v>
      </c>
      <c r="J141" s="53">
        <v>545278.28406834684</v>
      </c>
      <c r="K141" s="53">
        <v>545471.06852059159</v>
      </c>
      <c r="L141" s="53">
        <v>545615.90130069619</v>
      </c>
      <c r="M141" s="53">
        <v>545728.694222708</v>
      </c>
      <c r="N141" s="53">
        <v>545819.02020968404</v>
      </c>
      <c r="O141" s="53">
        <v>545892.98397459707</v>
      </c>
      <c r="P141" s="53">
        <v>545954.66221654648</v>
      </c>
      <c r="Q141" s="53">
        <v>546006.88118807157</v>
      </c>
      <c r="R141" s="53">
        <v>546051.66198641702</v>
      </c>
      <c r="S141" s="53">
        <v>546090.48821108963</v>
      </c>
      <c r="T141" s="53">
        <v>546124.47350483597</v>
      </c>
      <c r="U141" s="53">
        <v>546154.47010411439</v>
      </c>
      <c r="V141" s="53">
        <v>546181.14128778013</v>
      </c>
      <c r="W141" s="53">
        <v>546205.01099615707</v>
      </c>
      <c r="X141" s="54">
        <v>546226.49859493959</v>
      </c>
      <c r="Y141" s="16"/>
      <c r="Z141" s="1"/>
    </row>
    <row r="142" spans="1:26" x14ac:dyDescent="0.4">
      <c r="A142" s="5"/>
      <c r="B142" s="1"/>
      <c r="C142" s="1"/>
      <c r="D142" s="58">
        <f t="shared" ref="D142:D159" si="15">D141+1</f>
        <v>13</v>
      </c>
      <c r="E142" s="44">
        <v>565694.74269697082</v>
      </c>
      <c r="F142" s="53">
        <v>570087.81023406214</v>
      </c>
      <c r="G142" s="53">
        <v>571591.88602279511</v>
      </c>
      <c r="H142" s="53">
        <v>572351.61529800016</v>
      </c>
      <c r="I142" s="53">
        <v>572809.94645230519</v>
      </c>
      <c r="J142" s="53">
        <v>573116.54715156998</v>
      </c>
      <c r="K142" s="53">
        <v>573336.0626836624</v>
      </c>
      <c r="L142" s="53">
        <v>573500.98192054767</v>
      </c>
      <c r="M142" s="53">
        <v>573629.42030714941</v>
      </c>
      <c r="N142" s="53">
        <v>573732.27697358141</v>
      </c>
      <c r="O142" s="53">
        <v>573816.5025875353</v>
      </c>
      <c r="P142" s="53">
        <v>573886.73889292567</v>
      </c>
      <c r="Q142" s="53">
        <v>573946.20393921842</v>
      </c>
      <c r="R142" s="53">
        <v>573997.19904464297</v>
      </c>
      <c r="S142" s="53">
        <v>574041.41353221505</v>
      </c>
      <c r="T142" s="53">
        <v>574080.1154845329</v>
      </c>
      <c r="U142" s="53">
        <v>574114.27533704869</v>
      </c>
      <c r="V142" s="53">
        <v>574144.64836803288</v>
      </c>
      <c r="W142" s="53">
        <v>574171.83119563118</v>
      </c>
      <c r="X142" s="54">
        <v>574196.3013611217</v>
      </c>
      <c r="Y142" s="16"/>
      <c r="Z142" s="1"/>
    </row>
    <row r="143" spans="1:26" x14ac:dyDescent="0.4">
      <c r="A143" s="5"/>
      <c r="B143" s="1"/>
      <c r="C143" s="1"/>
      <c r="D143" s="58">
        <f t="shared" si="15"/>
        <v>14</v>
      </c>
      <c r="E143" s="44">
        <v>593979.47983181919</v>
      </c>
      <c r="F143" s="53">
        <v>598948.50562716147</v>
      </c>
      <c r="G143" s="53">
        <v>600650.45315435203</v>
      </c>
      <c r="H143" s="53">
        <v>601510.26117266458</v>
      </c>
      <c r="I143" s="53">
        <v>602029.01051861572</v>
      </c>
      <c r="J143" s="53">
        <v>602376.04580227006</v>
      </c>
      <c r="K143" s="53">
        <v>602624.51987624622</v>
      </c>
      <c r="L143" s="53">
        <v>602811.20011304307</v>
      </c>
      <c r="M143" s="53">
        <v>602956.58873240952</v>
      </c>
      <c r="N143" s="53">
        <v>603073.02137407288</v>
      </c>
      <c r="O143" s="53">
        <v>603168.36506019835</v>
      </c>
      <c r="P143" s="53">
        <v>603247.87362384656</v>
      </c>
      <c r="Q143" s="53">
        <v>603315.18954387051</v>
      </c>
      <c r="R143" s="53">
        <v>603372.91770625766</v>
      </c>
      <c r="S143" s="53">
        <v>603422.97030210681</v>
      </c>
      <c r="T143" s="53">
        <v>603466.78272753954</v>
      </c>
      <c r="U143" s="53">
        <v>603505.45347170928</v>
      </c>
      <c r="V143" s="53">
        <v>603539.8374839992</v>
      </c>
      <c r="W143" s="53">
        <v>603570.61012181698</v>
      </c>
      <c r="X143" s="54">
        <v>603598.3119546274</v>
      </c>
      <c r="Y143" s="16"/>
      <c r="Z143" s="1"/>
    </row>
    <row r="144" spans="1:26" x14ac:dyDescent="0.4">
      <c r="A144" s="5"/>
      <c r="B144" s="1"/>
      <c r="C144" s="1"/>
      <c r="D144" s="58">
        <f t="shared" si="15"/>
        <v>15</v>
      </c>
      <c r="E144" s="44">
        <v>623678.45382341032</v>
      </c>
      <c r="F144" s="53">
        <v>629270.27372453641</v>
      </c>
      <c r="G144" s="53">
        <v>631186.29864549986</v>
      </c>
      <c r="H144" s="53">
        <v>632154.40408537176</v>
      </c>
      <c r="I144" s="53">
        <v>632738.54050682357</v>
      </c>
      <c r="J144" s="53">
        <v>633129.33880517539</v>
      </c>
      <c r="K144" s="53">
        <v>633409.15667544084</v>
      </c>
      <c r="L144" s="53">
        <v>633619.39113832219</v>
      </c>
      <c r="M144" s="53">
        <v>633783.12726909644</v>
      </c>
      <c r="N144" s="53">
        <v>633914.25531738054</v>
      </c>
      <c r="O144" s="53">
        <v>634021.63403952192</v>
      </c>
      <c r="P144" s="53">
        <v>634111.17973156262</v>
      </c>
      <c r="Q144" s="53">
        <v>634186.99424467876</v>
      </c>
      <c r="R144" s="53">
        <v>634252.01103297935</v>
      </c>
      <c r="S144" s="53">
        <v>634308.3835148823</v>
      </c>
      <c r="T144" s="53">
        <v>634357.72818600433</v>
      </c>
      <c r="U144" s="53">
        <v>634401.28214242589</v>
      </c>
      <c r="V144" s="53">
        <v>634440.00822022383</v>
      </c>
      <c r="W144" s="53">
        <v>634474.66700730496</v>
      </c>
      <c r="X144" s="54">
        <v>634505.86729805823</v>
      </c>
      <c r="Y144" s="16"/>
      <c r="Z144" s="1"/>
    </row>
    <row r="145" spans="1:26" x14ac:dyDescent="0.4">
      <c r="A145" s="5"/>
      <c r="B145" s="1"/>
      <c r="C145" s="1"/>
      <c r="D145" s="58">
        <f t="shared" si="15"/>
        <v>16</v>
      </c>
      <c r="E145" s="44">
        <v>654862.3765145808</v>
      </c>
      <c r="F145" s="53">
        <v>661127.08133184107</v>
      </c>
      <c r="G145" s="53">
        <v>663274.52431876922</v>
      </c>
      <c r="H145" s="53">
        <v>664359.72318320943</v>
      </c>
      <c r="I145" s="53">
        <v>665014.56515827763</v>
      </c>
      <c r="J145" s="53">
        <v>665452.68931138492</v>
      </c>
      <c r="K145" s="53">
        <v>665766.40433197829</v>
      </c>
      <c r="L145" s="53">
        <v>666002.11268671043</v>
      </c>
      <c r="M145" s="53">
        <v>666185.69216640678</v>
      </c>
      <c r="N145" s="53">
        <v>666332.71403684991</v>
      </c>
      <c r="O145" s="53">
        <v>666453.10947305104</v>
      </c>
      <c r="P145" s="53">
        <v>666553.51115465432</v>
      </c>
      <c r="Q145" s="53">
        <v>666638.51770941424</v>
      </c>
      <c r="R145" s="53">
        <v>666711.41792151204</v>
      </c>
      <c r="S145" s="53">
        <v>666774.62608993112</v>
      </c>
      <c r="T145" s="53">
        <v>666829.95456767874</v>
      </c>
      <c r="U145" s="53">
        <v>666878.79035515699</v>
      </c>
      <c r="V145" s="53">
        <v>666922.21297015669</v>
      </c>
      <c r="W145" s="53">
        <v>666961.07518022321</v>
      </c>
      <c r="X145" s="54">
        <v>666996.05956804683</v>
      </c>
      <c r="Y145" s="16"/>
      <c r="Z145" s="1"/>
    </row>
    <row r="146" spans="1:26" x14ac:dyDescent="0.4">
      <c r="A146" s="5"/>
      <c r="B146" s="1"/>
      <c r="C146" s="1"/>
      <c r="D146" s="58">
        <f t="shared" si="15"/>
        <v>17</v>
      </c>
      <c r="E146" s="44">
        <v>687605.49534030992</v>
      </c>
      <c r="F146" s="53">
        <v>694596.6398242655</v>
      </c>
      <c r="G146" s="53">
        <v>696994.05002036353</v>
      </c>
      <c r="H146" s="53">
        <v>698205.75311291125</v>
      </c>
      <c r="I146" s="53">
        <v>698936.99144423101</v>
      </c>
      <c r="J146" s="53">
        <v>699426.25395854539</v>
      </c>
      <c r="K146" s="53">
        <v>699776.59853163443</v>
      </c>
      <c r="L146" s="53">
        <v>700039.83512292895</v>
      </c>
      <c r="M146" s="53">
        <v>700244.85877296154</v>
      </c>
      <c r="N146" s="53">
        <v>700409.05701579177</v>
      </c>
      <c r="O146" s="53">
        <v>700543.51977934502</v>
      </c>
      <c r="P146" s="53">
        <v>700655.65382505953</v>
      </c>
      <c r="Q146" s="53">
        <v>700750.59458306455</v>
      </c>
      <c r="R146" s="53">
        <v>700832.01480586233</v>
      </c>
      <c r="S146" s="53">
        <v>700902.61070455587</v>
      </c>
      <c r="T146" s="53">
        <v>700964.40628268069</v>
      </c>
      <c r="U146" s="53">
        <v>701018.95053502463</v>
      </c>
      <c r="V146" s="53">
        <v>701067.44907332421</v>
      </c>
      <c r="W146" s="53">
        <v>701110.85428165388</v>
      </c>
      <c r="X146" s="54">
        <v>701149.92848492891</v>
      </c>
      <c r="Y146" s="16"/>
      <c r="Z146" s="1"/>
    </row>
    <row r="147" spans="1:26" x14ac:dyDescent="0.4">
      <c r="A147" s="5"/>
      <c r="B147" s="1"/>
      <c r="C147" s="1"/>
      <c r="D147" s="58">
        <f t="shared" si="15"/>
        <v>18</v>
      </c>
      <c r="E147" s="44">
        <v>721985.7701073254</v>
      </c>
      <c r="F147" s="53">
        <v>729760.59471536893</v>
      </c>
      <c r="G147" s="53">
        <v>732427.80772070459</v>
      </c>
      <c r="H147" s="53">
        <v>733776.08044058527</v>
      </c>
      <c r="I147" s="53">
        <v>734589.80239454482</v>
      </c>
      <c r="J147" s="53">
        <v>735134.28164624039</v>
      </c>
      <c r="K147" s="53">
        <v>735524.17885046406</v>
      </c>
      <c r="L147" s="53">
        <v>735817.14145321562</v>
      </c>
      <c r="M147" s="53">
        <v>736045.32190325414</v>
      </c>
      <c r="N147" s="53">
        <v>736228.06867414375</v>
      </c>
      <c r="O147" s="53">
        <v>736377.72279713268</v>
      </c>
      <c r="P147" s="53">
        <v>736502.52683631645</v>
      </c>
      <c r="Q147" s="53">
        <v>736608.19584170228</v>
      </c>
      <c r="R147" s="53">
        <v>736698.81717049936</v>
      </c>
      <c r="S147" s="53">
        <v>736777.3914453109</v>
      </c>
      <c r="T147" s="53">
        <v>736846.17121584655</v>
      </c>
      <c r="U147" s="53">
        <v>736906.88040552242</v>
      </c>
      <c r="V147" s="53">
        <v>736960.86078957946</v>
      </c>
      <c r="W147" s="53">
        <v>737009.17232497281</v>
      </c>
      <c r="X147" s="54">
        <v>737052.66344870639</v>
      </c>
      <c r="Y147" s="16"/>
      <c r="Z147" s="1"/>
    </row>
    <row r="148" spans="1:26" x14ac:dyDescent="0.4">
      <c r="A148" s="5"/>
      <c r="B148" s="1"/>
      <c r="C148" s="1"/>
      <c r="D148" s="58">
        <f t="shared" si="15"/>
        <v>19</v>
      </c>
      <c r="E148" s="44">
        <v>758085.0586126917</v>
      </c>
      <c r="F148" s="53">
        <v>766704.72482283425</v>
      </c>
      <c r="G148" s="53">
        <v>769662.94548265357</v>
      </c>
      <c r="H148" s="53">
        <v>771158.55007811112</v>
      </c>
      <c r="I148" s="53">
        <v>772061.26501763938</v>
      </c>
      <c r="J148" s="53">
        <v>772665.32245952019</v>
      </c>
      <c r="K148" s="53">
        <v>773097.89839906001</v>
      </c>
      <c r="L148" s="53">
        <v>773422.93751227076</v>
      </c>
      <c r="M148" s="53">
        <v>773676.10644795781</v>
      </c>
      <c r="N148" s="53">
        <v>773878.86931827455</v>
      </c>
      <c r="O148" s="53">
        <v>774044.91701341805</v>
      </c>
      <c r="P148" s="53">
        <v>774183.39390395454</v>
      </c>
      <c r="Q148" s="53">
        <v>774300.64044968982</v>
      </c>
      <c r="R148" s="53">
        <v>774401.19137644325</v>
      </c>
      <c r="S148" s="53">
        <v>774488.37578060466</v>
      </c>
      <c r="T148" s="53">
        <v>774564.6928276387</v>
      </c>
      <c r="U148" s="53">
        <v>774632.05520271859</v>
      </c>
      <c r="V148" s="53">
        <v>774691.95161407976</v>
      </c>
      <c r="W148" s="53">
        <v>774745.55810104706</v>
      </c>
      <c r="X148" s="54">
        <v>774793.81602548226</v>
      </c>
      <c r="Y148" s="16"/>
      <c r="Z148" s="1"/>
    </row>
    <row r="149" spans="1:26" x14ac:dyDescent="0.4">
      <c r="A149" s="5"/>
      <c r="B149" s="1"/>
      <c r="C149" s="1"/>
      <c r="D149" s="58">
        <f t="shared" si="15"/>
        <v>20</v>
      </c>
      <c r="E149" s="44">
        <v>795989.31154332624</v>
      </c>
      <c r="F149" s="53">
        <v>805519.15151699015</v>
      </c>
      <c r="G149" s="53">
        <v>808791.04179906566</v>
      </c>
      <c r="H149" s="53">
        <v>810445.4822260004</v>
      </c>
      <c r="I149" s="53">
        <v>811444.14882645872</v>
      </c>
      <c r="J149" s="53">
        <v>812112.44725867221</v>
      </c>
      <c r="K149" s="53">
        <v>812591.04417633975</v>
      </c>
      <c r="L149" s="53">
        <v>812950.67289234023</v>
      </c>
      <c r="M149" s="53">
        <v>813230.7887518215</v>
      </c>
      <c r="N149" s="53">
        <v>813455.13687878777</v>
      </c>
      <c r="O149" s="53">
        <v>813638.86359632586</v>
      </c>
      <c r="P149" s="53">
        <v>813792.08564460243</v>
      </c>
      <c r="Q149" s="53">
        <v>813921.81784743746</v>
      </c>
      <c r="R149" s="53">
        <v>814033.07732807507</v>
      </c>
      <c r="S149" s="53">
        <v>814129.54738283833</v>
      </c>
      <c r="T149" s="53">
        <v>814213.99311231403</v>
      </c>
      <c r="U149" s="53">
        <v>814288.53075353999</v>
      </c>
      <c r="V149" s="53">
        <v>814354.80746241251</v>
      </c>
      <c r="W149" s="53">
        <v>814414.12445901032</v>
      </c>
      <c r="X149" s="54">
        <v>814467.52331437147</v>
      </c>
      <c r="Y149" s="16"/>
      <c r="Z149" s="1"/>
    </row>
    <row r="150" spans="1:26" x14ac:dyDescent="0.4">
      <c r="A150" s="5"/>
      <c r="B150" s="1"/>
      <c r="C150" s="1"/>
      <c r="D150" s="58">
        <f t="shared" si="15"/>
        <v>21</v>
      </c>
      <c r="E150" s="44">
        <v>835788.77712049254</v>
      </c>
      <c r="F150" s="53">
        <v>846298.55856253777</v>
      </c>
      <c r="G150" s="53">
        <v>849908.33082682255</v>
      </c>
      <c r="H150" s="53">
        <v>851733.90036848374</v>
      </c>
      <c r="I150" s="53">
        <v>852835.95551144832</v>
      </c>
      <c r="J150" s="53">
        <v>853573.47847977525</v>
      </c>
      <c r="K150" s="53">
        <v>854101.66867994261</v>
      </c>
      <c r="L150" s="53">
        <v>854498.57316343603</v>
      </c>
      <c r="M150" s="53">
        <v>854807.72930965002</v>
      </c>
      <c r="N150" s="53">
        <v>855055.339988027</v>
      </c>
      <c r="O150" s="53">
        <v>855258.11978537228</v>
      </c>
      <c r="P150" s="53">
        <v>855427.23322731443</v>
      </c>
      <c r="Q150" s="53">
        <v>855570.42182392604</v>
      </c>
      <c r="R150" s="53">
        <v>855693.22253547003</v>
      </c>
      <c r="S150" s="53">
        <v>855799.70035540406</v>
      </c>
      <c r="T150" s="53">
        <v>855892.90696913062</v>
      </c>
      <c r="U150" s="53">
        <v>855975.17797431862</v>
      </c>
      <c r="V150" s="53">
        <v>856048.3312824053</v>
      </c>
      <c r="W150" s="53">
        <v>856113.80301947973</v>
      </c>
      <c r="X150" s="54">
        <v>856172.74275202665</v>
      </c>
      <c r="Y150" s="16"/>
      <c r="Z150" s="1"/>
    </row>
    <row r="151" spans="1:26" x14ac:dyDescent="0.4">
      <c r="A151" s="5"/>
      <c r="B151" s="1"/>
      <c r="C151" s="1"/>
      <c r="D151" s="58">
        <f t="shared" si="15"/>
        <v>22</v>
      </c>
      <c r="E151" s="44">
        <v>877578.21597651718</v>
      </c>
      <c r="F151" s="53">
        <v>889142.42308976606</v>
      </c>
      <c r="G151" s="53">
        <v>893115.93907131022</v>
      </c>
      <c r="H151" s="53">
        <v>895125.77088388463</v>
      </c>
      <c r="I151" s="53">
        <v>896339.1603291689</v>
      </c>
      <c r="J151" s="53">
        <v>897151.23271838599</v>
      </c>
      <c r="K151" s="53">
        <v>897732.83334827994</v>
      </c>
      <c r="L151" s="53">
        <v>898169.88396176032</v>
      </c>
      <c r="M151" s="53">
        <v>898510.3173590129</v>
      </c>
      <c r="N151" s="53">
        <v>898782.98297719657</v>
      </c>
      <c r="O151" s="53">
        <v>899006.28422011528</v>
      </c>
      <c r="P151" s="53">
        <v>899192.51397894393</v>
      </c>
      <c r="Q151" s="53">
        <v>899350.19635654753</v>
      </c>
      <c r="R151" s="53">
        <v>899485.42815544445</v>
      </c>
      <c r="S151" s="53">
        <v>899602.68544828659</v>
      </c>
      <c r="T151" s="53">
        <v>899705.32857081387</v>
      </c>
      <c r="U151" s="53">
        <v>899795.92937424022</v>
      </c>
      <c r="V151" s="53">
        <v>899876.48967764562</v>
      </c>
      <c r="W151" s="53">
        <v>899948.59090556542</v>
      </c>
      <c r="X151" s="54">
        <v>900013.49894044735</v>
      </c>
      <c r="Y151" s="16"/>
      <c r="Z151" s="1"/>
    </row>
    <row r="152" spans="1:26" x14ac:dyDescent="0.4">
      <c r="A152" s="5"/>
      <c r="B152" s="1"/>
      <c r="C152" s="1"/>
      <c r="D152" s="58">
        <f t="shared" si="15"/>
        <v>23</v>
      </c>
      <c r="E152" s="44">
        <v>921457.1267753432</v>
      </c>
      <c r="F152" s="53">
        <v>934155.25825868535</v>
      </c>
      <c r="G152" s="53">
        <v>938520.13410344941</v>
      </c>
      <c r="H152" s="53">
        <v>940728.25486202398</v>
      </c>
      <c r="I152" s="53">
        <v>942061.46580415161</v>
      </c>
      <c r="J152" s="53">
        <v>942953.77569793002</v>
      </c>
      <c r="K152" s="53">
        <v>943592.86443864123</v>
      </c>
      <c r="L152" s="53">
        <v>944073.12755288393</v>
      </c>
      <c r="M152" s="53">
        <v>944447.22797791404</v>
      </c>
      <c r="N152" s="53">
        <v>944746.86340266466</v>
      </c>
      <c r="O152" s="53">
        <v>944992.25481785578</v>
      </c>
      <c r="P152" s="53">
        <v>945196.90955515392</v>
      </c>
      <c r="Q152" s="53">
        <v>945370.1940306389</v>
      </c>
      <c r="R152" s="53">
        <v>945518.80762435903</v>
      </c>
      <c r="S152" s="53">
        <v>945647.66887588508</v>
      </c>
      <c r="T152" s="53">
        <v>945760.47034341306</v>
      </c>
      <c r="U152" s="53">
        <v>945860.0381782843</v>
      </c>
      <c r="V152" s="53">
        <v>945948.57215768739</v>
      </c>
      <c r="W152" s="53">
        <v>946027.81010702229</v>
      </c>
      <c r="X152" s="54">
        <v>946099.14311373269</v>
      </c>
      <c r="Y152" s="16"/>
      <c r="Z152" s="1"/>
    </row>
    <row r="153" spans="1:26" x14ac:dyDescent="0.4">
      <c r="A153" s="5"/>
      <c r="B153" s="1"/>
      <c r="C153" s="1"/>
      <c r="D153" s="58">
        <f t="shared" si="15"/>
        <v>24</v>
      </c>
      <c r="E153" s="44">
        <v>967529.98311411019</v>
      </c>
      <c r="F153" s="53">
        <v>981446.86820803129</v>
      </c>
      <c r="G153" s="53">
        <v>986232.58592099533</v>
      </c>
      <c r="H153" s="53">
        <v>988653.97275054781</v>
      </c>
      <c r="I153" s="53">
        <v>990116.06837210094</v>
      </c>
      <c r="J153" s="53">
        <v>991094.69025506894</v>
      </c>
      <c r="K153" s="53">
        <v>991795.62197665288</v>
      </c>
      <c r="L153" s="53">
        <v>992322.37250723713</v>
      </c>
      <c r="M153" s="53">
        <v>992732.69232673978</v>
      </c>
      <c r="N153" s="53">
        <v>993061.34274219815</v>
      </c>
      <c r="O153" s="53">
        <v>993330.49984229938</v>
      </c>
      <c r="P153" s="53">
        <v>993554.97731994465</v>
      </c>
      <c r="Q153" s="53">
        <v>993745.04768241628</v>
      </c>
      <c r="R153" s="53">
        <v>993908.05852709408</v>
      </c>
      <c r="S153" s="53">
        <v>994049.40438208741</v>
      </c>
      <c r="T153" s="53">
        <v>994173.13520311401</v>
      </c>
      <c r="U153" s="53">
        <v>994282.35071568633</v>
      </c>
      <c r="V153" s="53">
        <v>994379.463661407</v>
      </c>
      <c r="W153" s="53">
        <v>994466.38012437325</v>
      </c>
      <c r="X153" s="54">
        <v>994544.62589095812</v>
      </c>
      <c r="Y153" s="16"/>
      <c r="Z153" s="1"/>
    </row>
    <row r="154" spans="1:26" x14ac:dyDescent="0.4">
      <c r="A154" s="5"/>
      <c r="B154" s="1"/>
      <c r="C154" s="1"/>
      <c r="D154" s="58">
        <f t="shared" si="15"/>
        <v>25</v>
      </c>
      <c r="E154" s="44">
        <v>1015906.4822698158</v>
      </c>
      <c r="F154" s="53">
        <v>1031132.6159110628</v>
      </c>
      <c r="G154" s="53">
        <v>1036370.6415969138</v>
      </c>
      <c r="H154" s="53">
        <v>1039021.2824837508</v>
      </c>
      <c r="I154" s="53">
        <v>1040621.9386245768</v>
      </c>
      <c r="J154" s="53">
        <v>1041693.3580066129</v>
      </c>
      <c r="K154" s="53">
        <v>1042460.7824448207</v>
      </c>
      <c r="L154" s="53">
        <v>1043037.5171580465</v>
      </c>
      <c r="M154" s="53">
        <v>1043486.7817064986</v>
      </c>
      <c r="N154" s="53">
        <v>1043846.6309346376</v>
      </c>
      <c r="O154" s="53">
        <v>1044141.3428379226</v>
      </c>
      <c r="P154" s="53">
        <v>1044387.1356094755</v>
      </c>
      <c r="Q154" s="53">
        <v>1044595.2559419516</v>
      </c>
      <c r="R154" s="53">
        <v>1044773.7483795853</v>
      </c>
      <c r="S154" s="53">
        <v>1044928.5192306375</v>
      </c>
      <c r="T154" s="53">
        <v>1045064.0027286198</v>
      </c>
      <c r="U154" s="53">
        <v>1045183.5927530449</v>
      </c>
      <c r="V154" s="53">
        <v>1045289.9310330779</v>
      </c>
      <c r="W154" s="53">
        <v>1045385.1045729775</v>
      </c>
      <c r="X154" s="54">
        <v>1045470.7839955008</v>
      </c>
      <c r="Y154" s="16"/>
      <c r="Z154" s="1"/>
    </row>
    <row r="155" spans="1:26" x14ac:dyDescent="0.4">
      <c r="A155" s="5"/>
      <c r="B155" s="1"/>
      <c r="C155" s="1"/>
      <c r="D155" s="58">
        <f t="shared" si="15"/>
        <v>26</v>
      </c>
      <c r="E155" s="44">
        <v>1066701.8063833066</v>
      </c>
      <c r="F155" s="53">
        <v>1083333.7045915604</v>
      </c>
      <c r="G155" s="53">
        <v>1089057.6138903201</v>
      </c>
      <c r="H155" s="53">
        <v>1091954.5717807666</v>
      </c>
      <c r="I155" s="53">
        <v>1093704.1158489757</v>
      </c>
      <c r="J155" s="53">
        <v>1094875.255396459</v>
      </c>
      <c r="K155" s="53">
        <v>1095714.1359120149</v>
      </c>
      <c r="L155" s="53">
        <v>1096344.5875461081</v>
      </c>
      <c r="M155" s="53">
        <v>1096835.7061397207</v>
      </c>
      <c r="N155" s="53">
        <v>1097229.0854709677</v>
      </c>
      <c r="O155" s="53">
        <v>1097551.2621393027</v>
      </c>
      <c r="P155" s="53">
        <v>1097819.9635905235</v>
      </c>
      <c r="Q155" s="53">
        <v>1098047.483387463</v>
      </c>
      <c r="R155" s="53">
        <v>1098242.6150369854</v>
      </c>
      <c r="S155" s="53">
        <v>1098411.8148335447</v>
      </c>
      <c r="T155" s="53">
        <v>1098559.9299824489</v>
      </c>
      <c r="U155" s="53">
        <v>1098690.6704859491</v>
      </c>
      <c r="V155" s="53">
        <v>1098806.9241655066</v>
      </c>
      <c r="W155" s="53">
        <v>1098910.9724618141</v>
      </c>
      <c r="X155" s="54">
        <v>1099004.6416559739</v>
      </c>
      <c r="Y155" s="16"/>
      <c r="Z155" s="1"/>
    </row>
    <row r="156" spans="1:26" x14ac:dyDescent="0.4">
      <c r="A156" s="5"/>
      <c r="B156" s="1"/>
      <c r="C156" s="1"/>
      <c r="D156" s="58">
        <f t="shared" si="15"/>
        <v>27</v>
      </c>
      <c r="E156" s="44">
        <v>1120036.8967024719</v>
      </c>
      <c r="F156" s="53">
        <v>1138177.4733865079</v>
      </c>
      <c r="G156" s="53">
        <v>1144423.0845298087</v>
      </c>
      <c r="H156" s="53">
        <v>1147584.5653349885</v>
      </c>
      <c r="I156" s="53">
        <v>1149494.017593008</v>
      </c>
      <c r="J156" s="53">
        <v>1150772.2648567101</v>
      </c>
      <c r="K156" s="53">
        <v>1151687.8983415985</v>
      </c>
      <c r="L156" s="53">
        <v>1152376.0505917801</v>
      </c>
      <c r="M156" s="53">
        <v>1152912.1282164948</v>
      </c>
      <c r="N156" s="53">
        <v>1153341.5257809472</v>
      </c>
      <c r="O156" s="53">
        <v>1153693.2057009488</v>
      </c>
      <c r="P156" s="53">
        <v>1153986.5164602702</v>
      </c>
      <c r="Q156" s="53">
        <v>1154234.876058582</v>
      </c>
      <c r="R156" s="53">
        <v>1154447.8824759524</v>
      </c>
      <c r="S156" s="53">
        <v>1154632.5827667636</v>
      </c>
      <c r="T156" s="53">
        <v>1154794.2677310179</v>
      </c>
      <c r="U156" s="53">
        <v>1154936.9869395581</v>
      </c>
      <c r="V156" s="53">
        <v>1155063.8925611682</v>
      </c>
      <c r="W156" s="53">
        <v>1155177.47489836</v>
      </c>
      <c r="X156" s="54">
        <v>1155279.7274405456</v>
      </c>
      <c r="Y156" s="16"/>
      <c r="Z156" s="1"/>
    </row>
    <row r="157" spans="1:26" x14ac:dyDescent="0.4">
      <c r="A157" s="5"/>
      <c r="B157" s="1"/>
      <c r="C157" s="1"/>
      <c r="D157" s="58">
        <f t="shared" si="15"/>
        <v>28</v>
      </c>
      <c r="E157" s="44">
        <v>1176038.7415375954</v>
      </c>
      <c r="F157" s="53">
        <v>1195797.7079766998</v>
      </c>
      <c r="G157" s="53">
        <v>1202603.2229150948</v>
      </c>
      <c r="H157" s="53">
        <v>1206048.6476533576</v>
      </c>
      <c r="I157" s="53">
        <v>1208129.7650200778</v>
      </c>
      <c r="J157" s="53">
        <v>1209523.0018545953</v>
      </c>
      <c r="K157" s="53">
        <v>1210521.0398535877</v>
      </c>
      <c r="L157" s="53">
        <v>1211271.1432724246</v>
      </c>
      <c r="M157" s="53">
        <v>1211855.4929860802</v>
      </c>
      <c r="N157" s="53">
        <v>1212323.5636975102</v>
      </c>
      <c r="O157" s="53">
        <v>1212706.9220313088</v>
      </c>
      <c r="P157" s="53">
        <v>1213026.6567723078</v>
      </c>
      <c r="Q157" s="53">
        <v>1213297.3931145207</v>
      </c>
      <c r="R157" s="53">
        <v>1213529.5927378742</v>
      </c>
      <c r="S157" s="53">
        <v>1213730.9369607242</v>
      </c>
      <c r="T157" s="53">
        <v>1213907.1928517576</v>
      </c>
      <c r="U157" s="53">
        <v>1214062.7745669784</v>
      </c>
      <c r="V157" s="53">
        <v>1214201.118100707</v>
      </c>
      <c r="W157" s="53">
        <v>1214324.9380094083</v>
      </c>
      <c r="X157" s="54">
        <v>1214436.4073149196</v>
      </c>
      <c r="Y157" s="16"/>
      <c r="Z157" s="1"/>
    </row>
    <row r="158" spans="1:26" x14ac:dyDescent="0.4">
      <c r="A158" s="5"/>
      <c r="B158" s="1"/>
      <c r="C158" s="1"/>
      <c r="D158" s="58">
        <f t="shared" si="15"/>
        <v>29</v>
      </c>
      <c r="E158" s="44">
        <v>1234840.6786144755</v>
      </c>
      <c r="F158" s="53">
        <v>1256334.96694302</v>
      </c>
      <c r="G158" s="53">
        <v>1263741.1210207921</v>
      </c>
      <c r="H158" s="53">
        <v>1267491.2023428073</v>
      </c>
      <c r="I158" s="53">
        <v>1269756.5248610536</v>
      </c>
      <c r="J158" s="53">
        <v>1271273.1586362247</v>
      </c>
      <c r="K158" s="53">
        <v>1272359.629755852</v>
      </c>
      <c r="L158" s="53">
        <v>1273176.2186232924</v>
      </c>
      <c r="M158" s="53">
        <v>1273812.3747144435</v>
      </c>
      <c r="N158" s="53">
        <v>1274321.9508211603</v>
      </c>
      <c r="O158" s="53">
        <v>1274739.3080547131</v>
      </c>
      <c r="P158" s="53">
        <v>1275087.4027139128</v>
      </c>
      <c r="Q158" s="53">
        <v>1275382.1554632855</v>
      </c>
      <c r="R158" s="53">
        <v>1275634.954860101</v>
      </c>
      <c r="S158" s="53">
        <v>1275854.162893594</v>
      </c>
      <c r="T158" s="53">
        <v>1276046.0577558631</v>
      </c>
      <c r="U158" s="53">
        <v>1276215.444874662</v>
      </c>
      <c r="V158" s="53">
        <v>1276366.064848603</v>
      </c>
      <c r="W158" s="53">
        <v>1276500.8729081193</v>
      </c>
      <c r="X158" s="54">
        <v>1276622.2347547165</v>
      </c>
      <c r="Y158" s="16"/>
      <c r="Z158" s="1"/>
    </row>
    <row r="159" spans="1:26" x14ac:dyDescent="0.4">
      <c r="A159" s="5"/>
      <c r="B159" s="1"/>
      <c r="C159" s="1"/>
      <c r="D159" s="59">
        <f t="shared" si="15"/>
        <v>30</v>
      </c>
      <c r="E159" s="63">
        <v>1296582.7125451989</v>
      </c>
      <c r="F159" s="55">
        <v>1319936.9246445103</v>
      </c>
      <c r="G159" s="55">
        <v>1327987.1453260204</v>
      </c>
      <c r="H159" s="64">
        <v>1332063.9686817715</v>
      </c>
      <c r="I159" s="55">
        <v>1334526.8688090176</v>
      </c>
      <c r="J159" s="55">
        <v>1336175.8655195953</v>
      </c>
      <c r="K159" s="55">
        <v>1337357.1992009776</v>
      </c>
      <c r="L159" s="55">
        <v>1338245.1094216604</v>
      </c>
      <c r="M159" s="55">
        <v>1338936.8413699856</v>
      </c>
      <c r="N159" s="55">
        <v>1339490.9436486305</v>
      </c>
      <c r="O159" s="55">
        <v>1339944.7747671518</v>
      </c>
      <c r="P159" s="55">
        <v>1340323.2942018467</v>
      </c>
      <c r="Q159" s="55">
        <v>1340643.8122303332</v>
      </c>
      <c r="R159" s="55">
        <v>1340918.7116645959</v>
      </c>
      <c r="S159" s="55">
        <v>1341157.0846575431</v>
      </c>
      <c r="T159" s="55">
        <v>1341365.7576976947</v>
      </c>
      <c r="U159" s="55">
        <v>1341549.9559465139</v>
      </c>
      <c r="V159" s="55">
        <v>1341713.746768258</v>
      </c>
      <c r="W159" s="55">
        <v>1341860.3435801012</v>
      </c>
      <c r="X159" s="56">
        <v>1341992.3187855373</v>
      </c>
      <c r="Y159" s="16"/>
      <c r="Z159" s="1"/>
    </row>
    <row r="160" spans="1:26" x14ac:dyDescent="0.4">
      <c r="A160" s="5"/>
      <c r="B160" s="1"/>
      <c r="C160" s="1"/>
      <c r="D160" s="1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6"/>
      <c r="Z160" s="1"/>
    </row>
    <row r="161" spans="1:26" x14ac:dyDescent="0.4">
      <c r="A161" s="6"/>
      <c r="B161" s="17"/>
      <c r="C161" s="17"/>
      <c r="D161" s="7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8"/>
      <c r="Z161" s="1"/>
    </row>
    <row r="162" spans="1:26" x14ac:dyDescent="0.4">
      <c r="A162" s="1"/>
      <c r="B162" s="1"/>
      <c r="C162" s="1"/>
      <c r="D162" s="1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">
      <c r="A163" s="1"/>
      <c r="B163" s="1"/>
      <c r="C163" s="1"/>
      <c r="D163" s="1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">
      <c r="A164" s="1"/>
      <c r="B164" s="1"/>
      <c r="C164" s="1"/>
      <c r="D164" s="1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">
      <c r="D165" s="139"/>
    </row>
    <row r="166" spans="1:26" x14ac:dyDescent="0.4">
      <c r="D166" s="139"/>
    </row>
  </sheetData>
  <mergeCells count="3">
    <mergeCell ref="A16:B16"/>
    <mergeCell ref="D16:X16"/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5716-EBF1-4511-8CF3-86C075256C7B}">
  <sheetPr>
    <tabColor rgb="FF00B050"/>
  </sheetPr>
  <dimension ref="A1:X166"/>
  <sheetViews>
    <sheetView showGridLines="0" zoomScale="102" zoomScaleNormal="55" workbookViewId="0">
      <selection activeCell="A13" sqref="A13"/>
    </sheetView>
  </sheetViews>
  <sheetFormatPr defaultColWidth="8.73046875" defaultRowHeight="13.15" x14ac:dyDescent="0.4"/>
  <cols>
    <col min="1" max="1" width="61" style="132" customWidth="1"/>
    <col min="2" max="2" width="16.265625" style="132" bestFit="1" customWidth="1"/>
    <col min="3" max="3" width="22.46484375" style="132" bestFit="1" customWidth="1"/>
    <col min="4" max="4" width="17" style="132" bestFit="1" customWidth="1"/>
    <col min="5" max="5" width="24.33203125" style="132" bestFit="1" customWidth="1"/>
    <col min="6" max="6" width="15.19921875" style="132" bestFit="1" customWidth="1"/>
    <col min="7" max="7" width="14.9296875" style="132" bestFit="1" customWidth="1"/>
    <col min="8" max="9" width="15.59765625" style="132" bestFit="1" customWidth="1"/>
    <col min="10" max="10" width="14.73046875" style="132" bestFit="1" customWidth="1"/>
    <col min="11" max="11" width="15.06640625" style="132" bestFit="1" customWidth="1"/>
    <col min="12" max="17" width="15.46484375" style="132" bestFit="1" customWidth="1"/>
    <col min="18" max="18" width="15.796875" style="132" bestFit="1" customWidth="1"/>
    <col min="19" max="20" width="16.265625" style="132" bestFit="1" customWidth="1"/>
    <col min="21" max="24" width="16.59765625" style="132" bestFit="1" customWidth="1"/>
    <col min="25" max="16384" width="8.73046875" style="132"/>
  </cols>
  <sheetData>
    <row r="1" spans="1:24" ht="45" x14ac:dyDescent="0.4">
      <c r="A1" s="195" t="s">
        <v>98</v>
      </c>
      <c r="B1" s="196"/>
      <c r="C1" s="196"/>
      <c r="D1" s="196"/>
      <c r="E1" s="196"/>
      <c r="F1" s="196"/>
      <c r="G1" s="196"/>
      <c r="H1" s="134"/>
      <c r="I1" s="134"/>
      <c r="J1" s="134"/>
    </row>
    <row r="2" spans="1:24" x14ac:dyDescent="0.4">
      <c r="A2" s="5"/>
      <c r="B2" s="1"/>
      <c r="C2" s="1"/>
      <c r="D2" s="1"/>
      <c r="E2" s="1"/>
      <c r="F2" s="1"/>
      <c r="G2" s="1"/>
      <c r="H2" s="134"/>
      <c r="I2" s="134"/>
      <c r="J2" s="134"/>
    </row>
    <row r="3" spans="1:24" x14ac:dyDescent="0.4">
      <c r="A3" s="5"/>
      <c r="B3" s="1"/>
      <c r="C3" s="1"/>
      <c r="D3" s="1"/>
      <c r="E3" s="1"/>
      <c r="F3" s="1"/>
      <c r="G3" s="1"/>
      <c r="H3" s="134"/>
      <c r="I3" s="134"/>
      <c r="J3" s="134"/>
    </row>
    <row r="4" spans="1:24" x14ac:dyDescent="0.4">
      <c r="A4" s="79" t="s">
        <v>40</v>
      </c>
      <c r="B4" s="80" t="s">
        <v>34</v>
      </c>
      <c r="C4" s="1"/>
      <c r="D4" s="1"/>
      <c r="E4" s="1"/>
      <c r="F4" s="1"/>
      <c r="G4" s="1"/>
      <c r="H4" s="134"/>
      <c r="I4" s="134"/>
      <c r="J4" s="134"/>
    </row>
    <row r="5" spans="1:24" s="141" customFormat="1" ht="14.25" x14ac:dyDescent="0.45">
      <c r="A5" s="129"/>
      <c r="B5"/>
      <c r="C5"/>
      <c r="D5"/>
      <c r="E5"/>
      <c r="F5"/>
      <c r="G5"/>
      <c r="H5" s="134"/>
      <c r="I5" s="134"/>
      <c r="J5" s="134"/>
    </row>
    <row r="6" spans="1:24" x14ac:dyDescent="0.4">
      <c r="A6" s="81" t="s">
        <v>80</v>
      </c>
      <c r="B6" s="81" t="s">
        <v>4</v>
      </c>
      <c r="C6" s="81" t="s">
        <v>30</v>
      </c>
      <c r="D6" s="81" t="s">
        <v>0</v>
      </c>
      <c r="E6" s="81" t="s">
        <v>1</v>
      </c>
      <c r="F6" s="77" t="s">
        <v>31</v>
      </c>
      <c r="G6" s="1"/>
      <c r="H6" s="134"/>
      <c r="I6" s="134"/>
      <c r="J6" s="134"/>
    </row>
    <row r="7" spans="1:24" x14ac:dyDescent="0.4">
      <c r="A7" s="73" t="s">
        <v>27</v>
      </c>
      <c r="B7" s="74">
        <v>1000000</v>
      </c>
      <c r="C7" s="75">
        <v>0.05</v>
      </c>
      <c r="D7" s="76">
        <v>30</v>
      </c>
      <c r="E7" s="76">
        <v>4</v>
      </c>
      <c r="F7" s="86">
        <f>(B7*((1+(C7/E7))^(D7*E7)))</f>
        <v>4440213.228939238</v>
      </c>
      <c r="G7" s="1"/>
      <c r="H7" s="134"/>
      <c r="I7" s="134"/>
      <c r="J7" s="134"/>
    </row>
    <row r="8" spans="1:24" x14ac:dyDescent="0.4">
      <c r="A8" s="73" t="s">
        <v>28</v>
      </c>
      <c r="B8" s="74">
        <v>700000</v>
      </c>
      <c r="C8" s="75">
        <v>0.1</v>
      </c>
      <c r="D8" s="76">
        <v>30</v>
      </c>
      <c r="E8" s="76">
        <v>4</v>
      </c>
      <c r="F8" s="86">
        <f>(B8*((1+(C8/E8))^(D8*E8)))</f>
        <v>13550704.883644506</v>
      </c>
      <c r="G8" s="1"/>
      <c r="H8" s="134"/>
      <c r="I8" s="134"/>
      <c r="J8" s="134"/>
    </row>
    <row r="9" spans="1:24" x14ac:dyDescent="0.4">
      <c r="A9" s="73" t="s">
        <v>29</v>
      </c>
      <c r="B9" s="74">
        <v>1200000</v>
      </c>
      <c r="C9" s="75">
        <v>0.18</v>
      </c>
      <c r="D9" s="76">
        <v>30</v>
      </c>
      <c r="E9" s="76">
        <v>4</v>
      </c>
      <c r="F9" s="86">
        <f t="shared" ref="F9" si="0">(B9*((1+(C9/E9))^(D9*E9)))</f>
        <v>236121807.84420443</v>
      </c>
      <c r="G9" s="1"/>
      <c r="H9" s="134"/>
      <c r="I9" s="134"/>
      <c r="J9" s="134"/>
    </row>
    <row r="10" spans="1:24" x14ac:dyDescent="0.4">
      <c r="A10" s="5"/>
      <c r="B10" s="1"/>
      <c r="C10" s="1"/>
      <c r="D10" s="1"/>
      <c r="E10" s="1"/>
      <c r="F10" s="1"/>
      <c r="G10" s="1"/>
      <c r="H10" s="134"/>
      <c r="I10" s="134"/>
      <c r="J10" s="134"/>
    </row>
    <row r="11" spans="1:24" x14ac:dyDescent="0.4">
      <c r="A11" s="5"/>
      <c r="B11" s="1"/>
      <c r="C11" s="1"/>
      <c r="D11" s="1"/>
      <c r="E11" s="1"/>
      <c r="F11" s="1"/>
      <c r="G11" s="1"/>
      <c r="H11" s="134"/>
      <c r="I11" s="134"/>
      <c r="J11" s="134"/>
    </row>
    <row r="12" spans="1:24" x14ac:dyDescent="0.4">
      <c r="A12" s="130" t="s">
        <v>32</v>
      </c>
      <c r="B12" s="1"/>
      <c r="C12" s="1"/>
      <c r="D12" s="1"/>
      <c r="E12" s="1"/>
      <c r="F12" s="1"/>
      <c r="G12" s="1"/>
      <c r="H12" s="134"/>
      <c r="I12" s="134"/>
      <c r="J12" s="134"/>
    </row>
    <row r="13" spans="1:24" x14ac:dyDescent="0.4">
      <c r="A13" s="131" t="s">
        <v>33</v>
      </c>
      <c r="B13" s="1"/>
      <c r="C13" s="1"/>
      <c r="D13" s="1"/>
      <c r="E13" s="1"/>
      <c r="F13" s="1"/>
      <c r="G13" s="1"/>
      <c r="H13" s="134"/>
      <c r="I13" s="134"/>
      <c r="J13" s="134"/>
    </row>
    <row r="14" spans="1:24" x14ac:dyDescent="0.4">
      <c r="A14" s="130" t="s">
        <v>58</v>
      </c>
      <c r="B14" s="1"/>
      <c r="C14" s="1"/>
      <c r="D14" s="1"/>
      <c r="E14" s="1"/>
      <c r="F14" s="1"/>
      <c r="G14" s="1"/>
      <c r="H14" s="134"/>
      <c r="I14" s="134"/>
      <c r="J14" s="134"/>
    </row>
    <row r="15" spans="1:24" x14ac:dyDescent="0.4">
      <c r="A15" s="6"/>
      <c r="B15" s="17"/>
      <c r="C15" s="17"/>
      <c r="D15" s="17"/>
      <c r="E15" s="17"/>
      <c r="F15" s="17"/>
      <c r="G15" s="17"/>
      <c r="H15" s="134"/>
      <c r="I15" s="134"/>
      <c r="J15" s="134"/>
    </row>
    <row r="16" spans="1:24" x14ac:dyDescent="0.4">
      <c r="A16" s="198"/>
      <c r="B16" s="198"/>
      <c r="C16" s="175"/>
      <c r="D16" s="176"/>
      <c r="E16" s="176"/>
      <c r="F16" s="176"/>
      <c r="G16" s="176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</row>
    <row r="17" spans="1:24" x14ac:dyDescent="0.4">
      <c r="A17" s="175"/>
      <c r="B17" s="175"/>
      <c r="C17" s="175"/>
      <c r="D17" s="176"/>
      <c r="E17" s="176"/>
      <c r="F17" s="175"/>
      <c r="G17" s="175"/>
    </row>
    <row r="18" spans="1:24" x14ac:dyDescent="0.4">
      <c r="A18" s="177"/>
      <c r="B18" s="177"/>
      <c r="C18" s="175"/>
      <c r="D18" s="177"/>
      <c r="E18" s="176"/>
      <c r="F18" s="175"/>
      <c r="G18" s="175"/>
    </row>
    <row r="19" spans="1:24" x14ac:dyDescent="0.4">
      <c r="A19" s="178"/>
      <c r="B19" s="178"/>
      <c r="C19" s="175"/>
      <c r="D19" s="178"/>
      <c r="E19" s="179"/>
      <c r="F19" s="180"/>
      <c r="G19" s="180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</row>
    <row r="20" spans="1:24" x14ac:dyDescent="0.4">
      <c r="A20" s="181"/>
      <c r="B20" s="181"/>
      <c r="C20" s="175"/>
      <c r="D20" s="181"/>
      <c r="E20" s="181"/>
      <c r="F20" s="181"/>
      <c r="G20" s="181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</row>
    <row r="21" spans="1:24" x14ac:dyDescent="0.4">
      <c r="A21" s="178"/>
      <c r="B21" s="181"/>
      <c r="C21" s="175"/>
      <c r="D21" s="181"/>
      <c r="E21" s="181"/>
      <c r="F21" s="181"/>
      <c r="G21" s="181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</row>
    <row r="22" spans="1:24" x14ac:dyDescent="0.4">
      <c r="A22" s="178"/>
      <c r="B22" s="181"/>
      <c r="C22" s="175"/>
      <c r="D22" s="181"/>
      <c r="E22" s="181"/>
      <c r="F22" s="181"/>
      <c r="G22" s="181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</row>
    <row r="23" spans="1:24" x14ac:dyDescent="0.4">
      <c r="A23" s="135"/>
      <c r="B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</row>
    <row r="24" spans="1:24" x14ac:dyDescent="0.4">
      <c r="A24" s="135"/>
      <c r="B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</row>
    <row r="25" spans="1:24" x14ac:dyDescent="0.4">
      <c r="A25" s="135"/>
      <c r="B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</row>
    <row r="26" spans="1:24" x14ac:dyDescent="0.4">
      <c r="A26" s="135"/>
      <c r="B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</row>
    <row r="27" spans="1:24" x14ac:dyDescent="0.4">
      <c r="A27" s="135"/>
      <c r="B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</row>
    <row r="28" spans="1:24" x14ac:dyDescent="0.4">
      <c r="A28" s="135"/>
      <c r="B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</row>
    <row r="29" spans="1:24" x14ac:dyDescent="0.4">
      <c r="A29" s="135"/>
      <c r="B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</row>
    <row r="30" spans="1:24" x14ac:dyDescent="0.4">
      <c r="A30" s="135"/>
      <c r="B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</row>
    <row r="31" spans="1:24" x14ac:dyDescent="0.4">
      <c r="A31" s="135"/>
      <c r="B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</row>
    <row r="32" spans="1:24" x14ac:dyDescent="0.4">
      <c r="A32" s="135"/>
      <c r="B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</row>
    <row r="33" spans="1:24" x14ac:dyDescent="0.4">
      <c r="A33" s="135"/>
      <c r="B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</row>
    <row r="34" spans="1:24" x14ac:dyDescent="0.4">
      <c r="A34" s="135"/>
      <c r="B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</row>
    <row r="35" spans="1:24" x14ac:dyDescent="0.4">
      <c r="A35" s="135"/>
      <c r="B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</row>
    <row r="36" spans="1:24" x14ac:dyDescent="0.4">
      <c r="A36" s="135"/>
      <c r="B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</row>
    <row r="37" spans="1:24" x14ac:dyDescent="0.4">
      <c r="A37" s="135"/>
      <c r="B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</row>
    <row r="38" spans="1:24" x14ac:dyDescent="0.4">
      <c r="A38" s="135"/>
      <c r="B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</row>
    <row r="39" spans="1:24" x14ac:dyDescent="0.4">
      <c r="A39" s="135"/>
      <c r="B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</row>
    <row r="42" spans="1:24" x14ac:dyDescent="0.4">
      <c r="A42" s="133"/>
      <c r="B42" s="133"/>
      <c r="D42" s="133"/>
      <c r="E42" s="134"/>
    </row>
    <row r="43" spans="1:24" x14ac:dyDescent="0.4">
      <c r="A43" s="136"/>
      <c r="B43" s="135"/>
      <c r="D43" s="135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</row>
    <row r="44" spans="1:24" x14ac:dyDescent="0.4">
      <c r="A44" s="136"/>
      <c r="B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</row>
    <row r="45" spans="1:24" x14ac:dyDescent="0.4">
      <c r="A45" s="136"/>
      <c r="B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</row>
    <row r="46" spans="1:24" x14ac:dyDescent="0.4">
      <c r="A46" s="136"/>
      <c r="B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</row>
    <row r="47" spans="1:24" x14ac:dyDescent="0.4">
      <c r="A47" s="136"/>
      <c r="B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</row>
    <row r="48" spans="1:24" x14ac:dyDescent="0.4">
      <c r="A48" s="136"/>
      <c r="B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</row>
    <row r="49" spans="1:24" x14ac:dyDescent="0.4">
      <c r="A49" s="136"/>
      <c r="B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</row>
    <row r="50" spans="1:24" x14ac:dyDescent="0.4">
      <c r="A50" s="136"/>
      <c r="B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</row>
    <row r="51" spans="1:24" x14ac:dyDescent="0.4">
      <c r="A51" s="136"/>
      <c r="B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</row>
    <row r="52" spans="1:24" x14ac:dyDescent="0.4">
      <c r="A52" s="136"/>
      <c r="B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</row>
    <row r="53" spans="1:24" x14ac:dyDescent="0.4">
      <c r="A53" s="136"/>
      <c r="B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</row>
    <row r="54" spans="1:24" x14ac:dyDescent="0.4">
      <c r="A54" s="136"/>
      <c r="B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</row>
    <row r="55" spans="1:24" x14ac:dyDescent="0.4">
      <c r="A55" s="136"/>
      <c r="B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</row>
    <row r="56" spans="1:24" x14ac:dyDescent="0.4">
      <c r="A56" s="136"/>
      <c r="B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</row>
    <row r="57" spans="1:24" x14ac:dyDescent="0.4">
      <c r="A57" s="136"/>
      <c r="B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</row>
    <row r="58" spans="1:24" x14ac:dyDescent="0.4">
      <c r="A58" s="136"/>
      <c r="B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</row>
    <row r="59" spans="1:24" x14ac:dyDescent="0.4">
      <c r="A59" s="136"/>
      <c r="B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</row>
    <row r="60" spans="1:24" x14ac:dyDescent="0.4">
      <c r="A60" s="136"/>
      <c r="B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</row>
    <row r="61" spans="1:24" x14ac:dyDescent="0.4">
      <c r="A61" s="136"/>
      <c r="B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</row>
    <row r="62" spans="1:24" x14ac:dyDescent="0.4">
      <c r="A62" s="136"/>
      <c r="B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</row>
    <row r="63" spans="1:24" x14ac:dyDescent="0.4">
      <c r="A63" s="136"/>
      <c r="B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</row>
    <row r="66" spans="1:24" x14ac:dyDescent="0.4">
      <c r="A66" s="133"/>
      <c r="B66" s="133"/>
      <c r="D66" s="133"/>
      <c r="E66" s="134"/>
    </row>
    <row r="67" spans="1:24" x14ac:dyDescent="0.4">
      <c r="A67" s="140"/>
      <c r="B67" s="135"/>
      <c r="D67" s="135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</row>
    <row r="68" spans="1:24" x14ac:dyDescent="0.4">
      <c r="A68" s="140"/>
      <c r="B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</row>
    <row r="69" spans="1:24" x14ac:dyDescent="0.4">
      <c r="A69" s="140"/>
      <c r="B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</row>
    <row r="70" spans="1:24" x14ac:dyDescent="0.4">
      <c r="A70" s="140"/>
      <c r="B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</row>
    <row r="71" spans="1:24" x14ac:dyDescent="0.4">
      <c r="A71" s="140"/>
      <c r="B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</row>
    <row r="72" spans="1:24" x14ac:dyDescent="0.4">
      <c r="A72" s="140"/>
      <c r="B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</row>
    <row r="73" spans="1:24" x14ac:dyDescent="0.4">
      <c r="A73" s="140"/>
      <c r="B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</row>
    <row r="74" spans="1:24" x14ac:dyDescent="0.4">
      <c r="A74" s="140"/>
      <c r="B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</row>
    <row r="75" spans="1:24" x14ac:dyDescent="0.4">
      <c r="A75" s="140"/>
      <c r="B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</row>
    <row r="76" spans="1:24" x14ac:dyDescent="0.4">
      <c r="A76" s="140"/>
      <c r="B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</row>
    <row r="77" spans="1:24" x14ac:dyDescent="0.4">
      <c r="A77" s="140"/>
      <c r="B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</row>
    <row r="78" spans="1:24" x14ac:dyDescent="0.4">
      <c r="A78" s="140"/>
      <c r="B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</row>
    <row r="79" spans="1:24" x14ac:dyDescent="0.4">
      <c r="A79" s="140"/>
      <c r="B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</row>
    <row r="80" spans="1:24" x14ac:dyDescent="0.4">
      <c r="A80" s="140"/>
      <c r="B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</row>
    <row r="81" spans="1:24" x14ac:dyDescent="0.4">
      <c r="A81" s="140"/>
      <c r="B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</row>
    <row r="82" spans="1:24" x14ac:dyDescent="0.4">
      <c r="A82" s="140"/>
      <c r="B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</row>
    <row r="83" spans="1:24" x14ac:dyDescent="0.4">
      <c r="A83" s="140"/>
      <c r="B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</row>
    <row r="84" spans="1:24" x14ac:dyDescent="0.4">
      <c r="A84" s="140"/>
      <c r="B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</row>
    <row r="85" spans="1:24" x14ac:dyDescent="0.4">
      <c r="A85" s="140"/>
      <c r="B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</row>
    <row r="86" spans="1:24" x14ac:dyDescent="0.4">
      <c r="A86" s="140"/>
      <c r="B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</row>
    <row r="87" spans="1:24" x14ac:dyDescent="0.4">
      <c r="A87" s="140"/>
      <c r="B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</row>
    <row r="88" spans="1:24" x14ac:dyDescent="0.4">
      <c r="A88" s="139"/>
    </row>
    <row r="90" spans="1:24" x14ac:dyDescent="0.4">
      <c r="A90" s="133"/>
      <c r="B90" s="133"/>
      <c r="D90" s="133"/>
      <c r="E90" s="134"/>
    </row>
    <row r="91" spans="1:24" x14ac:dyDescent="0.4">
      <c r="A91" s="140"/>
      <c r="B91" s="135"/>
      <c r="D91" s="135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</row>
    <row r="92" spans="1:24" x14ac:dyDescent="0.4">
      <c r="A92" s="140"/>
      <c r="B92" s="138"/>
      <c r="D92" s="136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</row>
    <row r="93" spans="1:24" x14ac:dyDescent="0.4">
      <c r="A93" s="140"/>
      <c r="B93" s="138"/>
      <c r="D93" s="137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</row>
    <row r="94" spans="1:24" x14ac:dyDescent="0.4">
      <c r="A94" s="140"/>
      <c r="B94" s="138"/>
      <c r="D94" s="137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</row>
    <row r="95" spans="1:24" x14ac:dyDescent="0.4">
      <c r="A95" s="140"/>
      <c r="B95" s="138"/>
      <c r="D95" s="137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</row>
    <row r="96" spans="1:24" x14ac:dyDescent="0.4">
      <c r="A96" s="140"/>
      <c r="B96" s="138"/>
      <c r="D96" s="137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</row>
    <row r="97" spans="1:24" x14ac:dyDescent="0.4">
      <c r="A97" s="140"/>
      <c r="B97" s="138"/>
      <c r="D97" s="137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</row>
    <row r="98" spans="1:24" x14ac:dyDescent="0.4">
      <c r="A98" s="140"/>
      <c r="B98" s="138"/>
      <c r="D98" s="137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</row>
    <row r="99" spans="1:24" x14ac:dyDescent="0.4">
      <c r="A99" s="140"/>
      <c r="B99" s="138"/>
      <c r="D99" s="137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</row>
    <row r="100" spans="1:24" x14ac:dyDescent="0.4">
      <c r="A100" s="140"/>
      <c r="B100" s="138"/>
      <c r="D100" s="137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</row>
    <row r="101" spans="1:24" x14ac:dyDescent="0.4">
      <c r="A101" s="140"/>
      <c r="B101" s="138"/>
      <c r="D101" s="137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</row>
    <row r="102" spans="1:24" x14ac:dyDescent="0.4">
      <c r="A102" s="140"/>
      <c r="B102" s="138"/>
      <c r="D102" s="137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</row>
    <row r="103" spans="1:24" x14ac:dyDescent="0.4">
      <c r="A103" s="140"/>
      <c r="B103" s="138"/>
      <c r="D103" s="137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</row>
    <row r="104" spans="1:24" x14ac:dyDescent="0.4">
      <c r="A104" s="140"/>
      <c r="B104" s="138"/>
      <c r="D104" s="137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</row>
    <row r="105" spans="1:24" x14ac:dyDescent="0.4">
      <c r="A105" s="140"/>
      <c r="B105" s="138"/>
      <c r="D105" s="137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</row>
    <row r="106" spans="1:24" x14ac:dyDescent="0.4">
      <c r="A106" s="140"/>
      <c r="B106" s="138"/>
      <c r="D106" s="137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</row>
    <row r="107" spans="1:24" x14ac:dyDescent="0.4">
      <c r="A107" s="140"/>
      <c r="B107" s="138"/>
      <c r="D107" s="137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</row>
    <row r="108" spans="1:24" x14ac:dyDescent="0.4">
      <c r="A108" s="140"/>
      <c r="B108" s="138"/>
      <c r="D108" s="137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</row>
    <row r="109" spans="1:24" x14ac:dyDescent="0.4">
      <c r="A109" s="140"/>
      <c r="B109" s="138"/>
      <c r="D109" s="137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</row>
    <row r="110" spans="1:24" x14ac:dyDescent="0.4">
      <c r="A110" s="140"/>
      <c r="B110" s="138"/>
      <c r="D110" s="137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</row>
    <row r="111" spans="1:24" x14ac:dyDescent="0.4">
      <c r="A111" s="140"/>
      <c r="B111" s="138"/>
      <c r="D111" s="137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</row>
    <row r="114" spans="4:24" x14ac:dyDescent="0.4">
      <c r="D114" s="133"/>
      <c r="E114" s="134"/>
    </row>
    <row r="115" spans="4:24" x14ac:dyDescent="0.4">
      <c r="D115" s="135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</row>
    <row r="116" spans="4:24" x14ac:dyDescent="0.4">
      <c r="D116" s="136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</row>
    <row r="117" spans="4:24" x14ac:dyDescent="0.4">
      <c r="D117" s="137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</row>
    <row r="118" spans="4:24" x14ac:dyDescent="0.4">
      <c r="D118" s="137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</row>
    <row r="119" spans="4:24" x14ac:dyDescent="0.4">
      <c r="D119" s="137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</row>
    <row r="120" spans="4:24" x14ac:dyDescent="0.4">
      <c r="D120" s="137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</row>
    <row r="121" spans="4:24" x14ac:dyDescent="0.4">
      <c r="D121" s="137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</row>
    <row r="122" spans="4:24" x14ac:dyDescent="0.4">
      <c r="D122" s="137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</row>
    <row r="123" spans="4:24" x14ac:dyDescent="0.4">
      <c r="D123" s="137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</row>
    <row r="124" spans="4:24" x14ac:dyDescent="0.4">
      <c r="D124" s="137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</row>
    <row r="125" spans="4:24" x14ac:dyDescent="0.4">
      <c r="D125" s="137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</row>
    <row r="126" spans="4:24" x14ac:dyDescent="0.4">
      <c r="D126" s="137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</row>
    <row r="127" spans="4:24" x14ac:dyDescent="0.4">
      <c r="D127" s="137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</row>
    <row r="128" spans="4:24" x14ac:dyDescent="0.4">
      <c r="D128" s="137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</row>
    <row r="129" spans="4:24" x14ac:dyDescent="0.4">
      <c r="D129" s="137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</row>
    <row r="130" spans="4:24" x14ac:dyDescent="0.4">
      <c r="D130" s="137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</row>
    <row r="131" spans="4:24" x14ac:dyDescent="0.4">
      <c r="D131" s="137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</row>
    <row r="132" spans="4:24" x14ac:dyDescent="0.4">
      <c r="D132" s="137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</row>
    <row r="133" spans="4:24" x14ac:dyDescent="0.4">
      <c r="D133" s="137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</row>
    <row r="134" spans="4:24" x14ac:dyDescent="0.4">
      <c r="D134" s="137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</row>
    <row r="135" spans="4:24" x14ac:dyDescent="0.4">
      <c r="D135" s="137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</row>
    <row r="138" spans="4:24" x14ac:dyDescent="0.4">
      <c r="D138" s="133"/>
      <c r="E138" s="134"/>
    </row>
    <row r="139" spans="4:24" x14ac:dyDescent="0.4">
      <c r="D139" s="135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</row>
    <row r="140" spans="4:24" x14ac:dyDescent="0.4">
      <c r="D140" s="139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</row>
    <row r="141" spans="4:24" x14ac:dyDescent="0.4">
      <c r="D141" s="139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</row>
    <row r="142" spans="4:24" x14ac:dyDescent="0.4">
      <c r="D142" s="139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</row>
    <row r="143" spans="4:24" x14ac:dyDescent="0.4">
      <c r="D143" s="139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</row>
    <row r="144" spans="4:24" x14ac:dyDescent="0.4">
      <c r="D144" s="139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</row>
    <row r="145" spans="4:24" x14ac:dyDescent="0.4">
      <c r="D145" s="139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</row>
    <row r="146" spans="4:24" x14ac:dyDescent="0.4">
      <c r="D146" s="139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</row>
    <row r="147" spans="4:24" x14ac:dyDescent="0.4">
      <c r="D147" s="139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</row>
    <row r="148" spans="4:24" x14ac:dyDescent="0.4">
      <c r="D148" s="139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</row>
    <row r="149" spans="4:24" x14ac:dyDescent="0.4">
      <c r="D149" s="139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</row>
    <row r="150" spans="4:24" x14ac:dyDescent="0.4">
      <c r="D150" s="139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</row>
    <row r="151" spans="4:24" x14ac:dyDescent="0.4">
      <c r="D151" s="139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</row>
    <row r="152" spans="4:24" x14ac:dyDescent="0.4">
      <c r="D152" s="139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</row>
    <row r="153" spans="4:24" x14ac:dyDescent="0.4">
      <c r="D153" s="139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</row>
    <row r="154" spans="4:24" x14ac:dyDescent="0.4">
      <c r="D154" s="139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</row>
    <row r="155" spans="4:24" x14ac:dyDescent="0.4">
      <c r="D155" s="139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</row>
    <row r="156" spans="4:24" x14ac:dyDescent="0.4">
      <c r="D156" s="139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</row>
    <row r="157" spans="4:24" x14ac:dyDescent="0.4">
      <c r="D157" s="139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</row>
    <row r="158" spans="4:24" x14ac:dyDescent="0.4">
      <c r="D158" s="139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</row>
    <row r="159" spans="4:24" x14ac:dyDescent="0.4">
      <c r="D159" s="139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</row>
    <row r="160" spans="4:24" x14ac:dyDescent="0.4">
      <c r="D160" s="139"/>
    </row>
    <row r="161" spans="4:4" x14ac:dyDescent="0.4">
      <c r="D161" s="139"/>
    </row>
    <row r="162" spans="4:4" x14ac:dyDescent="0.4">
      <c r="D162" s="139"/>
    </row>
    <row r="163" spans="4:4" x14ac:dyDescent="0.4">
      <c r="D163" s="139"/>
    </row>
    <row r="164" spans="4:4" x14ac:dyDescent="0.4">
      <c r="D164" s="139"/>
    </row>
    <row r="165" spans="4:4" x14ac:dyDescent="0.4">
      <c r="D165" s="139"/>
    </row>
    <row r="166" spans="4:4" x14ac:dyDescent="0.4">
      <c r="D166" s="139"/>
    </row>
  </sheetData>
  <scenarios current="0" show="2" sqref="F7">
    <scenario name="Case 1" locked="1" count="4" user="ABHIMANYU BABBAR" comment="Created by ABHIMANYU BABBAR on 21-12-2024_x000a_Modified by ABHIMANYU BABBAR on 21-12-2024">
      <inputCells r="B7" val="1000000" numFmtId="43"/>
      <inputCells r="C7" val="0.05" numFmtId="9"/>
      <inputCells r="D7" val="30"/>
      <inputCells r="E7" val="4"/>
    </scenario>
    <scenario name="Case 2" locked="1" count="4" user="ABHIMANYU BABBAR" comment="Created by ABHIMANYU BABBAR on 21-12-2024_x000a_Modified by ABHIMANYU BABBAR on 21-12-2024">
      <inputCells r="B7" val="700000" numFmtId="43"/>
      <inputCells r="C7" val="0.1" numFmtId="9"/>
      <inputCells r="D7" val="30"/>
      <inputCells r="E7" val="4"/>
    </scenario>
    <scenario name="Case 3" locked="1" count="4" user="ABHIMANYU BABBAR" comment="Created by ABHIMANYU BABBAR on 21-12-2024_x000a_Modified by ABHIMANYU BABBAR on 21-12-2024">
      <inputCells r="B7" val="1200000" numFmtId="43"/>
      <inputCells r="C7" val="0.18" numFmtId="9"/>
      <inputCells r="D7" val="30"/>
      <inputCells r="E7" val="4"/>
    </scenario>
  </scenarios>
  <mergeCells count="2">
    <mergeCell ref="A16:B16"/>
    <mergeCell ref="A1:G1"/>
  </mergeCells>
  <hyperlinks>
    <hyperlink ref="B4" location="'Scenario Summary'!A1" display="Scenario Summary" xr:uid="{704824C1-C005-48CA-B6F0-82292CBDDD8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D95F-205A-40C1-9833-D2D36A59F756}">
  <sheetPr>
    <tabColor rgb="FF7030A0"/>
    <outlinePr summaryBelow="0"/>
  </sheetPr>
  <dimension ref="A1:O18"/>
  <sheetViews>
    <sheetView showGridLines="0" zoomScale="114" workbookViewId="0">
      <selection activeCell="I11" sqref="I11"/>
    </sheetView>
  </sheetViews>
  <sheetFormatPr defaultColWidth="8.73046875" defaultRowHeight="13.15" outlineLevelRow="1" outlineLevelCol="1" x14ac:dyDescent="0.4"/>
  <cols>
    <col min="1" max="2" width="8.73046875" style="132"/>
    <col min="3" max="3" width="5.06640625" style="132" bestFit="1" customWidth="1"/>
    <col min="4" max="6" width="14.73046875" style="132" bestFit="1" customWidth="1" outlineLevel="1"/>
    <col min="7" max="7" width="15.06640625" style="132" bestFit="1" customWidth="1" outlineLevel="1"/>
    <col min="8" max="16384" width="8.73046875" style="132"/>
  </cols>
  <sheetData>
    <row r="1" spans="1:15" ht="45" x14ac:dyDescent="0.4">
      <c r="A1" s="195" t="s">
        <v>98</v>
      </c>
      <c r="B1" s="196"/>
      <c r="C1" s="196"/>
      <c r="D1" s="196"/>
      <c r="E1" s="196"/>
      <c r="F1" s="196"/>
      <c r="G1" s="196"/>
      <c r="H1" s="196"/>
      <c r="I1" s="196"/>
      <c r="J1" s="197"/>
      <c r="K1" s="175"/>
      <c r="L1" s="175"/>
      <c r="M1" s="175"/>
      <c r="N1" s="175"/>
      <c r="O1" s="175"/>
    </row>
    <row r="2" spans="1:15" x14ac:dyDescent="0.4">
      <c r="A2" s="5"/>
      <c r="B2" s="1"/>
      <c r="C2" s="1"/>
      <c r="D2" s="1"/>
      <c r="E2" s="1"/>
      <c r="F2" s="1"/>
      <c r="G2" s="1"/>
      <c r="H2" s="1"/>
      <c r="I2" s="1"/>
      <c r="J2" s="16"/>
      <c r="K2" s="175"/>
      <c r="L2" s="175"/>
      <c r="M2" s="175"/>
      <c r="N2" s="175"/>
      <c r="O2" s="175"/>
    </row>
    <row r="3" spans="1:15" ht="13.5" thickBot="1" x14ac:dyDescent="0.45">
      <c r="A3" s="5"/>
      <c r="B3" s="1"/>
      <c r="C3" s="1"/>
      <c r="D3" s="1"/>
      <c r="E3" s="1"/>
      <c r="F3" s="1"/>
      <c r="G3" s="1"/>
      <c r="H3" s="1"/>
      <c r="I3" s="1"/>
      <c r="J3" s="16"/>
      <c r="K3" s="175"/>
      <c r="L3" s="175"/>
      <c r="M3" s="175"/>
      <c r="N3" s="175"/>
      <c r="O3" s="175"/>
    </row>
    <row r="4" spans="1:15" x14ac:dyDescent="0.4">
      <c r="A4" s="5"/>
      <c r="B4" s="98" t="s">
        <v>34</v>
      </c>
      <c r="C4" s="98"/>
      <c r="D4" s="97"/>
      <c r="E4" s="97"/>
      <c r="F4" s="97"/>
      <c r="G4" s="97"/>
      <c r="H4" s="1"/>
      <c r="I4" s="1"/>
      <c r="J4" s="16"/>
      <c r="K4" s="175"/>
      <c r="L4" s="175"/>
      <c r="M4" s="175"/>
      <c r="N4" s="175"/>
      <c r="O4" s="175"/>
    </row>
    <row r="5" spans="1:15" collapsed="1" x14ac:dyDescent="0.4">
      <c r="A5" s="5"/>
      <c r="B5" s="99"/>
      <c r="C5" s="99"/>
      <c r="D5" s="111" t="s">
        <v>36</v>
      </c>
      <c r="E5" s="111" t="s">
        <v>27</v>
      </c>
      <c r="F5" s="111" t="s">
        <v>28</v>
      </c>
      <c r="G5" s="111" t="s">
        <v>29</v>
      </c>
      <c r="H5" s="1"/>
      <c r="I5" s="1"/>
      <c r="J5" s="16"/>
      <c r="K5" s="175"/>
      <c r="L5" s="175"/>
      <c r="M5" s="175"/>
      <c r="N5" s="175"/>
      <c r="O5" s="175"/>
    </row>
    <row r="6" spans="1:15" ht="105" hidden="1" outlineLevel="1" x14ac:dyDescent="0.4">
      <c r="A6" s="5"/>
      <c r="B6" s="100"/>
      <c r="C6" s="100"/>
      <c r="D6" s="1"/>
      <c r="E6" s="101" t="s">
        <v>45</v>
      </c>
      <c r="F6" s="101" t="s">
        <v>45</v>
      </c>
      <c r="G6" s="101" t="s">
        <v>45</v>
      </c>
      <c r="H6" s="1"/>
      <c r="I6" s="1"/>
      <c r="J6" s="16"/>
      <c r="K6" s="175"/>
      <c r="L6" s="175"/>
      <c r="M6" s="175"/>
      <c r="N6" s="175"/>
      <c r="O6" s="175"/>
    </row>
    <row r="7" spans="1:15" x14ac:dyDescent="0.4">
      <c r="A7" s="5"/>
      <c r="B7" s="102" t="s">
        <v>35</v>
      </c>
      <c r="C7" s="102"/>
      <c r="D7" s="103"/>
      <c r="E7" s="103"/>
      <c r="F7" s="103"/>
      <c r="G7" s="103"/>
      <c r="H7" s="1"/>
      <c r="I7" s="1"/>
      <c r="J7" s="16"/>
      <c r="K7" s="175"/>
      <c r="L7" s="175"/>
      <c r="M7" s="175"/>
      <c r="N7" s="175"/>
      <c r="O7" s="175"/>
    </row>
    <row r="8" spans="1:15" outlineLevel="1" x14ac:dyDescent="0.4">
      <c r="A8" s="5"/>
      <c r="B8" s="100"/>
      <c r="C8" s="100" t="s">
        <v>41</v>
      </c>
      <c r="D8" s="104">
        <v>1000000</v>
      </c>
      <c r="E8" s="105">
        <v>1000000</v>
      </c>
      <c r="F8" s="105">
        <v>700000</v>
      </c>
      <c r="G8" s="105">
        <v>1200000</v>
      </c>
      <c r="H8" s="1"/>
      <c r="I8" s="1"/>
      <c r="J8" s="16"/>
      <c r="K8" s="175"/>
      <c r="L8" s="175"/>
      <c r="M8" s="175"/>
      <c r="N8" s="175"/>
      <c r="O8" s="175"/>
    </row>
    <row r="9" spans="1:15" outlineLevel="1" x14ac:dyDescent="0.4">
      <c r="A9" s="5"/>
      <c r="B9" s="100"/>
      <c r="C9" s="100" t="s">
        <v>42</v>
      </c>
      <c r="D9" s="106">
        <v>0.05</v>
      </c>
      <c r="E9" s="107">
        <v>0.05</v>
      </c>
      <c r="F9" s="107">
        <v>0.1</v>
      </c>
      <c r="G9" s="107">
        <v>0.18</v>
      </c>
      <c r="H9" s="1"/>
      <c r="I9" s="1"/>
      <c r="J9" s="16"/>
      <c r="K9" s="175"/>
      <c r="L9" s="175"/>
      <c r="M9" s="175"/>
      <c r="N9" s="175"/>
      <c r="O9" s="175"/>
    </row>
    <row r="10" spans="1:15" outlineLevel="1" x14ac:dyDescent="0.4">
      <c r="A10" s="5"/>
      <c r="B10" s="100"/>
      <c r="C10" s="100" t="s">
        <v>43</v>
      </c>
      <c r="D10" s="1">
        <v>30</v>
      </c>
      <c r="E10" s="108">
        <v>30</v>
      </c>
      <c r="F10" s="108">
        <v>30</v>
      </c>
      <c r="G10" s="108">
        <v>30</v>
      </c>
      <c r="H10" s="1"/>
      <c r="I10" s="1"/>
      <c r="J10" s="16"/>
      <c r="K10" s="175"/>
      <c r="L10" s="175"/>
      <c r="M10" s="175"/>
      <c r="N10" s="175"/>
      <c r="O10" s="175"/>
    </row>
    <row r="11" spans="1:15" outlineLevel="1" x14ac:dyDescent="0.4">
      <c r="A11" s="5"/>
      <c r="B11" s="100"/>
      <c r="C11" s="100" t="s">
        <v>44</v>
      </c>
      <c r="D11" s="1">
        <v>4</v>
      </c>
      <c r="E11" s="108">
        <v>4</v>
      </c>
      <c r="F11" s="108">
        <v>4</v>
      </c>
      <c r="G11" s="108">
        <v>4</v>
      </c>
      <c r="H11" s="1"/>
      <c r="I11" s="1"/>
      <c r="J11" s="16"/>
      <c r="K11" s="175"/>
      <c r="L11" s="175"/>
      <c r="M11" s="175"/>
      <c r="N11" s="175"/>
      <c r="O11" s="175"/>
    </row>
    <row r="12" spans="1:15" x14ac:dyDescent="0.4">
      <c r="A12" s="5"/>
      <c r="B12" s="102" t="s">
        <v>37</v>
      </c>
      <c r="C12" s="102"/>
      <c r="D12" s="103"/>
      <c r="E12" s="103"/>
      <c r="F12" s="103"/>
      <c r="G12" s="103"/>
      <c r="H12" s="1"/>
      <c r="I12" s="1"/>
      <c r="J12" s="16"/>
      <c r="K12" s="175"/>
      <c r="L12" s="175"/>
      <c r="M12" s="175"/>
      <c r="N12" s="175"/>
      <c r="O12" s="175"/>
    </row>
    <row r="13" spans="1:15" ht="13.5" outlineLevel="1" thickBot="1" x14ac:dyDescent="0.45">
      <c r="A13" s="5"/>
      <c r="B13" s="109"/>
      <c r="C13" s="109" t="s">
        <v>46</v>
      </c>
      <c r="D13" s="110">
        <v>4440213.2289392399</v>
      </c>
      <c r="E13" s="110">
        <v>4440213.2289392399</v>
      </c>
      <c r="F13" s="110">
        <v>13550704.883644501</v>
      </c>
      <c r="G13" s="110">
        <v>236121807.84420401</v>
      </c>
      <c r="H13" s="1"/>
      <c r="I13" s="1"/>
      <c r="J13" s="16"/>
      <c r="K13" s="175"/>
      <c r="L13" s="175"/>
      <c r="M13" s="175"/>
      <c r="N13" s="175"/>
      <c r="O13" s="175"/>
    </row>
    <row r="14" spans="1:15" x14ac:dyDescent="0.4">
      <c r="A14" s="5"/>
      <c r="B14" s="1" t="s">
        <v>60</v>
      </c>
      <c r="C14" s="1"/>
      <c r="D14" s="1"/>
      <c r="E14" s="1"/>
      <c r="F14" s="1"/>
      <c r="G14" s="1"/>
      <c r="H14" s="1"/>
      <c r="I14" s="1"/>
      <c r="J14" s="16"/>
      <c r="K14" s="175"/>
      <c r="L14" s="175"/>
      <c r="M14" s="175"/>
      <c r="N14" s="175"/>
      <c r="O14" s="175"/>
    </row>
    <row r="15" spans="1:15" x14ac:dyDescent="0.4">
      <c r="A15" s="5"/>
      <c r="B15" s="1" t="s">
        <v>38</v>
      </c>
      <c r="C15" s="1"/>
      <c r="D15" s="1"/>
      <c r="E15" s="1"/>
      <c r="F15" s="1"/>
      <c r="G15" s="1"/>
      <c r="H15" s="1"/>
      <c r="I15" s="1"/>
      <c r="J15" s="16"/>
      <c r="K15" s="175"/>
      <c r="L15" s="175"/>
      <c r="M15" s="175"/>
      <c r="N15" s="175"/>
      <c r="O15" s="175"/>
    </row>
    <row r="16" spans="1:15" x14ac:dyDescent="0.4">
      <c r="A16" s="5"/>
      <c r="B16" s="1" t="s">
        <v>39</v>
      </c>
      <c r="C16" s="1"/>
      <c r="D16" s="1"/>
      <c r="E16" s="1"/>
      <c r="F16" s="1"/>
      <c r="G16" s="1"/>
      <c r="H16" s="1"/>
      <c r="I16" s="1"/>
      <c r="J16" s="16"/>
      <c r="K16" s="175"/>
      <c r="L16" s="175"/>
      <c r="M16" s="175"/>
      <c r="N16" s="175"/>
      <c r="O16" s="175"/>
    </row>
    <row r="17" spans="1:15" x14ac:dyDescent="0.4">
      <c r="A17" s="5"/>
      <c r="B17" s="1"/>
      <c r="C17" s="1"/>
      <c r="D17" s="1"/>
      <c r="E17" s="1"/>
      <c r="F17" s="1"/>
      <c r="G17" s="1"/>
      <c r="H17" s="1"/>
      <c r="I17" s="1"/>
      <c r="J17" s="16"/>
      <c r="K17" s="175"/>
      <c r="L17" s="175"/>
      <c r="M17" s="175"/>
      <c r="N17" s="175"/>
      <c r="O17" s="175"/>
    </row>
    <row r="18" spans="1:15" x14ac:dyDescent="0.4">
      <c r="A18" s="6"/>
      <c r="B18" s="17"/>
      <c r="C18" s="17"/>
      <c r="D18" s="17"/>
      <c r="E18" s="17"/>
      <c r="F18" s="17"/>
      <c r="G18" s="17"/>
      <c r="H18" s="17"/>
      <c r="I18" s="17"/>
      <c r="J18" s="18"/>
      <c r="K18" s="175"/>
      <c r="L18" s="175"/>
      <c r="M18" s="175"/>
      <c r="N18" s="175"/>
      <c r="O18" s="175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7973-083A-4E26-8EE1-5D8ACF9331E5}">
  <sheetPr>
    <tabColor rgb="FF00B050"/>
  </sheetPr>
  <dimension ref="A1:X167"/>
  <sheetViews>
    <sheetView showGridLines="0" zoomScale="85" zoomScaleNormal="68" workbookViewId="0">
      <selection activeCell="D15" sqref="D15"/>
    </sheetView>
  </sheetViews>
  <sheetFormatPr defaultColWidth="8.73046875" defaultRowHeight="13.15" x14ac:dyDescent="0.4"/>
  <cols>
    <col min="1" max="1" width="44.9296875" style="132" bestFit="1" customWidth="1"/>
    <col min="2" max="2" width="24.796875" style="132" customWidth="1"/>
    <col min="3" max="3" width="22.33203125" style="132" customWidth="1"/>
    <col min="4" max="4" width="27" style="132" bestFit="1" customWidth="1"/>
    <col min="5" max="5" width="23" style="132" bestFit="1" customWidth="1"/>
    <col min="6" max="7" width="14.9296875" style="132" bestFit="1" customWidth="1"/>
    <col min="8" max="9" width="15.59765625" style="132" bestFit="1" customWidth="1"/>
    <col min="10" max="10" width="14.73046875" style="132" bestFit="1" customWidth="1"/>
    <col min="11" max="11" width="15.06640625" style="132" bestFit="1" customWidth="1"/>
    <col min="12" max="17" width="15.46484375" style="132" bestFit="1" customWidth="1"/>
    <col min="18" max="18" width="15.796875" style="132" bestFit="1" customWidth="1"/>
    <col min="19" max="20" width="16.265625" style="132" bestFit="1" customWidth="1"/>
    <col min="21" max="24" width="16.59765625" style="132" bestFit="1" customWidth="1"/>
    <col min="25" max="16384" width="8.73046875" style="132"/>
  </cols>
  <sheetData>
    <row r="1" spans="1:24" ht="45" x14ac:dyDescent="0.4">
      <c r="A1" s="195" t="s">
        <v>82</v>
      </c>
      <c r="B1" s="196"/>
      <c r="C1" s="196"/>
      <c r="D1" s="196"/>
      <c r="E1" s="196"/>
      <c r="F1" s="196"/>
      <c r="G1" s="196"/>
      <c r="H1" s="196"/>
      <c r="I1" s="197"/>
    </row>
    <row r="2" spans="1:24" x14ac:dyDescent="0.4">
      <c r="A2" s="5"/>
      <c r="B2" s="1"/>
      <c r="C2" s="1"/>
      <c r="D2" s="1"/>
      <c r="E2" s="1"/>
      <c r="F2" s="1"/>
      <c r="G2" s="1"/>
      <c r="H2" s="1"/>
      <c r="I2" s="16"/>
    </row>
    <row r="3" spans="1:24" x14ac:dyDescent="0.4">
      <c r="A3" s="5"/>
      <c r="B3" s="1"/>
      <c r="C3" s="1"/>
      <c r="D3" s="1"/>
      <c r="E3" s="1"/>
      <c r="F3" s="1"/>
      <c r="G3" s="1"/>
      <c r="H3" s="1"/>
      <c r="I3" s="16"/>
    </row>
    <row r="4" spans="1:24" x14ac:dyDescent="0.4">
      <c r="A4" s="5"/>
      <c r="B4" s="1"/>
      <c r="C4" s="1"/>
      <c r="D4" s="1"/>
      <c r="E4" s="1"/>
      <c r="F4" s="1"/>
      <c r="G4" s="1"/>
      <c r="H4" s="1"/>
      <c r="I4" s="16"/>
    </row>
    <row r="5" spans="1:24" x14ac:dyDescent="0.4">
      <c r="A5" s="42" t="s">
        <v>69</v>
      </c>
      <c r="B5" s="43"/>
      <c r="C5" s="1"/>
      <c r="D5" s="1"/>
      <c r="E5" s="1"/>
      <c r="F5" s="1"/>
      <c r="G5" s="1"/>
      <c r="H5" s="1"/>
      <c r="I5" s="16"/>
    </row>
    <row r="6" spans="1:24" x14ac:dyDescent="0.4">
      <c r="A6" s="42" t="s">
        <v>72</v>
      </c>
      <c r="B6" s="43"/>
      <c r="C6" s="1"/>
      <c r="D6" s="1"/>
      <c r="E6" s="1"/>
      <c r="F6" s="1"/>
      <c r="G6" s="1"/>
      <c r="H6" s="1"/>
      <c r="I6" s="16"/>
    </row>
    <row r="7" spans="1:24" x14ac:dyDescent="0.4">
      <c r="A7" s="4" t="s">
        <v>62</v>
      </c>
      <c r="B7" s="115">
        <v>10000</v>
      </c>
      <c r="C7" s="1"/>
      <c r="D7" s="1"/>
      <c r="E7" s="1"/>
      <c r="F7" s="1"/>
      <c r="G7" s="1"/>
      <c r="H7" s="1"/>
      <c r="I7" s="16"/>
    </row>
    <row r="8" spans="1:24" x14ac:dyDescent="0.4">
      <c r="A8" s="5" t="s">
        <v>63</v>
      </c>
      <c r="B8" s="116">
        <v>0.13</v>
      </c>
      <c r="C8" s="1"/>
      <c r="D8" s="1"/>
      <c r="E8" s="1"/>
      <c r="F8" s="1"/>
      <c r="G8" s="1"/>
      <c r="H8" s="1"/>
      <c r="I8" s="16"/>
    </row>
    <row r="9" spans="1:24" x14ac:dyDescent="0.4">
      <c r="A9" s="5" t="s">
        <v>64</v>
      </c>
      <c r="B9" s="117">
        <v>10</v>
      </c>
      <c r="C9" s="1"/>
      <c r="D9" s="1"/>
      <c r="E9" s="1"/>
      <c r="F9" s="1"/>
      <c r="G9" s="1"/>
      <c r="H9" s="1"/>
      <c r="I9" s="16"/>
    </row>
    <row r="10" spans="1:24" x14ac:dyDescent="0.4">
      <c r="A10" s="6" t="s">
        <v>65</v>
      </c>
      <c r="B10" s="118">
        <v>12</v>
      </c>
      <c r="C10" s="1"/>
      <c r="D10" s="1"/>
      <c r="E10" s="1"/>
      <c r="F10" s="1"/>
      <c r="G10" s="1"/>
      <c r="H10" s="1"/>
      <c r="I10" s="16"/>
    </row>
    <row r="11" spans="1:24" x14ac:dyDescent="0.4">
      <c r="A11" s="5"/>
      <c r="B11" s="1"/>
      <c r="C11" s="1"/>
      <c r="D11" s="1"/>
      <c r="E11" s="1"/>
      <c r="F11" s="1"/>
      <c r="G11" s="1"/>
      <c r="H11" s="1"/>
      <c r="I11" s="16"/>
    </row>
    <row r="12" spans="1:24" x14ac:dyDescent="0.4">
      <c r="A12" s="5"/>
      <c r="B12" s="1"/>
      <c r="C12" s="1"/>
      <c r="D12" s="1"/>
      <c r="E12" s="1"/>
      <c r="F12" s="1"/>
      <c r="G12" s="1"/>
      <c r="H12" s="1"/>
      <c r="I12" s="16"/>
    </row>
    <row r="13" spans="1:24" x14ac:dyDescent="0.4">
      <c r="A13" s="5"/>
      <c r="B13" s="1"/>
      <c r="C13" s="1"/>
      <c r="D13" s="1"/>
      <c r="E13" s="1"/>
      <c r="F13" s="1"/>
      <c r="G13" s="1"/>
      <c r="H13" s="1"/>
      <c r="I13" s="16"/>
    </row>
    <row r="14" spans="1:24" x14ac:dyDescent="0.4">
      <c r="A14" s="119" t="s">
        <v>79</v>
      </c>
      <c r="B14" s="120"/>
      <c r="C14" s="202" t="s">
        <v>81</v>
      </c>
      <c r="D14" s="65"/>
      <c r="E14" s="65"/>
      <c r="F14" s="65"/>
      <c r="G14" s="65"/>
      <c r="H14" s="65"/>
      <c r="I14" s="15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</row>
    <row r="15" spans="1:24" x14ac:dyDescent="0.4">
      <c r="A15" s="121" t="s">
        <v>66</v>
      </c>
      <c r="B15" s="122">
        <f>B7</f>
        <v>10000</v>
      </c>
      <c r="C15" s="202"/>
      <c r="D15" s="65"/>
      <c r="E15" s="65"/>
      <c r="F15" s="1"/>
      <c r="G15" s="1"/>
      <c r="H15" s="1"/>
      <c r="I15" s="16"/>
    </row>
    <row r="16" spans="1:24" x14ac:dyDescent="0.4">
      <c r="A16" s="117" t="s">
        <v>63</v>
      </c>
      <c r="B16" s="123">
        <f>B8</f>
        <v>0.13</v>
      </c>
      <c r="C16" s="202"/>
      <c r="D16" s="155"/>
      <c r="E16" s="65"/>
      <c r="F16" s="1"/>
      <c r="G16" s="1"/>
      <c r="H16" s="1"/>
      <c r="I16" s="16"/>
    </row>
    <row r="17" spans="1:24" x14ac:dyDescent="0.4">
      <c r="A17" s="117" t="s">
        <v>64</v>
      </c>
      <c r="B17" s="124">
        <f>B9</f>
        <v>10</v>
      </c>
      <c r="C17" s="202"/>
      <c r="D17" s="155"/>
      <c r="E17" s="65"/>
      <c r="F17" s="1"/>
      <c r="G17" s="1"/>
      <c r="H17" s="1"/>
      <c r="I17" s="16"/>
    </row>
    <row r="18" spans="1:24" x14ac:dyDescent="0.4">
      <c r="A18" s="118" t="s">
        <v>65</v>
      </c>
      <c r="B18" s="147">
        <f>B10</f>
        <v>12</v>
      </c>
      <c r="C18" s="202"/>
      <c r="D18" s="155"/>
      <c r="E18" s="65"/>
      <c r="F18" s="1"/>
      <c r="G18" s="1"/>
      <c r="H18" s="1"/>
      <c r="I18" s="16"/>
    </row>
    <row r="19" spans="1:24" x14ac:dyDescent="0.4">
      <c r="A19" s="125" t="s">
        <v>67</v>
      </c>
      <c r="B19" s="127">
        <f>B15*B17*B18</f>
        <v>1200000</v>
      </c>
      <c r="C19" s="114">
        <f>B19-SUM(B26:B145)</f>
        <v>0</v>
      </c>
      <c r="D19" s="104"/>
      <c r="E19" s="66"/>
      <c r="F19" s="67"/>
      <c r="G19" s="67"/>
      <c r="H19" s="67"/>
      <c r="I19" s="156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</row>
    <row r="20" spans="1:24" x14ac:dyDescent="0.4">
      <c r="A20" s="125" t="s">
        <v>74</v>
      </c>
      <c r="B20" s="127">
        <f>FV(B16/B18,B17*B18,-B15,0,0)</f>
        <v>2440369.1738971015</v>
      </c>
      <c r="C20" s="114">
        <f>B20-D145</f>
        <v>-7.4505805969238281E-9</v>
      </c>
      <c r="D20" s="104"/>
      <c r="E20" s="66"/>
      <c r="F20" s="67"/>
      <c r="G20" s="67"/>
      <c r="H20" s="67"/>
      <c r="I20" s="156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</row>
    <row r="21" spans="1:24" x14ac:dyDescent="0.4">
      <c r="A21" s="126" t="s">
        <v>68</v>
      </c>
      <c r="B21" s="128">
        <f>B20-B19</f>
        <v>1240369.1738971015</v>
      </c>
      <c r="C21" s="114">
        <f>B21-E145</f>
        <v>-7.4505805969238281E-9</v>
      </c>
      <c r="D21" s="68"/>
      <c r="E21" s="68"/>
      <c r="F21" s="68"/>
      <c r="G21" s="68"/>
      <c r="H21" s="68"/>
      <c r="I21" s="157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</row>
    <row r="22" spans="1:24" x14ac:dyDescent="0.4">
      <c r="A22" s="158"/>
      <c r="B22" s="68"/>
      <c r="C22" s="1"/>
      <c r="D22" s="68"/>
      <c r="E22" s="68"/>
      <c r="F22" s="68"/>
      <c r="G22" s="68"/>
      <c r="H22" s="68"/>
      <c r="I22" s="15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</row>
    <row r="23" spans="1:24" x14ac:dyDescent="0.4">
      <c r="A23" s="158"/>
      <c r="B23" s="68"/>
      <c r="C23" s="1"/>
      <c r="D23" s="68"/>
      <c r="E23" s="68"/>
      <c r="F23" s="68"/>
      <c r="G23" s="68"/>
      <c r="H23" s="68"/>
      <c r="I23" s="157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</row>
    <row r="24" spans="1:24" x14ac:dyDescent="0.4">
      <c r="A24" s="199" t="s">
        <v>26</v>
      </c>
      <c r="B24" s="200"/>
      <c r="C24" s="200"/>
      <c r="D24" s="200"/>
      <c r="E24" s="201"/>
      <c r="F24" s="68"/>
      <c r="G24" s="68"/>
      <c r="H24" s="68"/>
      <c r="I24" s="15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</row>
    <row r="25" spans="1:24" x14ac:dyDescent="0.4">
      <c r="A25" s="146" t="s">
        <v>73</v>
      </c>
      <c r="B25" s="81" t="s">
        <v>75</v>
      </c>
      <c r="C25" s="81" t="s">
        <v>76</v>
      </c>
      <c r="D25" s="81" t="s">
        <v>77</v>
      </c>
      <c r="E25" s="81" t="s">
        <v>78</v>
      </c>
      <c r="F25" s="68"/>
      <c r="G25" s="68"/>
      <c r="H25" s="68"/>
      <c r="I25" s="157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</row>
    <row r="26" spans="1:24" x14ac:dyDescent="0.4">
      <c r="A26" s="73">
        <v>1</v>
      </c>
      <c r="B26" s="149">
        <f>$B$15</f>
        <v>10000</v>
      </c>
      <c r="C26" s="148">
        <f>$B$16/$B$18</f>
        <v>1.0833333333333334E-2</v>
      </c>
      <c r="D26" s="145">
        <f>B26*(1+C26)</f>
        <v>10108.333333333332</v>
      </c>
      <c r="E26" s="145">
        <f>D26-(B26*A26)</f>
        <v>108.33333333333212</v>
      </c>
      <c r="F26" s="68"/>
      <c r="G26" s="68"/>
      <c r="H26" s="68"/>
      <c r="I26" s="157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</row>
    <row r="27" spans="1:24" x14ac:dyDescent="0.4">
      <c r="A27" s="73">
        <v>2</v>
      </c>
      <c r="B27" s="149">
        <f t="shared" ref="B27:B90" si="0">$B$15</f>
        <v>10000</v>
      </c>
      <c r="C27" s="148">
        <f t="shared" ref="C27:C90" si="1">$B$16/$B$18</f>
        <v>1.0833333333333334E-2</v>
      </c>
      <c r="D27" s="145">
        <f>(D26+B27)*(1+C27)</f>
        <v>20326.173611111109</v>
      </c>
      <c r="E27" s="145">
        <f t="shared" ref="E27:E90" si="2">D27-(B27*A27)</f>
        <v>326.17361111110949</v>
      </c>
      <c r="F27" s="68"/>
      <c r="G27" s="68"/>
      <c r="H27" s="68"/>
      <c r="I27" s="15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</row>
    <row r="28" spans="1:24" x14ac:dyDescent="0.4">
      <c r="A28" s="73">
        <v>3</v>
      </c>
      <c r="B28" s="149">
        <f t="shared" si="0"/>
        <v>10000</v>
      </c>
      <c r="C28" s="148">
        <f t="shared" si="1"/>
        <v>1.0833333333333334E-2</v>
      </c>
      <c r="D28" s="145">
        <f t="shared" ref="D28:D91" si="3">(D27+B28)*(1+C28)</f>
        <v>30654.707158564812</v>
      </c>
      <c r="E28" s="145">
        <f t="shared" si="2"/>
        <v>654.70715856481183</v>
      </c>
      <c r="F28" s="68"/>
      <c r="G28" s="68"/>
      <c r="H28" s="68"/>
      <c r="I28" s="15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</row>
    <row r="29" spans="1:24" x14ac:dyDescent="0.4">
      <c r="A29" s="73">
        <v>4</v>
      </c>
      <c r="B29" s="149">
        <f t="shared" si="0"/>
        <v>10000</v>
      </c>
      <c r="C29" s="148">
        <f t="shared" si="1"/>
        <v>1.0833333333333334E-2</v>
      </c>
      <c r="D29" s="145">
        <f t="shared" si="3"/>
        <v>41095.13315278259</v>
      </c>
      <c r="E29" s="145">
        <f t="shared" si="2"/>
        <v>1095.1331527825896</v>
      </c>
      <c r="F29" s="68"/>
      <c r="G29" s="68"/>
      <c r="H29" s="68"/>
      <c r="I29" s="157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</row>
    <row r="30" spans="1:24" x14ac:dyDescent="0.4">
      <c r="A30" s="73">
        <v>5</v>
      </c>
      <c r="B30" s="149">
        <f t="shared" si="0"/>
        <v>10000</v>
      </c>
      <c r="C30" s="148">
        <f t="shared" si="1"/>
        <v>1.0833333333333334E-2</v>
      </c>
      <c r="D30" s="145">
        <f t="shared" si="3"/>
        <v>51648.663761937729</v>
      </c>
      <c r="E30" s="145">
        <f t="shared" si="2"/>
        <v>1648.6637619377289</v>
      </c>
      <c r="F30" s="68"/>
      <c r="G30" s="68"/>
      <c r="H30" s="68"/>
      <c r="I30" s="157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</row>
    <row r="31" spans="1:24" x14ac:dyDescent="0.4">
      <c r="A31" s="73">
        <v>6</v>
      </c>
      <c r="B31" s="149">
        <f t="shared" si="0"/>
        <v>10000</v>
      </c>
      <c r="C31" s="148">
        <f t="shared" si="1"/>
        <v>1.0833333333333334E-2</v>
      </c>
      <c r="D31" s="145">
        <f t="shared" si="3"/>
        <v>62316.524286025386</v>
      </c>
      <c r="E31" s="145">
        <f t="shared" si="2"/>
        <v>2316.5242860253857</v>
      </c>
      <c r="F31" s="68"/>
      <c r="G31" s="68"/>
      <c r="H31" s="68"/>
      <c r="I31" s="157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</row>
    <row r="32" spans="1:24" x14ac:dyDescent="0.4">
      <c r="A32" s="73">
        <v>7</v>
      </c>
      <c r="B32" s="149">
        <f t="shared" si="0"/>
        <v>10000</v>
      </c>
      <c r="C32" s="148">
        <f t="shared" si="1"/>
        <v>1.0833333333333334E-2</v>
      </c>
      <c r="D32" s="145">
        <f t="shared" si="3"/>
        <v>73099.953299123983</v>
      </c>
      <c r="E32" s="145">
        <f t="shared" si="2"/>
        <v>3099.953299123983</v>
      </c>
      <c r="F32" s="68"/>
      <c r="G32" s="68"/>
      <c r="H32" s="68"/>
      <c r="I32" s="157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</row>
    <row r="33" spans="1:24" x14ac:dyDescent="0.4">
      <c r="A33" s="73">
        <v>8</v>
      </c>
      <c r="B33" s="149">
        <f t="shared" si="0"/>
        <v>10000</v>
      </c>
      <c r="C33" s="148">
        <f t="shared" si="1"/>
        <v>1.0833333333333334E-2</v>
      </c>
      <c r="D33" s="145">
        <f t="shared" si="3"/>
        <v>84000.202793197823</v>
      </c>
      <c r="E33" s="145">
        <f t="shared" si="2"/>
        <v>4000.2027931978228</v>
      </c>
      <c r="F33" s="68"/>
      <c r="G33" s="68"/>
      <c r="H33" s="68"/>
      <c r="I33" s="157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</row>
    <row r="34" spans="1:24" x14ac:dyDescent="0.4">
      <c r="A34" s="73">
        <v>9</v>
      </c>
      <c r="B34" s="149">
        <f t="shared" si="0"/>
        <v>10000</v>
      </c>
      <c r="C34" s="148">
        <f t="shared" si="1"/>
        <v>1.0833333333333334E-2</v>
      </c>
      <c r="D34" s="145">
        <f t="shared" si="3"/>
        <v>95018.538323457455</v>
      </c>
      <c r="E34" s="145">
        <f t="shared" si="2"/>
        <v>5018.5383234574547</v>
      </c>
      <c r="F34" s="68"/>
      <c r="G34" s="68"/>
      <c r="H34" s="68"/>
      <c r="I34" s="157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</row>
    <row r="35" spans="1:24" x14ac:dyDescent="0.4">
      <c r="A35" s="73">
        <v>10</v>
      </c>
      <c r="B35" s="149">
        <f t="shared" si="0"/>
        <v>10000</v>
      </c>
      <c r="C35" s="148">
        <f t="shared" si="1"/>
        <v>1.0833333333333334E-2</v>
      </c>
      <c r="D35" s="145">
        <f t="shared" si="3"/>
        <v>106156.2391552949</v>
      </c>
      <c r="E35" s="145">
        <f t="shared" si="2"/>
        <v>6156.2391552948975</v>
      </c>
      <c r="F35" s="68"/>
      <c r="G35" s="68"/>
      <c r="H35" s="68"/>
      <c r="I35" s="157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</row>
    <row r="36" spans="1:24" x14ac:dyDescent="0.4">
      <c r="A36" s="73">
        <v>11</v>
      </c>
      <c r="B36" s="149">
        <f t="shared" si="0"/>
        <v>10000</v>
      </c>
      <c r="C36" s="148">
        <f t="shared" si="1"/>
        <v>1.0833333333333334E-2</v>
      </c>
      <c r="D36" s="145">
        <f t="shared" si="3"/>
        <v>117414.59841281058</v>
      </c>
      <c r="E36" s="145">
        <f t="shared" si="2"/>
        <v>7414.5984128105774</v>
      </c>
      <c r="F36" s="68"/>
      <c r="G36" s="68"/>
      <c r="H36" s="68"/>
      <c r="I36" s="157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</row>
    <row r="37" spans="1:24" x14ac:dyDescent="0.4">
      <c r="A37" s="73">
        <v>12</v>
      </c>
      <c r="B37" s="149">
        <f t="shared" si="0"/>
        <v>10000</v>
      </c>
      <c r="C37" s="148">
        <f t="shared" si="1"/>
        <v>1.0833333333333334E-2</v>
      </c>
      <c r="D37" s="145">
        <f t="shared" si="3"/>
        <v>128794.92322894935</v>
      </c>
      <c r="E37" s="145">
        <f t="shared" si="2"/>
        <v>8794.9232289493521</v>
      </c>
      <c r="F37" s="68"/>
      <c r="G37" s="68"/>
      <c r="H37" s="68"/>
      <c r="I37" s="157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</row>
    <row r="38" spans="1:24" x14ac:dyDescent="0.4">
      <c r="A38" s="73">
        <v>13</v>
      </c>
      <c r="B38" s="149">
        <f t="shared" si="0"/>
        <v>10000</v>
      </c>
      <c r="C38" s="148">
        <f t="shared" si="1"/>
        <v>1.0833333333333334E-2</v>
      </c>
      <c r="D38" s="145">
        <f t="shared" si="3"/>
        <v>140298.53489726299</v>
      </c>
      <c r="E38" s="145">
        <f t="shared" si="2"/>
        <v>10298.534897262987</v>
      </c>
      <c r="F38" s="68"/>
      <c r="G38" s="68"/>
      <c r="H38" s="68"/>
      <c r="I38" s="15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</row>
    <row r="39" spans="1:24" x14ac:dyDescent="0.4">
      <c r="A39" s="73">
        <v>14</v>
      </c>
      <c r="B39" s="149">
        <f t="shared" si="0"/>
        <v>10000</v>
      </c>
      <c r="C39" s="148">
        <f t="shared" si="1"/>
        <v>1.0833333333333334E-2</v>
      </c>
      <c r="D39" s="145">
        <f t="shared" si="3"/>
        <v>151926.76902531667</v>
      </c>
      <c r="E39" s="145">
        <f t="shared" si="2"/>
        <v>11926.769025316666</v>
      </c>
      <c r="F39" s="68"/>
      <c r="G39" s="68"/>
      <c r="H39" s="68"/>
      <c r="I39" s="15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</row>
    <row r="40" spans="1:24" x14ac:dyDescent="0.4">
      <c r="A40" s="73">
        <v>15</v>
      </c>
      <c r="B40" s="149">
        <f t="shared" si="0"/>
        <v>10000</v>
      </c>
      <c r="C40" s="148">
        <f t="shared" si="1"/>
        <v>1.0833333333333334E-2</v>
      </c>
      <c r="D40" s="145">
        <f t="shared" si="3"/>
        <v>163680.97568975759</v>
      </c>
      <c r="E40" s="145">
        <f t="shared" si="2"/>
        <v>13680.975689757586</v>
      </c>
      <c r="F40" s="68"/>
      <c r="G40" s="68"/>
      <c r="H40" s="68"/>
      <c r="I40" s="157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</row>
    <row r="41" spans="1:24" x14ac:dyDescent="0.4">
      <c r="A41" s="73">
        <v>16</v>
      </c>
      <c r="B41" s="149">
        <f t="shared" si="0"/>
        <v>10000</v>
      </c>
      <c r="C41" s="148">
        <f t="shared" si="1"/>
        <v>1.0833333333333334E-2</v>
      </c>
      <c r="D41" s="145">
        <f t="shared" si="3"/>
        <v>175562.51959306328</v>
      </c>
      <c r="E41" s="145">
        <f t="shared" si="2"/>
        <v>15562.519593063276</v>
      </c>
      <c r="F41" s="1"/>
      <c r="G41" s="1"/>
      <c r="H41" s="1"/>
      <c r="I41" s="16"/>
    </row>
    <row r="42" spans="1:24" x14ac:dyDescent="0.4">
      <c r="A42" s="73">
        <v>17</v>
      </c>
      <c r="B42" s="149">
        <f t="shared" si="0"/>
        <v>10000</v>
      </c>
      <c r="C42" s="148">
        <f t="shared" si="1"/>
        <v>1.0833333333333334E-2</v>
      </c>
      <c r="D42" s="145">
        <f t="shared" si="3"/>
        <v>187572.78022198813</v>
      </c>
      <c r="E42" s="145">
        <f t="shared" si="2"/>
        <v>17572.780221988127</v>
      </c>
      <c r="F42" s="1"/>
      <c r="G42" s="1"/>
      <c r="H42" s="1"/>
      <c r="I42" s="16"/>
    </row>
    <row r="43" spans="1:24" x14ac:dyDescent="0.4">
      <c r="A43" s="73">
        <v>18</v>
      </c>
      <c r="B43" s="149">
        <f t="shared" si="0"/>
        <v>10000</v>
      </c>
      <c r="C43" s="148">
        <f t="shared" si="1"/>
        <v>1.0833333333333334E-2</v>
      </c>
      <c r="D43" s="145">
        <f t="shared" si="3"/>
        <v>199713.15200772631</v>
      </c>
      <c r="E43" s="145">
        <f t="shared" si="2"/>
        <v>19713.152007726312</v>
      </c>
      <c r="F43" s="1"/>
      <c r="G43" s="1"/>
      <c r="H43" s="1"/>
      <c r="I43" s="16"/>
    </row>
    <row r="44" spans="1:24" x14ac:dyDescent="0.4">
      <c r="A44" s="73">
        <v>19</v>
      </c>
      <c r="B44" s="149">
        <f t="shared" si="0"/>
        <v>10000</v>
      </c>
      <c r="C44" s="148">
        <f t="shared" si="1"/>
        <v>1.0833333333333334E-2</v>
      </c>
      <c r="D44" s="145">
        <f t="shared" si="3"/>
        <v>211985.04448781</v>
      </c>
      <c r="E44" s="145">
        <f t="shared" si="2"/>
        <v>21985.044487809995</v>
      </c>
      <c r="F44" s="15"/>
      <c r="G44" s="15"/>
      <c r="H44" s="15"/>
      <c r="I44" s="15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</row>
    <row r="45" spans="1:24" x14ac:dyDescent="0.4">
      <c r="A45" s="73">
        <v>20</v>
      </c>
      <c r="B45" s="149">
        <f t="shared" si="0"/>
        <v>10000</v>
      </c>
      <c r="C45" s="148">
        <f t="shared" si="1"/>
        <v>1.0833333333333334E-2</v>
      </c>
      <c r="D45" s="145">
        <f t="shared" si="3"/>
        <v>224389.88246976124</v>
      </c>
      <c r="E45" s="145">
        <f t="shared" si="2"/>
        <v>24389.882469761244</v>
      </c>
      <c r="F45" s="68"/>
      <c r="G45" s="68"/>
      <c r="H45" s="68"/>
      <c r="I45" s="15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</row>
    <row r="46" spans="1:24" x14ac:dyDescent="0.4">
      <c r="A46" s="73">
        <v>21</v>
      </c>
      <c r="B46" s="149">
        <f t="shared" si="0"/>
        <v>10000</v>
      </c>
      <c r="C46" s="148">
        <f t="shared" si="1"/>
        <v>1.0833333333333334E-2</v>
      </c>
      <c r="D46" s="145">
        <f t="shared" si="3"/>
        <v>236929.10619651698</v>
      </c>
      <c r="E46" s="145">
        <f t="shared" si="2"/>
        <v>26929.106196516979</v>
      </c>
      <c r="F46" s="68"/>
      <c r="G46" s="68"/>
      <c r="H46" s="68"/>
      <c r="I46" s="157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</row>
    <row r="47" spans="1:24" x14ac:dyDescent="0.4">
      <c r="A47" s="73">
        <v>22</v>
      </c>
      <c r="B47" s="149">
        <f t="shared" si="0"/>
        <v>10000</v>
      </c>
      <c r="C47" s="148">
        <f t="shared" si="1"/>
        <v>1.0833333333333334E-2</v>
      </c>
      <c r="D47" s="145">
        <f t="shared" si="3"/>
        <v>249604.17151364588</v>
      </c>
      <c r="E47" s="145">
        <f t="shared" si="2"/>
        <v>29604.171513645881</v>
      </c>
      <c r="F47" s="68"/>
      <c r="G47" s="68"/>
      <c r="H47" s="68"/>
      <c r="I47" s="15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</row>
    <row r="48" spans="1:24" x14ac:dyDescent="0.4">
      <c r="A48" s="73">
        <v>23</v>
      </c>
      <c r="B48" s="149">
        <f t="shared" si="0"/>
        <v>10000</v>
      </c>
      <c r="C48" s="148">
        <f t="shared" si="1"/>
        <v>1.0833333333333334E-2</v>
      </c>
      <c r="D48" s="145">
        <f t="shared" si="3"/>
        <v>262416.550038377</v>
      </c>
      <c r="E48" s="145">
        <f t="shared" si="2"/>
        <v>32416.550038376998</v>
      </c>
      <c r="F48" s="68"/>
      <c r="G48" s="68"/>
      <c r="H48" s="68"/>
      <c r="I48" s="15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</row>
    <row r="49" spans="1:24" x14ac:dyDescent="0.4">
      <c r="A49" s="73">
        <v>24</v>
      </c>
      <c r="B49" s="149">
        <f t="shared" si="0"/>
        <v>10000</v>
      </c>
      <c r="C49" s="148">
        <f t="shared" si="1"/>
        <v>1.0833333333333334E-2</v>
      </c>
      <c r="D49" s="145">
        <f t="shared" si="3"/>
        <v>275367.72933045938</v>
      </c>
      <c r="E49" s="145">
        <f t="shared" si="2"/>
        <v>35367.729330459377</v>
      </c>
      <c r="F49" s="68"/>
      <c r="G49" s="68"/>
      <c r="H49" s="68"/>
      <c r="I49" s="15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</row>
    <row r="50" spans="1:24" x14ac:dyDescent="0.4">
      <c r="A50" s="73">
        <v>25</v>
      </c>
      <c r="B50" s="149">
        <f t="shared" si="0"/>
        <v>10000</v>
      </c>
      <c r="C50" s="148">
        <f t="shared" si="1"/>
        <v>1.0833333333333334E-2</v>
      </c>
      <c r="D50" s="145">
        <f t="shared" si="3"/>
        <v>288459.21306487266</v>
      </c>
      <c r="E50" s="145">
        <f t="shared" si="2"/>
        <v>38459.21306487266</v>
      </c>
      <c r="F50" s="68"/>
      <c r="G50" s="68"/>
      <c r="H50" s="68"/>
      <c r="I50" s="15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</row>
    <row r="51" spans="1:24" x14ac:dyDescent="0.4">
      <c r="A51" s="73">
        <v>26</v>
      </c>
      <c r="B51" s="149">
        <f t="shared" si="0"/>
        <v>10000</v>
      </c>
      <c r="C51" s="148">
        <f t="shared" si="1"/>
        <v>1.0833333333333334E-2</v>
      </c>
      <c r="D51" s="145">
        <f t="shared" si="3"/>
        <v>301692.52120640874</v>
      </c>
      <c r="E51" s="145">
        <f t="shared" si="2"/>
        <v>41692.521206408739</v>
      </c>
      <c r="F51" s="68"/>
      <c r="G51" s="68"/>
      <c r="H51" s="68"/>
      <c r="I51" s="15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</row>
    <row r="52" spans="1:24" x14ac:dyDescent="0.4">
      <c r="A52" s="73">
        <v>27</v>
      </c>
      <c r="B52" s="149">
        <f t="shared" si="0"/>
        <v>10000</v>
      </c>
      <c r="C52" s="148">
        <f t="shared" si="1"/>
        <v>1.0833333333333334E-2</v>
      </c>
      <c r="D52" s="145">
        <f t="shared" si="3"/>
        <v>315069.19018614478</v>
      </c>
      <c r="E52" s="145">
        <f t="shared" si="2"/>
        <v>45069.190186144784</v>
      </c>
      <c r="F52" s="68"/>
      <c r="G52" s="68"/>
      <c r="H52" s="68"/>
      <c r="I52" s="15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</row>
    <row r="53" spans="1:24" x14ac:dyDescent="0.4">
      <c r="A53" s="73">
        <v>28</v>
      </c>
      <c r="B53" s="149">
        <f t="shared" si="0"/>
        <v>10000</v>
      </c>
      <c r="C53" s="148">
        <f t="shared" si="1"/>
        <v>1.0833333333333334E-2</v>
      </c>
      <c r="D53" s="145">
        <f t="shared" si="3"/>
        <v>328590.77307982801</v>
      </c>
      <c r="E53" s="145">
        <f t="shared" si="2"/>
        <v>48590.77307982801</v>
      </c>
      <c r="F53" s="68"/>
      <c r="G53" s="68"/>
      <c r="H53" s="68"/>
      <c r="I53" s="157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</row>
    <row r="54" spans="1:24" x14ac:dyDescent="0.4">
      <c r="A54" s="73">
        <v>29</v>
      </c>
      <c r="B54" s="149">
        <f t="shared" si="0"/>
        <v>10000</v>
      </c>
      <c r="C54" s="148">
        <f t="shared" si="1"/>
        <v>1.0833333333333334E-2</v>
      </c>
      <c r="D54" s="145">
        <f t="shared" si="3"/>
        <v>342258.83978819277</v>
      </c>
      <c r="E54" s="145">
        <f t="shared" si="2"/>
        <v>52258.839788192767</v>
      </c>
      <c r="F54" s="68"/>
      <c r="G54" s="68"/>
      <c r="H54" s="68"/>
      <c r="I54" s="157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</row>
    <row r="55" spans="1:24" x14ac:dyDescent="0.4">
      <c r="A55" s="73">
        <v>30</v>
      </c>
      <c r="B55" s="149">
        <f t="shared" si="0"/>
        <v>10000</v>
      </c>
      <c r="C55" s="148">
        <f t="shared" si="1"/>
        <v>1.0833333333333334E-2</v>
      </c>
      <c r="D55" s="145">
        <f t="shared" si="3"/>
        <v>356074.97721923148</v>
      </c>
      <c r="E55" s="145">
        <f t="shared" si="2"/>
        <v>56074.977219231485</v>
      </c>
      <c r="F55" s="68"/>
      <c r="G55" s="68"/>
      <c r="H55" s="68"/>
      <c r="I55" s="157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</row>
    <row r="56" spans="1:24" x14ac:dyDescent="0.4">
      <c r="A56" s="73">
        <v>31</v>
      </c>
      <c r="B56" s="149">
        <f t="shared" si="0"/>
        <v>10000</v>
      </c>
      <c r="C56" s="148">
        <f t="shared" si="1"/>
        <v>1.0833333333333334E-2</v>
      </c>
      <c r="D56" s="145">
        <f t="shared" si="3"/>
        <v>370040.78947243979</v>
      </c>
      <c r="E56" s="145">
        <f t="shared" si="2"/>
        <v>60040.789472439792</v>
      </c>
      <c r="F56" s="68"/>
      <c r="G56" s="68"/>
      <c r="H56" s="68"/>
      <c r="I56" s="15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</row>
    <row r="57" spans="1:24" x14ac:dyDescent="0.4">
      <c r="A57" s="73">
        <v>32</v>
      </c>
      <c r="B57" s="149">
        <f t="shared" si="0"/>
        <v>10000</v>
      </c>
      <c r="C57" s="148">
        <f t="shared" si="1"/>
        <v>1.0833333333333334E-2</v>
      </c>
      <c r="D57" s="145">
        <f t="shared" si="3"/>
        <v>384157.89802505786</v>
      </c>
      <c r="E57" s="145">
        <f t="shared" si="2"/>
        <v>64157.898025057861</v>
      </c>
      <c r="F57" s="68"/>
      <c r="G57" s="68"/>
      <c r="H57" s="68"/>
      <c r="I57" s="15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</row>
    <row r="58" spans="1:24" x14ac:dyDescent="0.4">
      <c r="A58" s="73">
        <v>33</v>
      </c>
      <c r="B58" s="149">
        <f t="shared" si="0"/>
        <v>10000</v>
      </c>
      <c r="C58" s="148">
        <f t="shared" si="1"/>
        <v>1.0833333333333334E-2</v>
      </c>
      <c r="D58" s="145">
        <f t="shared" si="3"/>
        <v>398427.94192032929</v>
      </c>
      <c r="E58" s="145">
        <f t="shared" si="2"/>
        <v>68427.941920329293</v>
      </c>
      <c r="F58" s="68"/>
      <c r="G58" s="68"/>
      <c r="H58" s="68"/>
      <c r="I58" s="157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</row>
    <row r="59" spans="1:24" x14ac:dyDescent="0.4">
      <c r="A59" s="73">
        <v>34</v>
      </c>
      <c r="B59" s="149">
        <f t="shared" si="0"/>
        <v>10000</v>
      </c>
      <c r="C59" s="148">
        <f t="shared" si="1"/>
        <v>1.0833333333333334E-2</v>
      </c>
      <c r="D59" s="145">
        <f t="shared" si="3"/>
        <v>412852.57795779948</v>
      </c>
      <c r="E59" s="145">
        <f t="shared" si="2"/>
        <v>72852.577957799484</v>
      </c>
      <c r="F59" s="68"/>
      <c r="G59" s="68"/>
      <c r="H59" s="68"/>
      <c r="I59" s="157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</row>
    <row r="60" spans="1:24" x14ac:dyDescent="0.4">
      <c r="A60" s="73">
        <v>35</v>
      </c>
      <c r="B60" s="149">
        <f t="shared" si="0"/>
        <v>10000</v>
      </c>
      <c r="C60" s="148">
        <f t="shared" si="1"/>
        <v>1.0833333333333334E-2</v>
      </c>
      <c r="D60" s="145">
        <f t="shared" si="3"/>
        <v>427433.48088567558</v>
      </c>
      <c r="E60" s="145">
        <f t="shared" si="2"/>
        <v>77433.480885675584</v>
      </c>
      <c r="F60" s="68"/>
      <c r="G60" s="68"/>
      <c r="H60" s="68"/>
      <c r="I60" s="15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</row>
    <row r="61" spans="1:24" x14ac:dyDescent="0.4">
      <c r="A61" s="73">
        <v>36</v>
      </c>
      <c r="B61" s="149">
        <f t="shared" si="0"/>
        <v>10000</v>
      </c>
      <c r="C61" s="148">
        <f t="shared" si="1"/>
        <v>1.0833333333333334E-2</v>
      </c>
      <c r="D61" s="145">
        <f t="shared" si="3"/>
        <v>442172.34359527036</v>
      </c>
      <c r="E61" s="145">
        <f t="shared" si="2"/>
        <v>82172.343595270358</v>
      </c>
      <c r="F61" s="68"/>
      <c r="G61" s="68"/>
      <c r="H61" s="68"/>
      <c r="I61" s="15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</row>
    <row r="62" spans="1:24" x14ac:dyDescent="0.4">
      <c r="A62" s="73">
        <v>37</v>
      </c>
      <c r="B62" s="149">
        <f t="shared" si="0"/>
        <v>10000</v>
      </c>
      <c r="C62" s="148">
        <f t="shared" si="1"/>
        <v>1.0833333333333334E-2</v>
      </c>
      <c r="D62" s="145">
        <f t="shared" si="3"/>
        <v>457070.8773175524</v>
      </c>
      <c r="E62" s="145">
        <f t="shared" si="2"/>
        <v>87070.877317552397</v>
      </c>
      <c r="F62" s="68"/>
      <c r="G62" s="68"/>
      <c r="H62" s="68"/>
      <c r="I62" s="157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</row>
    <row r="63" spans="1:24" x14ac:dyDescent="0.4">
      <c r="A63" s="73">
        <v>38</v>
      </c>
      <c r="B63" s="149">
        <f t="shared" si="0"/>
        <v>10000</v>
      </c>
      <c r="C63" s="148">
        <f t="shared" si="1"/>
        <v>1.0833333333333334E-2</v>
      </c>
      <c r="D63" s="145">
        <f t="shared" si="3"/>
        <v>472130.81182182586</v>
      </c>
      <c r="E63" s="145">
        <f t="shared" si="2"/>
        <v>92130.811821825861</v>
      </c>
      <c r="F63" s="68"/>
      <c r="G63" s="68"/>
      <c r="H63" s="68"/>
      <c r="I63" s="157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</row>
    <row r="64" spans="1:24" x14ac:dyDescent="0.4">
      <c r="A64" s="73">
        <v>39</v>
      </c>
      <c r="B64" s="149">
        <f t="shared" si="0"/>
        <v>10000</v>
      </c>
      <c r="C64" s="148">
        <f t="shared" si="1"/>
        <v>1.0833333333333334E-2</v>
      </c>
      <c r="D64" s="145">
        <f t="shared" si="3"/>
        <v>487353.89561656228</v>
      </c>
      <c r="E64" s="145">
        <f t="shared" si="2"/>
        <v>97353.89561656228</v>
      </c>
      <c r="F64" s="68"/>
      <c r="G64" s="68"/>
      <c r="H64" s="68"/>
      <c r="I64" s="157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</row>
    <row r="65" spans="1:24" x14ac:dyDescent="0.4">
      <c r="A65" s="73">
        <v>40</v>
      </c>
      <c r="B65" s="149">
        <f t="shared" si="0"/>
        <v>10000</v>
      </c>
      <c r="C65" s="148">
        <f t="shared" si="1"/>
        <v>1.0833333333333334E-2</v>
      </c>
      <c r="D65" s="145">
        <f t="shared" si="3"/>
        <v>502741.89615240833</v>
      </c>
      <c r="E65" s="145">
        <f t="shared" si="2"/>
        <v>102741.89615240833</v>
      </c>
      <c r="F65" s="1"/>
      <c r="G65" s="1"/>
      <c r="H65" s="1"/>
      <c r="I65" s="16"/>
    </row>
    <row r="66" spans="1:24" x14ac:dyDescent="0.4">
      <c r="A66" s="73">
        <v>41</v>
      </c>
      <c r="B66" s="149">
        <f t="shared" si="0"/>
        <v>10000</v>
      </c>
      <c r="C66" s="148">
        <f t="shared" si="1"/>
        <v>1.0833333333333334E-2</v>
      </c>
      <c r="D66" s="145">
        <f t="shared" si="3"/>
        <v>518296.60002739273</v>
      </c>
      <c r="E66" s="145">
        <f t="shared" si="2"/>
        <v>108296.60002739273</v>
      </c>
      <c r="F66" s="1"/>
      <c r="G66" s="1"/>
      <c r="H66" s="1"/>
      <c r="I66" s="16"/>
    </row>
    <row r="67" spans="1:24" x14ac:dyDescent="0.4">
      <c r="A67" s="73">
        <v>42</v>
      </c>
      <c r="B67" s="149">
        <f t="shared" si="0"/>
        <v>10000</v>
      </c>
      <c r="C67" s="148">
        <f t="shared" si="1"/>
        <v>1.0833333333333334E-2</v>
      </c>
      <c r="D67" s="145">
        <f t="shared" si="3"/>
        <v>534019.81319435616</v>
      </c>
      <c r="E67" s="145">
        <f t="shared" si="2"/>
        <v>114019.81319435616</v>
      </c>
      <c r="F67" s="1"/>
      <c r="G67" s="1"/>
      <c r="H67" s="1"/>
      <c r="I67" s="16"/>
    </row>
    <row r="68" spans="1:24" x14ac:dyDescent="0.4">
      <c r="A68" s="73">
        <v>43</v>
      </c>
      <c r="B68" s="149">
        <f t="shared" si="0"/>
        <v>10000</v>
      </c>
      <c r="C68" s="148">
        <f t="shared" si="1"/>
        <v>1.0833333333333334E-2</v>
      </c>
      <c r="D68" s="145">
        <f t="shared" si="3"/>
        <v>549913.36117062834</v>
      </c>
      <c r="E68" s="145">
        <f t="shared" si="2"/>
        <v>119913.36117062834</v>
      </c>
      <c r="F68" s="15"/>
      <c r="G68" s="15"/>
      <c r="H68" s="15"/>
      <c r="I68" s="15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</row>
    <row r="69" spans="1:24" x14ac:dyDescent="0.4">
      <c r="A69" s="73">
        <v>44</v>
      </c>
      <c r="B69" s="149">
        <f t="shared" si="0"/>
        <v>10000</v>
      </c>
      <c r="C69" s="148">
        <f t="shared" si="1"/>
        <v>1.0833333333333334E-2</v>
      </c>
      <c r="D69" s="145">
        <f t="shared" si="3"/>
        <v>565979.08924997679</v>
      </c>
      <c r="E69" s="145">
        <f t="shared" si="2"/>
        <v>125979.08924997679</v>
      </c>
      <c r="F69" s="68"/>
      <c r="G69" s="68"/>
      <c r="H69" s="68"/>
      <c r="I69" s="15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</row>
    <row r="70" spans="1:24" x14ac:dyDescent="0.4">
      <c r="A70" s="73">
        <v>45</v>
      </c>
      <c r="B70" s="149">
        <f t="shared" si="0"/>
        <v>10000</v>
      </c>
      <c r="C70" s="148">
        <f t="shared" si="1"/>
        <v>1.0833333333333334E-2</v>
      </c>
      <c r="D70" s="145">
        <f t="shared" si="3"/>
        <v>582218.86271685152</v>
      </c>
      <c r="E70" s="145">
        <f t="shared" si="2"/>
        <v>132218.86271685152</v>
      </c>
      <c r="F70" s="68"/>
      <c r="G70" s="68"/>
      <c r="H70" s="68"/>
      <c r="I70" s="15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</row>
    <row r="71" spans="1:24" x14ac:dyDescent="0.4">
      <c r="A71" s="73">
        <v>46</v>
      </c>
      <c r="B71" s="149">
        <f t="shared" si="0"/>
        <v>10000</v>
      </c>
      <c r="C71" s="148">
        <f t="shared" si="1"/>
        <v>1.0833333333333334E-2</v>
      </c>
      <c r="D71" s="145">
        <f t="shared" si="3"/>
        <v>598634.56706295069</v>
      </c>
      <c r="E71" s="145">
        <f t="shared" si="2"/>
        <v>138634.56706295069</v>
      </c>
      <c r="F71" s="68"/>
      <c r="G71" s="68"/>
      <c r="H71" s="68"/>
      <c r="I71" s="15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</row>
    <row r="72" spans="1:24" x14ac:dyDescent="0.4">
      <c r="A72" s="73">
        <v>47</v>
      </c>
      <c r="B72" s="149">
        <f t="shared" si="0"/>
        <v>10000</v>
      </c>
      <c r="C72" s="148">
        <f t="shared" si="1"/>
        <v>1.0833333333333334E-2</v>
      </c>
      <c r="D72" s="145">
        <f t="shared" si="3"/>
        <v>615228.10820613266</v>
      </c>
      <c r="E72" s="145">
        <f t="shared" si="2"/>
        <v>145228.10820613266</v>
      </c>
      <c r="F72" s="68"/>
      <c r="G72" s="68"/>
      <c r="H72" s="68"/>
      <c r="I72" s="157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</row>
    <row r="73" spans="1:24" x14ac:dyDescent="0.4">
      <c r="A73" s="73">
        <v>48</v>
      </c>
      <c r="B73" s="149">
        <f t="shared" si="0"/>
        <v>10000</v>
      </c>
      <c r="C73" s="148">
        <f t="shared" si="1"/>
        <v>1.0833333333333334E-2</v>
      </c>
      <c r="D73" s="145">
        <f t="shared" si="3"/>
        <v>632001.41271169903</v>
      </c>
      <c r="E73" s="145">
        <f t="shared" si="2"/>
        <v>152001.41271169903</v>
      </c>
      <c r="F73" s="68"/>
      <c r="G73" s="68"/>
      <c r="H73" s="68"/>
      <c r="I73" s="157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</row>
    <row r="74" spans="1:24" x14ac:dyDescent="0.4">
      <c r="A74" s="73">
        <v>49</v>
      </c>
      <c r="B74" s="149">
        <f t="shared" si="0"/>
        <v>10000</v>
      </c>
      <c r="C74" s="148">
        <f t="shared" si="1"/>
        <v>1.0833333333333334E-2</v>
      </c>
      <c r="D74" s="145">
        <f t="shared" si="3"/>
        <v>648956.42801607575</v>
      </c>
      <c r="E74" s="145">
        <f t="shared" si="2"/>
        <v>158956.42801607575</v>
      </c>
      <c r="F74" s="68"/>
      <c r="G74" s="68"/>
      <c r="H74" s="68"/>
      <c r="I74" s="157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</row>
    <row r="75" spans="1:24" x14ac:dyDescent="0.4">
      <c r="A75" s="73">
        <v>50</v>
      </c>
      <c r="B75" s="149">
        <f t="shared" si="0"/>
        <v>10000</v>
      </c>
      <c r="C75" s="148">
        <f t="shared" si="1"/>
        <v>1.0833333333333334E-2</v>
      </c>
      <c r="D75" s="145">
        <f t="shared" si="3"/>
        <v>666095.12265291647</v>
      </c>
      <c r="E75" s="145">
        <f t="shared" si="2"/>
        <v>166095.12265291647</v>
      </c>
      <c r="F75" s="68"/>
      <c r="G75" s="68"/>
      <c r="H75" s="68"/>
      <c r="I75" s="157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</row>
    <row r="76" spans="1:24" x14ac:dyDescent="0.4">
      <c r="A76" s="73">
        <v>51</v>
      </c>
      <c r="B76" s="149">
        <f t="shared" si="0"/>
        <v>10000</v>
      </c>
      <c r="C76" s="148">
        <f t="shared" si="1"/>
        <v>1.0833333333333334E-2</v>
      </c>
      <c r="D76" s="145">
        <f t="shared" si="3"/>
        <v>683419.48648165632</v>
      </c>
      <c r="E76" s="145">
        <f t="shared" si="2"/>
        <v>173419.48648165632</v>
      </c>
      <c r="F76" s="68"/>
      <c r="G76" s="68"/>
      <c r="H76" s="68"/>
      <c r="I76" s="157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</row>
    <row r="77" spans="1:24" x14ac:dyDescent="0.4">
      <c r="A77" s="73">
        <v>52</v>
      </c>
      <c r="B77" s="149">
        <f t="shared" si="0"/>
        <v>10000</v>
      </c>
      <c r="C77" s="148">
        <f t="shared" si="1"/>
        <v>1.0833333333333334E-2</v>
      </c>
      <c r="D77" s="145">
        <f t="shared" si="3"/>
        <v>700931.5309185409</v>
      </c>
      <c r="E77" s="145">
        <f t="shared" si="2"/>
        <v>180931.5309185409</v>
      </c>
      <c r="F77" s="68"/>
      <c r="G77" s="68"/>
      <c r="H77" s="68"/>
      <c r="I77" s="157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</row>
    <row r="78" spans="1:24" x14ac:dyDescent="0.4">
      <c r="A78" s="73">
        <v>53</v>
      </c>
      <c r="B78" s="149">
        <f t="shared" si="0"/>
        <v>10000</v>
      </c>
      <c r="C78" s="148">
        <f t="shared" si="1"/>
        <v>1.0833333333333334E-2</v>
      </c>
      <c r="D78" s="145">
        <f t="shared" si="3"/>
        <v>718633.28917015833</v>
      </c>
      <c r="E78" s="145">
        <f t="shared" si="2"/>
        <v>188633.28917015833</v>
      </c>
      <c r="F78" s="68"/>
      <c r="G78" s="68"/>
      <c r="H78" s="68"/>
      <c r="I78" s="157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</row>
    <row r="79" spans="1:24" x14ac:dyDescent="0.4">
      <c r="A79" s="73">
        <v>54</v>
      </c>
      <c r="B79" s="149">
        <f t="shared" si="0"/>
        <v>10000</v>
      </c>
      <c r="C79" s="148">
        <f t="shared" si="1"/>
        <v>1.0833333333333334E-2</v>
      </c>
      <c r="D79" s="145">
        <f t="shared" si="3"/>
        <v>736526.8164695017</v>
      </c>
      <c r="E79" s="145">
        <f t="shared" si="2"/>
        <v>196526.8164695017</v>
      </c>
      <c r="F79" s="68"/>
      <c r="G79" s="68"/>
      <c r="H79" s="68"/>
      <c r="I79" s="157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</row>
    <row r="80" spans="1:24" x14ac:dyDescent="0.4">
      <c r="A80" s="73">
        <v>55</v>
      </c>
      <c r="B80" s="149">
        <f t="shared" si="0"/>
        <v>10000</v>
      </c>
      <c r="C80" s="148">
        <f t="shared" si="1"/>
        <v>1.0833333333333334E-2</v>
      </c>
      <c r="D80" s="145">
        <f t="shared" si="3"/>
        <v>754614.1903145879</v>
      </c>
      <c r="E80" s="145">
        <f t="shared" si="2"/>
        <v>204614.1903145879</v>
      </c>
      <c r="F80" s="68"/>
      <c r="G80" s="68"/>
      <c r="H80" s="68"/>
      <c r="I80" s="157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</row>
    <row r="81" spans="1:24" x14ac:dyDescent="0.4">
      <c r="A81" s="73">
        <v>56</v>
      </c>
      <c r="B81" s="149">
        <f t="shared" si="0"/>
        <v>10000</v>
      </c>
      <c r="C81" s="148">
        <f t="shared" si="1"/>
        <v>1.0833333333333334E-2</v>
      </c>
      <c r="D81" s="145">
        <f t="shared" si="3"/>
        <v>772897.51070966257</v>
      </c>
      <c r="E81" s="145">
        <f t="shared" si="2"/>
        <v>212897.51070966257</v>
      </c>
      <c r="F81" s="68"/>
      <c r="G81" s="68"/>
      <c r="H81" s="68"/>
      <c r="I81" s="157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</row>
    <row r="82" spans="1:24" x14ac:dyDescent="0.4">
      <c r="A82" s="73">
        <v>57</v>
      </c>
      <c r="B82" s="149">
        <f t="shared" si="0"/>
        <v>10000</v>
      </c>
      <c r="C82" s="148">
        <f t="shared" si="1"/>
        <v>1.0833333333333334E-2</v>
      </c>
      <c r="D82" s="145">
        <f t="shared" si="3"/>
        <v>791378.90040901722</v>
      </c>
      <c r="E82" s="145">
        <f t="shared" si="2"/>
        <v>221378.90040901722</v>
      </c>
      <c r="F82" s="68"/>
      <c r="G82" s="68"/>
      <c r="H82" s="68"/>
      <c r="I82" s="157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</row>
    <row r="83" spans="1:24" x14ac:dyDescent="0.4">
      <c r="A83" s="73">
        <v>58</v>
      </c>
      <c r="B83" s="149">
        <f t="shared" si="0"/>
        <v>10000</v>
      </c>
      <c r="C83" s="148">
        <f t="shared" si="1"/>
        <v>1.0833333333333334E-2</v>
      </c>
      <c r="D83" s="145">
        <f t="shared" si="3"/>
        <v>810060.50516344816</v>
      </c>
      <c r="E83" s="145">
        <f t="shared" si="2"/>
        <v>230060.50516344816</v>
      </c>
      <c r="F83" s="68"/>
      <c r="G83" s="68"/>
      <c r="H83" s="68"/>
      <c r="I83" s="157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</row>
    <row r="84" spans="1:24" x14ac:dyDescent="0.4">
      <c r="A84" s="73">
        <v>59</v>
      </c>
      <c r="B84" s="149">
        <f t="shared" si="0"/>
        <v>10000</v>
      </c>
      <c r="C84" s="148">
        <f t="shared" si="1"/>
        <v>1.0833333333333334E-2</v>
      </c>
      <c r="D84" s="145">
        <f t="shared" si="3"/>
        <v>828944.4939693854</v>
      </c>
      <c r="E84" s="145">
        <f t="shared" si="2"/>
        <v>238944.4939693854</v>
      </c>
      <c r="F84" s="68"/>
      <c r="G84" s="68"/>
      <c r="H84" s="68"/>
      <c r="I84" s="157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</row>
    <row r="85" spans="1:24" x14ac:dyDescent="0.4">
      <c r="A85" s="73">
        <v>60</v>
      </c>
      <c r="B85" s="149">
        <f t="shared" si="0"/>
        <v>10000</v>
      </c>
      <c r="C85" s="148">
        <f t="shared" si="1"/>
        <v>1.0833333333333334E-2</v>
      </c>
      <c r="D85" s="145">
        <f t="shared" si="3"/>
        <v>848033.05932072038</v>
      </c>
      <c r="E85" s="145">
        <f t="shared" si="2"/>
        <v>248033.05932072038</v>
      </c>
      <c r="F85" s="68"/>
      <c r="G85" s="68"/>
      <c r="H85" s="68"/>
      <c r="I85" s="157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</row>
    <row r="86" spans="1:24" x14ac:dyDescent="0.4">
      <c r="A86" s="73">
        <v>61</v>
      </c>
      <c r="B86" s="149">
        <f t="shared" si="0"/>
        <v>10000</v>
      </c>
      <c r="C86" s="148">
        <f t="shared" si="1"/>
        <v>1.0833333333333334E-2</v>
      </c>
      <c r="D86" s="145">
        <f t="shared" si="3"/>
        <v>867328.4174633614</v>
      </c>
      <c r="E86" s="145">
        <f t="shared" si="2"/>
        <v>257328.4174633614</v>
      </c>
      <c r="F86" s="68"/>
      <c r="G86" s="68"/>
      <c r="H86" s="68"/>
      <c r="I86" s="157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</row>
    <row r="87" spans="1:24" x14ac:dyDescent="0.4">
      <c r="A87" s="73">
        <v>62</v>
      </c>
      <c r="B87" s="149">
        <f t="shared" si="0"/>
        <v>10000</v>
      </c>
      <c r="C87" s="148">
        <f t="shared" si="1"/>
        <v>1.0833333333333334E-2</v>
      </c>
      <c r="D87" s="145">
        <f t="shared" si="3"/>
        <v>886832.80865254777</v>
      </c>
      <c r="E87" s="145">
        <f t="shared" si="2"/>
        <v>266832.80865254777</v>
      </c>
      <c r="F87" s="68"/>
      <c r="G87" s="68"/>
      <c r="H87" s="68"/>
      <c r="I87" s="157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</row>
    <row r="88" spans="1:24" x14ac:dyDescent="0.4">
      <c r="A88" s="73">
        <v>63</v>
      </c>
      <c r="B88" s="149">
        <f t="shared" si="0"/>
        <v>10000</v>
      </c>
      <c r="C88" s="148">
        <f t="shared" si="1"/>
        <v>1.0833333333333334E-2</v>
      </c>
      <c r="D88" s="145">
        <f t="shared" si="3"/>
        <v>906548.49741295027</v>
      </c>
      <c r="E88" s="145">
        <f t="shared" si="2"/>
        <v>276548.49741295027</v>
      </c>
      <c r="F88" s="68"/>
      <c r="G88" s="68"/>
      <c r="H88" s="68"/>
      <c r="I88" s="157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</row>
    <row r="89" spans="1:24" x14ac:dyDescent="0.4">
      <c r="A89" s="73">
        <v>64</v>
      </c>
      <c r="B89" s="149">
        <f t="shared" si="0"/>
        <v>10000</v>
      </c>
      <c r="C89" s="148">
        <f t="shared" si="1"/>
        <v>1.0833333333333334E-2</v>
      </c>
      <c r="D89" s="145">
        <f t="shared" si="3"/>
        <v>926477.7728015905</v>
      </c>
      <c r="E89" s="145">
        <f t="shared" si="2"/>
        <v>286477.7728015905</v>
      </c>
      <c r="F89" s="1"/>
      <c r="G89" s="1"/>
      <c r="H89" s="1"/>
      <c r="I89" s="16"/>
    </row>
    <row r="90" spans="1:24" x14ac:dyDescent="0.4">
      <c r="A90" s="73">
        <v>65</v>
      </c>
      <c r="B90" s="149">
        <f t="shared" si="0"/>
        <v>10000</v>
      </c>
      <c r="C90" s="148">
        <f t="shared" si="1"/>
        <v>1.0833333333333334E-2</v>
      </c>
      <c r="D90" s="145">
        <f t="shared" si="3"/>
        <v>946622.94867360767</v>
      </c>
      <c r="E90" s="145">
        <f t="shared" si="2"/>
        <v>296622.94867360767</v>
      </c>
      <c r="F90" s="1"/>
      <c r="G90" s="1"/>
      <c r="H90" s="1"/>
      <c r="I90" s="16"/>
    </row>
    <row r="91" spans="1:24" x14ac:dyDescent="0.4">
      <c r="A91" s="73">
        <v>66</v>
      </c>
      <c r="B91" s="149">
        <f t="shared" ref="B91:B145" si="4">$B$15</f>
        <v>10000</v>
      </c>
      <c r="C91" s="148">
        <f t="shared" ref="C91:C144" si="5">$B$16/$B$18</f>
        <v>1.0833333333333334E-2</v>
      </c>
      <c r="D91" s="145">
        <f t="shared" si="3"/>
        <v>966986.36395090504</v>
      </c>
      <c r="E91" s="145">
        <f t="shared" ref="E91:E145" si="6">D91-(B91*A91)</f>
        <v>306986.36395090504</v>
      </c>
      <c r="F91" s="1"/>
      <c r="G91" s="1"/>
      <c r="H91" s="1"/>
      <c r="I91" s="16"/>
    </row>
    <row r="92" spans="1:24" x14ac:dyDescent="0.4">
      <c r="A92" s="73">
        <v>67</v>
      </c>
      <c r="B92" s="149">
        <f t="shared" si="4"/>
        <v>10000</v>
      </c>
      <c r="C92" s="148">
        <f t="shared" si="5"/>
        <v>1.0833333333333334E-2</v>
      </c>
      <c r="D92" s="145">
        <f t="shared" ref="D92:D145" si="7">(D91+B92)*(1+C92)</f>
        <v>987570.38289370644</v>
      </c>
      <c r="E92" s="145">
        <f t="shared" si="6"/>
        <v>317570.38289370644</v>
      </c>
      <c r="F92" s="15"/>
      <c r="G92" s="15"/>
      <c r="H92" s="15"/>
      <c r="I92" s="15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</row>
    <row r="93" spans="1:24" x14ac:dyDescent="0.4">
      <c r="A93" s="73">
        <v>68</v>
      </c>
      <c r="B93" s="149">
        <f t="shared" si="4"/>
        <v>10000</v>
      </c>
      <c r="C93" s="148">
        <f t="shared" si="5"/>
        <v>1.0833333333333334E-2</v>
      </c>
      <c r="D93" s="145">
        <f t="shared" si="7"/>
        <v>1008377.3953750548</v>
      </c>
      <c r="E93" s="145">
        <f t="shared" si="6"/>
        <v>328377.3953750548</v>
      </c>
      <c r="F93" s="68"/>
      <c r="G93" s="68"/>
      <c r="H93" s="68"/>
      <c r="I93" s="157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</row>
    <row r="94" spans="1:24" x14ac:dyDescent="0.4">
      <c r="A94" s="73">
        <v>69</v>
      </c>
      <c r="B94" s="149">
        <f t="shared" si="4"/>
        <v>10000</v>
      </c>
      <c r="C94" s="148">
        <f t="shared" si="5"/>
        <v>1.0833333333333334E-2</v>
      </c>
      <c r="D94" s="145">
        <f t="shared" si="7"/>
        <v>1029409.8171582845</v>
      </c>
      <c r="E94" s="145">
        <f t="shared" si="6"/>
        <v>339409.81715828448</v>
      </c>
      <c r="F94" s="68"/>
      <c r="G94" s="68"/>
      <c r="H94" s="68"/>
      <c r="I94" s="157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</row>
    <row r="95" spans="1:24" x14ac:dyDescent="0.4">
      <c r="A95" s="73">
        <v>70</v>
      </c>
      <c r="B95" s="149">
        <f t="shared" si="4"/>
        <v>10000</v>
      </c>
      <c r="C95" s="148">
        <f t="shared" si="5"/>
        <v>1.0833333333333334E-2</v>
      </c>
      <c r="D95" s="145">
        <f t="shared" si="7"/>
        <v>1050670.0901774992</v>
      </c>
      <c r="E95" s="145">
        <f t="shared" si="6"/>
        <v>350670.09017749922</v>
      </c>
      <c r="F95" s="68"/>
      <c r="G95" s="68"/>
      <c r="H95" s="68"/>
      <c r="I95" s="157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</row>
    <row r="96" spans="1:24" x14ac:dyDescent="0.4">
      <c r="A96" s="73">
        <v>71</v>
      </c>
      <c r="B96" s="149">
        <f t="shared" si="4"/>
        <v>10000</v>
      </c>
      <c r="C96" s="148">
        <f t="shared" si="5"/>
        <v>1.0833333333333334E-2</v>
      </c>
      <c r="D96" s="145">
        <f t="shared" si="7"/>
        <v>1072160.6828210887</v>
      </c>
      <c r="E96" s="145">
        <f t="shared" si="6"/>
        <v>362160.6828210887</v>
      </c>
      <c r="F96" s="68"/>
      <c r="G96" s="68"/>
      <c r="H96" s="68"/>
      <c r="I96" s="157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</row>
    <row r="97" spans="1:24" x14ac:dyDescent="0.4">
      <c r="A97" s="73">
        <v>72</v>
      </c>
      <c r="B97" s="149">
        <f t="shared" si="4"/>
        <v>10000</v>
      </c>
      <c r="C97" s="148">
        <f t="shared" si="5"/>
        <v>1.0833333333333334E-2</v>
      </c>
      <c r="D97" s="145">
        <f t="shared" si="7"/>
        <v>1093884.090218317</v>
      </c>
      <c r="E97" s="145">
        <f t="shared" si="6"/>
        <v>373884.090218317</v>
      </c>
      <c r="F97" s="68"/>
      <c r="G97" s="68"/>
      <c r="H97" s="68"/>
      <c r="I97" s="157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</row>
    <row r="98" spans="1:24" x14ac:dyDescent="0.4">
      <c r="A98" s="73">
        <v>73</v>
      </c>
      <c r="B98" s="149">
        <f t="shared" si="4"/>
        <v>10000</v>
      </c>
      <c r="C98" s="148">
        <f t="shared" si="5"/>
        <v>1.0833333333333334E-2</v>
      </c>
      <c r="D98" s="145">
        <f t="shared" si="7"/>
        <v>1115842.8345290152</v>
      </c>
      <c r="E98" s="145">
        <f t="shared" si="6"/>
        <v>385842.83452901524</v>
      </c>
      <c r="F98" s="68"/>
      <c r="G98" s="68"/>
      <c r="H98" s="68"/>
      <c r="I98" s="157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</row>
    <row r="99" spans="1:24" x14ac:dyDescent="0.4">
      <c r="A99" s="73">
        <v>74</v>
      </c>
      <c r="B99" s="149">
        <f t="shared" si="4"/>
        <v>10000</v>
      </c>
      <c r="C99" s="148">
        <f t="shared" si="5"/>
        <v>1.0833333333333334E-2</v>
      </c>
      <c r="D99" s="145">
        <f t="shared" si="7"/>
        <v>1138039.4652364128</v>
      </c>
      <c r="E99" s="145">
        <f t="shared" si="6"/>
        <v>398039.46523641283</v>
      </c>
      <c r="F99" s="68"/>
      <c r="G99" s="68"/>
      <c r="H99" s="68"/>
      <c r="I99" s="157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</row>
    <row r="100" spans="1:24" x14ac:dyDescent="0.4">
      <c r="A100" s="73">
        <v>75</v>
      </c>
      <c r="B100" s="149">
        <f t="shared" si="4"/>
        <v>10000</v>
      </c>
      <c r="C100" s="148">
        <f t="shared" si="5"/>
        <v>1.0833333333333334E-2</v>
      </c>
      <c r="D100" s="145">
        <f t="shared" si="7"/>
        <v>1160476.5594431406</v>
      </c>
      <c r="E100" s="145">
        <f t="shared" si="6"/>
        <v>410476.55944314064</v>
      </c>
      <c r="F100" s="68"/>
      <c r="G100" s="68"/>
      <c r="H100" s="68"/>
      <c r="I100" s="157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</row>
    <row r="101" spans="1:24" x14ac:dyDescent="0.4">
      <c r="A101" s="73">
        <v>76</v>
      </c>
      <c r="B101" s="149">
        <f t="shared" si="4"/>
        <v>10000</v>
      </c>
      <c r="C101" s="148">
        <f t="shared" si="5"/>
        <v>1.0833333333333334E-2</v>
      </c>
      <c r="D101" s="145">
        <f t="shared" si="7"/>
        <v>1183156.7221704412</v>
      </c>
      <c r="E101" s="145">
        <f t="shared" si="6"/>
        <v>423156.72217044118</v>
      </c>
      <c r="F101" s="68"/>
      <c r="G101" s="68"/>
      <c r="H101" s="68"/>
      <c r="I101" s="157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</row>
    <row r="102" spans="1:24" x14ac:dyDescent="0.4">
      <c r="A102" s="73">
        <v>77</v>
      </c>
      <c r="B102" s="149">
        <f t="shared" si="4"/>
        <v>10000</v>
      </c>
      <c r="C102" s="148">
        <f t="shared" si="5"/>
        <v>1.0833333333333334E-2</v>
      </c>
      <c r="D102" s="145">
        <f t="shared" si="7"/>
        <v>1206082.5866606208</v>
      </c>
      <c r="E102" s="145">
        <f t="shared" si="6"/>
        <v>436082.58666062076</v>
      </c>
      <c r="F102" s="68"/>
      <c r="G102" s="68"/>
      <c r="H102" s="68"/>
      <c r="I102" s="157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</row>
    <row r="103" spans="1:24" x14ac:dyDescent="0.4">
      <c r="A103" s="73">
        <v>78</v>
      </c>
      <c r="B103" s="149">
        <f t="shared" si="4"/>
        <v>10000</v>
      </c>
      <c r="C103" s="148">
        <f t="shared" si="5"/>
        <v>1.0833333333333334E-2</v>
      </c>
      <c r="D103" s="145">
        <f t="shared" si="7"/>
        <v>1229256.8146827773</v>
      </c>
      <c r="E103" s="145">
        <f t="shared" si="6"/>
        <v>449256.81468277727</v>
      </c>
      <c r="F103" s="68"/>
      <c r="G103" s="68"/>
      <c r="H103" s="68"/>
      <c r="I103" s="157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</row>
    <row r="104" spans="1:24" x14ac:dyDescent="0.4">
      <c r="A104" s="73">
        <v>79</v>
      </c>
      <c r="B104" s="149">
        <f t="shared" si="4"/>
        <v>10000</v>
      </c>
      <c r="C104" s="148">
        <f t="shared" si="5"/>
        <v>1.0833333333333334E-2</v>
      </c>
      <c r="D104" s="145">
        <f t="shared" si="7"/>
        <v>1252682.0968418405</v>
      </c>
      <c r="E104" s="145">
        <f t="shared" si="6"/>
        <v>462682.09684184054</v>
      </c>
      <c r="F104" s="68"/>
      <c r="G104" s="68"/>
      <c r="H104" s="68"/>
      <c r="I104" s="157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</row>
    <row r="105" spans="1:24" x14ac:dyDescent="0.4">
      <c r="A105" s="73">
        <v>80</v>
      </c>
      <c r="B105" s="149">
        <f t="shared" si="4"/>
        <v>10000</v>
      </c>
      <c r="C105" s="148">
        <f t="shared" si="5"/>
        <v>1.0833333333333334E-2</v>
      </c>
      <c r="D105" s="145">
        <f t="shared" si="7"/>
        <v>1276361.1528909605</v>
      </c>
      <c r="E105" s="145">
        <f t="shared" si="6"/>
        <v>476361.15289096045</v>
      </c>
      <c r="F105" s="68"/>
      <c r="G105" s="68"/>
      <c r="H105" s="68"/>
      <c r="I105" s="157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</row>
    <row r="106" spans="1:24" x14ac:dyDescent="0.4">
      <c r="A106" s="73">
        <v>81</v>
      </c>
      <c r="B106" s="149">
        <f t="shared" si="4"/>
        <v>10000</v>
      </c>
      <c r="C106" s="148">
        <f t="shared" si="5"/>
        <v>1.0833333333333334E-2</v>
      </c>
      <c r="D106" s="145">
        <f t="shared" si="7"/>
        <v>1300296.7320472791</v>
      </c>
      <c r="E106" s="145">
        <f t="shared" si="6"/>
        <v>490296.73204727913</v>
      </c>
      <c r="F106" s="68"/>
      <c r="G106" s="68"/>
      <c r="H106" s="68"/>
      <c r="I106" s="157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</row>
    <row r="107" spans="1:24" x14ac:dyDescent="0.4">
      <c r="A107" s="73">
        <v>82</v>
      </c>
      <c r="B107" s="149">
        <f t="shared" si="4"/>
        <v>10000</v>
      </c>
      <c r="C107" s="148">
        <f t="shared" si="5"/>
        <v>1.0833333333333334E-2</v>
      </c>
      <c r="D107" s="145">
        <f t="shared" si="7"/>
        <v>1324491.6133111245</v>
      </c>
      <c r="E107" s="145">
        <f t="shared" si="6"/>
        <v>504491.6133111245</v>
      </c>
      <c r="F107" s="68"/>
      <c r="G107" s="68"/>
      <c r="H107" s="68"/>
      <c r="I107" s="157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</row>
    <row r="108" spans="1:24" x14ac:dyDescent="0.4">
      <c r="A108" s="73">
        <v>83</v>
      </c>
      <c r="B108" s="149">
        <f t="shared" si="4"/>
        <v>10000</v>
      </c>
      <c r="C108" s="148">
        <f t="shared" si="5"/>
        <v>1.0833333333333334E-2</v>
      </c>
      <c r="D108" s="145">
        <f t="shared" si="7"/>
        <v>1348948.6057886616</v>
      </c>
      <c r="E108" s="145">
        <f t="shared" si="6"/>
        <v>518948.60578866163</v>
      </c>
      <c r="F108" s="68"/>
      <c r="G108" s="68"/>
      <c r="H108" s="68"/>
      <c r="I108" s="157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</row>
    <row r="109" spans="1:24" x14ac:dyDescent="0.4">
      <c r="A109" s="73">
        <v>84</v>
      </c>
      <c r="B109" s="149">
        <f t="shared" si="4"/>
        <v>10000</v>
      </c>
      <c r="C109" s="148">
        <f t="shared" si="5"/>
        <v>1.0833333333333334E-2</v>
      </c>
      <c r="D109" s="145">
        <f t="shared" si="7"/>
        <v>1373670.5490180387</v>
      </c>
      <c r="E109" s="145">
        <f t="shared" si="6"/>
        <v>533670.54901803867</v>
      </c>
      <c r="F109" s="68"/>
      <c r="G109" s="68"/>
      <c r="H109" s="68"/>
      <c r="I109" s="157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</row>
    <row r="110" spans="1:24" x14ac:dyDescent="0.4">
      <c r="A110" s="73">
        <v>85</v>
      </c>
      <c r="B110" s="149">
        <f t="shared" si="4"/>
        <v>10000</v>
      </c>
      <c r="C110" s="148">
        <f t="shared" si="5"/>
        <v>1.0833333333333334E-2</v>
      </c>
      <c r="D110" s="145">
        <f t="shared" si="7"/>
        <v>1398660.3132990673</v>
      </c>
      <c r="E110" s="145">
        <f t="shared" si="6"/>
        <v>548660.31329906732</v>
      </c>
      <c r="F110" s="68"/>
      <c r="G110" s="68"/>
      <c r="H110" s="68"/>
      <c r="I110" s="157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</row>
    <row r="111" spans="1:24" x14ac:dyDescent="0.4">
      <c r="A111" s="73">
        <v>86</v>
      </c>
      <c r="B111" s="149">
        <f t="shared" si="4"/>
        <v>10000</v>
      </c>
      <c r="C111" s="148">
        <f t="shared" si="5"/>
        <v>1.0833333333333334E-2</v>
      </c>
      <c r="D111" s="145">
        <f t="shared" si="7"/>
        <v>1423920.8000264738</v>
      </c>
      <c r="E111" s="145">
        <f t="shared" si="6"/>
        <v>563920.80002647382</v>
      </c>
      <c r="F111" s="68"/>
      <c r="G111" s="68"/>
      <c r="H111" s="68"/>
      <c r="I111" s="157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</row>
    <row r="112" spans="1:24" x14ac:dyDescent="0.4">
      <c r="A112" s="73">
        <v>87</v>
      </c>
      <c r="B112" s="149">
        <f t="shared" si="4"/>
        <v>10000</v>
      </c>
      <c r="C112" s="148">
        <f t="shared" si="5"/>
        <v>1.0833333333333334E-2</v>
      </c>
      <c r="D112" s="145">
        <f t="shared" si="7"/>
        <v>1449454.9420267604</v>
      </c>
      <c r="E112" s="145">
        <f t="shared" si="6"/>
        <v>579454.94202676043</v>
      </c>
      <c r="F112" s="68"/>
      <c r="G112" s="68"/>
      <c r="H112" s="68"/>
      <c r="I112" s="157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</row>
    <row r="113" spans="1:24" x14ac:dyDescent="0.4">
      <c r="A113" s="73">
        <v>88</v>
      </c>
      <c r="B113" s="149">
        <f t="shared" si="4"/>
        <v>10000</v>
      </c>
      <c r="C113" s="148">
        <f t="shared" si="5"/>
        <v>1.0833333333333334E-2</v>
      </c>
      <c r="D113" s="145">
        <f t="shared" si="7"/>
        <v>1475265.703898717</v>
      </c>
      <c r="E113" s="145">
        <f t="shared" si="6"/>
        <v>595265.70389871695</v>
      </c>
      <c r="F113" s="1"/>
      <c r="G113" s="1"/>
      <c r="H113" s="1"/>
      <c r="I113" s="16"/>
    </row>
    <row r="114" spans="1:24" x14ac:dyDescent="0.4">
      <c r="A114" s="73">
        <v>89</v>
      </c>
      <c r="B114" s="149">
        <f t="shared" si="4"/>
        <v>10000</v>
      </c>
      <c r="C114" s="148">
        <f t="shared" si="5"/>
        <v>1.0833333333333334E-2</v>
      </c>
      <c r="D114" s="145">
        <f t="shared" si="7"/>
        <v>1501356.0823576197</v>
      </c>
      <c r="E114" s="145">
        <f t="shared" si="6"/>
        <v>611356.08235761966</v>
      </c>
      <c r="F114" s="1"/>
      <c r="G114" s="1"/>
      <c r="H114" s="1"/>
      <c r="I114" s="16"/>
    </row>
    <row r="115" spans="1:24" x14ac:dyDescent="0.4">
      <c r="A115" s="73">
        <v>90</v>
      </c>
      <c r="B115" s="149">
        <f t="shared" si="4"/>
        <v>10000</v>
      </c>
      <c r="C115" s="148">
        <f t="shared" si="5"/>
        <v>1.0833333333333334E-2</v>
      </c>
      <c r="D115" s="145">
        <f t="shared" si="7"/>
        <v>1527729.1065831603</v>
      </c>
      <c r="E115" s="145">
        <f t="shared" si="6"/>
        <v>627729.10658316035</v>
      </c>
      <c r="F115" s="1"/>
      <c r="G115" s="1"/>
      <c r="H115" s="1"/>
      <c r="I115" s="16"/>
    </row>
    <row r="116" spans="1:24" x14ac:dyDescent="0.4">
      <c r="A116" s="73">
        <v>91</v>
      </c>
      <c r="B116" s="149">
        <f t="shared" si="4"/>
        <v>10000</v>
      </c>
      <c r="C116" s="148">
        <f t="shared" si="5"/>
        <v>1.0833333333333334E-2</v>
      </c>
      <c r="D116" s="145">
        <f t="shared" si="7"/>
        <v>1554387.8385711445</v>
      </c>
      <c r="E116" s="145">
        <f t="shared" si="6"/>
        <v>644387.8385711445</v>
      </c>
      <c r="F116" s="15"/>
      <c r="G116" s="15"/>
      <c r="H116" s="15"/>
      <c r="I116" s="15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</row>
    <row r="117" spans="1:24" x14ac:dyDescent="0.4">
      <c r="A117" s="73">
        <v>92</v>
      </c>
      <c r="B117" s="149">
        <f t="shared" si="4"/>
        <v>10000</v>
      </c>
      <c r="C117" s="148">
        <f t="shared" si="5"/>
        <v>1.0833333333333334E-2</v>
      </c>
      <c r="D117" s="145">
        <f t="shared" si="7"/>
        <v>1581335.3734889985</v>
      </c>
      <c r="E117" s="145">
        <f t="shared" si="6"/>
        <v>661335.37348899851</v>
      </c>
      <c r="F117" s="68"/>
      <c r="G117" s="68"/>
      <c r="H117" s="68"/>
      <c r="I117" s="157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</row>
    <row r="118" spans="1:24" x14ac:dyDescent="0.4">
      <c r="A118" s="73">
        <v>93</v>
      </c>
      <c r="B118" s="149">
        <f t="shared" si="4"/>
        <v>10000</v>
      </c>
      <c r="C118" s="148">
        <f t="shared" si="5"/>
        <v>1.0833333333333334E-2</v>
      </c>
      <c r="D118" s="145">
        <f t="shared" si="7"/>
        <v>1608574.8400351291</v>
      </c>
      <c r="E118" s="145">
        <f t="shared" si="6"/>
        <v>678574.84003512911</v>
      </c>
      <c r="F118" s="68"/>
      <c r="G118" s="68"/>
      <c r="H118" s="68"/>
      <c r="I118" s="157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</row>
    <row r="119" spans="1:24" x14ac:dyDescent="0.4">
      <c r="A119" s="73">
        <v>94</v>
      </c>
      <c r="B119" s="149">
        <f t="shared" si="4"/>
        <v>10000</v>
      </c>
      <c r="C119" s="148">
        <f t="shared" si="5"/>
        <v>1.0833333333333334E-2</v>
      </c>
      <c r="D119" s="145">
        <f t="shared" si="7"/>
        <v>1636109.4008021762</v>
      </c>
      <c r="E119" s="145">
        <f t="shared" si="6"/>
        <v>696109.40080217621</v>
      </c>
      <c r="F119" s="68"/>
      <c r="G119" s="68"/>
      <c r="H119" s="68"/>
      <c r="I119" s="157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</row>
    <row r="120" spans="1:24" x14ac:dyDescent="0.4">
      <c r="A120" s="73">
        <v>95</v>
      </c>
      <c r="B120" s="149">
        <f t="shared" si="4"/>
        <v>10000</v>
      </c>
      <c r="C120" s="148">
        <f t="shared" si="5"/>
        <v>1.0833333333333334E-2</v>
      </c>
      <c r="D120" s="145">
        <f t="shared" si="7"/>
        <v>1663942.2526441996</v>
      </c>
      <c r="E120" s="145">
        <f t="shared" si="6"/>
        <v>713942.25264419965</v>
      </c>
      <c r="F120" s="68"/>
      <c r="G120" s="68"/>
      <c r="H120" s="68"/>
      <c r="I120" s="157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</row>
    <row r="121" spans="1:24" x14ac:dyDescent="0.4">
      <c r="A121" s="73">
        <v>96</v>
      </c>
      <c r="B121" s="149">
        <f t="shared" si="4"/>
        <v>10000</v>
      </c>
      <c r="C121" s="148">
        <f t="shared" si="5"/>
        <v>1.0833333333333334E-2</v>
      </c>
      <c r="D121" s="145">
        <f t="shared" si="7"/>
        <v>1692076.6270478449</v>
      </c>
      <c r="E121" s="145">
        <f t="shared" si="6"/>
        <v>732076.62704784493</v>
      </c>
      <c r="F121" s="68"/>
      <c r="G121" s="68"/>
      <c r="H121" s="68"/>
      <c r="I121" s="157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</row>
    <row r="122" spans="1:24" x14ac:dyDescent="0.4">
      <c r="A122" s="73">
        <v>97</v>
      </c>
      <c r="B122" s="149">
        <f t="shared" si="4"/>
        <v>10000</v>
      </c>
      <c r="C122" s="148">
        <f t="shared" si="5"/>
        <v>1.0833333333333334E-2</v>
      </c>
      <c r="D122" s="145">
        <f t="shared" si="7"/>
        <v>1720515.7905075299</v>
      </c>
      <c r="E122" s="145">
        <f t="shared" si="6"/>
        <v>750515.79050752986</v>
      </c>
      <c r="F122" s="68"/>
      <c r="G122" s="68"/>
      <c r="H122" s="68"/>
      <c r="I122" s="157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</row>
    <row r="123" spans="1:24" x14ac:dyDescent="0.4">
      <c r="A123" s="73">
        <v>98</v>
      </c>
      <c r="B123" s="149">
        <f t="shared" si="4"/>
        <v>10000</v>
      </c>
      <c r="C123" s="148">
        <f t="shared" si="5"/>
        <v>1.0833333333333334E-2</v>
      </c>
      <c r="D123" s="145">
        <f t="shared" si="7"/>
        <v>1749263.0449046947</v>
      </c>
      <c r="E123" s="145">
        <f t="shared" si="6"/>
        <v>769263.04490469466</v>
      </c>
      <c r="F123" s="68"/>
      <c r="G123" s="68"/>
      <c r="H123" s="68"/>
      <c r="I123" s="157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</row>
    <row r="124" spans="1:24" x14ac:dyDescent="0.4">
      <c r="A124" s="73">
        <v>99</v>
      </c>
      <c r="B124" s="149">
        <f t="shared" si="4"/>
        <v>10000</v>
      </c>
      <c r="C124" s="148">
        <f t="shared" si="5"/>
        <v>1.0833333333333334E-2</v>
      </c>
      <c r="D124" s="145">
        <f t="shared" si="7"/>
        <v>1778321.727891162</v>
      </c>
      <c r="E124" s="145">
        <f t="shared" si="6"/>
        <v>788321.72789116204</v>
      </c>
      <c r="F124" s="68"/>
      <c r="G124" s="68"/>
      <c r="H124" s="68"/>
      <c r="I124" s="157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</row>
    <row r="125" spans="1:24" x14ac:dyDescent="0.4">
      <c r="A125" s="73">
        <v>100</v>
      </c>
      <c r="B125" s="149">
        <f t="shared" si="4"/>
        <v>10000</v>
      </c>
      <c r="C125" s="148">
        <f t="shared" si="5"/>
        <v>1.0833333333333334E-2</v>
      </c>
      <c r="D125" s="145">
        <f t="shared" si="7"/>
        <v>1807695.2132766496</v>
      </c>
      <c r="E125" s="145">
        <f t="shared" si="6"/>
        <v>807695.21327664959</v>
      </c>
      <c r="F125" s="68"/>
      <c r="G125" s="68"/>
      <c r="H125" s="68"/>
      <c r="I125" s="157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</row>
    <row r="126" spans="1:24" x14ac:dyDescent="0.4">
      <c r="A126" s="73">
        <v>101</v>
      </c>
      <c r="B126" s="149">
        <f t="shared" si="4"/>
        <v>10000</v>
      </c>
      <c r="C126" s="148">
        <f t="shared" si="5"/>
        <v>1.0833333333333334E-2</v>
      </c>
      <c r="D126" s="145">
        <f t="shared" si="7"/>
        <v>1837386.9114204799</v>
      </c>
      <c r="E126" s="145">
        <f t="shared" si="6"/>
        <v>827386.91142047988</v>
      </c>
      <c r="F126" s="68"/>
      <c r="G126" s="68"/>
      <c r="H126" s="68"/>
      <c r="I126" s="157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</row>
    <row r="127" spans="1:24" x14ac:dyDescent="0.4">
      <c r="A127" s="73">
        <v>102</v>
      </c>
      <c r="B127" s="149">
        <f t="shared" si="4"/>
        <v>10000</v>
      </c>
      <c r="C127" s="148">
        <f t="shared" si="5"/>
        <v>1.0833333333333334E-2</v>
      </c>
      <c r="D127" s="145">
        <f t="shared" si="7"/>
        <v>1867400.269627535</v>
      </c>
      <c r="E127" s="145">
        <f t="shared" si="6"/>
        <v>847400.26962753502</v>
      </c>
      <c r="F127" s="68"/>
      <c r="G127" s="68"/>
      <c r="H127" s="68"/>
      <c r="I127" s="157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</row>
    <row r="128" spans="1:24" x14ac:dyDescent="0.4">
      <c r="A128" s="73">
        <v>103</v>
      </c>
      <c r="B128" s="149">
        <f t="shared" si="4"/>
        <v>10000</v>
      </c>
      <c r="C128" s="148">
        <f t="shared" si="5"/>
        <v>1.0833333333333334E-2</v>
      </c>
      <c r="D128" s="145">
        <f t="shared" si="7"/>
        <v>1897738.7725484997</v>
      </c>
      <c r="E128" s="145">
        <f t="shared" si="6"/>
        <v>867738.77254849975</v>
      </c>
      <c r="F128" s="68"/>
      <c r="G128" s="68"/>
      <c r="H128" s="68"/>
      <c r="I128" s="157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</row>
    <row r="129" spans="1:24" x14ac:dyDescent="0.4">
      <c r="A129" s="73">
        <v>104</v>
      </c>
      <c r="B129" s="149">
        <f t="shared" si="4"/>
        <v>10000</v>
      </c>
      <c r="C129" s="148">
        <f t="shared" si="5"/>
        <v>1.0833333333333334E-2</v>
      </c>
      <c r="D129" s="145">
        <f t="shared" si="7"/>
        <v>1928405.9425844417</v>
      </c>
      <c r="E129" s="145">
        <f t="shared" si="6"/>
        <v>888405.94258444174</v>
      </c>
      <c r="F129" s="68"/>
      <c r="G129" s="68"/>
      <c r="H129" s="68"/>
      <c r="I129" s="157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</row>
    <row r="130" spans="1:24" x14ac:dyDescent="0.4">
      <c r="A130" s="73">
        <v>105</v>
      </c>
      <c r="B130" s="149">
        <f t="shared" si="4"/>
        <v>10000</v>
      </c>
      <c r="C130" s="148">
        <f t="shared" si="5"/>
        <v>1.0833333333333334E-2</v>
      </c>
      <c r="D130" s="145">
        <f t="shared" si="7"/>
        <v>1959405.340295773</v>
      </c>
      <c r="E130" s="145">
        <f t="shared" si="6"/>
        <v>909405.340295773</v>
      </c>
      <c r="F130" s="68"/>
      <c r="G130" s="68"/>
      <c r="H130" s="68"/>
      <c r="I130" s="157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</row>
    <row r="131" spans="1:24" x14ac:dyDescent="0.4">
      <c r="A131" s="73">
        <v>106</v>
      </c>
      <c r="B131" s="149">
        <f t="shared" si="4"/>
        <v>10000</v>
      </c>
      <c r="C131" s="148">
        <f t="shared" si="5"/>
        <v>1.0833333333333334E-2</v>
      </c>
      <c r="D131" s="145">
        <f t="shared" si="7"/>
        <v>1990740.5648156437</v>
      </c>
      <c r="E131" s="145">
        <f t="shared" si="6"/>
        <v>930740.56481564371</v>
      </c>
      <c r="F131" s="68"/>
      <c r="G131" s="68"/>
      <c r="H131" s="68"/>
      <c r="I131" s="157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</row>
    <row r="132" spans="1:24" x14ac:dyDescent="0.4">
      <c r="A132" s="73">
        <v>107</v>
      </c>
      <c r="B132" s="149">
        <f t="shared" si="4"/>
        <v>10000</v>
      </c>
      <c r="C132" s="148">
        <f t="shared" si="5"/>
        <v>1.0833333333333334E-2</v>
      </c>
      <c r="D132" s="145">
        <f t="shared" si="7"/>
        <v>2022415.2542678129</v>
      </c>
      <c r="E132" s="145">
        <f t="shared" si="6"/>
        <v>952415.25426781294</v>
      </c>
      <c r="F132" s="68"/>
      <c r="G132" s="68"/>
      <c r="H132" s="68"/>
      <c r="I132" s="157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</row>
    <row r="133" spans="1:24" x14ac:dyDescent="0.4">
      <c r="A133" s="73">
        <v>108</v>
      </c>
      <c r="B133" s="149">
        <f t="shared" si="4"/>
        <v>10000</v>
      </c>
      <c r="C133" s="148">
        <f t="shared" si="5"/>
        <v>1.0833333333333334E-2</v>
      </c>
      <c r="D133" s="145">
        <f t="shared" si="7"/>
        <v>2054433.0861890474</v>
      </c>
      <c r="E133" s="145">
        <f t="shared" si="6"/>
        <v>974433.08618904743</v>
      </c>
      <c r="F133" s="68"/>
      <c r="G133" s="68"/>
      <c r="H133" s="68"/>
      <c r="I133" s="157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</row>
    <row r="134" spans="1:24" x14ac:dyDescent="0.4">
      <c r="A134" s="73">
        <v>109</v>
      </c>
      <c r="B134" s="149">
        <f t="shared" si="4"/>
        <v>10000</v>
      </c>
      <c r="C134" s="148">
        <f t="shared" si="5"/>
        <v>1.0833333333333334E-2</v>
      </c>
      <c r="D134" s="145">
        <f t="shared" si="7"/>
        <v>2086797.7779560953</v>
      </c>
      <c r="E134" s="145">
        <f t="shared" si="6"/>
        <v>996797.77795609529</v>
      </c>
      <c r="F134" s="68"/>
      <c r="G134" s="68"/>
      <c r="H134" s="68"/>
      <c r="I134" s="157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</row>
    <row r="135" spans="1:24" x14ac:dyDescent="0.4">
      <c r="A135" s="73">
        <v>110</v>
      </c>
      <c r="B135" s="149">
        <f t="shared" si="4"/>
        <v>10000</v>
      </c>
      <c r="C135" s="148">
        <f t="shared" si="5"/>
        <v>1.0833333333333334E-2</v>
      </c>
      <c r="D135" s="145">
        <f t="shared" si="7"/>
        <v>2119513.0872172862</v>
      </c>
      <c r="E135" s="145">
        <f t="shared" si="6"/>
        <v>1019513.0872172862</v>
      </c>
      <c r="F135" s="68"/>
      <c r="G135" s="68"/>
      <c r="H135" s="68"/>
      <c r="I135" s="157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</row>
    <row r="136" spans="1:24" x14ac:dyDescent="0.4">
      <c r="A136" s="73">
        <v>111</v>
      </c>
      <c r="B136" s="149">
        <f t="shared" si="4"/>
        <v>10000</v>
      </c>
      <c r="C136" s="148">
        <f t="shared" si="5"/>
        <v>1.0833333333333334E-2</v>
      </c>
      <c r="D136" s="145">
        <f t="shared" si="7"/>
        <v>2152582.8123288066</v>
      </c>
      <c r="E136" s="145">
        <f t="shared" si="6"/>
        <v>1042582.8123288066</v>
      </c>
      <c r="F136" s="68"/>
      <c r="G136" s="68"/>
      <c r="H136" s="68"/>
      <c r="I136" s="157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</row>
    <row r="137" spans="1:24" x14ac:dyDescent="0.4">
      <c r="A137" s="73">
        <v>112</v>
      </c>
      <c r="B137" s="149">
        <f t="shared" si="4"/>
        <v>10000</v>
      </c>
      <c r="C137" s="148">
        <f t="shared" si="5"/>
        <v>1.0833333333333334E-2</v>
      </c>
      <c r="D137" s="145">
        <f t="shared" si="7"/>
        <v>2186010.7927957019</v>
      </c>
      <c r="E137" s="145">
        <f t="shared" si="6"/>
        <v>1066010.7927957019</v>
      </c>
      <c r="F137" s="1"/>
      <c r="G137" s="1"/>
      <c r="H137" s="1"/>
      <c r="I137" s="16"/>
    </row>
    <row r="138" spans="1:24" x14ac:dyDescent="0.4">
      <c r="A138" s="73">
        <v>113</v>
      </c>
      <c r="B138" s="149">
        <f t="shared" si="4"/>
        <v>10000</v>
      </c>
      <c r="C138" s="148">
        <f t="shared" si="5"/>
        <v>1.0833333333333334E-2</v>
      </c>
      <c r="D138" s="145">
        <f t="shared" si="7"/>
        <v>2219800.9097176553</v>
      </c>
      <c r="E138" s="145">
        <f t="shared" si="6"/>
        <v>1089800.9097176553</v>
      </c>
      <c r="F138" s="1"/>
      <c r="G138" s="1"/>
      <c r="H138" s="1"/>
      <c r="I138" s="16"/>
    </row>
    <row r="139" spans="1:24" x14ac:dyDescent="0.4">
      <c r="A139" s="73">
        <v>114</v>
      </c>
      <c r="B139" s="149">
        <f t="shared" si="4"/>
        <v>10000</v>
      </c>
      <c r="C139" s="148">
        <f t="shared" si="5"/>
        <v>1.0833333333333334E-2</v>
      </c>
      <c r="D139" s="145">
        <f t="shared" si="7"/>
        <v>2253957.0862395964</v>
      </c>
      <c r="E139" s="145">
        <f t="shared" si="6"/>
        <v>1113957.0862395964</v>
      </c>
      <c r="F139" s="1"/>
      <c r="G139" s="1"/>
      <c r="H139" s="1"/>
      <c r="I139" s="16"/>
    </row>
    <row r="140" spans="1:24" x14ac:dyDescent="0.4">
      <c r="A140" s="73">
        <v>115</v>
      </c>
      <c r="B140" s="149">
        <f t="shared" si="4"/>
        <v>10000</v>
      </c>
      <c r="C140" s="148">
        <f t="shared" si="5"/>
        <v>1.0833333333333334E-2</v>
      </c>
      <c r="D140" s="145">
        <f t="shared" si="7"/>
        <v>2288483.2880071918</v>
      </c>
      <c r="E140" s="145">
        <f t="shared" si="6"/>
        <v>1138483.2880071918</v>
      </c>
      <c r="F140" s="15"/>
      <c r="G140" s="15"/>
      <c r="H140" s="15"/>
      <c r="I140" s="15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</row>
    <row r="141" spans="1:24" x14ac:dyDescent="0.4">
      <c r="A141" s="73">
        <v>116</v>
      </c>
      <c r="B141" s="149">
        <f t="shared" si="4"/>
        <v>10000</v>
      </c>
      <c r="C141" s="148">
        <f t="shared" si="5"/>
        <v>1.0833333333333334E-2</v>
      </c>
      <c r="D141" s="145">
        <f t="shared" si="7"/>
        <v>2323383.5236272695</v>
      </c>
      <c r="E141" s="145">
        <f t="shared" si="6"/>
        <v>1163383.5236272695</v>
      </c>
      <c r="F141" s="68"/>
      <c r="G141" s="68"/>
      <c r="H141" s="68"/>
      <c r="I141" s="157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</row>
    <row r="142" spans="1:24" x14ac:dyDescent="0.4">
      <c r="A142" s="73">
        <v>117</v>
      </c>
      <c r="B142" s="149">
        <f t="shared" si="4"/>
        <v>10000</v>
      </c>
      <c r="C142" s="148">
        <f t="shared" si="5"/>
        <v>1.0833333333333334E-2</v>
      </c>
      <c r="D142" s="145">
        <f t="shared" si="7"/>
        <v>2358661.8451332315</v>
      </c>
      <c r="E142" s="145">
        <f t="shared" si="6"/>
        <v>1188661.8451332315</v>
      </c>
      <c r="F142" s="68"/>
      <c r="G142" s="68"/>
      <c r="H142" s="68"/>
      <c r="I142" s="157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</row>
    <row r="143" spans="1:24" x14ac:dyDescent="0.4">
      <c r="A143" s="73">
        <v>118</v>
      </c>
      <c r="B143" s="149">
        <f t="shared" si="4"/>
        <v>10000</v>
      </c>
      <c r="C143" s="148">
        <f t="shared" si="5"/>
        <v>1.0833333333333334E-2</v>
      </c>
      <c r="D143" s="145">
        <f t="shared" si="7"/>
        <v>2394322.3484555078</v>
      </c>
      <c r="E143" s="145">
        <f t="shared" si="6"/>
        <v>1214322.3484555078</v>
      </c>
      <c r="F143" s="68"/>
      <c r="G143" s="68"/>
      <c r="H143" s="68"/>
      <c r="I143" s="157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</row>
    <row r="144" spans="1:24" x14ac:dyDescent="0.4">
      <c r="A144" s="73">
        <v>119</v>
      </c>
      <c r="B144" s="149">
        <f t="shared" si="4"/>
        <v>10000</v>
      </c>
      <c r="C144" s="148">
        <f t="shared" si="5"/>
        <v>1.0833333333333334E-2</v>
      </c>
      <c r="D144" s="145">
        <f t="shared" si="7"/>
        <v>2430369.173897109</v>
      </c>
      <c r="E144" s="145">
        <f t="shared" si="6"/>
        <v>1240369.173897109</v>
      </c>
      <c r="F144" s="68"/>
      <c r="G144" s="68"/>
      <c r="H144" s="68"/>
      <c r="I144" s="157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</row>
    <row r="145" spans="1:24" x14ac:dyDescent="0.4">
      <c r="A145" s="150">
        <v>120</v>
      </c>
      <c r="B145" s="151">
        <f t="shared" si="4"/>
        <v>10000</v>
      </c>
      <c r="C145" s="152">
        <v>0</v>
      </c>
      <c r="D145" s="153">
        <f t="shared" si="7"/>
        <v>2440369.173897109</v>
      </c>
      <c r="E145" s="153">
        <f t="shared" si="6"/>
        <v>1240369.173897109</v>
      </c>
      <c r="F145" s="68"/>
      <c r="G145" s="68"/>
      <c r="H145" s="68"/>
      <c r="I145" s="157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</row>
    <row r="146" spans="1:24" x14ac:dyDescent="0.4">
      <c r="A146" s="69"/>
      <c r="B146" s="1"/>
      <c r="C146" s="1"/>
      <c r="D146" s="15"/>
      <c r="E146" s="68"/>
      <c r="F146" s="68"/>
      <c r="G146" s="68"/>
      <c r="H146" s="68"/>
      <c r="I146" s="157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</row>
    <row r="147" spans="1:24" x14ac:dyDescent="0.4">
      <c r="A147" s="160"/>
      <c r="B147" s="17"/>
      <c r="C147" s="17"/>
      <c r="D147" s="70"/>
      <c r="E147" s="161"/>
      <c r="F147" s="161"/>
      <c r="G147" s="161"/>
      <c r="H147" s="161"/>
      <c r="I147" s="162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</row>
    <row r="148" spans="1:24" x14ac:dyDescent="0.4">
      <c r="A148" s="139"/>
      <c r="D148" s="139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</row>
    <row r="149" spans="1:24" x14ac:dyDescent="0.4">
      <c r="A149" s="139"/>
      <c r="D149" s="139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</row>
    <row r="150" spans="1:24" x14ac:dyDescent="0.4">
      <c r="A150" s="139"/>
      <c r="D150" s="139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</row>
    <row r="151" spans="1:24" x14ac:dyDescent="0.4">
      <c r="D151" s="139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</row>
    <row r="152" spans="1:24" x14ac:dyDescent="0.4">
      <c r="D152" s="139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</row>
    <row r="153" spans="1:24" x14ac:dyDescent="0.4">
      <c r="D153" s="139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</row>
    <row r="154" spans="1:24" x14ac:dyDescent="0.4">
      <c r="D154" s="139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</row>
    <row r="155" spans="1:24" x14ac:dyDescent="0.4">
      <c r="D155" s="139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</row>
    <row r="156" spans="1:24" x14ac:dyDescent="0.4">
      <c r="D156" s="139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</row>
    <row r="157" spans="1:24" x14ac:dyDescent="0.4">
      <c r="D157" s="139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</row>
    <row r="158" spans="1:24" x14ac:dyDescent="0.4">
      <c r="D158" s="139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</row>
    <row r="159" spans="1:24" x14ac:dyDescent="0.4">
      <c r="D159" s="139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</row>
    <row r="160" spans="1:24" x14ac:dyDescent="0.4">
      <c r="D160" s="139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</row>
    <row r="161" spans="4:4" x14ac:dyDescent="0.4">
      <c r="D161" s="139"/>
    </row>
    <row r="162" spans="4:4" x14ac:dyDescent="0.4">
      <c r="D162" s="139"/>
    </row>
    <row r="163" spans="4:4" x14ac:dyDescent="0.4">
      <c r="D163" s="139"/>
    </row>
    <row r="164" spans="4:4" x14ac:dyDescent="0.4">
      <c r="D164" s="139"/>
    </row>
    <row r="165" spans="4:4" x14ac:dyDescent="0.4">
      <c r="D165" s="139"/>
    </row>
    <row r="166" spans="4:4" x14ac:dyDescent="0.4">
      <c r="D166" s="139"/>
    </row>
    <row r="167" spans="4:4" x14ac:dyDescent="0.4">
      <c r="D167" s="139"/>
    </row>
  </sheetData>
  <mergeCells count="3">
    <mergeCell ref="A24:E24"/>
    <mergeCell ref="C14:C18"/>
    <mergeCell ref="A1:I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3C43-3993-4D22-B89E-D900D066B990}">
  <sheetPr>
    <tabColor rgb="FF00B050"/>
  </sheetPr>
  <dimension ref="A1:M28"/>
  <sheetViews>
    <sheetView showGridLines="0" zoomScale="95" workbookViewId="0">
      <selection activeCell="L2" sqref="L2"/>
    </sheetView>
  </sheetViews>
  <sheetFormatPr defaultColWidth="8.73046875" defaultRowHeight="13.15" x14ac:dyDescent="0.4"/>
  <cols>
    <col min="1" max="16384" width="8.73046875" style="132"/>
  </cols>
  <sheetData>
    <row r="1" spans="1:13" ht="45" x14ac:dyDescent="0.4">
      <c r="A1" s="195" t="s">
        <v>83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7"/>
    </row>
    <row r="2" spans="1:13" x14ac:dyDescent="0.4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6"/>
    </row>
    <row r="3" spans="1:13" x14ac:dyDescent="0.4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6"/>
    </row>
    <row r="4" spans="1:13" x14ac:dyDescent="0.4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6"/>
    </row>
    <row r="5" spans="1:13" x14ac:dyDescent="0.4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6"/>
    </row>
    <row r="6" spans="1:13" x14ac:dyDescent="0.4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6"/>
    </row>
    <row r="7" spans="1:13" x14ac:dyDescent="0.4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6"/>
    </row>
    <row r="8" spans="1:13" x14ac:dyDescent="0.4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6"/>
    </row>
    <row r="9" spans="1:13" x14ac:dyDescent="0.4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6"/>
    </row>
    <row r="10" spans="1:13" x14ac:dyDescent="0.4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6"/>
    </row>
    <row r="11" spans="1:13" x14ac:dyDescent="0.4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6"/>
    </row>
    <row r="12" spans="1:13" x14ac:dyDescent="0.4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6"/>
    </row>
    <row r="13" spans="1:13" x14ac:dyDescent="0.4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6"/>
    </row>
    <row r="14" spans="1:13" x14ac:dyDescent="0.4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6"/>
    </row>
    <row r="15" spans="1:13" x14ac:dyDescent="0.4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6"/>
    </row>
    <row r="16" spans="1:13" x14ac:dyDescent="0.4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6"/>
    </row>
    <row r="17" spans="1:13" x14ac:dyDescent="0.4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6"/>
    </row>
    <row r="18" spans="1:13" x14ac:dyDescent="0.4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6"/>
    </row>
    <row r="19" spans="1:13" x14ac:dyDescent="0.4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6"/>
    </row>
    <row r="20" spans="1:13" x14ac:dyDescent="0.4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6"/>
    </row>
    <row r="21" spans="1:13" x14ac:dyDescent="0.4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6"/>
    </row>
    <row r="22" spans="1:13" x14ac:dyDescent="0.4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6"/>
    </row>
    <row r="23" spans="1:13" x14ac:dyDescent="0.4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/>
    </row>
    <row r="24" spans="1:13" x14ac:dyDescent="0.4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6"/>
    </row>
    <row r="25" spans="1:13" x14ac:dyDescent="0.4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6"/>
    </row>
    <row r="26" spans="1:13" x14ac:dyDescent="0.4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</row>
    <row r="27" spans="1:13" x14ac:dyDescent="0.4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</row>
    <row r="28" spans="1:13" x14ac:dyDescent="0.4">
      <c r="A28" s="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</row>
  </sheetData>
  <mergeCells count="1">
    <mergeCell ref="A1:M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0D41-EAA4-496F-8A53-B4E24EE33529}">
  <sheetPr>
    <tabColor rgb="FF00B050"/>
  </sheetPr>
  <dimension ref="A1:U158"/>
  <sheetViews>
    <sheetView showGridLines="0" zoomScale="90" zoomScaleNormal="68" workbookViewId="0">
      <selection activeCell="C14" sqref="C14"/>
    </sheetView>
  </sheetViews>
  <sheetFormatPr defaultColWidth="8.73046875" defaultRowHeight="13.15" x14ac:dyDescent="0.4"/>
  <cols>
    <col min="1" max="1" width="44.9296875" style="132" bestFit="1" customWidth="1"/>
    <col min="2" max="2" width="31" style="132" customWidth="1"/>
    <col min="3" max="3" width="23" style="132" bestFit="1" customWidth="1"/>
    <col min="4" max="4" width="58.33203125" style="132" customWidth="1"/>
    <col min="5" max="5" width="16.06640625" style="132" customWidth="1"/>
    <col min="6" max="6" width="15.59765625" style="132" bestFit="1" customWidth="1"/>
    <col min="7" max="7" width="14.73046875" style="132" bestFit="1" customWidth="1"/>
    <col min="8" max="8" width="15.06640625" style="132" bestFit="1" customWidth="1"/>
    <col min="9" max="14" width="15.46484375" style="132" bestFit="1" customWidth="1"/>
    <col min="15" max="15" width="15.796875" style="132" bestFit="1" customWidth="1"/>
    <col min="16" max="17" width="16.265625" style="132" bestFit="1" customWidth="1"/>
    <col min="18" max="21" width="16.59765625" style="132" bestFit="1" customWidth="1"/>
    <col min="22" max="16384" width="8.73046875" style="132"/>
  </cols>
  <sheetData>
    <row r="1" spans="1:21" ht="45" x14ac:dyDescent="0.4">
      <c r="A1" s="195" t="s">
        <v>84</v>
      </c>
      <c r="B1" s="196"/>
      <c r="C1" s="196"/>
      <c r="D1" s="196"/>
      <c r="E1" s="196"/>
      <c r="F1" s="196"/>
    </row>
    <row r="2" spans="1:21" x14ac:dyDescent="0.4">
      <c r="A2" s="1"/>
      <c r="B2" s="1"/>
      <c r="C2" s="1"/>
      <c r="D2" s="1"/>
      <c r="E2" s="1"/>
      <c r="F2" s="1"/>
    </row>
    <row r="3" spans="1:21" x14ac:dyDescent="0.4">
      <c r="A3" s="1"/>
      <c r="B3" s="1"/>
      <c r="C3" s="1"/>
      <c r="D3" s="1"/>
      <c r="E3" s="1"/>
      <c r="F3" s="1"/>
    </row>
    <row r="4" spans="1:21" x14ac:dyDescent="0.4">
      <c r="A4" s="119" t="s">
        <v>85</v>
      </c>
      <c r="B4" s="120"/>
      <c r="C4" s="1"/>
      <c r="D4" s="119" t="s">
        <v>87</v>
      </c>
      <c r="E4" s="120"/>
      <c r="F4" s="1"/>
    </row>
    <row r="5" spans="1:21" x14ac:dyDescent="0.4">
      <c r="A5" s="164" t="s">
        <v>66</v>
      </c>
      <c r="B5" s="163">
        <v>1024435.1660972966</v>
      </c>
      <c r="C5" s="1"/>
      <c r="D5" s="121" t="s">
        <v>66</v>
      </c>
      <c r="E5" s="122">
        <v>10000</v>
      </c>
      <c r="F5" s="1"/>
    </row>
    <row r="6" spans="1:21" x14ac:dyDescent="0.4">
      <c r="A6" s="117" t="s">
        <v>63</v>
      </c>
      <c r="B6" s="123">
        <v>0.13</v>
      </c>
      <c r="C6" s="1"/>
      <c r="D6" s="117" t="s">
        <v>63</v>
      </c>
      <c r="E6" s="123">
        <v>0.13</v>
      </c>
      <c r="F6" s="1"/>
    </row>
    <row r="7" spans="1:21" x14ac:dyDescent="0.4">
      <c r="A7" s="117" t="s">
        <v>64</v>
      </c>
      <c r="B7" s="124">
        <v>10</v>
      </c>
      <c r="C7" s="1"/>
      <c r="D7" s="165" t="s">
        <v>64</v>
      </c>
      <c r="E7" s="167">
        <v>43.349969616764845</v>
      </c>
      <c r="F7" s="1"/>
    </row>
    <row r="8" spans="1:21" x14ac:dyDescent="0.4">
      <c r="A8" s="118" t="s">
        <v>65</v>
      </c>
      <c r="B8" s="147">
        <v>12</v>
      </c>
      <c r="C8" s="1"/>
      <c r="D8" s="118" t="s">
        <v>65</v>
      </c>
      <c r="E8" s="147">
        <v>12</v>
      </c>
      <c r="F8" s="1"/>
    </row>
    <row r="9" spans="1:21" x14ac:dyDescent="0.4">
      <c r="A9" s="125" t="s">
        <v>67</v>
      </c>
      <c r="B9" s="127">
        <f>B5*B7*B8</f>
        <v>122932219.93167558</v>
      </c>
      <c r="C9" s="1"/>
      <c r="D9" s="125" t="s">
        <v>67</v>
      </c>
      <c r="E9" s="127">
        <f>E5*E7*E8</f>
        <v>5201996.3540117815</v>
      </c>
      <c r="F9" s="1"/>
    </row>
    <row r="10" spans="1:21" x14ac:dyDescent="0.4">
      <c r="A10" s="125" t="s">
        <v>74</v>
      </c>
      <c r="B10" s="127">
        <f>FV(B6/B8,B7*B8,-B5,0,0)</f>
        <v>250000000</v>
      </c>
      <c r="C10" s="1"/>
      <c r="D10" s="125" t="s">
        <v>74</v>
      </c>
      <c r="E10" s="127">
        <f>FV(E6/E8,E7*E8,-E5,0,0)</f>
        <v>250000000.00000092</v>
      </c>
      <c r="F10" s="1"/>
    </row>
    <row r="11" spans="1:21" x14ac:dyDescent="0.4">
      <c r="A11" s="126" t="s">
        <v>68</v>
      </c>
      <c r="B11" s="128">
        <f>B10-B9</f>
        <v>127067780.06832442</v>
      </c>
      <c r="C11" s="1"/>
      <c r="D11" s="126" t="s">
        <v>68</v>
      </c>
      <c r="E11" s="128">
        <f>E10-E9</f>
        <v>244798003.64598915</v>
      </c>
      <c r="F11" s="1"/>
    </row>
    <row r="12" spans="1:21" ht="13.05" customHeight="1" x14ac:dyDescent="0.4">
      <c r="A12" s="1"/>
      <c r="B12" s="1"/>
      <c r="C12" s="1"/>
      <c r="D12" s="1"/>
      <c r="E12" s="1"/>
      <c r="F12" s="1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</row>
    <row r="13" spans="1:21" x14ac:dyDescent="0.4">
      <c r="A13" s="1"/>
      <c r="B13" s="1"/>
      <c r="C13" s="1"/>
      <c r="D13" s="1"/>
      <c r="E13" s="1"/>
      <c r="F13" s="1"/>
    </row>
    <row r="14" spans="1:21" x14ac:dyDescent="0.4">
      <c r="A14" s="1"/>
      <c r="B14" s="1"/>
      <c r="C14" s="1"/>
      <c r="D14" s="1"/>
      <c r="E14" s="1"/>
      <c r="F14" s="1"/>
    </row>
    <row r="15" spans="1:21" x14ac:dyDescent="0.4">
      <c r="A15" s="119" t="s">
        <v>86</v>
      </c>
      <c r="B15" s="120"/>
      <c r="C15" s="1"/>
      <c r="D15" s="119" t="s">
        <v>88</v>
      </c>
      <c r="E15" s="120"/>
      <c r="F15" s="1"/>
    </row>
    <row r="16" spans="1:21" x14ac:dyDescent="0.4">
      <c r="A16" s="121" t="s">
        <v>66</v>
      </c>
      <c r="B16" s="122">
        <v>10000</v>
      </c>
      <c r="C16" s="1"/>
      <c r="D16" s="121" t="s">
        <v>66</v>
      </c>
      <c r="E16" s="122">
        <v>10000</v>
      </c>
      <c r="F16" s="1"/>
    </row>
    <row r="17" spans="1:21" x14ac:dyDescent="0.4">
      <c r="A17" s="165" t="s">
        <v>63</v>
      </c>
      <c r="B17" s="166">
        <v>0.7598619931222329</v>
      </c>
      <c r="C17" s="1"/>
      <c r="D17" s="117" t="s">
        <v>63</v>
      </c>
      <c r="E17" s="123">
        <v>0.13</v>
      </c>
      <c r="F17" s="1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1" x14ac:dyDescent="0.4">
      <c r="A18" s="117" t="s">
        <v>64</v>
      </c>
      <c r="B18" s="124">
        <v>10</v>
      </c>
      <c r="C18" s="1"/>
      <c r="D18" s="117" t="s">
        <v>64</v>
      </c>
      <c r="E18" s="124">
        <v>10</v>
      </c>
      <c r="F18" s="1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</row>
    <row r="19" spans="1:21" x14ac:dyDescent="0.4">
      <c r="A19" s="118" t="s">
        <v>65</v>
      </c>
      <c r="B19" s="147">
        <v>12</v>
      </c>
      <c r="C19" s="1"/>
      <c r="D19" s="168" t="s">
        <v>65</v>
      </c>
      <c r="E19" s="169">
        <v>1217.665335656448</v>
      </c>
      <c r="F19" s="1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</row>
    <row r="20" spans="1:21" x14ac:dyDescent="0.4">
      <c r="A20" s="125" t="s">
        <v>67</v>
      </c>
      <c r="B20" s="127">
        <f>B16*B18*B19</f>
        <v>1200000</v>
      </c>
      <c r="C20" s="1"/>
      <c r="D20" s="125" t="s">
        <v>67</v>
      </c>
      <c r="E20" s="127">
        <f>E16*E18*E19</f>
        <v>121766533.5656448</v>
      </c>
      <c r="F20" s="1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</row>
    <row r="21" spans="1:21" x14ac:dyDescent="0.4">
      <c r="A21" s="125" t="s">
        <v>74</v>
      </c>
      <c r="B21" s="127">
        <f>FV(B17/B19,B18*B19,-B16,0,0)</f>
        <v>249999999.99985349</v>
      </c>
      <c r="C21" s="1"/>
      <c r="D21" s="125" t="s">
        <v>74</v>
      </c>
      <c r="E21" s="127">
        <f>FV(E17/E19,E18*E19,-E16,0,0)</f>
        <v>249999999.99987131</v>
      </c>
      <c r="F21" s="1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</row>
    <row r="22" spans="1:21" x14ac:dyDescent="0.4">
      <c r="A22" s="126" t="s">
        <v>68</v>
      </c>
      <c r="B22" s="128">
        <f>B21-B20</f>
        <v>248799999.99985349</v>
      </c>
      <c r="C22" s="1"/>
      <c r="D22" s="126" t="s">
        <v>68</v>
      </c>
      <c r="E22" s="128">
        <f>E21-E20</f>
        <v>128233466.43422651</v>
      </c>
      <c r="F22" s="1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</row>
    <row r="23" spans="1:21" x14ac:dyDescent="0.4">
      <c r="A23" s="1"/>
      <c r="B23" s="1"/>
      <c r="C23" s="1"/>
      <c r="D23" s="1"/>
      <c r="E23" s="1"/>
      <c r="F23" s="1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</row>
    <row r="24" spans="1:21" x14ac:dyDescent="0.4">
      <c r="A24" s="1"/>
      <c r="B24" s="1"/>
      <c r="C24" s="1"/>
      <c r="D24" s="1"/>
      <c r="E24" s="1"/>
      <c r="F24" s="1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</row>
    <row r="25" spans="1:21" x14ac:dyDescent="0.4"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</row>
    <row r="26" spans="1:21" x14ac:dyDescent="0.4"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</row>
    <row r="27" spans="1:21" x14ac:dyDescent="0.4"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</row>
    <row r="28" spans="1:21" x14ac:dyDescent="0.4"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</row>
    <row r="29" spans="1:21" x14ac:dyDescent="0.4"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</row>
    <row r="30" spans="1:21" x14ac:dyDescent="0.4"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</row>
    <row r="31" spans="1:21" x14ac:dyDescent="0.4"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</row>
    <row r="32" spans="1:21" x14ac:dyDescent="0.4"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</row>
    <row r="33" spans="7:21" x14ac:dyDescent="0.4"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</row>
    <row r="34" spans="7:21" x14ac:dyDescent="0.4"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</row>
    <row r="35" spans="7:21" x14ac:dyDescent="0.4"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</row>
    <row r="36" spans="7:21" x14ac:dyDescent="0.4"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</row>
    <row r="37" spans="7:21" x14ac:dyDescent="0.4"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</row>
    <row r="38" spans="7:21" x14ac:dyDescent="0.4"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</row>
    <row r="42" spans="7:21" x14ac:dyDescent="0.4"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</row>
    <row r="43" spans="7:21" x14ac:dyDescent="0.4"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</row>
    <row r="44" spans="7:21" x14ac:dyDescent="0.4"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</row>
    <row r="45" spans="7:21" x14ac:dyDescent="0.4"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</row>
    <row r="46" spans="7:21" x14ac:dyDescent="0.4"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</row>
    <row r="47" spans="7:21" x14ac:dyDescent="0.4"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</row>
    <row r="48" spans="7:21" x14ac:dyDescent="0.4"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</row>
    <row r="49" spans="7:21" x14ac:dyDescent="0.4"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</row>
    <row r="50" spans="7:21" x14ac:dyDescent="0.4"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</row>
    <row r="51" spans="7:21" x14ac:dyDescent="0.4"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</row>
    <row r="52" spans="7:21" x14ac:dyDescent="0.4"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</row>
    <row r="53" spans="7:21" x14ac:dyDescent="0.4"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</row>
    <row r="54" spans="7:21" x14ac:dyDescent="0.4"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</row>
    <row r="55" spans="7:21" x14ac:dyDescent="0.4"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</row>
    <row r="56" spans="7:21" x14ac:dyDescent="0.4"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</row>
    <row r="57" spans="7:21" x14ac:dyDescent="0.4"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</row>
    <row r="58" spans="7:21" x14ac:dyDescent="0.4"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</row>
    <row r="59" spans="7:21" x14ac:dyDescent="0.4"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</row>
    <row r="60" spans="7:21" x14ac:dyDescent="0.4"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</row>
    <row r="61" spans="7:21" x14ac:dyDescent="0.4"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</row>
    <row r="62" spans="7:21" x14ac:dyDescent="0.4"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</row>
    <row r="66" spans="7:21" x14ac:dyDescent="0.4"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</row>
    <row r="67" spans="7:21" x14ac:dyDescent="0.4"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</row>
    <row r="68" spans="7:21" x14ac:dyDescent="0.4"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</row>
    <row r="69" spans="7:21" x14ac:dyDescent="0.4"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</row>
    <row r="70" spans="7:21" x14ac:dyDescent="0.4"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</row>
    <row r="71" spans="7:21" x14ac:dyDescent="0.4"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</row>
    <row r="72" spans="7:21" x14ac:dyDescent="0.4"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</row>
    <row r="73" spans="7:21" x14ac:dyDescent="0.4"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</row>
    <row r="74" spans="7:21" x14ac:dyDescent="0.4"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</row>
    <row r="75" spans="7:21" x14ac:dyDescent="0.4"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</row>
    <row r="76" spans="7:21" x14ac:dyDescent="0.4"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</row>
    <row r="77" spans="7:21" x14ac:dyDescent="0.4"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</row>
    <row r="78" spans="7:21" x14ac:dyDescent="0.4"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</row>
    <row r="79" spans="7:21" x14ac:dyDescent="0.4"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</row>
    <row r="80" spans="7:21" x14ac:dyDescent="0.4"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</row>
    <row r="81" spans="7:21" x14ac:dyDescent="0.4"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</row>
    <row r="82" spans="7:21" x14ac:dyDescent="0.4"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</row>
    <row r="83" spans="7:21" x14ac:dyDescent="0.4"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</row>
    <row r="84" spans="7:21" x14ac:dyDescent="0.4"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</row>
    <row r="85" spans="7:21" x14ac:dyDescent="0.4"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</row>
    <row r="86" spans="7:21" x14ac:dyDescent="0.4"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</row>
    <row r="90" spans="7:21" x14ac:dyDescent="0.4"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</row>
    <row r="91" spans="7:21" x14ac:dyDescent="0.4"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</row>
    <row r="92" spans="7:21" x14ac:dyDescent="0.4"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</row>
    <row r="93" spans="7:21" x14ac:dyDescent="0.4"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</row>
    <row r="94" spans="7:21" x14ac:dyDescent="0.4"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</row>
    <row r="95" spans="7:21" x14ac:dyDescent="0.4"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</row>
    <row r="96" spans="7:21" x14ac:dyDescent="0.4"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</row>
    <row r="97" spans="7:21" x14ac:dyDescent="0.4"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</row>
    <row r="98" spans="7:21" x14ac:dyDescent="0.4"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</row>
    <row r="99" spans="7:21" x14ac:dyDescent="0.4"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</row>
    <row r="100" spans="7:21" x14ac:dyDescent="0.4"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</row>
    <row r="101" spans="7:21" x14ac:dyDescent="0.4"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</row>
    <row r="102" spans="7:21" x14ac:dyDescent="0.4"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</row>
    <row r="103" spans="7:21" x14ac:dyDescent="0.4"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</row>
    <row r="104" spans="7:21" x14ac:dyDescent="0.4"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</row>
    <row r="105" spans="7:21" x14ac:dyDescent="0.4"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</row>
    <row r="106" spans="7:21" x14ac:dyDescent="0.4"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</row>
    <row r="107" spans="7:21" x14ac:dyDescent="0.4"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</row>
    <row r="108" spans="7:21" x14ac:dyDescent="0.4"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</row>
    <row r="109" spans="7:21" x14ac:dyDescent="0.4"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</row>
    <row r="110" spans="7:21" x14ac:dyDescent="0.4"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</row>
    <row r="114" spans="7:21" x14ac:dyDescent="0.4"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</row>
    <row r="115" spans="7:21" x14ac:dyDescent="0.4"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</row>
    <row r="116" spans="7:21" x14ac:dyDescent="0.4"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</row>
    <row r="117" spans="7:21" x14ac:dyDescent="0.4"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</row>
    <row r="118" spans="7:21" x14ac:dyDescent="0.4"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</row>
    <row r="119" spans="7:21" x14ac:dyDescent="0.4"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</row>
    <row r="120" spans="7:21" x14ac:dyDescent="0.4"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</row>
    <row r="121" spans="7:21" x14ac:dyDescent="0.4"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</row>
    <row r="122" spans="7:21" x14ac:dyDescent="0.4"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</row>
    <row r="123" spans="7:21" x14ac:dyDescent="0.4"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</row>
    <row r="124" spans="7:21" x14ac:dyDescent="0.4"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</row>
    <row r="125" spans="7:21" x14ac:dyDescent="0.4"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</row>
    <row r="126" spans="7:21" x14ac:dyDescent="0.4"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</row>
    <row r="127" spans="7:21" x14ac:dyDescent="0.4"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</row>
    <row r="128" spans="7:21" x14ac:dyDescent="0.4"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</row>
    <row r="129" spans="7:21" x14ac:dyDescent="0.4"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</row>
    <row r="130" spans="7:21" x14ac:dyDescent="0.4"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</row>
    <row r="131" spans="7:21" x14ac:dyDescent="0.4"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</row>
    <row r="132" spans="7:21" x14ac:dyDescent="0.4"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</row>
    <row r="133" spans="7:21" x14ac:dyDescent="0.4"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</row>
    <row r="134" spans="7:21" x14ac:dyDescent="0.4"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</row>
    <row r="138" spans="7:21" x14ac:dyDescent="0.4"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</row>
    <row r="139" spans="7:21" x14ac:dyDescent="0.4"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</row>
    <row r="140" spans="7:21" x14ac:dyDescent="0.4"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</row>
    <row r="141" spans="7:21" x14ac:dyDescent="0.4"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</row>
    <row r="142" spans="7:21" x14ac:dyDescent="0.4"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</row>
    <row r="143" spans="7:21" x14ac:dyDescent="0.4"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</row>
    <row r="144" spans="7:21" x14ac:dyDescent="0.4"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</row>
    <row r="145" spans="1:21" x14ac:dyDescent="0.4"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</row>
    <row r="146" spans="1:21" x14ac:dyDescent="0.4">
      <c r="A146" s="139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</row>
    <row r="147" spans="1:21" x14ac:dyDescent="0.4">
      <c r="A147" s="139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</row>
    <row r="148" spans="1:21" x14ac:dyDescent="0.4">
      <c r="A148" s="139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</row>
    <row r="149" spans="1:21" x14ac:dyDescent="0.4"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</row>
    <row r="150" spans="1:21" x14ac:dyDescent="0.4"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</row>
    <row r="151" spans="1:21" x14ac:dyDescent="0.4"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</row>
    <row r="152" spans="1:21" x14ac:dyDescent="0.4"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</row>
    <row r="153" spans="1:21" x14ac:dyDescent="0.4"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</row>
    <row r="154" spans="1:21" x14ac:dyDescent="0.4"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</row>
    <row r="155" spans="1:21" x14ac:dyDescent="0.4"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</row>
    <row r="156" spans="1:21" x14ac:dyDescent="0.4"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</row>
    <row r="157" spans="1:21" x14ac:dyDescent="0.4"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</row>
    <row r="158" spans="1:21" x14ac:dyDescent="0.4"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 Sheet</vt:lpstr>
      <vt:lpstr>Table of Contents</vt:lpstr>
      <vt:lpstr>Sensitivity Analysis</vt:lpstr>
      <vt:lpstr>Scenario Analysis</vt:lpstr>
      <vt:lpstr>Scenario Summary</vt:lpstr>
      <vt:lpstr>SIP Calculator</vt:lpstr>
      <vt:lpstr>Wealth Curve Graph (SIP)</vt:lpstr>
      <vt:lpstr>Goal Seek (SIP)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2024-12-20T17:18:48Z</dcterms:created>
  <dcterms:modified xsi:type="dcterms:W3CDTF">2026-03-03T07:01:08Z</dcterms:modified>
</cp:coreProperties>
</file>