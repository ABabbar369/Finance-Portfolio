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 Documents\SIBMH Study Material\IIM Ranchi Course\ASSIGNMENT\Financial-Modeling-and-Valuation\"/>
    </mc:Choice>
  </mc:AlternateContent>
  <xr:revisionPtr revIDLastSave="0" documentId="13_ncr:1_{22C88F4B-1E3C-44D1-8656-AA2658D32CF3}" xr6:coauthVersionLast="47" xr6:coauthVersionMax="47" xr10:uidLastSave="{00000000-0000-0000-0000-000000000000}"/>
  <bookViews>
    <workbookView xWindow="-98" yWindow="-98" windowWidth="21795" windowHeight="12975" xr2:uid="{867F3B97-5CFC-4B52-9AC1-245BA97F6BB7}"/>
  </bookViews>
  <sheets>
    <sheet name="Cover Page" sheetId="1" r:id="rId1"/>
    <sheet name="Read Me" sheetId="6" r:id="rId2"/>
    <sheet name="Contents" sheetId="5" r:id="rId3"/>
    <sheet name="Nifty 100 List" sheetId="4" r:id="rId4"/>
    <sheet name="1. Part 1 - Summary" sheetId="20" r:id="rId5"/>
    <sheet name="1. Part 1A - 3FS" sheetId="3" r:id="rId6"/>
    <sheet name="1. Part 1B - DCF" sheetId="7" r:id="rId7"/>
    <sheet name="ITC Limited Income Statement" sheetId="18" r:id="rId8"/>
    <sheet name="ITC Limited Balance Sheet" sheetId="17" r:id="rId9"/>
    <sheet name="Part 2 - CAPM 2.1, 2.2 and 2.3" sheetId="8" r:id="rId10"/>
    <sheet name="Part 2 - CAPM - 2.4" sheetId="21" r:id="rId11"/>
    <sheet name="Part 2 - CAPM 2.5" sheetId="11" r:id="rId12"/>
  </sheets>
  <definedNames>
    <definedName name="_xlnm._FilterDatabase" localSheetId="3" hidden="1">'Nifty 100 List'!$A$1:$E$101</definedName>
    <definedName name="_xlnm._FilterDatabase" localSheetId="9" hidden="1">'Part 2 - CAPM 2.1, 2.2 and 2.3'!$A$2:$O$2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1" l="1"/>
  <c r="L3" i="11"/>
  <c r="R3" i="11"/>
  <c r="J2" i="11"/>
  <c r="J1" i="11" l="1"/>
  <c r="Q4" i="11" l="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Q77" i="11"/>
  <c r="Q78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4" i="11"/>
  <c r="Q105" i="11"/>
  <c r="Q106" i="11"/>
  <c r="Q107" i="11"/>
  <c r="Q108" i="11"/>
  <c r="Q109" i="11"/>
  <c r="Q110" i="11"/>
  <c r="Q111" i="11"/>
  <c r="Q112" i="11"/>
  <c r="Q113" i="11"/>
  <c r="Q114" i="11"/>
  <c r="Q115" i="11"/>
  <c r="Q116" i="11"/>
  <c r="Q117" i="11"/>
  <c r="Q118" i="11"/>
  <c r="Q119" i="11"/>
  <c r="Q120" i="11"/>
  <c r="Q121" i="11"/>
  <c r="Q122" i="11"/>
  <c r="Q123" i="11"/>
  <c r="Q124" i="11"/>
  <c r="Q125" i="11"/>
  <c r="Q126" i="11"/>
  <c r="Q127" i="11"/>
  <c r="Q128" i="11"/>
  <c r="Q129" i="11"/>
  <c r="Q130" i="11"/>
  <c r="Q131" i="11"/>
  <c r="Q132" i="11"/>
  <c r="Q133" i="11"/>
  <c r="Q134" i="11"/>
  <c r="Q135" i="11"/>
  <c r="Q136" i="11"/>
  <c r="Q137" i="11"/>
  <c r="Q138" i="11"/>
  <c r="Q139" i="11"/>
  <c r="Q140" i="11"/>
  <c r="Q141" i="11"/>
  <c r="Q142" i="11"/>
  <c r="Q143" i="11"/>
  <c r="Q144" i="11"/>
  <c r="Q145" i="11"/>
  <c r="Q146" i="11"/>
  <c r="Q147" i="11"/>
  <c r="Q148" i="11"/>
  <c r="Q149" i="11"/>
  <c r="Q150" i="11"/>
  <c r="Q151" i="11"/>
  <c r="Q152" i="11"/>
  <c r="Q153" i="11"/>
  <c r="Q154" i="11"/>
  <c r="Q155" i="11"/>
  <c r="Q156" i="11"/>
  <c r="Q157" i="11"/>
  <c r="Q158" i="11"/>
  <c r="Q159" i="11"/>
  <c r="Q160" i="11"/>
  <c r="Q161" i="11"/>
  <c r="Q162" i="11"/>
  <c r="Q163" i="11"/>
  <c r="Q164" i="11"/>
  <c r="Q165" i="11"/>
  <c r="Q166" i="11"/>
  <c r="Q167" i="11"/>
  <c r="Q168" i="11"/>
  <c r="Q169" i="11"/>
  <c r="Q170" i="11"/>
  <c r="Q171" i="11"/>
  <c r="Q172" i="11"/>
  <c r="Q173" i="11"/>
  <c r="Q174" i="11"/>
  <c r="Q175" i="11"/>
  <c r="Q176" i="11"/>
  <c r="Q177" i="11"/>
  <c r="Q178" i="11"/>
  <c r="Q179" i="11"/>
  <c r="Q180" i="11"/>
  <c r="Q181" i="11"/>
  <c r="Q182" i="11"/>
  <c r="Q183" i="11"/>
  <c r="Q184" i="11"/>
  <c r="Q185" i="11"/>
  <c r="Q186" i="11"/>
  <c r="Q187" i="11"/>
  <c r="Q188" i="11"/>
  <c r="Q189" i="11"/>
  <c r="Q190" i="11"/>
  <c r="Q191" i="11"/>
  <c r="Q192" i="11"/>
  <c r="Q193" i="11"/>
  <c r="Q194" i="11"/>
  <c r="Q195" i="11"/>
  <c r="Q196" i="11"/>
  <c r="Q197" i="11"/>
  <c r="Q198" i="11"/>
  <c r="Q199" i="11"/>
  <c r="Q200" i="11"/>
  <c r="Q201" i="11"/>
  <c r="Q202" i="11"/>
  <c r="Q203" i="11"/>
  <c r="Q204" i="11"/>
  <c r="Q205" i="11"/>
  <c r="Q206" i="11"/>
  <c r="Q207" i="11"/>
  <c r="Q208" i="11"/>
  <c r="Q209" i="11"/>
  <c r="Q210" i="11"/>
  <c r="Q211" i="11"/>
  <c r="Q212" i="11"/>
  <c r="Q213" i="11"/>
  <c r="Q214" i="11"/>
  <c r="Q215" i="11"/>
  <c r="Q216" i="11"/>
  <c r="Q217" i="11"/>
  <c r="Q218" i="11"/>
  <c r="Q219" i="11"/>
  <c r="Q220" i="11"/>
  <c r="Q221" i="11"/>
  <c r="Q222" i="11"/>
  <c r="Q223" i="11"/>
  <c r="Q224" i="11"/>
  <c r="Q225" i="11"/>
  <c r="Q226" i="11"/>
  <c r="Q227" i="11"/>
  <c r="Q228" i="11"/>
  <c r="Q229" i="11"/>
  <c r="Q230" i="11"/>
  <c r="Q231" i="11"/>
  <c r="Q232" i="11"/>
  <c r="Q233" i="11"/>
  <c r="Q234" i="11"/>
  <c r="Q235" i="11"/>
  <c r="Q236" i="11"/>
  <c r="Q237" i="11"/>
  <c r="Q238" i="11"/>
  <c r="Q239" i="11"/>
  <c r="Q240" i="11"/>
  <c r="Q241" i="11"/>
  <c r="Q242" i="11"/>
  <c r="Q243" i="11"/>
  <c r="Q244" i="11"/>
  <c r="Q245" i="11"/>
  <c r="Q246" i="11"/>
  <c r="Q247" i="11"/>
  <c r="Q248" i="11"/>
  <c r="Q249" i="11"/>
  <c r="Q250" i="11"/>
  <c r="Q251" i="11"/>
  <c r="Q252" i="11"/>
  <c r="Q253" i="11"/>
  <c r="Q254" i="11"/>
  <c r="Q255" i="11"/>
  <c r="Q256" i="11"/>
  <c r="Q257" i="11"/>
  <c r="Q258" i="11"/>
  <c r="Q259" i="11"/>
  <c r="Q260" i="11"/>
  <c r="Q261" i="11"/>
  <c r="Q262" i="11"/>
  <c r="Q263" i="11"/>
  <c r="Q264" i="11"/>
  <c r="Q265" i="11"/>
  <c r="Q266" i="11"/>
  <c r="Q267" i="11"/>
  <c r="Q268" i="11"/>
  <c r="Q269" i="11"/>
  <c r="Q270" i="11"/>
  <c r="Q271" i="11"/>
  <c r="Q272" i="11"/>
  <c r="Q273" i="11"/>
  <c r="Q274" i="11"/>
  <c r="Q275" i="11"/>
  <c r="Q276" i="11"/>
  <c r="Q277" i="11"/>
  <c r="Q278" i="11"/>
  <c r="Q279" i="11"/>
  <c r="Q280" i="11"/>
  <c r="Q281" i="11"/>
  <c r="Q282" i="11"/>
  <c r="Q283" i="11"/>
  <c r="Q284" i="11"/>
  <c r="Q285" i="11"/>
  <c r="Q286" i="11"/>
  <c r="Q287" i="11"/>
  <c r="Q288" i="11"/>
  <c r="Q289" i="11"/>
  <c r="Q290" i="11"/>
  <c r="Q291" i="11"/>
  <c r="Q292" i="11"/>
  <c r="Q293" i="11"/>
  <c r="Q294" i="11"/>
  <c r="Q295" i="11"/>
  <c r="Q296" i="11"/>
  <c r="Q297" i="11"/>
  <c r="Q298" i="11"/>
  <c r="Q299" i="11"/>
  <c r="Q300" i="11"/>
  <c r="Q301" i="11"/>
  <c r="Q302" i="11"/>
  <c r="Q303" i="11"/>
  <c r="Q304" i="11"/>
  <c r="Q305" i="11"/>
  <c r="Q306" i="11"/>
  <c r="Q307" i="11"/>
  <c r="Q308" i="11"/>
  <c r="Q309" i="11"/>
  <c r="Q310" i="11"/>
  <c r="Q311" i="11"/>
  <c r="Q312" i="11"/>
  <c r="Q313" i="11"/>
  <c r="Q314" i="11"/>
  <c r="Q315" i="11"/>
  <c r="Q316" i="11"/>
  <c r="Q317" i="11"/>
  <c r="Q318" i="11"/>
  <c r="Q319" i="11"/>
  <c r="Q320" i="11"/>
  <c r="Q321" i="11"/>
  <c r="Q322" i="11"/>
  <c r="Q323" i="11"/>
  <c r="Q324" i="11"/>
  <c r="Q325" i="11"/>
  <c r="Q326" i="11"/>
  <c r="Q327" i="11"/>
  <c r="Q328" i="11"/>
  <c r="Q329" i="11"/>
  <c r="Q330" i="11"/>
  <c r="Q331" i="11"/>
  <c r="Q332" i="11"/>
  <c r="Q333" i="11"/>
  <c r="Q334" i="11"/>
  <c r="Q335" i="11"/>
  <c r="Q336" i="11"/>
  <c r="Q337" i="11"/>
  <c r="Q338" i="11"/>
  <c r="Q339" i="11"/>
  <c r="Q340" i="11"/>
  <c r="Q341" i="11"/>
  <c r="Q342" i="11"/>
  <c r="Q343" i="11"/>
  <c r="Q344" i="11"/>
  <c r="Q345" i="11"/>
  <c r="Q346" i="11"/>
  <c r="Q347" i="11"/>
  <c r="Q348" i="11"/>
  <c r="Q349" i="11"/>
  <c r="Q350" i="11"/>
  <c r="Q351" i="11"/>
  <c r="Q352" i="11"/>
  <c r="Q353" i="11"/>
  <c r="Q354" i="11"/>
  <c r="Q355" i="11"/>
  <c r="Q356" i="11"/>
  <c r="Q357" i="11"/>
  <c r="Q358" i="11"/>
  <c r="Q359" i="11"/>
  <c r="Q360" i="11"/>
  <c r="Q361" i="11"/>
  <c r="Q362" i="11"/>
  <c r="Q363" i="11"/>
  <c r="Q364" i="11"/>
  <c r="Q365" i="11"/>
  <c r="Q366" i="11"/>
  <c r="Q367" i="11"/>
  <c r="Q368" i="11"/>
  <c r="Q369" i="11"/>
  <c r="Q370" i="11"/>
  <c r="Q371" i="11"/>
  <c r="Q372" i="11"/>
  <c r="Q373" i="11"/>
  <c r="Q374" i="11"/>
  <c r="Q375" i="11"/>
  <c r="Q376" i="11"/>
  <c r="Q377" i="11"/>
  <c r="Q378" i="11"/>
  <c r="Q379" i="11"/>
  <c r="Q380" i="11"/>
  <c r="Q381" i="11"/>
  <c r="Q382" i="11"/>
  <c r="Q383" i="11"/>
  <c r="Q384" i="11"/>
  <c r="Q385" i="11"/>
  <c r="Q386" i="11"/>
  <c r="Q387" i="11"/>
  <c r="Q388" i="11"/>
  <c r="Q389" i="11"/>
  <c r="Q390" i="11"/>
  <c r="Q391" i="11"/>
  <c r="Q392" i="11"/>
  <c r="Q393" i="11"/>
  <c r="Q394" i="11"/>
  <c r="Q395" i="11"/>
  <c r="Q396" i="11"/>
  <c r="Q397" i="11"/>
  <c r="Q398" i="11"/>
  <c r="Q399" i="11"/>
  <c r="Q400" i="11"/>
  <c r="Q401" i="11"/>
  <c r="Q402" i="11"/>
  <c r="Q403" i="11"/>
  <c r="Q404" i="11"/>
  <c r="Q405" i="11"/>
  <c r="Q406" i="11"/>
  <c r="Q407" i="11"/>
  <c r="Q408" i="11"/>
  <c r="Q409" i="11"/>
  <c r="Q410" i="11"/>
  <c r="Q411" i="11"/>
  <c r="Q412" i="11"/>
  <c r="Q413" i="11"/>
  <c r="Q414" i="11"/>
  <c r="Q415" i="11"/>
  <c r="Q416" i="11"/>
  <c r="Q417" i="11"/>
  <c r="Q418" i="11"/>
  <c r="Q419" i="11"/>
  <c r="Q420" i="11"/>
  <c r="Q421" i="11"/>
  <c r="Q422" i="11"/>
  <c r="Q423" i="11"/>
  <c r="Q424" i="11"/>
  <c r="Q425" i="11"/>
  <c r="Q426" i="11"/>
  <c r="Q427" i="11"/>
  <c r="Q428" i="11"/>
  <c r="Q429" i="11"/>
  <c r="Q430" i="11"/>
  <c r="Q431" i="11"/>
  <c r="Q432" i="11"/>
  <c r="Q433" i="11"/>
  <c r="Q434" i="11"/>
  <c r="Q435" i="11"/>
  <c r="Q436" i="11"/>
  <c r="Q437" i="11"/>
  <c r="Q438" i="11"/>
  <c r="Q439" i="11"/>
  <c r="Q440" i="11"/>
  <c r="Q441" i="11"/>
  <c r="Q442" i="11"/>
  <c r="Q443" i="11"/>
  <c r="Q444" i="11"/>
  <c r="Q445" i="11"/>
  <c r="Q446" i="11"/>
  <c r="Q447" i="11"/>
  <c r="Q448" i="11"/>
  <c r="Q449" i="11"/>
  <c r="Q450" i="11"/>
  <c r="Q451" i="11"/>
  <c r="Q452" i="11"/>
  <c r="Q453" i="11"/>
  <c r="Q454" i="11"/>
  <c r="Q455" i="11"/>
  <c r="Q456" i="11"/>
  <c r="Q457" i="11"/>
  <c r="Q458" i="11"/>
  <c r="Q459" i="11"/>
  <c r="Q460" i="11"/>
  <c r="Q461" i="11"/>
  <c r="Q462" i="11"/>
  <c r="Q463" i="11"/>
  <c r="Q464" i="11"/>
  <c r="Q465" i="11"/>
  <c r="Q466" i="11"/>
  <c r="Q467" i="11"/>
  <c r="Q468" i="11"/>
  <c r="Q469" i="11"/>
  <c r="Q470" i="11"/>
  <c r="Q471" i="11"/>
  <c r="Q472" i="11"/>
  <c r="Q473" i="11"/>
  <c r="Q474" i="11"/>
  <c r="Q475" i="11"/>
  <c r="Q476" i="11"/>
  <c r="Q477" i="11"/>
  <c r="Q478" i="11"/>
  <c r="Q479" i="11"/>
  <c r="Q480" i="11"/>
  <c r="Q481" i="11"/>
  <c r="Q482" i="11"/>
  <c r="Q483" i="11"/>
  <c r="Q484" i="11"/>
  <c r="Q485" i="11"/>
  <c r="Q486" i="11"/>
  <c r="Q487" i="11"/>
  <c r="Q488" i="11"/>
  <c r="Q489" i="11"/>
  <c r="Q490" i="11"/>
  <c r="Q491" i="11"/>
  <c r="Q492" i="11"/>
  <c r="Q493" i="11"/>
  <c r="Q494" i="11"/>
  <c r="Q495" i="11"/>
  <c r="Q496" i="11"/>
  <c r="Q497" i="11"/>
  <c r="Q498" i="11"/>
  <c r="Q499" i="11"/>
  <c r="Q500" i="11"/>
  <c r="Q501" i="11"/>
  <c r="Q502" i="11"/>
  <c r="Q503" i="11"/>
  <c r="Q504" i="11"/>
  <c r="Q505" i="11"/>
  <c r="Q506" i="11"/>
  <c r="Q507" i="11"/>
  <c r="Q508" i="11"/>
  <c r="Q509" i="11"/>
  <c r="Q510" i="11"/>
  <c r="Q511" i="11"/>
  <c r="Q512" i="11"/>
  <c r="Q513" i="11"/>
  <c r="Q514" i="11"/>
  <c r="Q515" i="11"/>
  <c r="Q516" i="11"/>
  <c r="Q517" i="11"/>
  <c r="Q518" i="11"/>
  <c r="Q519" i="11"/>
  <c r="Q520" i="11"/>
  <c r="Q521" i="11"/>
  <c r="Q522" i="11"/>
  <c r="Q523" i="11"/>
  <c r="Q524" i="11"/>
  <c r="Q525" i="11"/>
  <c r="Q526" i="11"/>
  <c r="Q527" i="11"/>
  <c r="Q528" i="11"/>
  <c r="Q529" i="11"/>
  <c r="Q530" i="11"/>
  <c r="Q531" i="11"/>
  <c r="Q532" i="11"/>
  <c r="Q533" i="11"/>
  <c r="Q534" i="11"/>
  <c r="Q535" i="11"/>
  <c r="Q536" i="11"/>
  <c r="Q537" i="11"/>
  <c r="Q538" i="11"/>
  <c r="Q539" i="11"/>
  <c r="Q540" i="11"/>
  <c r="Q541" i="11"/>
  <c r="Q542" i="11"/>
  <c r="Q543" i="11"/>
  <c r="Q544" i="11"/>
  <c r="Q545" i="11"/>
  <c r="Q546" i="11"/>
  <c r="Q547" i="11"/>
  <c r="Q548" i="11"/>
  <c r="Q549" i="11"/>
  <c r="Q550" i="11"/>
  <c r="Q551" i="11"/>
  <c r="Q552" i="11"/>
  <c r="Q553" i="11"/>
  <c r="Q554" i="11"/>
  <c r="Q555" i="11"/>
  <c r="Q556" i="11"/>
  <c r="Q557" i="11"/>
  <c r="Q558" i="11"/>
  <c r="Q559" i="11"/>
  <c r="Q560" i="11"/>
  <c r="Q561" i="11"/>
  <c r="Q562" i="11"/>
  <c r="Q563" i="11"/>
  <c r="Q564" i="11"/>
  <c r="Q565" i="11"/>
  <c r="Q566" i="11"/>
  <c r="Q567" i="11"/>
  <c r="Q568" i="11"/>
  <c r="Q569" i="11"/>
  <c r="Q570" i="11"/>
  <c r="Q571" i="11"/>
  <c r="Q572" i="11"/>
  <c r="Q573" i="11"/>
  <c r="Q574" i="11"/>
  <c r="Q575" i="11"/>
  <c r="Q576" i="11"/>
  <c r="Q577" i="11"/>
  <c r="Q578" i="11"/>
  <c r="Q579" i="11"/>
  <c r="Q580" i="11"/>
  <c r="Q581" i="11"/>
  <c r="Q582" i="11"/>
  <c r="Q583" i="11"/>
  <c r="Q584" i="11"/>
  <c r="Q585" i="11"/>
  <c r="Q586" i="11"/>
  <c r="Q587" i="11"/>
  <c r="Q588" i="11"/>
  <c r="Q589" i="11"/>
  <c r="Q590" i="11"/>
  <c r="Q591" i="11"/>
  <c r="Q592" i="11"/>
  <c r="Q593" i="11"/>
  <c r="Q594" i="11"/>
  <c r="Q595" i="11"/>
  <c r="Q596" i="11"/>
  <c r="Q597" i="11"/>
  <c r="Q598" i="11"/>
  <c r="Q599" i="11"/>
  <c r="Q600" i="11"/>
  <c r="Q601" i="11"/>
  <c r="Q602" i="11"/>
  <c r="Q603" i="11"/>
  <c r="Q604" i="11"/>
  <c r="Q605" i="11"/>
  <c r="Q606" i="11"/>
  <c r="Q607" i="11"/>
  <c r="Q608" i="11"/>
  <c r="Q609" i="11"/>
  <c r="Q610" i="11"/>
  <c r="Q611" i="11"/>
  <c r="Q612" i="11"/>
  <c r="Q613" i="11"/>
  <c r="Q614" i="11"/>
  <c r="Q615" i="11"/>
  <c r="Q616" i="11"/>
  <c r="Q617" i="11"/>
  <c r="Q618" i="11"/>
  <c r="Q619" i="11"/>
  <c r="Q620" i="11"/>
  <c r="Q621" i="11"/>
  <c r="Q622" i="11"/>
  <c r="Q623" i="11"/>
  <c r="Q624" i="11"/>
  <c r="Q625" i="11"/>
  <c r="Q626" i="11"/>
  <c r="Q627" i="11"/>
  <c r="Q628" i="11"/>
  <c r="Q629" i="11"/>
  <c r="Q630" i="11"/>
  <c r="Q631" i="11"/>
  <c r="Q632" i="11"/>
  <c r="Q633" i="11"/>
  <c r="Q634" i="11"/>
  <c r="Q635" i="11"/>
  <c r="Q636" i="11"/>
  <c r="Q637" i="11"/>
  <c r="Q638" i="11"/>
  <c r="Q639" i="11"/>
  <c r="Q640" i="11"/>
  <c r="Q641" i="11"/>
  <c r="Q642" i="11"/>
  <c r="Q643" i="11"/>
  <c r="Q644" i="11"/>
  <c r="Q645" i="11"/>
  <c r="Q646" i="11"/>
  <c r="Q647" i="11"/>
  <c r="Q648" i="11"/>
  <c r="Q649" i="11"/>
  <c r="Q650" i="11"/>
  <c r="Q651" i="11"/>
  <c r="Q652" i="11"/>
  <c r="Q653" i="11"/>
  <c r="Q654" i="11"/>
  <c r="Q655" i="11"/>
  <c r="Q656" i="11"/>
  <c r="Q657" i="11"/>
  <c r="Q658" i="11"/>
  <c r="Q659" i="11"/>
  <c r="Q660" i="11"/>
  <c r="Q661" i="11"/>
  <c r="Q662" i="11"/>
  <c r="Q663" i="11"/>
  <c r="Q664" i="11"/>
  <c r="Q665" i="11"/>
  <c r="Q666" i="11"/>
  <c r="Q667" i="11"/>
  <c r="Q668" i="11"/>
  <c r="Q669" i="11"/>
  <c r="Q670" i="11"/>
  <c r="Q671" i="11"/>
  <c r="Q672" i="11"/>
  <c r="Q673" i="11"/>
  <c r="Q674" i="11"/>
  <c r="Q675" i="11"/>
  <c r="Q676" i="11"/>
  <c r="Q677" i="11"/>
  <c r="Q678" i="11"/>
  <c r="Q679" i="11"/>
  <c r="Q680" i="11"/>
  <c r="Q681" i="11"/>
  <c r="Q682" i="11"/>
  <c r="Q683" i="11"/>
  <c r="Q684" i="11"/>
  <c r="Q685" i="11"/>
  <c r="Q686" i="11"/>
  <c r="Q687" i="11"/>
  <c r="Q688" i="11"/>
  <c r="Q689" i="11"/>
  <c r="Q690" i="11"/>
  <c r="Q691" i="11"/>
  <c r="Q692" i="11"/>
  <c r="Q693" i="11"/>
  <c r="Q694" i="11"/>
  <c r="Q695" i="11"/>
  <c r="Q696" i="11"/>
  <c r="Q697" i="11"/>
  <c r="Q698" i="11"/>
  <c r="Q699" i="11"/>
  <c r="Q700" i="11"/>
  <c r="Q701" i="11"/>
  <c r="Q702" i="11"/>
  <c r="Q703" i="11"/>
  <c r="Q704" i="11"/>
  <c r="Q705" i="11"/>
  <c r="Q706" i="11"/>
  <c r="Q707" i="11"/>
  <c r="Q708" i="11"/>
  <c r="Q709" i="11"/>
  <c r="Q710" i="11"/>
  <c r="Q711" i="11"/>
  <c r="Q712" i="11"/>
  <c r="Q713" i="11"/>
  <c r="Q714" i="11"/>
  <c r="Q715" i="11"/>
  <c r="Q716" i="11"/>
  <c r="Q717" i="11"/>
  <c r="Q718" i="11"/>
  <c r="Q719" i="11"/>
  <c r="Q720" i="11"/>
  <c r="Q721" i="11"/>
  <c r="Q722" i="11"/>
  <c r="Q723" i="11"/>
  <c r="Q724" i="11"/>
  <c r="Q725" i="11"/>
  <c r="Q726" i="11"/>
  <c r="Q727" i="11"/>
  <c r="Q728" i="11"/>
  <c r="Q729" i="11"/>
  <c r="Q730" i="11"/>
  <c r="Q731" i="11"/>
  <c r="Q732" i="11"/>
  <c r="Q733" i="11"/>
  <c r="Q734" i="11"/>
  <c r="Q735" i="11"/>
  <c r="Q736" i="11"/>
  <c r="Q737" i="11"/>
  <c r="Q738" i="11"/>
  <c r="Q739" i="11"/>
  <c r="Q740" i="11"/>
  <c r="Q741" i="11"/>
  <c r="Q742" i="11"/>
  <c r="Q743" i="11"/>
  <c r="Q744" i="11"/>
  <c r="Q745" i="11"/>
  <c r="Q746" i="11"/>
  <c r="Q747" i="11"/>
  <c r="Q748" i="11"/>
  <c r="Q749" i="11"/>
  <c r="Q750" i="11"/>
  <c r="Q751" i="11"/>
  <c r="Q752" i="11"/>
  <c r="Q753" i="11"/>
  <c r="Q754" i="11"/>
  <c r="Q755" i="11"/>
  <c r="Q756" i="11"/>
  <c r="Q757" i="11"/>
  <c r="Q758" i="11"/>
  <c r="Q759" i="11"/>
  <c r="Q760" i="11"/>
  <c r="Q761" i="11"/>
  <c r="Q762" i="11"/>
  <c r="Q763" i="11"/>
  <c r="Q764" i="11"/>
  <c r="Q765" i="11"/>
  <c r="Q766" i="11"/>
  <c r="Q767" i="11"/>
  <c r="Q768" i="11"/>
  <c r="Q769" i="11"/>
  <c r="Q770" i="11"/>
  <c r="Q771" i="11"/>
  <c r="Q772" i="11"/>
  <c r="Q773" i="11"/>
  <c r="Q774" i="11"/>
  <c r="Q775" i="11"/>
  <c r="Q776" i="11"/>
  <c r="Q777" i="11"/>
  <c r="Q778" i="11"/>
  <c r="Q779" i="11"/>
  <c r="Q780" i="11"/>
  <c r="Q781" i="11"/>
  <c r="Q782" i="11"/>
  <c r="Q783" i="11"/>
  <c r="Q784" i="11"/>
  <c r="Q785" i="11"/>
  <c r="Q786" i="11"/>
  <c r="Q787" i="11"/>
  <c r="Q788" i="11"/>
  <c r="Q789" i="11"/>
  <c r="Q790" i="11"/>
  <c r="Q791" i="11"/>
  <c r="Q792" i="11"/>
  <c r="Q793" i="11"/>
  <c r="Q794" i="11"/>
  <c r="Q795" i="11"/>
  <c r="Q796" i="11"/>
  <c r="Q797" i="11"/>
  <c r="Q798" i="11"/>
  <c r="Q799" i="11"/>
  <c r="Q800" i="11"/>
  <c r="Q801" i="11"/>
  <c r="Q802" i="11"/>
  <c r="Q803" i="11"/>
  <c r="Q804" i="11"/>
  <c r="Q805" i="11"/>
  <c r="Q806" i="11"/>
  <c r="Q807" i="11"/>
  <c r="Q808" i="11"/>
  <c r="Q809" i="11"/>
  <c r="Q810" i="11"/>
  <c r="Q811" i="11"/>
  <c r="Q812" i="11"/>
  <c r="Q813" i="11"/>
  <c r="Q814" i="11"/>
  <c r="Q815" i="11"/>
  <c r="Q816" i="11"/>
  <c r="Q817" i="11"/>
  <c r="Q818" i="11"/>
  <c r="Q819" i="11"/>
  <c r="Q820" i="11"/>
  <c r="Q821" i="11"/>
  <c r="Q822" i="11"/>
  <c r="Q823" i="11"/>
  <c r="Q824" i="11"/>
  <c r="Q825" i="11"/>
  <c r="Q826" i="11"/>
  <c r="Q827" i="11"/>
  <c r="Q828" i="11"/>
  <c r="Q829" i="11"/>
  <c r="Q830" i="11"/>
  <c r="Q831" i="11"/>
  <c r="Q832" i="11"/>
  <c r="Q833" i="11"/>
  <c r="Q834" i="11"/>
  <c r="Q835" i="11"/>
  <c r="Q836" i="11"/>
  <c r="Q837" i="11"/>
  <c r="Q838" i="11"/>
  <c r="Q839" i="11"/>
  <c r="Q840" i="11"/>
  <c r="Q841" i="11"/>
  <c r="Q842" i="11"/>
  <c r="Q843" i="11"/>
  <c r="Q844" i="11"/>
  <c r="Q845" i="11"/>
  <c r="Q846" i="11"/>
  <c r="Q847" i="11"/>
  <c r="Q848" i="11"/>
  <c r="Q849" i="11"/>
  <c r="Q850" i="11"/>
  <c r="Q851" i="11"/>
  <c r="Q852" i="11"/>
  <c r="Q853" i="11"/>
  <c r="Q854" i="11"/>
  <c r="Q855" i="11"/>
  <c r="Q856" i="11"/>
  <c r="Q857" i="11"/>
  <c r="Q858" i="11"/>
  <c r="Q859" i="11"/>
  <c r="Q860" i="11"/>
  <c r="Q861" i="11"/>
  <c r="Q862" i="11"/>
  <c r="Q863" i="11"/>
  <c r="Q864" i="11"/>
  <c r="Q865" i="11"/>
  <c r="Q866" i="11"/>
  <c r="Q867" i="11"/>
  <c r="Q868" i="11"/>
  <c r="Q869" i="11"/>
  <c r="Q870" i="11"/>
  <c r="Q871" i="11"/>
  <c r="Q872" i="11"/>
  <c r="Q873" i="11"/>
  <c r="Q874" i="11"/>
  <c r="Q875" i="11"/>
  <c r="Q876" i="11"/>
  <c r="Q877" i="11"/>
  <c r="Q878" i="11"/>
  <c r="Q879" i="11"/>
  <c r="Q880" i="11"/>
  <c r="Q881" i="11"/>
  <c r="Q882" i="11"/>
  <c r="Q883" i="11"/>
  <c r="Q884" i="11"/>
  <c r="Q885" i="11"/>
  <c r="Q886" i="11"/>
  <c r="Q887" i="11"/>
  <c r="Q888" i="11"/>
  <c r="Q889" i="11"/>
  <c r="Q890" i="11"/>
  <c r="Q891" i="11"/>
  <c r="Q892" i="11"/>
  <c r="Q893" i="11"/>
  <c r="Q894" i="11"/>
  <c r="Q895" i="11"/>
  <c r="Q896" i="11"/>
  <c r="Q897" i="11"/>
  <c r="Q898" i="11"/>
  <c r="Q899" i="11"/>
  <c r="Q900" i="11"/>
  <c r="Q901" i="11"/>
  <c r="Q902" i="11"/>
  <c r="Q903" i="11"/>
  <c r="Q904" i="11"/>
  <c r="Q905" i="11"/>
  <c r="Q906" i="11"/>
  <c r="Q907" i="11"/>
  <c r="Q908" i="11"/>
  <c r="Q909" i="11"/>
  <c r="Q910" i="11"/>
  <c r="Q911" i="11"/>
  <c r="Q912" i="11"/>
  <c r="Q913" i="11"/>
  <c r="Q914" i="11"/>
  <c r="Q915" i="11"/>
  <c r="Q916" i="11"/>
  <c r="Q917" i="11"/>
  <c r="Q918" i="11"/>
  <c r="Q919" i="11"/>
  <c r="Q920" i="11"/>
  <c r="Q921" i="11"/>
  <c r="Q922" i="11"/>
  <c r="Q923" i="11"/>
  <c r="Q924" i="11"/>
  <c r="Q925" i="11"/>
  <c r="Q926" i="11"/>
  <c r="Q927" i="11"/>
  <c r="Q928" i="11"/>
  <c r="Q929" i="11"/>
  <c r="Q930" i="11"/>
  <c r="Q931" i="11"/>
  <c r="Q932" i="11"/>
  <c r="Q933" i="11"/>
  <c r="Q934" i="11"/>
  <c r="Q935" i="11"/>
  <c r="Q936" i="11"/>
  <c r="Q937" i="11"/>
  <c r="Q938" i="11"/>
  <c r="Q939" i="11"/>
  <c r="Q940" i="11"/>
  <c r="Q941" i="11"/>
  <c r="Q942" i="11"/>
  <c r="Q943" i="11"/>
  <c r="Q944" i="11"/>
  <c r="Q945" i="11"/>
  <c r="Q946" i="11"/>
  <c r="Q947" i="11"/>
  <c r="Q948" i="11"/>
  <c r="Q949" i="11"/>
  <c r="Q950" i="11"/>
  <c r="Q951" i="11"/>
  <c r="Q952" i="11"/>
  <c r="Q953" i="11"/>
  <c r="Q954" i="11"/>
  <c r="Q955" i="11"/>
  <c r="Q956" i="11"/>
  <c r="Q957" i="11"/>
  <c r="Q958" i="11"/>
  <c r="Q959" i="11"/>
  <c r="Q960" i="11"/>
  <c r="Q961" i="11"/>
  <c r="Q962" i="11"/>
  <c r="Q963" i="11"/>
  <c r="Q964" i="11"/>
  <c r="Q965" i="11"/>
  <c r="Q966" i="11"/>
  <c r="Q967" i="11"/>
  <c r="Q968" i="11"/>
  <c r="Q969" i="11"/>
  <c r="Q970" i="11"/>
  <c r="Q971" i="11"/>
  <c r="Q972" i="11"/>
  <c r="Q973" i="11"/>
  <c r="Q974" i="11"/>
  <c r="Q975" i="11"/>
  <c r="Q976" i="11"/>
  <c r="Q977" i="11"/>
  <c r="Q978" i="11"/>
  <c r="Q979" i="11"/>
  <c r="Q980" i="11"/>
  <c r="Q981" i="11"/>
  <c r="Q982" i="11"/>
  <c r="Q983" i="11"/>
  <c r="Q984" i="11"/>
  <c r="Q985" i="11"/>
  <c r="Q986" i="11"/>
  <c r="Q987" i="11"/>
  <c r="Q988" i="11"/>
  <c r="Q989" i="11"/>
  <c r="Q990" i="11"/>
  <c r="Q991" i="11"/>
  <c r="Q992" i="11"/>
  <c r="Q993" i="11"/>
  <c r="Q994" i="11"/>
  <c r="Q995" i="11"/>
  <c r="Q996" i="11"/>
  <c r="Q997" i="11"/>
  <c r="Q998" i="11"/>
  <c r="Q999" i="11"/>
  <c r="Q1000" i="11"/>
  <c r="Q1001" i="11"/>
  <c r="Q1002" i="11"/>
  <c r="Q1003" i="11"/>
  <c r="Q1004" i="11"/>
  <c r="Q1005" i="11"/>
  <c r="Q1006" i="11"/>
  <c r="Q1007" i="11"/>
  <c r="Q1008" i="11"/>
  <c r="Q1009" i="11"/>
  <c r="Q1010" i="11"/>
  <c r="Q1011" i="11"/>
  <c r="Q1012" i="11"/>
  <c r="Q1013" i="11"/>
  <c r="Q1014" i="11"/>
  <c r="Q1015" i="11"/>
  <c r="Q1016" i="11"/>
  <c r="Q1017" i="11"/>
  <c r="Q1018" i="11"/>
  <c r="Q1019" i="11"/>
  <c r="Q1020" i="11"/>
  <c r="Q1021" i="11"/>
  <c r="Q1022" i="11"/>
  <c r="Q1023" i="11"/>
  <c r="Q1024" i="11"/>
  <c r="Q1025" i="11"/>
  <c r="Q1026" i="11"/>
  <c r="Q1027" i="11"/>
  <c r="Q1028" i="11"/>
  <c r="Q1029" i="11"/>
  <c r="Q1030" i="11"/>
  <c r="Q1031" i="11"/>
  <c r="Q1032" i="11"/>
  <c r="Q1033" i="11"/>
  <c r="Q1034" i="11"/>
  <c r="Q1035" i="11"/>
  <c r="Q1036" i="11"/>
  <c r="Q1037" i="11"/>
  <c r="Q1038" i="11"/>
  <c r="Q1039" i="11"/>
  <c r="Q1040" i="11"/>
  <c r="Q1041" i="11"/>
  <c r="Q1042" i="11"/>
  <c r="Q1043" i="11"/>
  <c r="Q1044" i="11"/>
  <c r="Q1045" i="11"/>
  <c r="Q1046" i="11"/>
  <c r="Q1047" i="11"/>
  <c r="Q1048" i="11"/>
  <c r="Q1049" i="11"/>
  <c r="Q1050" i="11"/>
  <c r="Q1051" i="11"/>
  <c r="Q1052" i="11"/>
  <c r="Q1053" i="11"/>
  <c r="Q1054" i="11"/>
  <c r="Q1055" i="11"/>
  <c r="Q1056" i="11"/>
  <c r="Q1057" i="11"/>
  <c r="Q1058" i="11"/>
  <c r="Q1059" i="11"/>
  <c r="Q1060" i="11"/>
  <c r="Q1061" i="11"/>
  <c r="Q1062" i="11"/>
  <c r="Q1063" i="11"/>
  <c r="Q1064" i="11"/>
  <c r="Q1065" i="11"/>
  <c r="Q1066" i="11"/>
  <c r="Q1067" i="11"/>
  <c r="Q1068" i="11"/>
  <c r="Q1069" i="11"/>
  <c r="Q1070" i="11"/>
  <c r="Q1071" i="11"/>
  <c r="Q1072" i="11"/>
  <c r="Q1073" i="11"/>
  <c r="Q1074" i="11"/>
  <c r="Q1075" i="11"/>
  <c r="Q1076" i="11"/>
  <c r="Q1077" i="11"/>
  <c r="Q1078" i="11"/>
  <c r="Q1079" i="11"/>
  <c r="Q1080" i="11"/>
  <c r="Q1081" i="11"/>
  <c r="Q1082" i="11"/>
  <c r="Q1083" i="11"/>
  <c r="Q1084" i="11"/>
  <c r="Q1085" i="11"/>
  <c r="Q1086" i="11"/>
  <c r="Q1087" i="11"/>
  <c r="Q1088" i="11"/>
  <c r="Q1089" i="11"/>
  <c r="Q1090" i="11"/>
  <c r="Q1091" i="11"/>
  <c r="Q1092" i="11"/>
  <c r="Q1093" i="11"/>
  <c r="Q1094" i="11"/>
  <c r="Q1095" i="11"/>
  <c r="Q1096" i="11"/>
  <c r="Q1097" i="11"/>
  <c r="Q1098" i="11"/>
  <c r="Q1099" i="11"/>
  <c r="Q1100" i="11"/>
  <c r="Q1101" i="11"/>
  <c r="Q1102" i="11"/>
  <c r="Q1103" i="11"/>
  <c r="Q1104" i="11"/>
  <c r="Q1105" i="11"/>
  <c r="Q1106" i="11"/>
  <c r="Q1107" i="11"/>
  <c r="Q1108" i="11"/>
  <c r="Q1109" i="11"/>
  <c r="Q1110" i="11"/>
  <c r="Q1111" i="11"/>
  <c r="Q1112" i="11"/>
  <c r="Q1113" i="11"/>
  <c r="Q1114" i="11"/>
  <c r="Q1115" i="11"/>
  <c r="Q1116" i="11"/>
  <c r="Q1117" i="11"/>
  <c r="Q1118" i="11"/>
  <c r="Q1119" i="11"/>
  <c r="Q1120" i="11"/>
  <c r="Q1121" i="11"/>
  <c r="Q1122" i="11"/>
  <c r="Q1123" i="11"/>
  <c r="Q1124" i="11"/>
  <c r="Q1125" i="11"/>
  <c r="Q1126" i="11"/>
  <c r="Q1127" i="11"/>
  <c r="Q1128" i="11"/>
  <c r="Q1129" i="11"/>
  <c r="Q1130" i="11"/>
  <c r="Q1131" i="11"/>
  <c r="Q1132" i="11"/>
  <c r="Q1133" i="11"/>
  <c r="Q1134" i="11"/>
  <c r="Q1135" i="11"/>
  <c r="Q1136" i="11"/>
  <c r="Q1137" i="11"/>
  <c r="Q1138" i="11"/>
  <c r="Q1139" i="11"/>
  <c r="Q1140" i="11"/>
  <c r="Q1141" i="11"/>
  <c r="Q1142" i="11"/>
  <c r="Q1143" i="11"/>
  <c r="Q1144" i="11"/>
  <c r="Q1145" i="11"/>
  <c r="Q1146" i="11"/>
  <c r="Q1147" i="11"/>
  <c r="Q1148" i="11"/>
  <c r="Q1149" i="11"/>
  <c r="Q1150" i="11"/>
  <c r="Q1151" i="11"/>
  <c r="Q1152" i="11"/>
  <c r="Q1153" i="11"/>
  <c r="Q1154" i="11"/>
  <c r="Q1155" i="11"/>
  <c r="Q1156" i="11"/>
  <c r="Q1157" i="11"/>
  <c r="Q1158" i="11"/>
  <c r="Q1159" i="11"/>
  <c r="Q1160" i="11"/>
  <c r="Q1161" i="11"/>
  <c r="Q1162" i="11"/>
  <c r="Q1163" i="11"/>
  <c r="Q1164" i="11"/>
  <c r="Q1165" i="11"/>
  <c r="Q1166" i="11"/>
  <c r="Q1167" i="11"/>
  <c r="Q1168" i="11"/>
  <c r="Q1169" i="11"/>
  <c r="Q1170" i="11"/>
  <c r="Q1171" i="11"/>
  <c r="Q1172" i="11"/>
  <c r="Q1173" i="11"/>
  <c r="Q1174" i="11"/>
  <c r="Q1175" i="11"/>
  <c r="Q1176" i="11"/>
  <c r="Q1177" i="11"/>
  <c r="Q1178" i="11"/>
  <c r="Q1179" i="11"/>
  <c r="Q1180" i="11"/>
  <c r="Q1181" i="11"/>
  <c r="Q1182" i="11"/>
  <c r="Q1183" i="11"/>
  <c r="Q1184" i="11"/>
  <c r="Q1185" i="11"/>
  <c r="Q1186" i="11"/>
  <c r="Q1187" i="11"/>
  <c r="Q1188" i="11"/>
  <c r="Q1189" i="11"/>
  <c r="Q1190" i="11"/>
  <c r="Q1191" i="11"/>
  <c r="Q1192" i="11"/>
  <c r="Q1193" i="11"/>
  <c r="Q1194" i="11"/>
  <c r="Q1195" i="11"/>
  <c r="Q1196" i="11"/>
  <c r="Q1197" i="11"/>
  <c r="Q1198" i="11"/>
  <c r="Q1199" i="11"/>
  <c r="Q1200" i="11"/>
  <c r="Q1201" i="11"/>
  <c r="Q1202" i="11"/>
  <c r="Q1203" i="11"/>
  <c r="Q1204" i="11"/>
  <c r="Q1205" i="11"/>
  <c r="Q1206" i="11"/>
  <c r="Q1207" i="11"/>
  <c r="Q1208" i="11"/>
  <c r="Q1209" i="11"/>
  <c r="Q1210" i="11"/>
  <c r="Q1211" i="11"/>
  <c r="Q1212" i="11"/>
  <c r="Q1213" i="11"/>
  <c r="Q3" i="11"/>
  <c r="B110" i="7"/>
  <c r="A90" i="7"/>
  <c r="B57" i="7"/>
  <c r="B58" i="7" s="1"/>
  <c r="B63" i="7" s="1"/>
  <c r="A23" i="7"/>
  <c r="A24" i="7"/>
  <c r="A25" i="7"/>
  <c r="A26" i="7"/>
  <c r="A22" i="7"/>
  <c r="C13" i="7"/>
  <c r="C25" i="7" s="1"/>
  <c r="D13" i="7"/>
  <c r="D25" i="7" s="1"/>
  <c r="E13" i="7"/>
  <c r="E25" i="7" s="1"/>
  <c r="F13" i="7"/>
  <c r="F25" i="7" s="1"/>
  <c r="G13" i="7"/>
  <c r="G25" i="7" s="1"/>
  <c r="H13" i="7"/>
  <c r="H25" i="7" s="1"/>
  <c r="B13" i="7"/>
  <c r="B25" i="7" s="1"/>
  <c r="J1" i="7"/>
  <c r="A3" i="7"/>
  <c r="B2" i="7"/>
  <c r="C2" i="7" s="1"/>
  <c r="D2" i="7" s="1"/>
  <c r="E2" i="7" s="1"/>
  <c r="F2" i="7" s="1"/>
  <c r="G2" i="7" s="1"/>
  <c r="H2" i="7" s="1"/>
  <c r="C1" i="7"/>
  <c r="D1" i="7"/>
  <c r="E1" i="7"/>
  <c r="F1" i="7"/>
  <c r="G1" i="7"/>
  <c r="H1" i="7"/>
  <c r="B1" i="7"/>
  <c r="B92" i="3"/>
  <c r="C108" i="3" l="1"/>
  <c r="C129" i="3"/>
  <c r="B129" i="3"/>
  <c r="B108" i="3"/>
  <c r="B155" i="3"/>
  <c r="B109" i="3"/>
  <c r="T7" i="20"/>
  <c r="G7" i="20" s="1"/>
  <c r="D19" i="20"/>
  <c r="C19" i="20"/>
  <c r="C18" i="20"/>
  <c r="D15" i="20"/>
  <c r="C15" i="20"/>
  <c r="D14" i="20"/>
  <c r="C14" i="20"/>
  <c r="D11" i="20"/>
  <c r="C11" i="20"/>
  <c r="D10" i="20"/>
  <c r="C10" i="20"/>
  <c r="B5" i="20"/>
  <c r="C42" i="3" l="1"/>
  <c r="B42" i="3"/>
  <c r="B118" i="3" l="1"/>
  <c r="B144" i="3"/>
  <c r="B139" i="3"/>
  <c r="B138" i="3"/>
  <c r="B137" i="3"/>
  <c r="B110" i="3"/>
  <c r="B11" i="7" s="1"/>
  <c r="B23" i="7" s="1"/>
  <c r="B132" i="3"/>
  <c r="B131" i="3"/>
  <c r="B130" i="3"/>
  <c r="C124" i="3"/>
  <c r="B124" i="3"/>
  <c r="B140" i="3" l="1"/>
  <c r="B133" i="3"/>
  <c r="B122" i="3" l="1"/>
  <c r="B121" i="3"/>
  <c r="B120" i="3"/>
  <c r="B119" i="3"/>
  <c r="B116" i="3"/>
  <c r="B115" i="3"/>
  <c r="D84" i="3"/>
  <c r="D165" i="3" s="1"/>
  <c r="C85" i="3"/>
  <c r="C86" i="3"/>
  <c r="C87" i="3"/>
  <c r="C84" i="3"/>
  <c r="C165" i="3" s="1"/>
  <c r="C92" i="3"/>
  <c r="C164" i="3" s="1"/>
  <c r="C93" i="3"/>
  <c r="C91" i="3"/>
  <c r="B85" i="3"/>
  <c r="B86" i="3"/>
  <c r="B87" i="3"/>
  <c r="B93" i="3"/>
  <c r="B91" i="3"/>
  <c r="D91" i="3" s="1"/>
  <c r="E91" i="3" s="1"/>
  <c r="B84" i="3"/>
  <c r="B165" i="3" s="1"/>
  <c r="A88" i="3"/>
  <c r="A83" i="3"/>
  <c r="A84" i="3"/>
  <c r="A85" i="3"/>
  <c r="A86" i="3"/>
  <c r="A87" i="3"/>
  <c r="A92" i="3"/>
  <c r="A93" i="3"/>
  <c r="A94" i="3"/>
  <c r="D78" i="3"/>
  <c r="E78" i="3" s="1"/>
  <c r="F78" i="3" s="1"/>
  <c r="G78" i="3" s="1"/>
  <c r="H78" i="3" s="1"/>
  <c r="C78" i="3"/>
  <c r="B78" i="3"/>
  <c r="C76" i="3"/>
  <c r="C75" i="3"/>
  <c r="C35" i="7" s="1"/>
  <c r="B76" i="3"/>
  <c r="B75" i="3"/>
  <c r="B35" i="7" s="1"/>
  <c r="A75" i="3"/>
  <c r="A76" i="3"/>
  <c r="A77" i="3"/>
  <c r="A78" i="3"/>
  <c r="A90" i="3"/>
  <c r="A91" i="3"/>
  <c r="K9" i="17"/>
  <c r="C9" i="17"/>
  <c r="D9" i="17"/>
  <c r="E9" i="17"/>
  <c r="F9" i="17"/>
  <c r="G9" i="17"/>
  <c r="H9" i="17"/>
  <c r="I9" i="17"/>
  <c r="J9" i="17"/>
  <c r="B9" i="17"/>
  <c r="A74" i="3"/>
  <c r="A70" i="3"/>
  <c r="C62" i="3"/>
  <c r="C63" i="3"/>
  <c r="C64" i="3"/>
  <c r="B62" i="3"/>
  <c r="B63" i="3"/>
  <c r="B64" i="3"/>
  <c r="C61" i="3"/>
  <c r="C159" i="3" s="1"/>
  <c r="B61" i="3"/>
  <c r="B159" i="3" s="1"/>
  <c r="A64" i="3"/>
  <c r="A65" i="3"/>
  <c r="A61" i="3"/>
  <c r="A62" i="3"/>
  <c r="A63" i="3"/>
  <c r="A60" i="3"/>
  <c r="N35" i="17"/>
  <c r="O35" i="17"/>
  <c r="P35" i="17"/>
  <c r="Q35" i="17"/>
  <c r="R35" i="17"/>
  <c r="S35" i="17"/>
  <c r="T35" i="17"/>
  <c r="U35" i="17"/>
  <c r="M35" i="17"/>
  <c r="C17" i="3"/>
  <c r="B17" i="3"/>
  <c r="C53" i="3"/>
  <c r="C54" i="3"/>
  <c r="C56" i="3"/>
  <c r="D56" i="3" s="1"/>
  <c r="E56" i="3" s="1"/>
  <c r="F56" i="3" s="1"/>
  <c r="G56" i="3" s="1"/>
  <c r="H56" i="3" s="1"/>
  <c r="H121" i="3" s="1"/>
  <c r="C57" i="3"/>
  <c r="D57" i="3" s="1"/>
  <c r="E57" i="3" s="1"/>
  <c r="F57" i="3" s="1"/>
  <c r="G57" i="3" s="1"/>
  <c r="H57" i="3" s="1"/>
  <c r="H122" i="3" s="1"/>
  <c r="C52" i="3"/>
  <c r="B53" i="3"/>
  <c r="B54" i="3"/>
  <c r="B56" i="3"/>
  <c r="B57" i="3"/>
  <c r="B52" i="3"/>
  <c r="A58" i="3"/>
  <c r="A55" i="3"/>
  <c r="A56" i="3"/>
  <c r="A57" i="3"/>
  <c r="A53" i="3"/>
  <c r="A54" i="3"/>
  <c r="A51" i="3"/>
  <c r="A52" i="3"/>
  <c r="C37" i="3"/>
  <c r="C35" i="3"/>
  <c r="C33" i="3"/>
  <c r="C31" i="3"/>
  <c r="C29" i="3"/>
  <c r="C19" i="3" s="1"/>
  <c r="D19" i="3" s="1"/>
  <c r="E19" i="3" s="1"/>
  <c r="F19" i="3" s="1"/>
  <c r="G19" i="3" s="1"/>
  <c r="H19" i="3" s="1"/>
  <c r="B37" i="3"/>
  <c r="B35" i="3"/>
  <c r="B33" i="3"/>
  <c r="B31" i="3"/>
  <c r="B29" i="3"/>
  <c r="B19" i="3" s="1"/>
  <c r="B9" i="3"/>
  <c r="C3" i="3"/>
  <c r="C169" i="3" l="1"/>
  <c r="C172" i="3" s="1"/>
  <c r="C173" i="3" s="1"/>
  <c r="C34" i="7"/>
  <c r="C36" i="7" s="1"/>
  <c r="D164" i="3"/>
  <c r="F91" i="3"/>
  <c r="E139" i="3"/>
  <c r="C155" i="3"/>
  <c r="D75" i="3"/>
  <c r="C137" i="3"/>
  <c r="D155" i="3"/>
  <c r="D139" i="3"/>
  <c r="C139" i="3"/>
  <c r="D3" i="3"/>
  <c r="U7" i="20"/>
  <c r="H7" i="20" s="1"/>
  <c r="D87" i="3"/>
  <c r="C109" i="3"/>
  <c r="C11" i="7" s="1"/>
  <c r="C23" i="7" s="1"/>
  <c r="D93" i="3"/>
  <c r="C110" i="3"/>
  <c r="C132" i="3"/>
  <c r="D63" i="3"/>
  <c r="C131" i="3"/>
  <c r="D62" i="3"/>
  <c r="D130" i="3" s="1"/>
  <c r="C130" i="3"/>
  <c r="C118" i="3"/>
  <c r="C120" i="3"/>
  <c r="C119" i="3"/>
  <c r="E121" i="3"/>
  <c r="C122" i="3"/>
  <c r="E122" i="3"/>
  <c r="D121" i="3"/>
  <c r="D122" i="3"/>
  <c r="G121" i="3"/>
  <c r="G122" i="3"/>
  <c r="F121" i="3"/>
  <c r="C121" i="3"/>
  <c r="F122" i="3"/>
  <c r="D86" i="3"/>
  <c r="E86" i="3" s="1"/>
  <c r="C116" i="3"/>
  <c r="B88" i="3"/>
  <c r="C115" i="3"/>
  <c r="C77" i="3"/>
  <c r="C79" i="3" s="1"/>
  <c r="B77" i="3"/>
  <c r="B79" i="3" s="1"/>
  <c r="E84" i="3"/>
  <c r="E165" i="3" s="1"/>
  <c r="C94" i="3"/>
  <c r="C88" i="3"/>
  <c r="B20" i="3"/>
  <c r="C20" i="3"/>
  <c r="D20" i="3" s="1"/>
  <c r="B65" i="3"/>
  <c r="D17" i="3"/>
  <c r="C65" i="3"/>
  <c r="D64" i="3"/>
  <c r="C39" i="7" l="1"/>
  <c r="C38" i="7"/>
  <c r="D34" i="7"/>
  <c r="D27" i="7"/>
  <c r="D137" i="3"/>
  <c r="D35" i="7"/>
  <c r="D109" i="3"/>
  <c r="E87" i="3"/>
  <c r="G91" i="3"/>
  <c r="F139" i="3"/>
  <c r="E164" i="3"/>
  <c r="D92" i="3"/>
  <c r="D94" i="3" s="1"/>
  <c r="E75" i="3"/>
  <c r="E3" i="3"/>
  <c r="V7" i="20"/>
  <c r="I7" i="20" s="1"/>
  <c r="E93" i="3"/>
  <c r="D110" i="3"/>
  <c r="E63" i="3"/>
  <c r="D131" i="3"/>
  <c r="E62" i="3"/>
  <c r="E130" i="3" s="1"/>
  <c r="E64" i="3"/>
  <c r="D132" i="3"/>
  <c r="C133" i="3"/>
  <c r="C96" i="3"/>
  <c r="D116" i="3"/>
  <c r="E116" i="3"/>
  <c r="F86" i="3"/>
  <c r="F116" i="3" s="1"/>
  <c r="F84" i="3"/>
  <c r="F165" i="3" s="1"/>
  <c r="E20" i="3"/>
  <c r="E17" i="3"/>
  <c r="F17" i="3" s="1"/>
  <c r="G17" i="3" s="1"/>
  <c r="H17" i="3" s="1"/>
  <c r="D52" i="3"/>
  <c r="D118" i="3" s="1"/>
  <c r="D36" i="7" l="1"/>
  <c r="E109" i="3"/>
  <c r="F87" i="3"/>
  <c r="E34" i="7"/>
  <c r="E27" i="7"/>
  <c r="E137" i="3"/>
  <c r="F75" i="3"/>
  <c r="G75" i="3" s="1"/>
  <c r="E35" i="7"/>
  <c r="D138" i="3"/>
  <c r="D140" i="3" s="1"/>
  <c r="F164" i="3"/>
  <c r="E92" i="3"/>
  <c r="H91" i="3"/>
  <c r="H139" i="3" s="1"/>
  <c r="G139" i="3"/>
  <c r="E94" i="3"/>
  <c r="E138" i="3"/>
  <c r="E140" i="3" s="1"/>
  <c r="F3" i="3"/>
  <c r="W7" i="20"/>
  <c r="J7" i="20" s="1"/>
  <c r="F93" i="3"/>
  <c r="E110" i="3"/>
  <c r="F62" i="3"/>
  <c r="F130" i="3" s="1"/>
  <c r="F64" i="3"/>
  <c r="E132" i="3"/>
  <c r="F63" i="3"/>
  <c r="E131" i="3"/>
  <c r="G86" i="3"/>
  <c r="G116" i="3" s="1"/>
  <c r="G84" i="3"/>
  <c r="G165" i="3" s="1"/>
  <c r="F20" i="3"/>
  <c r="E52" i="3"/>
  <c r="E118" i="3" s="1"/>
  <c r="D39" i="7" l="1"/>
  <c r="D38" i="7"/>
  <c r="E36" i="7"/>
  <c r="F35" i="7"/>
  <c r="F137" i="3"/>
  <c r="F109" i="3"/>
  <c r="G87" i="3"/>
  <c r="G35" i="7"/>
  <c r="G137" i="3"/>
  <c r="F34" i="7"/>
  <c r="F27" i="7"/>
  <c r="G164" i="3"/>
  <c r="F92" i="3"/>
  <c r="F94" i="3" s="1"/>
  <c r="F138" i="3"/>
  <c r="F140" i="3" s="1"/>
  <c r="G3" i="3"/>
  <c r="X7" i="20"/>
  <c r="K7" i="20" s="1"/>
  <c r="G93" i="3"/>
  <c r="F110" i="3"/>
  <c r="G64" i="3"/>
  <c r="F132" i="3"/>
  <c r="F131" i="3"/>
  <c r="G63" i="3"/>
  <c r="G62" i="3"/>
  <c r="G130" i="3" s="1"/>
  <c r="H86" i="3"/>
  <c r="H116" i="3" s="1"/>
  <c r="G20" i="3"/>
  <c r="H84" i="3"/>
  <c r="H165" i="3" s="1"/>
  <c r="H75" i="3"/>
  <c r="F52" i="3"/>
  <c r="F118" i="3" s="1"/>
  <c r="F36" i="7" l="1"/>
  <c r="E39" i="7"/>
  <c r="E38" i="7"/>
  <c r="G109" i="3"/>
  <c r="H87" i="3"/>
  <c r="H109" i="3" s="1"/>
  <c r="G34" i="7"/>
  <c r="G27" i="7"/>
  <c r="H137" i="3"/>
  <c r="H35" i="7"/>
  <c r="H164" i="3"/>
  <c r="G92" i="3"/>
  <c r="G138" i="3" s="1"/>
  <c r="G140" i="3" s="1"/>
  <c r="H3" i="3"/>
  <c r="Z7" i="20" s="1"/>
  <c r="M7" i="20" s="1"/>
  <c r="Y7" i="20"/>
  <c r="L7" i="20" s="1"/>
  <c r="G94" i="3"/>
  <c r="H62" i="3"/>
  <c r="H130" i="3" s="1"/>
  <c r="H93" i="3"/>
  <c r="H110" i="3" s="1"/>
  <c r="G110" i="3"/>
  <c r="H63" i="3"/>
  <c r="H131" i="3" s="1"/>
  <c r="G131" i="3"/>
  <c r="H64" i="3"/>
  <c r="H132" i="3" s="1"/>
  <c r="G132" i="3"/>
  <c r="H20" i="3"/>
  <c r="G52" i="3"/>
  <c r="G118" i="3" s="1"/>
  <c r="G36" i="7" l="1"/>
  <c r="F39" i="7"/>
  <c r="F38" i="7"/>
  <c r="H92" i="3"/>
  <c r="H34" i="7"/>
  <c r="H27" i="7"/>
  <c r="H138" i="3"/>
  <c r="H140" i="3" s="1"/>
  <c r="H94" i="3"/>
  <c r="H52" i="3"/>
  <c r="H118" i="3" s="1"/>
  <c r="H36" i="7" l="1"/>
  <c r="G39" i="7"/>
  <c r="G38" i="7"/>
  <c r="H39" i="7" l="1"/>
  <c r="H38" i="7"/>
  <c r="K9" i="18" l="1"/>
  <c r="K11" i="18" s="1"/>
  <c r="K13" i="18" s="1"/>
  <c r="J9" i="18"/>
  <c r="J11" i="18" s="1"/>
  <c r="J13" i="18" s="1"/>
  <c r="I9" i="18"/>
  <c r="I11" i="18" s="1"/>
  <c r="I13" i="18" s="1"/>
  <c r="H9" i="18"/>
  <c r="H11" i="18" s="1"/>
  <c r="H13" i="18" s="1"/>
  <c r="G9" i="18"/>
  <c r="G11" i="18" s="1"/>
  <c r="G13" i="18" s="1"/>
  <c r="F9" i="18"/>
  <c r="F11" i="18" s="1"/>
  <c r="F13" i="18" s="1"/>
  <c r="E9" i="18"/>
  <c r="E11" i="18" s="1"/>
  <c r="E13" i="18" s="1"/>
  <c r="D9" i="18"/>
  <c r="D11" i="18" s="1"/>
  <c r="D13" i="18" s="1"/>
  <c r="C9" i="18"/>
  <c r="C11" i="18" s="1"/>
  <c r="C13" i="18" s="1"/>
  <c r="B9" i="18"/>
  <c r="B11" i="18" s="1"/>
  <c r="B13" i="18" s="1"/>
  <c r="K41" i="17"/>
  <c r="J41" i="17"/>
  <c r="I41" i="17"/>
  <c r="H41" i="17"/>
  <c r="G41" i="17"/>
  <c r="F41" i="17"/>
  <c r="E41" i="17"/>
  <c r="D41" i="17"/>
  <c r="C41" i="17"/>
  <c r="B41" i="17"/>
  <c r="K32" i="17"/>
  <c r="I32" i="17"/>
  <c r="H32" i="17"/>
  <c r="F32" i="17"/>
  <c r="E32" i="17"/>
  <c r="E42" i="17" s="1"/>
  <c r="D32" i="17"/>
  <c r="D42" i="17" s="1"/>
  <c r="C32" i="17"/>
  <c r="B32" i="17"/>
  <c r="K23" i="17"/>
  <c r="J23" i="17"/>
  <c r="I23" i="17"/>
  <c r="H23" i="17"/>
  <c r="G23" i="17"/>
  <c r="F23" i="17"/>
  <c r="E23" i="17"/>
  <c r="D23" i="17"/>
  <c r="C23" i="17"/>
  <c r="B23" i="17"/>
  <c r="K16" i="17"/>
  <c r="J16" i="17"/>
  <c r="I16" i="17"/>
  <c r="H16" i="17"/>
  <c r="G16" i="17"/>
  <c r="F16" i="17"/>
  <c r="E16" i="17"/>
  <c r="D16" i="17"/>
  <c r="C16" i="17"/>
  <c r="B16" i="17"/>
  <c r="I42" i="17" l="1"/>
  <c r="K15" i="18"/>
  <c r="K17" i="18" s="1"/>
  <c r="K19" i="18" s="1"/>
  <c r="U20" i="18" s="1"/>
  <c r="U16" i="18"/>
  <c r="J15" i="18"/>
  <c r="J17" i="18" s="1"/>
  <c r="J19" i="18" s="1"/>
  <c r="T20" i="18" s="1"/>
  <c r="T16" i="18"/>
  <c r="U14" i="18"/>
  <c r="U13" i="18"/>
  <c r="I15" i="18"/>
  <c r="I17" i="18" s="1"/>
  <c r="I19" i="18" s="1"/>
  <c r="S20" i="18" s="1"/>
  <c r="S16" i="18"/>
  <c r="T14" i="18"/>
  <c r="T13" i="18"/>
  <c r="R16" i="18"/>
  <c r="S14" i="18"/>
  <c r="S13" i="18"/>
  <c r="G15" i="18"/>
  <c r="G17" i="18" s="1"/>
  <c r="G19" i="18" s="1"/>
  <c r="Q20" i="18" s="1"/>
  <c r="Q16" i="18"/>
  <c r="R14" i="18"/>
  <c r="R13" i="18"/>
  <c r="F15" i="18"/>
  <c r="F17" i="18" s="1"/>
  <c r="F19" i="18" s="1"/>
  <c r="P20" i="18" s="1"/>
  <c r="P16" i="18"/>
  <c r="Q14" i="18"/>
  <c r="Q13" i="18"/>
  <c r="P14" i="18"/>
  <c r="O16" i="18"/>
  <c r="P13" i="18"/>
  <c r="N16" i="18"/>
  <c r="O14" i="18"/>
  <c r="O13" i="18"/>
  <c r="T11" i="20"/>
  <c r="G11" i="20" s="1"/>
  <c r="N13" i="18"/>
  <c r="M16" i="18"/>
  <c r="D11" i="3" s="1"/>
  <c r="E11" i="3" s="1"/>
  <c r="F11" i="3" s="1"/>
  <c r="G11" i="3" s="1"/>
  <c r="H11" i="3" s="1"/>
  <c r="N14" i="18"/>
  <c r="B28" i="3"/>
  <c r="B15" i="18"/>
  <c r="B17" i="18" s="1"/>
  <c r="B19" i="18" s="1"/>
  <c r="M13" i="18"/>
  <c r="D9" i="3" s="1"/>
  <c r="E9" i="3" s="1"/>
  <c r="F9" i="3" s="1"/>
  <c r="G9" i="3" s="1"/>
  <c r="H9" i="3" s="1"/>
  <c r="C28" i="3"/>
  <c r="M14" i="18"/>
  <c r="H42" i="17"/>
  <c r="K42" i="17"/>
  <c r="B24" i="17"/>
  <c r="D24" i="17"/>
  <c r="D43" i="17" s="1"/>
  <c r="E24" i="17"/>
  <c r="E43" i="17" s="1"/>
  <c r="I24" i="17"/>
  <c r="B42" i="17"/>
  <c r="F42" i="17"/>
  <c r="C42" i="17"/>
  <c r="F21" i="18"/>
  <c r="K21" i="18"/>
  <c r="B21" i="18"/>
  <c r="B24" i="18" s="1"/>
  <c r="G21" i="18"/>
  <c r="J21" i="18"/>
  <c r="I21" i="18"/>
  <c r="C15" i="18"/>
  <c r="C17" i="18" s="1"/>
  <c r="T15" i="20" s="1"/>
  <c r="G15" i="20" s="1"/>
  <c r="H24" i="17"/>
  <c r="H43" i="17" s="1"/>
  <c r="E15" i="18"/>
  <c r="E17" i="18" s="1"/>
  <c r="E19" i="18" s="1"/>
  <c r="O20" i="18" s="1"/>
  <c r="H15" i="18"/>
  <c r="H17" i="18" s="1"/>
  <c r="H19" i="18" s="1"/>
  <c r="R20" i="18" s="1"/>
  <c r="D15" i="18"/>
  <c r="D17" i="18" s="1"/>
  <c r="D19" i="18" s="1"/>
  <c r="N20" i="18" s="1"/>
  <c r="F24" i="17"/>
  <c r="J24" i="17"/>
  <c r="J32" i="17"/>
  <c r="J42" i="17" s="1"/>
  <c r="C24" i="17"/>
  <c r="C43" i="17" s="1"/>
  <c r="G24" i="17"/>
  <c r="K24" i="17"/>
  <c r="K43" i="17" s="1"/>
  <c r="G32" i="17"/>
  <c r="G42" i="17" s="1"/>
  <c r="T10" i="20" l="1"/>
  <c r="G10" i="20" s="1"/>
  <c r="B18" i="3"/>
  <c r="B30" i="3"/>
  <c r="B32" i="3" s="1"/>
  <c r="B11" i="3"/>
  <c r="B10" i="3"/>
  <c r="B157" i="3"/>
  <c r="U10" i="20"/>
  <c r="C18" i="3"/>
  <c r="D18" i="3" s="1"/>
  <c r="C30" i="3"/>
  <c r="C32" i="3" s="1"/>
  <c r="D28" i="3"/>
  <c r="C11" i="3"/>
  <c r="C10" i="3"/>
  <c r="C9" i="3"/>
  <c r="C157" i="3"/>
  <c r="D10" i="3"/>
  <c r="I43" i="17"/>
  <c r="F24" i="18"/>
  <c r="P24" i="18"/>
  <c r="U24" i="18"/>
  <c r="K24" i="18"/>
  <c r="Q24" i="18"/>
  <c r="G24" i="18"/>
  <c r="T24" i="18"/>
  <c r="J24" i="18"/>
  <c r="S24" i="18"/>
  <c r="I24" i="18"/>
  <c r="B43" i="17"/>
  <c r="F43" i="17"/>
  <c r="H21" i="18"/>
  <c r="D21" i="18"/>
  <c r="E21" i="18"/>
  <c r="C19" i="18"/>
  <c r="M20" i="18" s="1"/>
  <c r="D12" i="3" s="1"/>
  <c r="E12" i="3" s="1"/>
  <c r="F12" i="3" s="1"/>
  <c r="G12" i="3" s="1"/>
  <c r="H12" i="3" s="1"/>
  <c r="G43" i="17"/>
  <c r="J43" i="17"/>
  <c r="B41" i="3" l="1"/>
  <c r="B43" i="3" s="1"/>
  <c r="B34" i="3"/>
  <c r="T14" i="20"/>
  <c r="G14" i="20" s="1"/>
  <c r="H10" i="20"/>
  <c r="U11" i="20"/>
  <c r="H11" i="20" s="1"/>
  <c r="D54" i="3"/>
  <c r="D120" i="3" s="1"/>
  <c r="E18" i="3"/>
  <c r="C41" i="3"/>
  <c r="C43" i="3" s="1"/>
  <c r="C34" i="3"/>
  <c r="U14" i="20"/>
  <c r="V10" i="20"/>
  <c r="E28" i="3"/>
  <c r="D31" i="3"/>
  <c r="E10" i="3"/>
  <c r="D29" i="3"/>
  <c r="D30" i="3" s="1"/>
  <c r="D32" i="3" s="1"/>
  <c r="D157" i="3"/>
  <c r="R24" i="18"/>
  <c r="H24" i="18"/>
  <c r="D24" i="18"/>
  <c r="N24" i="18"/>
  <c r="E24" i="18"/>
  <c r="O24" i="18"/>
  <c r="F13" i="3" s="1"/>
  <c r="C21" i="18"/>
  <c r="C4" i="8"/>
  <c r="G1213" i="11"/>
  <c r="P1213" i="11" s="1"/>
  <c r="G1212" i="11"/>
  <c r="P1212" i="11" s="1"/>
  <c r="G1211" i="11"/>
  <c r="P1211" i="11" s="1"/>
  <c r="G1210" i="11"/>
  <c r="P1210" i="11" s="1"/>
  <c r="G1209" i="11"/>
  <c r="P1209" i="11" s="1"/>
  <c r="G1208" i="11"/>
  <c r="P1208" i="11" s="1"/>
  <c r="G1207" i="11"/>
  <c r="P1207" i="11" s="1"/>
  <c r="G1206" i="11"/>
  <c r="P1206" i="11" s="1"/>
  <c r="G1205" i="11"/>
  <c r="P1205" i="11" s="1"/>
  <c r="G1204" i="11"/>
  <c r="P1204" i="11" s="1"/>
  <c r="G1203" i="11"/>
  <c r="P1203" i="11" s="1"/>
  <c r="G1202" i="11"/>
  <c r="P1202" i="11" s="1"/>
  <c r="G1201" i="11"/>
  <c r="P1201" i="11" s="1"/>
  <c r="G1200" i="11"/>
  <c r="P1200" i="11" s="1"/>
  <c r="G1199" i="11"/>
  <c r="P1199" i="11" s="1"/>
  <c r="G1198" i="11"/>
  <c r="P1198" i="11" s="1"/>
  <c r="G1197" i="11"/>
  <c r="P1197" i="11" s="1"/>
  <c r="G1196" i="11"/>
  <c r="P1196" i="11" s="1"/>
  <c r="G1195" i="11"/>
  <c r="P1195" i="11" s="1"/>
  <c r="G1194" i="11"/>
  <c r="P1194" i="11" s="1"/>
  <c r="G1193" i="11"/>
  <c r="P1193" i="11" s="1"/>
  <c r="G1192" i="11"/>
  <c r="P1192" i="11" s="1"/>
  <c r="G1191" i="11"/>
  <c r="P1191" i="11" s="1"/>
  <c r="G1190" i="11"/>
  <c r="P1190" i="11" s="1"/>
  <c r="G1189" i="11"/>
  <c r="P1189" i="11" s="1"/>
  <c r="G1188" i="11"/>
  <c r="P1188" i="11" s="1"/>
  <c r="G1187" i="11"/>
  <c r="P1187" i="11" s="1"/>
  <c r="G1186" i="11"/>
  <c r="P1186" i="11" s="1"/>
  <c r="G1185" i="11"/>
  <c r="P1185" i="11" s="1"/>
  <c r="G1184" i="11"/>
  <c r="P1184" i="11" s="1"/>
  <c r="G1183" i="11"/>
  <c r="P1183" i="11" s="1"/>
  <c r="G1182" i="11"/>
  <c r="P1182" i="11" s="1"/>
  <c r="G1181" i="11"/>
  <c r="P1181" i="11" s="1"/>
  <c r="G1180" i="11"/>
  <c r="P1180" i="11" s="1"/>
  <c r="G1179" i="11"/>
  <c r="P1179" i="11" s="1"/>
  <c r="G1178" i="11"/>
  <c r="P1178" i="11" s="1"/>
  <c r="G1177" i="11"/>
  <c r="P1177" i="11" s="1"/>
  <c r="G1176" i="11"/>
  <c r="P1176" i="11" s="1"/>
  <c r="G1175" i="11"/>
  <c r="P1175" i="11" s="1"/>
  <c r="G1174" i="11"/>
  <c r="P1174" i="11" s="1"/>
  <c r="G1173" i="11"/>
  <c r="P1173" i="11" s="1"/>
  <c r="G1172" i="11"/>
  <c r="P1172" i="11" s="1"/>
  <c r="G1171" i="11"/>
  <c r="P1171" i="11" s="1"/>
  <c r="G1170" i="11"/>
  <c r="P1170" i="11" s="1"/>
  <c r="G1169" i="11"/>
  <c r="P1169" i="11" s="1"/>
  <c r="G1168" i="11"/>
  <c r="P1168" i="11" s="1"/>
  <c r="G1167" i="11"/>
  <c r="P1167" i="11" s="1"/>
  <c r="G1166" i="11"/>
  <c r="P1166" i="11" s="1"/>
  <c r="G1165" i="11"/>
  <c r="P1165" i="11" s="1"/>
  <c r="G1164" i="11"/>
  <c r="P1164" i="11" s="1"/>
  <c r="G1163" i="11"/>
  <c r="P1163" i="11" s="1"/>
  <c r="G1162" i="11"/>
  <c r="P1162" i="11" s="1"/>
  <c r="G1161" i="11"/>
  <c r="P1161" i="11" s="1"/>
  <c r="G1160" i="11"/>
  <c r="P1160" i="11" s="1"/>
  <c r="G1159" i="11"/>
  <c r="P1159" i="11" s="1"/>
  <c r="G1158" i="11"/>
  <c r="P1158" i="11" s="1"/>
  <c r="G1157" i="11"/>
  <c r="P1157" i="11" s="1"/>
  <c r="G1156" i="11"/>
  <c r="P1156" i="11" s="1"/>
  <c r="G1155" i="11"/>
  <c r="P1155" i="11" s="1"/>
  <c r="G1154" i="11"/>
  <c r="P1154" i="11" s="1"/>
  <c r="G1153" i="11"/>
  <c r="P1153" i="11" s="1"/>
  <c r="G1152" i="11"/>
  <c r="P1152" i="11" s="1"/>
  <c r="G1151" i="11"/>
  <c r="P1151" i="11" s="1"/>
  <c r="G1150" i="11"/>
  <c r="P1150" i="11" s="1"/>
  <c r="G1149" i="11"/>
  <c r="P1149" i="11" s="1"/>
  <c r="G1148" i="11"/>
  <c r="P1148" i="11" s="1"/>
  <c r="G1147" i="11"/>
  <c r="P1147" i="11" s="1"/>
  <c r="G1146" i="11"/>
  <c r="P1146" i="11" s="1"/>
  <c r="G1145" i="11"/>
  <c r="P1145" i="11" s="1"/>
  <c r="G1144" i="11"/>
  <c r="P1144" i="11" s="1"/>
  <c r="G1143" i="11"/>
  <c r="P1143" i="11" s="1"/>
  <c r="G1142" i="11"/>
  <c r="P1142" i="11" s="1"/>
  <c r="G1141" i="11"/>
  <c r="P1141" i="11" s="1"/>
  <c r="G1140" i="11"/>
  <c r="P1140" i="11" s="1"/>
  <c r="G1139" i="11"/>
  <c r="P1139" i="11" s="1"/>
  <c r="G1138" i="11"/>
  <c r="P1138" i="11" s="1"/>
  <c r="G1137" i="11"/>
  <c r="P1137" i="11" s="1"/>
  <c r="G1136" i="11"/>
  <c r="P1136" i="11" s="1"/>
  <c r="G1135" i="11"/>
  <c r="P1135" i="11" s="1"/>
  <c r="G1134" i="11"/>
  <c r="P1134" i="11" s="1"/>
  <c r="G1133" i="11"/>
  <c r="P1133" i="11" s="1"/>
  <c r="G1132" i="11"/>
  <c r="P1132" i="11" s="1"/>
  <c r="G1131" i="11"/>
  <c r="P1131" i="11" s="1"/>
  <c r="G1130" i="11"/>
  <c r="P1130" i="11" s="1"/>
  <c r="G1129" i="11"/>
  <c r="P1129" i="11" s="1"/>
  <c r="G1128" i="11"/>
  <c r="P1128" i="11" s="1"/>
  <c r="G1127" i="11"/>
  <c r="P1127" i="11" s="1"/>
  <c r="G1126" i="11"/>
  <c r="P1126" i="11" s="1"/>
  <c r="G1125" i="11"/>
  <c r="P1125" i="11" s="1"/>
  <c r="G1124" i="11"/>
  <c r="P1124" i="11" s="1"/>
  <c r="G1123" i="11"/>
  <c r="P1123" i="11" s="1"/>
  <c r="G1122" i="11"/>
  <c r="P1122" i="11" s="1"/>
  <c r="G1121" i="11"/>
  <c r="P1121" i="11" s="1"/>
  <c r="G1120" i="11"/>
  <c r="P1120" i="11" s="1"/>
  <c r="G1119" i="11"/>
  <c r="P1119" i="11" s="1"/>
  <c r="G1118" i="11"/>
  <c r="P1118" i="11" s="1"/>
  <c r="G1117" i="11"/>
  <c r="P1117" i="11" s="1"/>
  <c r="G1116" i="11"/>
  <c r="P1116" i="11" s="1"/>
  <c r="G1115" i="11"/>
  <c r="P1115" i="11" s="1"/>
  <c r="G1114" i="11"/>
  <c r="P1114" i="11" s="1"/>
  <c r="G1113" i="11"/>
  <c r="P1113" i="11" s="1"/>
  <c r="G1112" i="11"/>
  <c r="P1112" i="11" s="1"/>
  <c r="G1111" i="11"/>
  <c r="P1111" i="11" s="1"/>
  <c r="G1110" i="11"/>
  <c r="P1110" i="11" s="1"/>
  <c r="G1109" i="11"/>
  <c r="P1109" i="11" s="1"/>
  <c r="G1108" i="11"/>
  <c r="P1108" i="11" s="1"/>
  <c r="G1107" i="11"/>
  <c r="P1107" i="11" s="1"/>
  <c r="G1106" i="11"/>
  <c r="P1106" i="11" s="1"/>
  <c r="G1105" i="11"/>
  <c r="P1105" i="11" s="1"/>
  <c r="G1104" i="11"/>
  <c r="P1104" i="11" s="1"/>
  <c r="G1103" i="11"/>
  <c r="P1103" i="11" s="1"/>
  <c r="G1102" i="11"/>
  <c r="P1102" i="11" s="1"/>
  <c r="G1101" i="11"/>
  <c r="P1101" i="11" s="1"/>
  <c r="G1100" i="11"/>
  <c r="P1100" i="11" s="1"/>
  <c r="G1099" i="11"/>
  <c r="P1099" i="11" s="1"/>
  <c r="G1098" i="11"/>
  <c r="P1098" i="11" s="1"/>
  <c r="G1097" i="11"/>
  <c r="P1097" i="11" s="1"/>
  <c r="G1096" i="11"/>
  <c r="P1096" i="11" s="1"/>
  <c r="G1095" i="11"/>
  <c r="P1095" i="11" s="1"/>
  <c r="G1094" i="11"/>
  <c r="P1094" i="11" s="1"/>
  <c r="G1093" i="11"/>
  <c r="P1093" i="11" s="1"/>
  <c r="G1092" i="11"/>
  <c r="P1092" i="11" s="1"/>
  <c r="G1091" i="11"/>
  <c r="P1091" i="11" s="1"/>
  <c r="G1090" i="11"/>
  <c r="P1090" i="11" s="1"/>
  <c r="G1089" i="11"/>
  <c r="P1089" i="11" s="1"/>
  <c r="G1088" i="11"/>
  <c r="P1088" i="11" s="1"/>
  <c r="G1087" i="11"/>
  <c r="P1087" i="11" s="1"/>
  <c r="G1086" i="11"/>
  <c r="P1086" i="11" s="1"/>
  <c r="G1085" i="11"/>
  <c r="P1085" i="11" s="1"/>
  <c r="G1084" i="11"/>
  <c r="P1084" i="11" s="1"/>
  <c r="G1083" i="11"/>
  <c r="P1083" i="11" s="1"/>
  <c r="G1082" i="11"/>
  <c r="P1082" i="11" s="1"/>
  <c r="G1081" i="11"/>
  <c r="P1081" i="11" s="1"/>
  <c r="G1080" i="11"/>
  <c r="P1080" i="11" s="1"/>
  <c r="G1079" i="11"/>
  <c r="P1079" i="11" s="1"/>
  <c r="G1078" i="11"/>
  <c r="P1078" i="11" s="1"/>
  <c r="G1077" i="11"/>
  <c r="P1077" i="11" s="1"/>
  <c r="G1076" i="11"/>
  <c r="P1076" i="11" s="1"/>
  <c r="G1075" i="11"/>
  <c r="P1075" i="11" s="1"/>
  <c r="G1074" i="11"/>
  <c r="P1074" i="11" s="1"/>
  <c r="G1073" i="11"/>
  <c r="P1073" i="11" s="1"/>
  <c r="G1072" i="11"/>
  <c r="P1072" i="11" s="1"/>
  <c r="G1071" i="11"/>
  <c r="P1071" i="11" s="1"/>
  <c r="G1070" i="11"/>
  <c r="P1070" i="11" s="1"/>
  <c r="G1069" i="11"/>
  <c r="P1069" i="11" s="1"/>
  <c r="G1068" i="11"/>
  <c r="P1068" i="11" s="1"/>
  <c r="G1067" i="11"/>
  <c r="P1067" i="11" s="1"/>
  <c r="G1066" i="11"/>
  <c r="P1066" i="11" s="1"/>
  <c r="G1065" i="11"/>
  <c r="P1065" i="11" s="1"/>
  <c r="G1064" i="11"/>
  <c r="P1064" i="11" s="1"/>
  <c r="G1063" i="11"/>
  <c r="P1063" i="11" s="1"/>
  <c r="G1062" i="11"/>
  <c r="P1062" i="11" s="1"/>
  <c r="G1061" i="11"/>
  <c r="P1061" i="11" s="1"/>
  <c r="G1060" i="11"/>
  <c r="P1060" i="11" s="1"/>
  <c r="G1059" i="11"/>
  <c r="P1059" i="11" s="1"/>
  <c r="G1058" i="11"/>
  <c r="P1058" i="11" s="1"/>
  <c r="G1057" i="11"/>
  <c r="P1057" i="11" s="1"/>
  <c r="G1056" i="11"/>
  <c r="P1056" i="11" s="1"/>
  <c r="G1055" i="11"/>
  <c r="P1055" i="11" s="1"/>
  <c r="G1054" i="11"/>
  <c r="P1054" i="11" s="1"/>
  <c r="G1053" i="11"/>
  <c r="P1053" i="11" s="1"/>
  <c r="G1052" i="11"/>
  <c r="P1052" i="11" s="1"/>
  <c r="G1051" i="11"/>
  <c r="P1051" i="11" s="1"/>
  <c r="G1050" i="11"/>
  <c r="P1050" i="11" s="1"/>
  <c r="G1049" i="11"/>
  <c r="P1049" i="11" s="1"/>
  <c r="G1048" i="11"/>
  <c r="P1048" i="11" s="1"/>
  <c r="G1047" i="11"/>
  <c r="P1047" i="11" s="1"/>
  <c r="G1046" i="11"/>
  <c r="P1046" i="11" s="1"/>
  <c r="G1045" i="11"/>
  <c r="P1045" i="11" s="1"/>
  <c r="G1044" i="11"/>
  <c r="P1044" i="11" s="1"/>
  <c r="G1043" i="11"/>
  <c r="P1043" i="11" s="1"/>
  <c r="G1042" i="11"/>
  <c r="P1042" i="11" s="1"/>
  <c r="G1041" i="11"/>
  <c r="P1041" i="11" s="1"/>
  <c r="G1040" i="11"/>
  <c r="P1040" i="11" s="1"/>
  <c r="G1039" i="11"/>
  <c r="P1039" i="11" s="1"/>
  <c r="G1038" i="11"/>
  <c r="P1038" i="11" s="1"/>
  <c r="G1037" i="11"/>
  <c r="P1037" i="11" s="1"/>
  <c r="G1036" i="11"/>
  <c r="P1036" i="11" s="1"/>
  <c r="G1035" i="11"/>
  <c r="P1035" i="11" s="1"/>
  <c r="G1034" i="11"/>
  <c r="P1034" i="11" s="1"/>
  <c r="G1033" i="11"/>
  <c r="P1033" i="11" s="1"/>
  <c r="G1032" i="11"/>
  <c r="P1032" i="11" s="1"/>
  <c r="G1031" i="11"/>
  <c r="P1031" i="11" s="1"/>
  <c r="G1030" i="11"/>
  <c r="P1030" i="11" s="1"/>
  <c r="G1029" i="11"/>
  <c r="P1029" i="11" s="1"/>
  <c r="G1028" i="11"/>
  <c r="P1028" i="11" s="1"/>
  <c r="G1027" i="11"/>
  <c r="P1027" i="11" s="1"/>
  <c r="G1026" i="11"/>
  <c r="P1026" i="11" s="1"/>
  <c r="G1025" i="11"/>
  <c r="P1025" i="11" s="1"/>
  <c r="G1024" i="11"/>
  <c r="P1024" i="11" s="1"/>
  <c r="G1023" i="11"/>
  <c r="P1023" i="11" s="1"/>
  <c r="G1022" i="11"/>
  <c r="P1022" i="11" s="1"/>
  <c r="G1021" i="11"/>
  <c r="P1021" i="11" s="1"/>
  <c r="G1020" i="11"/>
  <c r="P1020" i="11" s="1"/>
  <c r="G1019" i="11"/>
  <c r="P1019" i="11" s="1"/>
  <c r="G1018" i="11"/>
  <c r="P1018" i="11" s="1"/>
  <c r="G1017" i="11"/>
  <c r="P1017" i="11" s="1"/>
  <c r="G1016" i="11"/>
  <c r="P1016" i="11" s="1"/>
  <c r="G1015" i="11"/>
  <c r="P1015" i="11" s="1"/>
  <c r="G1014" i="11"/>
  <c r="P1014" i="11" s="1"/>
  <c r="G1013" i="11"/>
  <c r="P1013" i="11" s="1"/>
  <c r="G1012" i="11"/>
  <c r="P1012" i="11" s="1"/>
  <c r="G1011" i="11"/>
  <c r="P1011" i="11" s="1"/>
  <c r="G1010" i="11"/>
  <c r="P1010" i="11" s="1"/>
  <c r="G1009" i="11"/>
  <c r="P1009" i="11" s="1"/>
  <c r="G1008" i="11"/>
  <c r="P1008" i="11" s="1"/>
  <c r="G1007" i="11"/>
  <c r="P1007" i="11" s="1"/>
  <c r="G1006" i="11"/>
  <c r="P1006" i="11" s="1"/>
  <c r="G1005" i="11"/>
  <c r="P1005" i="11" s="1"/>
  <c r="G1004" i="11"/>
  <c r="P1004" i="11" s="1"/>
  <c r="G1003" i="11"/>
  <c r="P1003" i="11" s="1"/>
  <c r="G1002" i="11"/>
  <c r="P1002" i="11" s="1"/>
  <c r="G1001" i="11"/>
  <c r="P1001" i="11" s="1"/>
  <c r="G1000" i="11"/>
  <c r="P1000" i="11" s="1"/>
  <c r="G999" i="11"/>
  <c r="P999" i="11" s="1"/>
  <c r="G998" i="11"/>
  <c r="P998" i="11" s="1"/>
  <c r="G997" i="11"/>
  <c r="P997" i="11" s="1"/>
  <c r="G996" i="11"/>
  <c r="P996" i="11" s="1"/>
  <c r="G995" i="11"/>
  <c r="P995" i="11" s="1"/>
  <c r="G994" i="11"/>
  <c r="P994" i="11" s="1"/>
  <c r="G993" i="11"/>
  <c r="P993" i="11" s="1"/>
  <c r="G992" i="11"/>
  <c r="P992" i="11" s="1"/>
  <c r="G991" i="11"/>
  <c r="P991" i="11" s="1"/>
  <c r="G990" i="11"/>
  <c r="P990" i="11" s="1"/>
  <c r="G989" i="11"/>
  <c r="P989" i="11" s="1"/>
  <c r="G988" i="11"/>
  <c r="P988" i="11" s="1"/>
  <c r="G987" i="11"/>
  <c r="P987" i="11" s="1"/>
  <c r="G986" i="11"/>
  <c r="P986" i="11" s="1"/>
  <c r="G985" i="11"/>
  <c r="P985" i="11" s="1"/>
  <c r="G984" i="11"/>
  <c r="P984" i="11" s="1"/>
  <c r="G983" i="11"/>
  <c r="P983" i="11" s="1"/>
  <c r="G982" i="11"/>
  <c r="P982" i="11" s="1"/>
  <c r="G981" i="11"/>
  <c r="P981" i="11" s="1"/>
  <c r="G980" i="11"/>
  <c r="P980" i="11" s="1"/>
  <c r="G979" i="11"/>
  <c r="P979" i="11" s="1"/>
  <c r="G978" i="11"/>
  <c r="P978" i="11" s="1"/>
  <c r="G977" i="11"/>
  <c r="P977" i="11" s="1"/>
  <c r="G976" i="11"/>
  <c r="P976" i="11" s="1"/>
  <c r="G975" i="11"/>
  <c r="P975" i="11" s="1"/>
  <c r="G974" i="11"/>
  <c r="P974" i="11" s="1"/>
  <c r="G973" i="11"/>
  <c r="P973" i="11" s="1"/>
  <c r="G972" i="11"/>
  <c r="P972" i="11" s="1"/>
  <c r="G971" i="11"/>
  <c r="P971" i="11" s="1"/>
  <c r="G970" i="11"/>
  <c r="P970" i="11" s="1"/>
  <c r="G969" i="11"/>
  <c r="P969" i="11" s="1"/>
  <c r="G968" i="11"/>
  <c r="P968" i="11" s="1"/>
  <c r="G967" i="11"/>
  <c r="P967" i="11" s="1"/>
  <c r="G966" i="11"/>
  <c r="P966" i="11" s="1"/>
  <c r="G965" i="11"/>
  <c r="P965" i="11" s="1"/>
  <c r="G964" i="11"/>
  <c r="P964" i="11" s="1"/>
  <c r="G963" i="11"/>
  <c r="P963" i="11" s="1"/>
  <c r="G962" i="11"/>
  <c r="P962" i="11" s="1"/>
  <c r="G961" i="11"/>
  <c r="P961" i="11" s="1"/>
  <c r="G960" i="11"/>
  <c r="P960" i="11" s="1"/>
  <c r="G959" i="11"/>
  <c r="P959" i="11" s="1"/>
  <c r="G958" i="11"/>
  <c r="P958" i="11" s="1"/>
  <c r="G957" i="11"/>
  <c r="P957" i="11" s="1"/>
  <c r="G956" i="11"/>
  <c r="P956" i="11" s="1"/>
  <c r="G955" i="11"/>
  <c r="P955" i="11" s="1"/>
  <c r="G954" i="11"/>
  <c r="P954" i="11" s="1"/>
  <c r="G953" i="11"/>
  <c r="P953" i="11" s="1"/>
  <c r="G952" i="11"/>
  <c r="P952" i="11" s="1"/>
  <c r="G951" i="11"/>
  <c r="P951" i="11" s="1"/>
  <c r="G950" i="11"/>
  <c r="P950" i="11" s="1"/>
  <c r="G949" i="11"/>
  <c r="P949" i="11" s="1"/>
  <c r="G948" i="11"/>
  <c r="P948" i="11" s="1"/>
  <c r="G947" i="11"/>
  <c r="P947" i="11" s="1"/>
  <c r="G946" i="11"/>
  <c r="P946" i="11" s="1"/>
  <c r="G945" i="11"/>
  <c r="P945" i="11" s="1"/>
  <c r="G944" i="11"/>
  <c r="P944" i="11" s="1"/>
  <c r="G943" i="11"/>
  <c r="P943" i="11" s="1"/>
  <c r="G942" i="11"/>
  <c r="P942" i="11" s="1"/>
  <c r="G941" i="11"/>
  <c r="P941" i="11" s="1"/>
  <c r="G940" i="11"/>
  <c r="P940" i="11" s="1"/>
  <c r="G939" i="11"/>
  <c r="P939" i="11" s="1"/>
  <c r="G938" i="11"/>
  <c r="P938" i="11" s="1"/>
  <c r="G937" i="11"/>
  <c r="P937" i="11" s="1"/>
  <c r="G936" i="11"/>
  <c r="P936" i="11" s="1"/>
  <c r="G935" i="11"/>
  <c r="P935" i="11" s="1"/>
  <c r="G934" i="11"/>
  <c r="P934" i="11" s="1"/>
  <c r="G933" i="11"/>
  <c r="P933" i="11" s="1"/>
  <c r="G932" i="11"/>
  <c r="P932" i="11" s="1"/>
  <c r="G931" i="11"/>
  <c r="P931" i="11" s="1"/>
  <c r="G930" i="11"/>
  <c r="P930" i="11" s="1"/>
  <c r="G929" i="11"/>
  <c r="P929" i="11" s="1"/>
  <c r="G928" i="11"/>
  <c r="P928" i="11" s="1"/>
  <c r="G927" i="11"/>
  <c r="P927" i="11" s="1"/>
  <c r="G926" i="11"/>
  <c r="P926" i="11" s="1"/>
  <c r="G925" i="11"/>
  <c r="P925" i="11" s="1"/>
  <c r="G924" i="11"/>
  <c r="P924" i="11" s="1"/>
  <c r="G923" i="11"/>
  <c r="P923" i="11" s="1"/>
  <c r="G922" i="11"/>
  <c r="P922" i="11" s="1"/>
  <c r="G921" i="11"/>
  <c r="P921" i="11" s="1"/>
  <c r="G920" i="11"/>
  <c r="P920" i="11" s="1"/>
  <c r="G919" i="11"/>
  <c r="P919" i="11" s="1"/>
  <c r="G918" i="11"/>
  <c r="P918" i="11" s="1"/>
  <c r="G917" i="11"/>
  <c r="P917" i="11" s="1"/>
  <c r="G916" i="11"/>
  <c r="P916" i="11" s="1"/>
  <c r="G915" i="11"/>
  <c r="P915" i="11" s="1"/>
  <c r="G914" i="11"/>
  <c r="P914" i="11" s="1"/>
  <c r="G913" i="11"/>
  <c r="P913" i="11" s="1"/>
  <c r="G912" i="11"/>
  <c r="P912" i="11" s="1"/>
  <c r="G911" i="11"/>
  <c r="P911" i="11" s="1"/>
  <c r="G910" i="11"/>
  <c r="P910" i="11" s="1"/>
  <c r="G909" i="11"/>
  <c r="P909" i="11" s="1"/>
  <c r="G908" i="11"/>
  <c r="P908" i="11" s="1"/>
  <c r="G907" i="11"/>
  <c r="P907" i="11" s="1"/>
  <c r="G906" i="11"/>
  <c r="P906" i="11" s="1"/>
  <c r="G905" i="11"/>
  <c r="P905" i="11" s="1"/>
  <c r="G904" i="11"/>
  <c r="P904" i="11" s="1"/>
  <c r="G903" i="11"/>
  <c r="P903" i="11" s="1"/>
  <c r="G902" i="11"/>
  <c r="P902" i="11" s="1"/>
  <c r="G901" i="11"/>
  <c r="P901" i="11" s="1"/>
  <c r="G900" i="11"/>
  <c r="P900" i="11" s="1"/>
  <c r="G899" i="11"/>
  <c r="P899" i="11" s="1"/>
  <c r="G898" i="11"/>
  <c r="P898" i="11" s="1"/>
  <c r="G897" i="11"/>
  <c r="P897" i="11" s="1"/>
  <c r="G896" i="11"/>
  <c r="P896" i="11" s="1"/>
  <c r="G895" i="11"/>
  <c r="P895" i="11" s="1"/>
  <c r="G894" i="11"/>
  <c r="P894" i="11" s="1"/>
  <c r="G893" i="11"/>
  <c r="P893" i="11" s="1"/>
  <c r="G892" i="11"/>
  <c r="P892" i="11" s="1"/>
  <c r="G891" i="11"/>
  <c r="P891" i="11" s="1"/>
  <c r="G890" i="11"/>
  <c r="P890" i="11" s="1"/>
  <c r="G889" i="11"/>
  <c r="P889" i="11" s="1"/>
  <c r="G888" i="11"/>
  <c r="P888" i="11" s="1"/>
  <c r="G887" i="11"/>
  <c r="P887" i="11" s="1"/>
  <c r="G886" i="11"/>
  <c r="P886" i="11" s="1"/>
  <c r="G885" i="11"/>
  <c r="P885" i="11" s="1"/>
  <c r="G884" i="11"/>
  <c r="P884" i="11" s="1"/>
  <c r="G883" i="11"/>
  <c r="P883" i="11" s="1"/>
  <c r="G882" i="11"/>
  <c r="P882" i="11" s="1"/>
  <c r="G881" i="11"/>
  <c r="P881" i="11" s="1"/>
  <c r="G880" i="11"/>
  <c r="P880" i="11" s="1"/>
  <c r="G879" i="11"/>
  <c r="P879" i="11" s="1"/>
  <c r="G878" i="11"/>
  <c r="P878" i="11" s="1"/>
  <c r="G877" i="11"/>
  <c r="P877" i="11" s="1"/>
  <c r="G876" i="11"/>
  <c r="P876" i="11" s="1"/>
  <c r="G875" i="11"/>
  <c r="P875" i="11" s="1"/>
  <c r="G874" i="11"/>
  <c r="P874" i="11" s="1"/>
  <c r="G873" i="11"/>
  <c r="P873" i="11" s="1"/>
  <c r="G872" i="11"/>
  <c r="P872" i="11" s="1"/>
  <c r="G871" i="11"/>
  <c r="P871" i="11" s="1"/>
  <c r="G870" i="11"/>
  <c r="P870" i="11" s="1"/>
  <c r="G869" i="11"/>
  <c r="P869" i="11" s="1"/>
  <c r="G868" i="11"/>
  <c r="P868" i="11" s="1"/>
  <c r="G867" i="11"/>
  <c r="P867" i="11" s="1"/>
  <c r="G866" i="11"/>
  <c r="P866" i="11" s="1"/>
  <c r="G865" i="11"/>
  <c r="P865" i="11" s="1"/>
  <c r="G864" i="11"/>
  <c r="P864" i="11" s="1"/>
  <c r="G863" i="11"/>
  <c r="P863" i="11" s="1"/>
  <c r="G862" i="11"/>
  <c r="P862" i="11" s="1"/>
  <c r="G861" i="11"/>
  <c r="P861" i="11" s="1"/>
  <c r="G860" i="11"/>
  <c r="P860" i="11" s="1"/>
  <c r="G859" i="11"/>
  <c r="P859" i="11" s="1"/>
  <c r="G858" i="11"/>
  <c r="P858" i="11" s="1"/>
  <c r="G857" i="11"/>
  <c r="P857" i="11" s="1"/>
  <c r="G856" i="11"/>
  <c r="P856" i="11" s="1"/>
  <c r="G855" i="11"/>
  <c r="P855" i="11" s="1"/>
  <c r="G854" i="11"/>
  <c r="P854" i="11" s="1"/>
  <c r="G853" i="11"/>
  <c r="P853" i="11" s="1"/>
  <c r="G852" i="11"/>
  <c r="P852" i="11" s="1"/>
  <c r="G851" i="11"/>
  <c r="P851" i="11" s="1"/>
  <c r="G850" i="11"/>
  <c r="P850" i="11" s="1"/>
  <c r="G849" i="11"/>
  <c r="P849" i="11" s="1"/>
  <c r="G848" i="11"/>
  <c r="P848" i="11" s="1"/>
  <c r="G847" i="11"/>
  <c r="P847" i="11" s="1"/>
  <c r="G846" i="11"/>
  <c r="P846" i="11" s="1"/>
  <c r="G845" i="11"/>
  <c r="P845" i="11" s="1"/>
  <c r="G844" i="11"/>
  <c r="P844" i="11" s="1"/>
  <c r="G843" i="11"/>
  <c r="P843" i="11" s="1"/>
  <c r="G842" i="11"/>
  <c r="P842" i="11" s="1"/>
  <c r="G841" i="11"/>
  <c r="P841" i="11" s="1"/>
  <c r="G840" i="11"/>
  <c r="P840" i="11" s="1"/>
  <c r="G839" i="11"/>
  <c r="P839" i="11" s="1"/>
  <c r="G838" i="11"/>
  <c r="P838" i="11" s="1"/>
  <c r="G837" i="11"/>
  <c r="P837" i="11" s="1"/>
  <c r="G836" i="11"/>
  <c r="P836" i="11" s="1"/>
  <c r="G835" i="11"/>
  <c r="P835" i="11" s="1"/>
  <c r="G834" i="11"/>
  <c r="P834" i="11" s="1"/>
  <c r="G833" i="11"/>
  <c r="P833" i="11" s="1"/>
  <c r="G832" i="11"/>
  <c r="P832" i="11" s="1"/>
  <c r="G831" i="11"/>
  <c r="P831" i="11" s="1"/>
  <c r="G830" i="11"/>
  <c r="P830" i="11" s="1"/>
  <c r="G829" i="11"/>
  <c r="P829" i="11" s="1"/>
  <c r="G828" i="11"/>
  <c r="P828" i="11" s="1"/>
  <c r="G827" i="11"/>
  <c r="P827" i="11" s="1"/>
  <c r="G826" i="11"/>
  <c r="P826" i="11" s="1"/>
  <c r="G825" i="11"/>
  <c r="P825" i="11" s="1"/>
  <c r="G824" i="11"/>
  <c r="P824" i="11" s="1"/>
  <c r="G823" i="11"/>
  <c r="P823" i="11" s="1"/>
  <c r="G822" i="11"/>
  <c r="P822" i="11" s="1"/>
  <c r="G821" i="11"/>
  <c r="P821" i="11" s="1"/>
  <c r="G820" i="11"/>
  <c r="P820" i="11" s="1"/>
  <c r="G819" i="11"/>
  <c r="P819" i="11" s="1"/>
  <c r="G818" i="11"/>
  <c r="P818" i="11" s="1"/>
  <c r="G817" i="11"/>
  <c r="P817" i="11" s="1"/>
  <c r="G816" i="11"/>
  <c r="P816" i="11" s="1"/>
  <c r="G815" i="11"/>
  <c r="P815" i="11" s="1"/>
  <c r="G814" i="11"/>
  <c r="P814" i="11" s="1"/>
  <c r="G813" i="11"/>
  <c r="P813" i="11" s="1"/>
  <c r="G812" i="11"/>
  <c r="P812" i="11" s="1"/>
  <c r="G811" i="11"/>
  <c r="P811" i="11" s="1"/>
  <c r="G810" i="11"/>
  <c r="P810" i="11" s="1"/>
  <c r="G809" i="11"/>
  <c r="P809" i="11" s="1"/>
  <c r="G808" i="11"/>
  <c r="P808" i="11" s="1"/>
  <c r="G807" i="11"/>
  <c r="P807" i="11" s="1"/>
  <c r="G806" i="11"/>
  <c r="P806" i="11" s="1"/>
  <c r="G805" i="11"/>
  <c r="P805" i="11" s="1"/>
  <c r="G804" i="11"/>
  <c r="P804" i="11" s="1"/>
  <c r="G803" i="11"/>
  <c r="P803" i="11" s="1"/>
  <c r="G802" i="11"/>
  <c r="P802" i="11" s="1"/>
  <c r="G801" i="11"/>
  <c r="P801" i="11" s="1"/>
  <c r="G800" i="11"/>
  <c r="P800" i="11" s="1"/>
  <c r="G799" i="11"/>
  <c r="P799" i="11" s="1"/>
  <c r="G798" i="11"/>
  <c r="P798" i="11" s="1"/>
  <c r="G797" i="11"/>
  <c r="P797" i="11" s="1"/>
  <c r="G796" i="11"/>
  <c r="P796" i="11" s="1"/>
  <c r="G795" i="11"/>
  <c r="P795" i="11" s="1"/>
  <c r="G794" i="11"/>
  <c r="P794" i="11" s="1"/>
  <c r="G793" i="11"/>
  <c r="P793" i="11" s="1"/>
  <c r="G792" i="11"/>
  <c r="P792" i="11" s="1"/>
  <c r="G791" i="11"/>
  <c r="P791" i="11" s="1"/>
  <c r="G790" i="11"/>
  <c r="P790" i="11" s="1"/>
  <c r="G789" i="11"/>
  <c r="P789" i="11" s="1"/>
  <c r="G788" i="11"/>
  <c r="P788" i="11" s="1"/>
  <c r="G787" i="11"/>
  <c r="P787" i="11" s="1"/>
  <c r="G786" i="11"/>
  <c r="P786" i="11" s="1"/>
  <c r="G785" i="11"/>
  <c r="P785" i="11" s="1"/>
  <c r="G784" i="11"/>
  <c r="P784" i="11" s="1"/>
  <c r="G783" i="11"/>
  <c r="P783" i="11" s="1"/>
  <c r="G782" i="11"/>
  <c r="P782" i="11" s="1"/>
  <c r="G781" i="11"/>
  <c r="P781" i="11" s="1"/>
  <c r="G780" i="11"/>
  <c r="P780" i="11" s="1"/>
  <c r="G779" i="11"/>
  <c r="P779" i="11" s="1"/>
  <c r="G778" i="11"/>
  <c r="P778" i="11" s="1"/>
  <c r="G777" i="11"/>
  <c r="P777" i="11" s="1"/>
  <c r="G776" i="11"/>
  <c r="P776" i="11" s="1"/>
  <c r="G775" i="11"/>
  <c r="P775" i="11" s="1"/>
  <c r="G774" i="11"/>
  <c r="P774" i="11" s="1"/>
  <c r="G773" i="11"/>
  <c r="P773" i="11" s="1"/>
  <c r="G772" i="11"/>
  <c r="P772" i="11" s="1"/>
  <c r="G771" i="11"/>
  <c r="P771" i="11" s="1"/>
  <c r="G770" i="11"/>
  <c r="P770" i="11" s="1"/>
  <c r="G769" i="11"/>
  <c r="P769" i="11" s="1"/>
  <c r="G768" i="11"/>
  <c r="P768" i="11" s="1"/>
  <c r="G767" i="11"/>
  <c r="P767" i="11" s="1"/>
  <c r="G766" i="11"/>
  <c r="P766" i="11" s="1"/>
  <c r="G765" i="11"/>
  <c r="P765" i="11" s="1"/>
  <c r="G764" i="11"/>
  <c r="P764" i="11" s="1"/>
  <c r="G763" i="11"/>
  <c r="P763" i="11" s="1"/>
  <c r="G762" i="11"/>
  <c r="P762" i="11" s="1"/>
  <c r="G761" i="11"/>
  <c r="P761" i="11" s="1"/>
  <c r="G760" i="11"/>
  <c r="P760" i="11" s="1"/>
  <c r="G759" i="11"/>
  <c r="P759" i="11" s="1"/>
  <c r="G758" i="11"/>
  <c r="P758" i="11" s="1"/>
  <c r="G757" i="11"/>
  <c r="P757" i="11" s="1"/>
  <c r="G756" i="11"/>
  <c r="P756" i="11" s="1"/>
  <c r="G755" i="11"/>
  <c r="P755" i="11" s="1"/>
  <c r="G754" i="11"/>
  <c r="P754" i="11" s="1"/>
  <c r="G753" i="11"/>
  <c r="P753" i="11" s="1"/>
  <c r="G752" i="11"/>
  <c r="P752" i="11" s="1"/>
  <c r="G751" i="11"/>
  <c r="P751" i="11" s="1"/>
  <c r="G750" i="11"/>
  <c r="P750" i="11" s="1"/>
  <c r="G749" i="11"/>
  <c r="P749" i="11" s="1"/>
  <c r="G748" i="11"/>
  <c r="P748" i="11" s="1"/>
  <c r="G747" i="11"/>
  <c r="P747" i="11" s="1"/>
  <c r="G746" i="11"/>
  <c r="P746" i="11" s="1"/>
  <c r="G745" i="11"/>
  <c r="P745" i="11" s="1"/>
  <c r="G744" i="11"/>
  <c r="P744" i="11" s="1"/>
  <c r="G743" i="11"/>
  <c r="P743" i="11" s="1"/>
  <c r="G742" i="11"/>
  <c r="P742" i="11" s="1"/>
  <c r="G741" i="11"/>
  <c r="P741" i="11" s="1"/>
  <c r="G740" i="11"/>
  <c r="P740" i="11" s="1"/>
  <c r="G739" i="11"/>
  <c r="P739" i="11" s="1"/>
  <c r="G738" i="11"/>
  <c r="P738" i="11" s="1"/>
  <c r="G737" i="11"/>
  <c r="P737" i="11" s="1"/>
  <c r="G736" i="11"/>
  <c r="P736" i="11" s="1"/>
  <c r="G735" i="11"/>
  <c r="P735" i="11" s="1"/>
  <c r="G734" i="11"/>
  <c r="P734" i="11" s="1"/>
  <c r="G733" i="11"/>
  <c r="P733" i="11" s="1"/>
  <c r="G732" i="11"/>
  <c r="P732" i="11" s="1"/>
  <c r="G731" i="11"/>
  <c r="P731" i="11" s="1"/>
  <c r="G730" i="11"/>
  <c r="P730" i="11" s="1"/>
  <c r="G729" i="11"/>
  <c r="P729" i="11" s="1"/>
  <c r="G728" i="11"/>
  <c r="P728" i="11" s="1"/>
  <c r="G727" i="11"/>
  <c r="P727" i="11" s="1"/>
  <c r="G726" i="11"/>
  <c r="P726" i="11" s="1"/>
  <c r="G725" i="11"/>
  <c r="P725" i="11" s="1"/>
  <c r="G724" i="11"/>
  <c r="P724" i="11" s="1"/>
  <c r="G723" i="11"/>
  <c r="P723" i="11" s="1"/>
  <c r="G722" i="11"/>
  <c r="P722" i="11" s="1"/>
  <c r="G721" i="11"/>
  <c r="P721" i="11" s="1"/>
  <c r="G720" i="11"/>
  <c r="P720" i="11" s="1"/>
  <c r="G719" i="11"/>
  <c r="P719" i="11" s="1"/>
  <c r="G718" i="11"/>
  <c r="P718" i="11" s="1"/>
  <c r="G717" i="11"/>
  <c r="P717" i="11" s="1"/>
  <c r="G716" i="11"/>
  <c r="P716" i="11" s="1"/>
  <c r="G715" i="11"/>
  <c r="P715" i="11" s="1"/>
  <c r="G714" i="11"/>
  <c r="P714" i="11" s="1"/>
  <c r="G713" i="11"/>
  <c r="P713" i="11" s="1"/>
  <c r="G712" i="11"/>
  <c r="P712" i="11" s="1"/>
  <c r="G711" i="11"/>
  <c r="P711" i="11" s="1"/>
  <c r="G710" i="11"/>
  <c r="P710" i="11" s="1"/>
  <c r="G709" i="11"/>
  <c r="P709" i="11" s="1"/>
  <c r="G708" i="11"/>
  <c r="P708" i="11" s="1"/>
  <c r="G707" i="11"/>
  <c r="P707" i="11" s="1"/>
  <c r="G706" i="11"/>
  <c r="P706" i="11" s="1"/>
  <c r="G705" i="11"/>
  <c r="P705" i="11" s="1"/>
  <c r="G704" i="11"/>
  <c r="P704" i="11" s="1"/>
  <c r="G703" i="11"/>
  <c r="P703" i="11" s="1"/>
  <c r="G702" i="11"/>
  <c r="P702" i="11" s="1"/>
  <c r="G701" i="11"/>
  <c r="P701" i="11" s="1"/>
  <c r="G700" i="11"/>
  <c r="P700" i="11" s="1"/>
  <c r="G699" i="11"/>
  <c r="P699" i="11" s="1"/>
  <c r="G698" i="11"/>
  <c r="P698" i="11" s="1"/>
  <c r="G697" i="11"/>
  <c r="P697" i="11" s="1"/>
  <c r="G696" i="11"/>
  <c r="P696" i="11" s="1"/>
  <c r="G695" i="11"/>
  <c r="P695" i="11" s="1"/>
  <c r="G694" i="11"/>
  <c r="P694" i="11" s="1"/>
  <c r="G693" i="11"/>
  <c r="P693" i="11" s="1"/>
  <c r="G692" i="11"/>
  <c r="P692" i="11" s="1"/>
  <c r="G691" i="11"/>
  <c r="P691" i="11" s="1"/>
  <c r="G690" i="11"/>
  <c r="P690" i="11" s="1"/>
  <c r="G689" i="11"/>
  <c r="P689" i="11" s="1"/>
  <c r="G688" i="11"/>
  <c r="P688" i="11" s="1"/>
  <c r="G687" i="11"/>
  <c r="P687" i="11" s="1"/>
  <c r="G686" i="11"/>
  <c r="P686" i="11" s="1"/>
  <c r="G685" i="11"/>
  <c r="P685" i="11" s="1"/>
  <c r="G684" i="11"/>
  <c r="P684" i="11" s="1"/>
  <c r="G683" i="11"/>
  <c r="P683" i="11" s="1"/>
  <c r="G682" i="11"/>
  <c r="P682" i="11" s="1"/>
  <c r="G681" i="11"/>
  <c r="P681" i="11" s="1"/>
  <c r="G680" i="11"/>
  <c r="P680" i="11" s="1"/>
  <c r="G679" i="11"/>
  <c r="P679" i="11" s="1"/>
  <c r="G678" i="11"/>
  <c r="P678" i="11" s="1"/>
  <c r="G677" i="11"/>
  <c r="P677" i="11" s="1"/>
  <c r="G676" i="11"/>
  <c r="P676" i="11" s="1"/>
  <c r="G675" i="11"/>
  <c r="P675" i="11" s="1"/>
  <c r="G674" i="11"/>
  <c r="P674" i="11" s="1"/>
  <c r="G673" i="11"/>
  <c r="P673" i="11" s="1"/>
  <c r="G672" i="11"/>
  <c r="P672" i="11" s="1"/>
  <c r="G671" i="11"/>
  <c r="P671" i="11" s="1"/>
  <c r="G670" i="11"/>
  <c r="P670" i="11" s="1"/>
  <c r="G669" i="11"/>
  <c r="P669" i="11" s="1"/>
  <c r="G668" i="11"/>
  <c r="P668" i="11" s="1"/>
  <c r="G667" i="11"/>
  <c r="P667" i="11" s="1"/>
  <c r="G666" i="11"/>
  <c r="P666" i="11" s="1"/>
  <c r="G665" i="11"/>
  <c r="P665" i="11" s="1"/>
  <c r="G664" i="11"/>
  <c r="P664" i="11" s="1"/>
  <c r="G663" i="11"/>
  <c r="P663" i="11" s="1"/>
  <c r="G662" i="11"/>
  <c r="P662" i="11" s="1"/>
  <c r="G661" i="11"/>
  <c r="P661" i="11" s="1"/>
  <c r="G660" i="11"/>
  <c r="P660" i="11" s="1"/>
  <c r="G659" i="11"/>
  <c r="P659" i="11" s="1"/>
  <c r="G658" i="11"/>
  <c r="P658" i="11" s="1"/>
  <c r="G657" i="11"/>
  <c r="P657" i="11" s="1"/>
  <c r="G656" i="11"/>
  <c r="P656" i="11" s="1"/>
  <c r="G655" i="11"/>
  <c r="P655" i="11" s="1"/>
  <c r="G654" i="11"/>
  <c r="P654" i="11" s="1"/>
  <c r="G653" i="11"/>
  <c r="P653" i="11" s="1"/>
  <c r="G652" i="11"/>
  <c r="P652" i="11" s="1"/>
  <c r="G651" i="11"/>
  <c r="P651" i="11" s="1"/>
  <c r="G650" i="11"/>
  <c r="P650" i="11" s="1"/>
  <c r="G649" i="11"/>
  <c r="P649" i="11" s="1"/>
  <c r="G648" i="11"/>
  <c r="P648" i="11" s="1"/>
  <c r="G647" i="11"/>
  <c r="P647" i="11" s="1"/>
  <c r="G646" i="11"/>
  <c r="P646" i="11" s="1"/>
  <c r="G645" i="11"/>
  <c r="P645" i="11" s="1"/>
  <c r="G644" i="11"/>
  <c r="P644" i="11" s="1"/>
  <c r="G643" i="11"/>
  <c r="P643" i="11" s="1"/>
  <c r="G642" i="11"/>
  <c r="P642" i="11" s="1"/>
  <c r="G641" i="11"/>
  <c r="P641" i="11" s="1"/>
  <c r="G640" i="11"/>
  <c r="P640" i="11" s="1"/>
  <c r="G639" i="11"/>
  <c r="P639" i="11" s="1"/>
  <c r="G638" i="11"/>
  <c r="P638" i="11" s="1"/>
  <c r="G637" i="11"/>
  <c r="P637" i="11" s="1"/>
  <c r="G636" i="11"/>
  <c r="P636" i="11" s="1"/>
  <c r="G635" i="11"/>
  <c r="P635" i="11" s="1"/>
  <c r="G634" i="11"/>
  <c r="P634" i="11" s="1"/>
  <c r="G633" i="11"/>
  <c r="P633" i="11" s="1"/>
  <c r="G632" i="11"/>
  <c r="P632" i="11" s="1"/>
  <c r="G631" i="11"/>
  <c r="P631" i="11" s="1"/>
  <c r="G630" i="11"/>
  <c r="P630" i="11" s="1"/>
  <c r="G629" i="11"/>
  <c r="P629" i="11" s="1"/>
  <c r="G628" i="11"/>
  <c r="P628" i="11" s="1"/>
  <c r="G627" i="11"/>
  <c r="P627" i="11" s="1"/>
  <c r="G626" i="11"/>
  <c r="P626" i="11" s="1"/>
  <c r="G625" i="11"/>
  <c r="P625" i="11" s="1"/>
  <c r="G624" i="11"/>
  <c r="P624" i="11" s="1"/>
  <c r="G623" i="11"/>
  <c r="P623" i="11" s="1"/>
  <c r="G622" i="11"/>
  <c r="P622" i="11" s="1"/>
  <c r="G621" i="11"/>
  <c r="P621" i="11" s="1"/>
  <c r="G620" i="11"/>
  <c r="P620" i="11" s="1"/>
  <c r="G619" i="11"/>
  <c r="P619" i="11" s="1"/>
  <c r="G618" i="11"/>
  <c r="P618" i="11" s="1"/>
  <c r="G617" i="11"/>
  <c r="P617" i="11" s="1"/>
  <c r="G616" i="11"/>
  <c r="P616" i="11" s="1"/>
  <c r="G615" i="11"/>
  <c r="P615" i="11" s="1"/>
  <c r="G614" i="11"/>
  <c r="P614" i="11" s="1"/>
  <c r="G613" i="11"/>
  <c r="P613" i="11" s="1"/>
  <c r="G612" i="11"/>
  <c r="P612" i="11" s="1"/>
  <c r="G611" i="11"/>
  <c r="P611" i="11" s="1"/>
  <c r="G610" i="11"/>
  <c r="P610" i="11" s="1"/>
  <c r="G609" i="11"/>
  <c r="P609" i="11" s="1"/>
  <c r="G608" i="11"/>
  <c r="P608" i="11" s="1"/>
  <c r="G607" i="11"/>
  <c r="P607" i="11" s="1"/>
  <c r="G606" i="11"/>
  <c r="P606" i="11" s="1"/>
  <c r="G605" i="11"/>
  <c r="P605" i="11" s="1"/>
  <c r="G604" i="11"/>
  <c r="P604" i="11" s="1"/>
  <c r="G603" i="11"/>
  <c r="P603" i="11" s="1"/>
  <c r="G602" i="11"/>
  <c r="P602" i="11" s="1"/>
  <c r="G601" i="11"/>
  <c r="P601" i="11" s="1"/>
  <c r="G600" i="11"/>
  <c r="P600" i="11" s="1"/>
  <c r="G599" i="11"/>
  <c r="P599" i="11" s="1"/>
  <c r="G598" i="11"/>
  <c r="P598" i="11" s="1"/>
  <c r="G597" i="11"/>
  <c r="P597" i="11" s="1"/>
  <c r="G596" i="11"/>
  <c r="P596" i="11" s="1"/>
  <c r="G595" i="11"/>
  <c r="P595" i="11" s="1"/>
  <c r="G594" i="11"/>
  <c r="P594" i="11" s="1"/>
  <c r="G593" i="11"/>
  <c r="P593" i="11" s="1"/>
  <c r="G592" i="11"/>
  <c r="P592" i="11" s="1"/>
  <c r="G591" i="11"/>
  <c r="P591" i="11" s="1"/>
  <c r="G590" i="11"/>
  <c r="P590" i="11" s="1"/>
  <c r="G589" i="11"/>
  <c r="P589" i="11" s="1"/>
  <c r="G588" i="11"/>
  <c r="P588" i="11" s="1"/>
  <c r="G587" i="11"/>
  <c r="P587" i="11" s="1"/>
  <c r="G586" i="11"/>
  <c r="P586" i="11" s="1"/>
  <c r="G585" i="11"/>
  <c r="P585" i="11" s="1"/>
  <c r="G584" i="11"/>
  <c r="P584" i="11" s="1"/>
  <c r="G583" i="11"/>
  <c r="P583" i="11" s="1"/>
  <c r="G582" i="11"/>
  <c r="P582" i="11" s="1"/>
  <c r="G581" i="11"/>
  <c r="P581" i="11" s="1"/>
  <c r="G580" i="11"/>
  <c r="P580" i="11" s="1"/>
  <c r="G579" i="11"/>
  <c r="P579" i="11" s="1"/>
  <c r="G578" i="11"/>
  <c r="P578" i="11" s="1"/>
  <c r="G577" i="11"/>
  <c r="P577" i="11" s="1"/>
  <c r="G576" i="11"/>
  <c r="P576" i="11" s="1"/>
  <c r="G575" i="11"/>
  <c r="P575" i="11" s="1"/>
  <c r="G574" i="11"/>
  <c r="P574" i="11" s="1"/>
  <c r="G573" i="11"/>
  <c r="P573" i="11" s="1"/>
  <c r="G572" i="11"/>
  <c r="P572" i="11" s="1"/>
  <c r="G571" i="11"/>
  <c r="P571" i="11" s="1"/>
  <c r="G570" i="11"/>
  <c r="P570" i="11" s="1"/>
  <c r="G569" i="11"/>
  <c r="P569" i="11" s="1"/>
  <c r="G568" i="11"/>
  <c r="P568" i="11" s="1"/>
  <c r="G567" i="11"/>
  <c r="P567" i="11" s="1"/>
  <c r="G566" i="11"/>
  <c r="P566" i="11" s="1"/>
  <c r="G565" i="11"/>
  <c r="P565" i="11" s="1"/>
  <c r="G564" i="11"/>
  <c r="P564" i="11" s="1"/>
  <c r="G563" i="11"/>
  <c r="P563" i="11" s="1"/>
  <c r="G562" i="11"/>
  <c r="P562" i="11" s="1"/>
  <c r="G561" i="11"/>
  <c r="P561" i="11" s="1"/>
  <c r="G560" i="11"/>
  <c r="P560" i="11" s="1"/>
  <c r="G559" i="11"/>
  <c r="P559" i="11" s="1"/>
  <c r="G558" i="11"/>
  <c r="P558" i="11" s="1"/>
  <c r="G557" i="11"/>
  <c r="P557" i="11" s="1"/>
  <c r="G556" i="11"/>
  <c r="P556" i="11" s="1"/>
  <c r="G555" i="11"/>
  <c r="P555" i="11" s="1"/>
  <c r="G554" i="11"/>
  <c r="P554" i="11" s="1"/>
  <c r="G553" i="11"/>
  <c r="P553" i="11" s="1"/>
  <c r="G552" i="11"/>
  <c r="P552" i="11" s="1"/>
  <c r="G551" i="11"/>
  <c r="P551" i="11" s="1"/>
  <c r="G550" i="11"/>
  <c r="P550" i="11" s="1"/>
  <c r="G549" i="11"/>
  <c r="P549" i="11" s="1"/>
  <c r="G548" i="11"/>
  <c r="P548" i="11" s="1"/>
  <c r="G547" i="11"/>
  <c r="P547" i="11" s="1"/>
  <c r="G546" i="11"/>
  <c r="P546" i="11" s="1"/>
  <c r="G545" i="11"/>
  <c r="P545" i="11" s="1"/>
  <c r="G544" i="11"/>
  <c r="P544" i="11" s="1"/>
  <c r="G543" i="11"/>
  <c r="P543" i="11" s="1"/>
  <c r="G542" i="11"/>
  <c r="P542" i="11" s="1"/>
  <c r="G541" i="11"/>
  <c r="P541" i="11" s="1"/>
  <c r="G540" i="11"/>
  <c r="P540" i="11" s="1"/>
  <c r="G539" i="11"/>
  <c r="P539" i="11" s="1"/>
  <c r="G538" i="11"/>
  <c r="P538" i="11" s="1"/>
  <c r="G537" i="11"/>
  <c r="P537" i="11" s="1"/>
  <c r="G536" i="11"/>
  <c r="P536" i="11" s="1"/>
  <c r="G535" i="11"/>
  <c r="P535" i="11" s="1"/>
  <c r="G534" i="11"/>
  <c r="P534" i="11" s="1"/>
  <c r="G533" i="11"/>
  <c r="P533" i="11" s="1"/>
  <c r="G532" i="11"/>
  <c r="P532" i="11" s="1"/>
  <c r="G531" i="11"/>
  <c r="P531" i="11" s="1"/>
  <c r="G530" i="11"/>
  <c r="P530" i="11" s="1"/>
  <c r="G529" i="11"/>
  <c r="P529" i="11" s="1"/>
  <c r="G528" i="11"/>
  <c r="P528" i="11" s="1"/>
  <c r="G527" i="11"/>
  <c r="P527" i="11" s="1"/>
  <c r="G526" i="11"/>
  <c r="P526" i="11" s="1"/>
  <c r="G525" i="11"/>
  <c r="P525" i="11" s="1"/>
  <c r="G524" i="11"/>
  <c r="P524" i="11" s="1"/>
  <c r="G523" i="11"/>
  <c r="P523" i="11" s="1"/>
  <c r="G522" i="11"/>
  <c r="P522" i="11" s="1"/>
  <c r="G521" i="11"/>
  <c r="P521" i="11" s="1"/>
  <c r="G520" i="11"/>
  <c r="P520" i="11" s="1"/>
  <c r="G519" i="11"/>
  <c r="P519" i="11" s="1"/>
  <c r="G518" i="11"/>
  <c r="P518" i="11" s="1"/>
  <c r="G517" i="11"/>
  <c r="P517" i="11" s="1"/>
  <c r="G516" i="11"/>
  <c r="P516" i="11" s="1"/>
  <c r="G515" i="11"/>
  <c r="P515" i="11" s="1"/>
  <c r="G514" i="11"/>
  <c r="P514" i="11" s="1"/>
  <c r="G513" i="11"/>
  <c r="P513" i="11" s="1"/>
  <c r="G512" i="11"/>
  <c r="P512" i="11" s="1"/>
  <c r="G511" i="11"/>
  <c r="P511" i="11" s="1"/>
  <c r="G510" i="11"/>
  <c r="P510" i="11" s="1"/>
  <c r="G509" i="11"/>
  <c r="P509" i="11" s="1"/>
  <c r="G508" i="11"/>
  <c r="P508" i="11" s="1"/>
  <c r="G507" i="11"/>
  <c r="P507" i="11" s="1"/>
  <c r="G506" i="11"/>
  <c r="P506" i="11" s="1"/>
  <c r="G505" i="11"/>
  <c r="P505" i="11" s="1"/>
  <c r="G504" i="11"/>
  <c r="P504" i="11" s="1"/>
  <c r="G503" i="11"/>
  <c r="P503" i="11" s="1"/>
  <c r="G502" i="11"/>
  <c r="P502" i="11" s="1"/>
  <c r="G501" i="11"/>
  <c r="P501" i="11" s="1"/>
  <c r="G500" i="11"/>
  <c r="P500" i="11" s="1"/>
  <c r="G499" i="11"/>
  <c r="P499" i="11" s="1"/>
  <c r="G498" i="11"/>
  <c r="P498" i="11" s="1"/>
  <c r="G497" i="11"/>
  <c r="P497" i="11" s="1"/>
  <c r="G496" i="11"/>
  <c r="P496" i="11" s="1"/>
  <c r="G495" i="11"/>
  <c r="P495" i="11" s="1"/>
  <c r="G494" i="11"/>
  <c r="P494" i="11" s="1"/>
  <c r="G493" i="11"/>
  <c r="P493" i="11" s="1"/>
  <c r="G492" i="11"/>
  <c r="P492" i="11" s="1"/>
  <c r="G491" i="11"/>
  <c r="P491" i="11" s="1"/>
  <c r="G490" i="11"/>
  <c r="P490" i="11" s="1"/>
  <c r="G489" i="11"/>
  <c r="P489" i="11" s="1"/>
  <c r="G488" i="11"/>
  <c r="P488" i="11" s="1"/>
  <c r="G487" i="11"/>
  <c r="P487" i="11" s="1"/>
  <c r="G486" i="11"/>
  <c r="P486" i="11" s="1"/>
  <c r="G485" i="11"/>
  <c r="P485" i="11" s="1"/>
  <c r="G484" i="11"/>
  <c r="P484" i="11" s="1"/>
  <c r="G483" i="11"/>
  <c r="P483" i="11" s="1"/>
  <c r="G482" i="11"/>
  <c r="P482" i="11" s="1"/>
  <c r="G481" i="11"/>
  <c r="P481" i="11" s="1"/>
  <c r="G480" i="11"/>
  <c r="P480" i="11" s="1"/>
  <c r="G479" i="11"/>
  <c r="P479" i="11" s="1"/>
  <c r="G478" i="11"/>
  <c r="P478" i="11" s="1"/>
  <c r="G477" i="11"/>
  <c r="P477" i="11" s="1"/>
  <c r="G476" i="11"/>
  <c r="P476" i="11" s="1"/>
  <c r="G475" i="11"/>
  <c r="P475" i="11" s="1"/>
  <c r="G474" i="11"/>
  <c r="P474" i="11" s="1"/>
  <c r="G473" i="11"/>
  <c r="P473" i="11" s="1"/>
  <c r="G472" i="11"/>
  <c r="P472" i="11" s="1"/>
  <c r="G471" i="11"/>
  <c r="P471" i="11" s="1"/>
  <c r="G470" i="11"/>
  <c r="P470" i="11" s="1"/>
  <c r="G469" i="11"/>
  <c r="P469" i="11" s="1"/>
  <c r="G468" i="11"/>
  <c r="P468" i="11" s="1"/>
  <c r="G467" i="11"/>
  <c r="P467" i="11" s="1"/>
  <c r="G466" i="11"/>
  <c r="P466" i="11" s="1"/>
  <c r="G465" i="11"/>
  <c r="P465" i="11" s="1"/>
  <c r="G464" i="11"/>
  <c r="P464" i="11" s="1"/>
  <c r="G463" i="11"/>
  <c r="P463" i="11" s="1"/>
  <c r="G462" i="11"/>
  <c r="P462" i="11" s="1"/>
  <c r="G461" i="11"/>
  <c r="P461" i="11" s="1"/>
  <c r="G460" i="11"/>
  <c r="P460" i="11" s="1"/>
  <c r="G459" i="11"/>
  <c r="P459" i="11" s="1"/>
  <c r="G458" i="11"/>
  <c r="P458" i="11" s="1"/>
  <c r="G457" i="11"/>
  <c r="P457" i="11" s="1"/>
  <c r="G456" i="11"/>
  <c r="P456" i="11" s="1"/>
  <c r="G455" i="11"/>
  <c r="P455" i="11" s="1"/>
  <c r="G454" i="11"/>
  <c r="P454" i="11" s="1"/>
  <c r="G453" i="11"/>
  <c r="P453" i="11" s="1"/>
  <c r="G452" i="11"/>
  <c r="P452" i="11" s="1"/>
  <c r="G451" i="11"/>
  <c r="P451" i="11" s="1"/>
  <c r="G450" i="11"/>
  <c r="P450" i="11" s="1"/>
  <c r="G449" i="11"/>
  <c r="P449" i="11" s="1"/>
  <c r="G448" i="11"/>
  <c r="P448" i="11" s="1"/>
  <c r="G447" i="11"/>
  <c r="P447" i="11" s="1"/>
  <c r="G446" i="11"/>
  <c r="P446" i="11" s="1"/>
  <c r="G445" i="11"/>
  <c r="P445" i="11" s="1"/>
  <c r="G444" i="11"/>
  <c r="P444" i="11" s="1"/>
  <c r="G443" i="11"/>
  <c r="P443" i="11" s="1"/>
  <c r="G442" i="11"/>
  <c r="P442" i="11" s="1"/>
  <c r="G441" i="11"/>
  <c r="P441" i="11" s="1"/>
  <c r="G440" i="11"/>
  <c r="P440" i="11" s="1"/>
  <c r="G439" i="11"/>
  <c r="P439" i="11" s="1"/>
  <c r="G438" i="11"/>
  <c r="P438" i="11" s="1"/>
  <c r="G437" i="11"/>
  <c r="P437" i="11" s="1"/>
  <c r="G436" i="11"/>
  <c r="P436" i="11" s="1"/>
  <c r="G435" i="11"/>
  <c r="P435" i="11" s="1"/>
  <c r="G434" i="11"/>
  <c r="P434" i="11" s="1"/>
  <c r="G433" i="11"/>
  <c r="P433" i="11" s="1"/>
  <c r="G432" i="11"/>
  <c r="P432" i="11" s="1"/>
  <c r="G431" i="11"/>
  <c r="P431" i="11" s="1"/>
  <c r="G430" i="11"/>
  <c r="P430" i="11" s="1"/>
  <c r="G429" i="11"/>
  <c r="P429" i="11" s="1"/>
  <c r="G428" i="11"/>
  <c r="P428" i="11" s="1"/>
  <c r="G427" i="11"/>
  <c r="P427" i="11" s="1"/>
  <c r="G426" i="11"/>
  <c r="P426" i="11" s="1"/>
  <c r="G425" i="11"/>
  <c r="P425" i="11" s="1"/>
  <c r="G424" i="11"/>
  <c r="P424" i="11" s="1"/>
  <c r="G423" i="11"/>
  <c r="P423" i="11" s="1"/>
  <c r="G422" i="11"/>
  <c r="P422" i="11" s="1"/>
  <c r="G421" i="11"/>
  <c r="P421" i="11" s="1"/>
  <c r="G420" i="11"/>
  <c r="P420" i="11" s="1"/>
  <c r="G419" i="11"/>
  <c r="P419" i="11" s="1"/>
  <c r="G418" i="11"/>
  <c r="P418" i="11" s="1"/>
  <c r="G417" i="11"/>
  <c r="P417" i="11" s="1"/>
  <c r="G416" i="11"/>
  <c r="P416" i="11" s="1"/>
  <c r="G415" i="11"/>
  <c r="P415" i="11" s="1"/>
  <c r="G414" i="11"/>
  <c r="P414" i="11" s="1"/>
  <c r="G413" i="11"/>
  <c r="P413" i="11" s="1"/>
  <c r="G412" i="11"/>
  <c r="P412" i="11" s="1"/>
  <c r="G411" i="11"/>
  <c r="P411" i="11" s="1"/>
  <c r="G410" i="11"/>
  <c r="P410" i="11" s="1"/>
  <c r="G409" i="11"/>
  <c r="P409" i="11" s="1"/>
  <c r="G408" i="11"/>
  <c r="P408" i="11" s="1"/>
  <c r="G407" i="11"/>
  <c r="P407" i="11" s="1"/>
  <c r="G406" i="11"/>
  <c r="P406" i="11" s="1"/>
  <c r="G405" i="11"/>
  <c r="P405" i="11" s="1"/>
  <c r="G404" i="11"/>
  <c r="P404" i="11" s="1"/>
  <c r="G403" i="11"/>
  <c r="P403" i="11" s="1"/>
  <c r="G402" i="11"/>
  <c r="P402" i="11" s="1"/>
  <c r="G401" i="11"/>
  <c r="P401" i="11" s="1"/>
  <c r="G400" i="11"/>
  <c r="P400" i="11" s="1"/>
  <c r="G399" i="11"/>
  <c r="P399" i="11" s="1"/>
  <c r="G398" i="11"/>
  <c r="P398" i="11" s="1"/>
  <c r="G397" i="11"/>
  <c r="P397" i="11" s="1"/>
  <c r="G396" i="11"/>
  <c r="P396" i="11" s="1"/>
  <c r="G395" i="11"/>
  <c r="P395" i="11" s="1"/>
  <c r="G394" i="11"/>
  <c r="P394" i="11" s="1"/>
  <c r="G393" i="11"/>
  <c r="P393" i="11" s="1"/>
  <c r="G392" i="11"/>
  <c r="P392" i="11" s="1"/>
  <c r="G391" i="11"/>
  <c r="P391" i="11" s="1"/>
  <c r="G390" i="11"/>
  <c r="P390" i="11" s="1"/>
  <c r="G389" i="11"/>
  <c r="P389" i="11" s="1"/>
  <c r="G388" i="11"/>
  <c r="P388" i="11" s="1"/>
  <c r="G387" i="11"/>
  <c r="P387" i="11" s="1"/>
  <c r="G386" i="11"/>
  <c r="P386" i="11" s="1"/>
  <c r="G385" i="11"/>
  <c r="P385" i="11" s="1"/>
  <c r="G384" i="11"/>
  <c r="P384" i="11" s="1"/>
  <c r="G383" i="11"/>
  <c r="P383" i="11" s="1"/>
  <c r="G382" i="11"/>
  <c r="P382" i="11" s="1"/>
  <c r="G381" i="11"/>
  <c r="P381" i="11" s="1"/>
  <c r="G380" i="11"/>
  <c r="P380" i="11" s="1"/>
  <c r="G379" i="11"/>
  <c r="P379" i="11" s="1"/>
  <c r="G378" i="11"/>
  <c r="P378" i="11" s="1"/>
  <c r="G377" i="11"/>
  <c r="P377" i="11" s="1"/>
  <c r="G376" i="11"/>
  <c r="P376" i="11" s="1"/>
  <c r="G375" i="11"/>
  <c r="P375" i="11" s="1"/>
  <c r="G374" i="11"/>
  <c r="P374" i="11" s="1"/>
  <c r="G373" i="11"/>
  <c r="P373" i="11" s="1"/>
  <c r="G372" i="11"/>
  <c r="P372" i="11" s="1"/>
  <c r="G371" i="11"/>
  <c r="P371" i="11" s="1"/>
  <c r="G370" i="11"/>
  <c r="P370" i="11" s="1"/>
  <c r="G369" i="11"/>
  <c r="P369" i="11" s="1"/>
  <c r="G368" i="11"/>
  <c r="P368" i="11" s="1"/>
  <c r="G367" i="11"/>
  <c r="P367" i="11" s="1"/>
  <c r="G366" i="11"/>
  <c r="P366" i="11" s="1"/>
  <c r="G365" i="11"/>
  <c r="P365" i="11" s="1"/>
  <c r="G364" i="11"/>
  <c r="P364" i="11" s="1"/>
  <c r="G363" i="11"/>
  <c r="P363" i="11" s="1"/>
  <c r="G362" i="11"/>
  <c r="P362" i="11" s="1"/>
  <c r="G361" i="11"/>
  <c r="P361" i="11" s="1"/>
  <c r="G360" i="11"/>
  <c r="P360" i="11" s="1"/>
  <c r="G359" i="11"/>
  <c r="P359" i="11" s="1"/>
  <c r="G358" i="11"/>
  <c r="P358" i="11" s="1"/>
  <c r="G357" i="11"/>
  <c r="P357" i="11" s="1"/>
  <c r="G356" i="11"/>
  <c r="P356" i="11" s="1"/>
  <c r="G355" i="11"/>
  <c r="P355" i="11" s="1"/>
  <c r="G354" i="11"/>
  <c r="P354" i="11" s="1"/>
  <c r="G353" i="11"/>
  <c r="P353" i="11" s="1"/>
  <c r="G352" i="11"/>
  <c r="P352" i="11" s="1"/>
  <c r="G351" i="11"/>
  <c r="P351" i="11" s="1"/>
  <c r="G350" i="11"/>
  <c r="P350" i="11" s="1"/>
  <c r="G349" i="11"/>
  <c r="P349" i="11" s="1"/>
  <c r="G348" i="11"/>
  <c r="P348" i="11" s="1"/>
  <c r="G347" i="11"/>
  <c r="P347" i="11" s="1"/>
  <c r="G346" i="11"/>
  <c r="P346" i="11" s="1"/>
  <c r="G345" i="11"/>
  <c r="P345" i="11" s="1"/>
  <c r="G344" i="11"/>
  <c r="P344" i="11" s="1"/>
  <c r="G343" i="11"/>
  <c r="P343" i="11" s="1"/>
  <c r="G342" i="11"/>
  <c r="P342" i="11" s="1"/>
  <c r="G341" i="11"/>
  <c r="P341" i="11" s="1"/>
  <c r="G340" i="11"/>
  <c r="P340" i="11" s="1"/>
  <c r="G339" i="11"/>
  <c r="P339" i="11" s="1"/>
  <c r="G338" i="11"/>
  <c r="P338" i="11" s="1"/>
  <c r="G337" i="11"/>
  <c r="P337" i="11" s="1"/>
  <c r="G336" i="11"/>
  <c r="P336" i="11" s="1"/>
  <c r="G335" i="11"/>
  <c r="P335" i="11" s="1"/>
  <c r="G334" i="11"/>
  <c r="P334" i="11" s="1"/>
  <c r="G333" i="11"/>
  <c r="P333" i="11" s="1"/>
  <c r="G332" i="11"/>
  <c r="P332" i="11" s="1"/>
  <c r="G331" i="11"/>
  <c r="P331" i="11" s="1"/>
  <c r="G330" i="11"/>
  <c r="P330" i="11" s="1"/>
  <c r="G329" i="11"/>
  <c r="P329" i="11" s="1"/>
  <c r="G328" i="11"/>
  <c r="P328" i="11" s="1"/>
  <c r="G327" i="11"/>
  <c r="P327" i="11" s="1"/>
  <c r="G326" i="11"/>
  <c r="P326" i="11" s="1"/>
  <c r="G325" i="11"/>
  <c r="P325" i="11" s="1"/>
  <c r="G324" i="11"/>
  <c r="P324" i="11" s="1"/>
  <c r="G323" i="11"/>
  <c r="P323" i="11" s="1"/>
  <c r="G322" i="11"/>
  <c r="P322" i="11" s="1"/>
  <c r="G321" i="11"/>
  <c r="P321" i="11" s="1"/>
  <c r="G320" i="11"/>
  <c r="P320" i="11" s="1"/>
  <c r="G319" i="11"/>
  <c r="P319" i="11" s="1"/>
  <c r="G318" i="11"/>
  <c r="P318" i="11" s="1"/>
  <c r="G317" i="11"/>
  <c r="P317" i="11" s="1"/>
  <c r="G316" i="11"/>
  <c r="P316" i="11" s="1"/>
  <c r="G315" i="11"/>
  <c r="P315" i="11" s="1"/>
  <c r="G314" i="11"/>
  <c r="P314" i="11" s="1"/>
  <c r="G313" i="11"/>
  <c r="P313" i="11" s="1"/>
  <c r="G312" i="11"/>
  <c r="P312" i="11" s="1"/>
  <c r="G311" i="11"/>
  <c r="P311" i="11" s="1"/>
  <c r="G310" i="11"/>
  <c r="P310" i="11" s="1"/>
  <c r="G309" i="11"/>
  <c r="P309" i="11" s="1"/>
  <c r="G308" i="11"/>
  <c r="P308" i="11" s="1"/>
  <c r="G307" i="11"/>
  <c r="P307" i="11" s="1"/>
  <c r="G306" i="11"/>
  <c r="P306" i="11" s="1"/>
  <c r="G305" i="11"/>
  <c r="P305" i="11" s="1"/>
  <c r="G304" i="11"/>
  <c r="P304" i="11" s="1"/>
  <c r="G303" i="11"/>
  <c r="P303" i="11" s="1"/>
  <c r="G302" i="11"/>
  <c r="P302" i="11" s="1"/>
  <c r="G301" i="11"/>
  <c r="P301" i="11" s="1"/>
  <c r="G300" i="11"/>
  <c r="P300" i="11" s="1"/>
  <c r="G299" i="11"/>
  <c r="P299" i="11" s="1"/>
  <c r="G298" i="11"/>
  <c r="P298" i="11" s="1"/>
  <c r="G297" i="11"/>
  <c r="P297" i="11" s="1"/>
  <c r="G296" i="11"/>
  <c r="P296" i="11" s="1"/>
  <c r="G295" i="11"/>
  <c r="P295" i="11" s="1"/>
  <c r="G294" i="11"/>
  <c r="P294" i="11" s="1"/>
  <c r="G293" i="11"/>
  <c r="P293" i="11" s="1"/>
  <c r="G292" i="11"/>
  <c r="P292" i="11" s="1"/>
  <c r="G291" i="11"/>
  <c r="P291" i="11" s="1"/>
  <c r="G290" i="11"/>
  <c r="P290" i="11" s="1"/>
  <c r="G289" i="11"/>
  <c r="P289" i="11" s="1"/>
  <c r="G288" i="11"/>
  <c r="P288" i="11" s="1"/>
  <c r="G287" i="11"/>
  <c r="P287" i="11" s="1"/>
  <c r="G286" i="11"/>
  <c r="P286" i="11" s="1"/>
  <c r="G285" i="11"/>
  <c r="P285" i="11" s="1"/>
  <c r="G284" i="11"/>
  <c r="P284" i="11" s="1"/>
  <c r="G283" i="11"/>
  <c r="P283" i="11" s="1"/>
  <c r="G282" i="11"/>
  <c r="P282" i="11" s="1"/>
  <c r="G281" i="11"/>
  <c r="P281" i="11" s="1"/>
  <c r="G280" i="11"/>
  <c r="P280" i="11" s="1"/>
  <c r="G279" i="11"/>
  <c r="P279" i="11" s="1"/>
  <c r="G278" i="11"/>
  <c r="P278" i="11" s="1"/>
  <c r="G277" i="11"/>
  <c r="P277" i="11" s="1"/>
  <c r="G276" i="11"/>
  <c r="P276" i="11" s="1"/>
  <c r="G275" i="11"/>
  <c r="P275" i="11" s="1"/>
  <c r="G274" i="11"/>
  <c r="P274" i="11" s="1"/>
  <c r="G273" i="11"/>
  <c r="P273" i="11" s="1"/>
  <c r="G272" i="11"/>
  <c r="P272" i="11" s="1"/>
  <c r="G271" i="11"/>
  <c r="P271" i="11" s="1"/>
  <c r="G270" i="11"/>
  <c r="P270" i="11" s="1"/>
  <c r="G269" i="11"/>
  <c r="P269" i="11" s="1"/>
  <c r="G268" i="11"/>
  <c r="P268" i="11" s="1"/>
  <c r="G267" i="11"/>
  <c r="P267" i="11" s="1"/>
  <c r="G266" i="11"/>
  <c r="P266" i="11" s="1"/>
  <c r="G265" i="11"/>
  <c r="P265" i="11" s="1"/>
  <c r="G264" i="11"/>
  <c r="P264" i="11" s="1"/>
  <c r="G263" i="11"/>
  <c r="P263" i="11" s="1"/>
  <c r="G262" i="11"/>
  <c r="P262" i="11" s="1"/>
  <c r="G261" i="11"/>
  <c r="P261" i="11" s="1"/>
  <c r="G260" i="11"/>
  <c r="P260" i="11" s="1"/>
  <c r="G259" i="11"/>
  <c r="P259" i="11" s="1"/>
  <c r="G258" i="11"/>
  <c r="P258" i="11" s="1"/>
  <c r="G257" i="11"/>
  <c r="P257" i="11" s="1"/>
  <c r="G256" i="11"/>
  <c r="P256" i="11" s="1"/>
  <c r="G255" i="11"/>
  <c r="P255" i="11" s="1"/>
  <c r="G254" i="11"/>
  <c r="P254" i="11" s="1"/>
  <c r="G253" i="11"/>
  <c r="P253" i="11" s="1"/>
  <c r="G252" i="11"/>
  <c r="P252" i="11" s="1"/>
  <c r="G251" i="11"/>
  <c r="P251" i="11" s="1"/>
  <c r="G250" i="11"/>
  <c r="P250" i="11" s="1"/>
  <c r="G249" i="11"/>
  <c r="P249" i="11" s="1"/>
  <c r="G248" i="11"/>
  <c r="P248" i="11" s="1"/>
  <c r="G247" i="11"/>
  <c r="P247" i="11" s="1"/>
  <c r="G246" i="11"/>
  <c r="P246" i="11" s="1"/>
  <c r="G245" i="11"/>
  <c r="P245" i="11" s="1"/>
  <c r="G244" i="11"/>
  <c r="P244" i="11" s="1"/>
  <c r="G243" i="11"/>
  <c r="P243" i="11" s="1"/>
  <c r="G242" i="11"/>
  <c r="P242" i="11" s="1"/>
  <c r="G241" i="11"/>
  <c r="P241" i="11" s="1"/>
  <c r="G240" i="11"/>
  <c r="P240" i="11" s="1"/>
  <c r="G239" i="11"/>
  <c r="P239" i="11" s="1"/>
  <c r="G238" i="11"/>
  <c r="P238" i="11" s="1"/>
  <c r="G237" i="11"/>
  <c r="P237" i="11" s="1"/>
  <c r="G236" i="11"/>
  <c r="P236" i="11" s="1"/>
  <c r="G235" i="11"/>
  <c r="P235" i="11" s="1"/>
  <c r="G234" i="11"/>
  <c r="P234" i="11" s="1"/>
  <c r="G233" i="11"/>
  <c r="P233" i="11" s="1"/>
  <c r="G232" i="11"/>
  <c r="P232" i="11" s="1"/>
  <c r="G231" i="11"/>
  <c r="P231" i="11" s="1"/>
  <c r="G230" i="11"/>
  <c r="P230" i="11" s="1"/>
  <c r="G229" i="11"/>
  <c r="P229" i="11" s="1"/>
  <c r="G228" i="11"/>
  <c r="P228" i="11" s="1"/>
  <c r="G227" i="11"/>
  <c r="P227" i="11" s="1"/>
  <c r="G226" i="11"/>
  <c r="P226" i="11" s="1"/>
  <c r="G225" i="11"/>
  <c r="P225" i="11" s="1"/>
  <c r="G224" i="11"/>
  <c r="P224" i="11" s="1"/>
  <c r="G223" i="11"/>
  <c r="P223" i="11" s="1"/>
  <c r="G222" i="11"/>
  <c r="P222" i="11" s="1"/>
  <c r="G221" i="11"/>
  <c r="P221" i="11" s="1"/>
  <c r="G220" i="11"/>
  <c r="P220" i="11" s="1"/>
  <c r="G219" i="11"/>
  <c r="P219" i="11" s="1"/>
  <c r="G218" i="11"/>
  <c r="P218" i="11" s="1"/>
  <c r="G217" i="11"/>
  <c r="P217" i="11" s="1"/>
  <c r="G216" i="11"/>
  <c r="P216" i="11" s="1"/>
  <c r="G215" i="11"/>
  <c r="P215" i="11" s="1"/>
  <c r="G214" i="11"/>
  <c r="P214" i="11" s="1"/>
  <c r="G213" i="11"/>
  <c r="P213" i="11" s="1"/>
  <c r="G212" i="11"/>
  <c r="P212" i="11" s="1"/>
  <c r="G211" i="11"/>
  <c r="P211" i="11" s="1"/>
  <c r="G210" i="11"/>
  <c r="P210" i="11" s="1"/>
  <c r="G209" i="11"/>
  <c r="P209" i="11" s="1"/>
  <c r="G208" i="11"/>
  <c r="P208" i="11" s="1"/>
  <c r="G207" i="11"/>
  <c r="P207" i="11" s="1"/>
  <c r="G206" i="11"/>
  <c r="P206" i="11" s="1"/>
  <c r="G205" i="11"/>
  <c r="P205" i="11" s="1"/>
  <c r="G204" i="11"/>
  <c r="P204" i="11" s="1"/>
  <c r="G203" i="11"/>
  <c r="P203" i="11" s="1"/>
  <c r="G202" i="11"/>
  <c r="P202" i="11" s="1"/>
  <c r="G201" i="11"/>
  <c r="P201" i="11" s="1"/>
  <c r="G200" i="11"/>
  <c r="P200" i="11" s="1"/>
  <c r="G199" i="11"/>
  <c r="P199" i="11" s="1"/>
  <c r="G198" i="11"/>
  <c r="P198" i="11" s="1"/>
  <c r="G197" i="11"/>
  <c r="P197" i="11" s="1"/>
  <c r="G196" i="11"/>
  <c r="P196" i="11" s="1"/>
  <c r="G195" i="11"/>
  <c r="P195" i="11" s="1"/>
  <c r="G194" i="11"/>
  <c r="P194" i="11" s="1"/>
  <c r="G193" i="11"/>
  <c r="P193" i="11" s="1"/>
  <c r="G192" i="11"/>
  <c r="P192" i="11" s="1"/>
  <c r="G191" i="11"/>
  <c r="P191" i="11" s="1"/>
  <c r="G190" i="11"/>
  <c r="P190" i="11" s="1"/>
  <c r="G189" i="11"/>
  <c r="P189" i="11" s="1"/>
  <c r="G188" i="11"/>
  <c r="P188" i="11" s="1"/>
  <c r="G187" i="11"/>
  <c r="P187" i="11" s="1"/>
  <c r="G186" i="11"/>
  <c r="P186" i="11" s="1"/>
  <c r="G185" i="11"/>
  <c r="P185" i="11" s="1"/>
  <c r="G184" i="11"/>
  <c r="P184" i="11" s="1"/>
  <c r="G183" i="11"/>
  <c r="P183" i="11" s="1"/>
  <c r="G182" i="11"/>
  <c r="P182" i="11" s="1"/>
  <c r="G181" i="11"/>
  <c r="P181" i="11" s="1"/>
  <c r="G180" i="11"/>
  <c r="P180" i="11" s="1"/>
  <c r="G179" i="11"/>
  <c r="P179" i="11" s="1"/>
  <c r="G178" i="11"/>
  <c r="P178" i="11" s="1"/>
  <c r="G177" i="11"/>
  <c r="P177" i="11" s="1"/>
  <c r="G176" i="11"/>
  <c r="P176" i="11" s="1"/>
  <c r="G175" i="11"/>
  <c r="P175" i="11" s="1"/>
  <c r="G174" i="11"/>
  <c r="P174" i="11" s="1"/>
  <c r="G173" i="11"/>
  <c r="P173" i="11" s="1"/>
  <c r="G172" i="11"/>
  <c r="P172" i="11" s="1"/>
  <c r="G171" i="11"/>
  <c r="P171" i="11" s="1"/>
  <c r="G170" i="11"/>
  <c r="P170" i="11" s="1"/>
  <c r="G169" i="11"/>
  <c r="P169" i="11" s="1"/>
  <c r="G168" i="11"/>
  <c r="P168" i="11" s="1"/>
  <c r="G167" i="11"/>
  <c r="P167" i="11" s="1"/>
  <c r="G166" i="11"/>
  <c r="P166" i="11" s="1"/>
  <c r="G165" i="11"/>
  <c r="P165" i="11" s="1"/>
  <c r="G164" i="11"/>
  <c r="P164" i="11" s="1"/>
  <c r="G163" i="11"/>
  <c r="P163" i="11" s="1"/>
  <c r="G162" i="11"/>
  <c r="P162" i="11" s="1"/>
  <c r="G161" i="11"/>
  <c r="P161" i="11" s="1"/>
  <c r="G160" i="11"/>
  <c r="P160" i="11" s="1"/>
  <c r="G159" i="11"/>
  <c r="P159" i="11" s="1"/>
  <c r="G158" i="11"/>
  <c r="P158" i="11" s="1"/>
  <c r="G157" i="11"/>
  <c r="P157" i="11" s="1"/>
  <c r="G156" i="11"/>
  <c r="P156" i="11" s="1"/>
  <c r="G155" i="11"/>
  <c r="P155" i="11" s="1"/>
  <c r="G154" i="11"/>
  <c r="P154" i="11" s="1"/>
  <c r="G153" i="11"/>
  <c r="P153" i="11" s="1"/>
  <c r="G152" i="11"/>
  <c r="P152" i="11" s="1"/>
  <c r="G151" i="11"/>
  <c r="P151" i="11" s="1"/>
  <c r="G150" i="11"/>
  <c r="P150" i="11" s="1"/>
  <c r="G149" i="11"/>
  <c r="P149" i="11" s="1"/>
  <c r="G148" i="11"/>
  <c r="P148" i="11" s="1"/>
  <c r="G147" i="11"/>
  <c r="P147" i="11" s="1"/>
  <c r="G146" i="11"/>
  <c r="P146" i="11" s="1"/>
  <c r="G145" i="11"/>
  <c r="P145" i="11" s="1"/>
  <c r="G144" i="11"/>
  <c r="P144" i="11" s="1"/>
  <c r="G143" i="11"/>
  <c r="P143" i="11" s="1"/>
  <c r="G142" i="11"/>
  <c r="P142" i="11" s="1"/>
  <c r="G141" i="11"/>
  <c r="P141" i="11" s="1"/>
  <c r="G140" i="11"/>
  <c r="P140" i="11" s="1"/>
  <c r="G139" i="11"/>
  <c r="P139" i="11" s="1"/>
  <c r="G138" i="11"/>
  <c r="P138" i="11" s="1"/>
  <c r="G137" i="11"/>
  <c r="P137" i="11" s="1"/>
  <c r="G136" i="11"/>
  <c r="P136" i="11" s="1"/>
  <c r="G135" i="11"/>
  <c r="P135" i="11" s="1"/>
  <c r="G134" i="11"/>
  <c r="P134" i="11" s="1"/>
  <c r="G133" i="11"/>
  <c r="P133" i="11" s="1"/>
  <c r="G132" i="11"/>
  <c r="P132" i="11" s="1"/>
  <c r="G131" i="11"/>
  <c r="P131" i="11" s="1"/>
  <c r="G130" i="11"/>
  <c r="P130" i="11" s="1"/>
  <c r="G129" i="11"/>
  <c r="P129" i="11" s="1"/>
  <c r="G128" i="11"/>
  <c r="P128" i="11" s="1"/>
  <c r="G127" i="11"/>
  <c r="P127" i="11" s="1"/>
  <c r="G126" i="11"/>
  <c r="P126" i="11" s="1"/>
  <c r="G125" i="11"/>
  <c r="P125" i="11" s="1"/>
  <c r="G124" i="11"/>
  <c r="P124" i="11" s="1"/>
  <c r="G123" i="11"/>
  <c r="P123" i="11" s="1"/>
  <c r="G122" i="11"/>
  <c r="P122" i="11" s="1"/>
  <c r="G121" i="11"/>
  <c r="P121" i="11" s="1"/>
  <c r="G120" i="11"/>
  <c r="P120" i="11" s="1"/>
  <c r="G119" i="11"/>
  <c r="P119" i="11" s="1"/>
  <c r="G118" i="11"/>
  <c r="P118" i="11" s="1"/>
  <c r="G117" i="11"/>
  <c r="P117" i="11" s="1"/>
  <c r="G116" i="11"/>
  <c r="P116" i="11" s="1"/>
  <c r="G115" i="11"/>
  <c r="P115" i="11" s="1"/>
  <c r="G114" i="11"/>
  <c r="P114" i="11" s="1"/>
  <c r="G113" i="11"/>
  <c r="P113" i="11" s="1"/>
  <c r="G112" i="11"/>
  <c r="P112" i="11" s="1"/>
  <c r="G111" i="11"/>
  <c r="P111" i="11" s="1"/>
  <c r="G110" i="11"/>
  <c r="P110" i="11" s="1"/>
  <c r="G109" i="11"/>
  <c r="P109" i="11" s="1"/>
  <c r="G108" i="11"/>
  <c r="P108" i="11" s="1"/>
  <c r="G107" i="11"/>
  <c r="P107" i="11" s="1"/>
  <c r="G106" i="11"/>
  <c r="P106" i="11" s="1"/>
  <c r="G105" i="11"/>
  <c r="P105" i="11" s="1"/>
  <c r="G104" i="11"/>
  <c r="P104" i="11" s="1"/>
  <c r="G103" i="11"/>
  <c r="P103" i="11" s="1"/>
  <c r="G102" i="11"/>
  <c r="P102" i="11" s="1"/>
  <c r="G101" i="11"/>
  <c r="P101" i="11" s="1"/>
  <c r="G100" i="11"/>
  <c r="P100" i="11" s="1"/>
  <c r="G99" i="11"/>
  <c r="P99" i="11" s="1"/>
  <c r="G98" i="11"/>
  <c r="P98" i="11" s="1"/>
  <c r="G97" i="11"/>
  <c r="P97" i="11" s="1"/>
  <c r="G96" i="11"/>
  <c r="P96" i="11" s="1"/>
  <c r="G95" i="11"/>
  <c r="P95" i="11" s="1"/>
  <c r="G94" i="11"/>
  <c r="P94" i="11" s="1"/>
  <c r="G93" i="11"/>
  <c r="P93" i="11" s="1"/>
  <c r="G92" i="11"/>
  <c r="P92" i="11" s="1"/>
  <c r="G91" i="11"/>
  <c r="P91" i="11" s="1"/>
  <c r="G90" i="11"/>
  <c r="P90" i="11" s="1"/>
  <c r="G89" i="11"/>
  <c r="P89" i="11" s="1"/>
  <c r="G88" i="11"/>
  <c r="P88" i="11" s="1"/>
  <c r="G87" i="11"/>
  <c r="P87" i="11" s="1"/>
  <c r="G86" i="11"/>
  <c r="P86" i="11" s="1"/>
  <c r="G85" i="11"/>
  <c r="P85" i="11" s="1"/>
  <c r="G84" i="11"/>
  <c r="P84" i="11" s="1"/>
  <c r="G83" i="11"/>
  <c r="P83" i="11" s="1"/>
  <c r="G82" i="11"/>
  <c r="P82" i="11" s="1"/>
  <c r="G81" i="11"/>
  <c r="P81" i="11" s="1"/>
  <c r="G80" i="11"/>
  <c r="P80" i="11" s="1"/>
  <c r="G79" i="11"/>
  <c r="P79" i="11" s="1"/>
  <c r="G78" i="11"/>
  <c r="P78" i="11" s="1"/>
  <c r="G77" i="11"/>
  <c r="P77" i="11" s="1"/>
  <c r="G76" i="11"/>
  <c r="P76" i="11" s="1"/>
  <c r="G75" i="11"/>
  <c r="P75" i="11" s="1"/>
  <c r="G74" i="11"/>
  <c r="P74" i="11" s="1"/>
  <c r="G73" i="11"/>
  <c r="P73" i="11" s="1"/>
  <c r="G72" i="11"/>
  <c r="P72" i="11" s="1"/>
  <c r="G71" i="11"/>
  <c r="P71" i="11" s="1"/>
  <c r="G70" i="11"/>
  <c r="P70" i="11" s="1"/>
  <c r="G69" i="11"/>
  <c r="P69" i="11" s="1"/>
  <c r="G68" i="11"/>
  <c r="P68" i="11" s="1"/>
  <c r="G67" i="11"/>
  <c r="P67" i="11" s="1"/>
  <c r="G66" i="11"/>
  <c r="P66" i="11" s="1"/>
  <c r="G65" i="11"/>
  <c r="P65" i="11" s="1"/>
  <c r="G64" i="11"/>
  <c r="P64" i="11" s="1"/>
  <c r="G63" i="11"/>
  <c r="P63" i="11" s="1"/>
  <c r="G62" i="11"/>
  <c r="P62" i="11" s="1"/>
  <c r="G61" i="11"/>
  <c r="P61" i="11" s="1"/>
  <c r="G60" i="11"/>
  <c r="P60" i="11" s="1"/>
  <c r="G59" i="11"/>
  <c r="P59" i="11" s="1"/>
  <c r="G58" i="11"/>
  <c r="P58" i="11" s="1"/>
  <c r="G57" i="11"/>
  <c r="P57" i="11" s="1"/>
  <c r="G56" i="11"/>
  <c r="P56" i="11" s="1"/>
  <c r="G55" i="11"/>
  <c r="P55" i="11" s="1"/>
  <c r="G54" i="11"/>
  <c r="P54" i="11" s="1"/>
  <c r="G53" i="11"/>
  <c r="P53" i="11" s="1"/>
  <c r="G52" i="11"/>
  <c r="P52" i="11" s="1"/>
  <c r="G51" i="11"/>
  <c r="P51" i="11" s="1"/>
  <c r="G50" i="11"/>
  <c r="P50" i="11" s="1"/>
  <c r="G49" i="11"/>
  <c r="P49" i="11" s="1"/>
  <c r="G48" i="11"/>
  <c r="P48" i="11" s="1"/>
  <c r="G47" i="11"/>
  <c r="P47" i="11" s="1"/>
  <c r="G46" i="11"/>
  <c r="P46" i="11" s="1"/>
  <c r="G45" i="11"/>
  <c r="P45" i="11" s="1"/>
  <c r="G44" i="11"/>
  <c r="P44" i="11" s="1"/>
  <c r="G43" i="11"/>
  <c r="P43" i="11" s="1"/>
  <c r="G42" i="11"/>
  <c r="P42" i="11" s="1"/>
  <c r="G41" i="11"/>
  <c r="P41" i="11" s="1"/>
  <c r="G40" i="11"/>
  <c r="P40" i="11" s="1"/>
  <c r="G39" i="11"/>
  <c r="P39" i="11" s="1"/>
  <c r="G38" i="11"/>
  <c r="P38" i="11" s="1"/>
  <c r="G37" i="11"/>
  <c r="P37" i="11" s="1"/>
  <c r="G36" i="11"/>
  <c r="P36" i="11" s="1"/>
  <c r="G35" i="11"/>
  <c r="P35" i="11" s="1"/>
  <c r="G34" i="11"/>
  <c r="P34" i="11" s="1"/>
  <c r="G33" i="11"/>
  <c r="P33" i="11" s="1"/>
  <c r="G32" i="11"/>
  <c r="P32" i="11" s="1"/>
  <c r="G31" i="11"/>
  <c r="P31" i="11" s="1"/>
  <c r="G30" i="11"/>
  <c r="P30" i="11" s="1"/>
  <c r="G29" i="11"/>
  <c r="P29" i="11" s="1"/>
  <c r="G28" i="11"/>
  <c r="P28" i="11" s="1"/>
  <c r="G27" i="11"/>
  <c r="P27" i="11" s="1"/>
  <c r="G26" i="11"/>
  <c r="P26" i="11" s="1"/>
  <c r="G25" i="11"/>
  <c r="P25" i="11" s="1"/>
  <c r="G24" i="11"/>
  <c r="P24" i="11" s="1"/>
  <c r="G23" i="11"/>
  <c r="P23" i="11" s="1"/>
  <c r="G22" i="11"/>
  <c r="P22" i="11" s="1"/>
  <c r="G21" i="11"/>
  <c r="P21" i="11" s="1"/>
  <c r="G20" i="11"/>
  <c r="P20" i="11" s="1"/>
  <c r="G19" i="11"/>
  <c r="P19" i="11" s="1"/>
  <c r="G18" i="11"/>
  <c r="P18" i="11" s="1"/>
  <c r="G17" i="11"/>
  <c r="P17" i="11" s="1"/>
  <c r="G16" i="11"/>
  <c r="P16" i="11" s="1"/>
  <c r="G15" i="11"/>
  <c r="P15" i="11" s="1"/>
  <c r="G14" i="11"/>
  <c r="P14" i="11" s="1"/>
  <c r="G13" i="11"/>
  <c r="P13" i="11" s="1"/>
  <c r="G12" i="11"/>
  <c r="P12" i="11" s="1"/>
  <c r="G11" i="11"/>
  <c r="P11" i="11" s="1"/>
  <c r="G10" i="11"/>
  <c r="P10" i="11" s="1"/>
  <c r="G9" i="11"/>
  <c r="P9" i="11" s="1"/>
  <c r="G8" i="11"/>
  <c r="P8" i="11" s="1"/>
  <c r="G7" i="11"/>
  <c r="P7" i="11" s="1"/>
  <c r="G6" i="11"/>
  <c r="P6" i="11" s="1"/>
  <c r="G5" i="11"/>
  <c r="P5" i="11" s="1"/>
  <c r="G4" i="11"/>
  <c r="P4" i="11" s="1"/>
  <c r="G3" i="11"/>
  <c r="B12" i="3" l="1"/>
  <c r="B36" i="3"/>
  <c r="E54" i="3"/>
  <c r="E120" i="3" s="1"/>
  <c r="F18" i="3"/>
  <c r="C12" i="3"/>
  <c r="C9" i="7" s="1"/>
  <c r="C36" i="3"/>
  <c r="U15" i="20"/>
  <c r="H15" i="20" s="1"/>
  <c r="H14" i="20"/>
  <c r="V14" i="20"/>
  <c r="D41" i="3"/>
  <c r="D9" i="7"/>
  <c r="V11" i="20"/>
  <c r="I11" i="20" s="1"/>
  <c r="I10" i="20"/>
  <c r="F28" i="3"/>
  <c r="E31" i="3"/>
  <c r="W10" i="20"/>
  <c r="E29" i="3"/>
  <c r="E30" i="3" s="1"/>
  <c r="E32" i="3" s="1"/>
  <c r="F10" i="3"/>
  <c r="D53" i="3"/>
  <c r="D119" i="3" s="1"/>
  <c r="D85" i="3"/>
  <c r="D158" i="3"/>
  <c r="E157" i="3"/>
  <c r="G13" i="3"/>
  <c r="H13" i="3"/>
  <c r="E13" i="3"/>
  <c r="C24" i="18"/>
  <c r="T19" i="20" s="1"/>
  <c r="G19" i="20" s="1"/>
  <c r="M24" i="18"/>
  <c r="D13" i="3" s="1"/>
  <c r="P3" i="11"/>
  <c r="B9" i="7" l="1"/>
  <c r="B67" i="7"/>
  <c r="B13" i="3"/>
  <c r="B38" i="3"/>
  <c r="F54" i="3"/>
  <c r="F120" i="3" s="1"/>
  <c r="G18" i="3"/>
  <c r="C13" i="3"/>
  <c r="C38" i="3"/>
  <c r="I14" i="20"/>
  <c r="V15" i="20"/>
  <c r="I15" i="20" s="1"/>
  <c r="W14" i="20"/>
  <c r="E41" i="3"/>
  <c r="E9" i="7"/>
  <c r="G28" i="3"/>
  <c r="F31" i="3"/>
  <c r="X10" i="20"/>
  <c r="J10" i="20"/>
  <c r="W11" i="20"/>
  <c r="J11" i="20" s="1"/>
  <c r="E53" i="3"/>
  <c r="E119" i="3" s="1"/>
  <c r="E85" i="3"/>
  <c r="F29" i="3"/>
  <c r="F30" i="3" s="1"/>
  <c r="F32" i="3" s="1"/>
  <c r="G10" i="3"/>
  <c r="D88" i="3"/>
  <c r="D115" i="3"/>
  <c r="D159" i="3"/>
  <c r="D108" i="3"/>
  <c r="F157" i="3"/>
  <c r="E158" i="3"/>
  <c r="E108" i="3" s="1"/>
  <c r="K3" i="8"/>
  <c r="N3" i="8" s="1"/>
  <c r="B3" i="11" s="1"/>
  <c r="K4" i="8"/>
  <c r="O4" i="8" s="1"/>
  <c r="C4" i="11" s="1"/>
  <c r="M4" i="11" s="1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6" i="8"/>
  <c r="K467" i="8"/>
  <c r="K468" i="8"/>
  <c r="K469" i="8"/>
  <c r="K470" i="8"/>
  <c r="K471" i="8"/>
  <c r="K472" i="8"/>
  <c r="K473" i="8"/>
  <c r="K474" i="8"/>
  <c r="K475" i="8"/>
  <c r="K476" i="8"/>
  <c r="K477" i="8"/>
  <c r="K478" i="8"/>
  <c r="K479" i="8"/>
  <c r="K480" i="8"/>
  <c r="K481" i="8"/>
  <c r="K482" i="8"/>
  <c r="K483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K639" i="8"/>
  <c r="K640" i="8"/>
  <c r="K641" i="8"/>
  <c r="K642" i="8"/>
  <c r="K643" i="8"/>
  <c r="K644" i="8"/>
  <c r="K645" i="8"/>
  <c r="K646" i="8"/>
  <c r="K647" i="8"/>
  <c r="K648" i="8"/>
  <c r="K649" i="8"/>
  <c r="K650" i="8"/>
  <c r="K651" i="8"/>
  <c r="K652" i="8"/>
  <c r="K653" i="8"/>
  <c r="K654" i="8"/>
  <c r="K655" i="8"/>
  <c r="K656" i="8"/>
  <c r="K657" i="8"/>
  <c r="K658" i="8"/>
  <c r="K659" i="8"/>
  <c r="K660" i="8"/>
  <c r="K661" i="8"/>
  <c r="K662" i="8"/>
  <c r="K663" i="8"/>
  <c r="K664" i="8"/>
  <c r="K665" i="8"/>
  <c r="K666" i="8"/>
  <c r="K667" i="8"/>
  <c r="K668" i="8"/>
  <c r="K669" i="8"/>
  <c r="K670" i="8"/>
  <c r="K671" i="8"/>
  <c r="K672" i="8"/>
  <c r="K673" i="8"/>
  <c r="K674" i="8"/>
  <c r="K675" i="8"/>
  <c r="K676" i="8"/>
  <c r="K677" i="8"/>
  <c r="K678" i="8"/>
  <c r="K679" i="8"/>
  <c r="K680" i="8"/>
  <c r="K681" i="8"/>
  <c r="K682" i="8"/>
  <c r="K683" i="8"/>
  <c r="K684" i="8"/>
  <c r="K685" i="8"/>
  <c r="K686" i="8"/>
  <c r="K687" i="8"/>
  <c r="K688" i="8"/>
  <c r="K689" i="8"/>
  <c r="K690" i="8"/>
  <c r="K691" i="8"/>
  <c r="K692" i="8"/>
  <c r="K693" i="8"/>
  <c r="K694" i="8"/>
  <c r="K695" i="8"/>
  <c r="K696" i="8"/>
  <c r="K697" i="8"/>
  <c r="K698" i="8"/>
  <c r="K699" i="8"/>
  <c r="K700" i="8"/>
  <c r="K701" i="8"/>
  <c r="K702" i="8"/>
  <c r="K703" i="8"/>
  <c r="K704" i="8"/>
  <c r="K705" i="8"/>
  <c r="K706" i="8"/>
  <c r="K707" i="8"/>
  <c r="K708" i="8"/>
  <c r="K709" i="8"/>
  <c r="K710" i="8"/>
  <c r="K711" i="8"/>
  <c r="K712" i="8"/>
  <c r="K713" i="8"/>
  <c r="K714" i="8"/>
  <c r="K715" i="8"/>
  <c r="K716" i="8"/>
  <c r="K717" i="8"/>
  <c r="K718" i="8"/>
  <c r="K719" i="8"/>
  <c r="K720" i="8"/>
  <c r="K721" i="8"/>
  <c r="K722" i="8"/>
  <c r="K723" i="8"/>
  <c r="K724" i="8"/>
  <c r="K725" i="8"/>
  <c r="K726" i="8"/>
  <c r="K727" i="8"/>
  <c r="K728" i="8"/>
  <c r="K729" i="8"/>
  <c r="K730" i="8"/>
  <c r="K731" i="8"/>
  <c r="K732" i="8"/>
  <c r="K733" i="8"/>
  <c r="K734" i="8"/>
  <c r="K735" i="8"/>
  <c r="K736" i="8"/>
  <c r="K737" i="8"/>
  <c r="K738" i="8"/>
  <c r="K739" i="8"/>
  <c r="K740" i="8"/>
  <c r="K741" i="8"/>
  <c r="K742" i="8"/>
  <c r="K743" i="8"/>
  <c r="K744" i="8"/>
  <c r="K745" i="8"/>
  <c r="K746" i="8"/>
  <c r="K747" i="8"/>
  <c r="K748" i="8"/>
  <c r="K749" i="8"/>
  <c r="K750" i="8"/>
  <c r="K751" i="8"/>
  <c r="K752" i="8"/>
  <c r="K753" i="8"/>
  <c r="K754" i="8"/>
  <c r="K755" i="8"/>
  <c r="K756" i="8"/>
  <c r="K757" i="8"/>
  <c r="K758" i="8"/>
  <c r="K759" i="8"/>
  <c r="K760" i="8"/>
  <c r="K761" i="8"/>
  <c r="K762" i="8"/>
  <c r="K763" i="8"/>
  <c r="K764" i="8"/>
  <c r="K765" i="8"/>
  <c r="K766" i="8"/>
  <c r="K767" i="8"/>
  <c r="K768" i="8"/>
  <c r="K769" i="8"/>
  <c r="K770" i="8"/>
  <c r="K771" i="8"/>
  <c r="K772" i="8"/>
  <c r="K773" i="8"/>
  <c r="K774" i="8"/>
  <c r="K775" i="8"/>
  <c r="K776" i="8"/>
  <c r="K777" i="8"/>
  <c r="K778" i="8"/>
  <c r="K779" i="8"/>
  <c r="K780" i="8"/>
  <c r="K781" i="8"/>
  <c r="K782" i="8"/>
  <c r="K783" i="8"/>
  <c r="K784" i="8"/>
  <c r="K785" i="8"/>
  <c r="K786" i="8"/>
  <c r="K787" i="8"/>
  <c r="K788" i="8"/>
  <c r="K789" i="8"/>
  <c r="K790" i="8"/>
  <c r="K791" i="8"/>
  <c r="K792" i="8"/>
  <c r="K793" i="8"/>
  <c r="K794" i="8"/>
  <c r="K795" i="8"/>
  <c r="K796" i="8"/>
  <c r="K797" i="8"/>
  <c r="K798" i="8"/>
  <c r="K799" i="8"/>
  <c r="K800" i="8"/>
  <c r="K801" i="8"/>
  <c r="K802" i="8"/>
  <c r="K803" i="8"/>
  <c r="K804" i="8"/>
  <c r="K805" i="8"/>
  <c r="K806" i="8"/>
  <c r="K807" i="8"/>
  <c r="K808" i="8"/>
  <c r="K809" i="8"/>
  <c r="K810" i="8"/>
  <c r="K811" i="8"/>
  <c r="K812" i="8"/>
  <c r="K813" i="8"/>
  <c r="K814" i="8"/>
  <c r="K815" i="8"/>
  <c r="K816" i="8"/>
  <c r="K817" i="8"/>
  <c r="K818" i="8"/>
  <c r="K819" i="8"/>
  <c r="K820" i="8"/>
  <c r="K821" i="8"/>
  <c r="K822" i="8"/>
  <c r="K823" i="8"/>
  <c r="K824" i="8"/>
  <c r="K825" i="8"/>
  <c r="K826" i="8"/>
  <c r="K827" i="8"/>
  <c r="K828" i="8"/>
  <c r="K829" i="8"/>
  <c r="K830" i="8"/>
  <c r="K831" i="8"/>
  <c r="K832" i="8"/>
  <c r="K833" i="8"/>
  <c r="K834" i="8"/>
  <c r="K835" i="8"/>
  <c r="K836" i="8"/>
  <c r="K837" i="8"/>
  <c r="K838" i="8"/>
  <c r="K839" i="8"/>
  <c r="K840" i="8"/>
  <c r="K841" i="8"/>
  <c r="K842" i="8"/>
  <c r="K843" i="8"/>
  <c r="K844" i="8"/>
  <c r="K845" i="8"/>
  <c r="K846" i="8"/>
  <c r="K847" i="8"/>
  <c r="K848" i="8"/>
  <c r="K849" i="8"/>
  <c r="K850" i="8"/>
  <c r="K851" i="8"/>
  <c r="K852" i="8"/>
  <c r="K853" i="8"/>
  <c r="K854" i="8"/>
  <c r="K855" i="8"/>
  <c r="K856" i="8"/>
  <c r="K857" i="8"/>
  <c r="K858" i="8"/>
  <c r="K859" i="8"/>
  <c r="K860" i="8"/>
  <c r="K861" i="8"/>
  <c r="K862" i="8"/>
  <c r="K863" i="8"/>
  <c r="K864" i="8"/>
  <c r="K865" i="8"/>
  <c r="K866" i="8"/>
  <c r="K867" i="8"/>
  <c r="K868" i="8"/>
  <c r="K869" i="8"/>
  <c r="K870" i="8"/>
  <c r="K871" i="8"/>
  <c r="K872" i="8"/>
  <c r="K873" i="8"/>
  <c r="K874" i="8"/>
  <c r="K875" i="8"/>
  <c r="K876" i="8"/>
  <c r="K877" i="8"/>
  <c r="K878" i="8"/>
  <c r="K879" i="8"/>
  <c r="K880" i="8"/>
  <c r="K881" i="8"/>
  <c r="K882" i="8"/>
  <c r="K883" i="8"/>
  <c r="K884" i="8"/>
  <c r="K885" i="8"/>
  <c r="K886" i="8"/>
  <c r="K887" i="8"/>
  <c r="K888" i="8"/>
  <c r="K889" i="8"/>
  <c r="K890" i="8"/>
  <c r="K891" i="8"/>
  <c r="K892" i="8"/>
  <c r="K893" i="8"/>
  <c r="K894" i="8"/>
  <c r="K895" i="8"/>
  <c r="K896" i="8"/>
  <c r="K897" i="8"/>
  <c r="K898" i="8"/>
  <c r="K899" i="8"/>
  <c r="K900" i="8"/>
  <c r="K901" i="8"/>
  <c r="K902" i="8"/>
  <c r="K903" i="8"/>
  <c r="K904" i="8"/>
  <c r="K905" i="8"/>
  <c r="K906" i="8"/>
  <c r="K907" i="8"/>
  <c r="K908" i="8"/>
  <c r="K909" i="8"/>
  <c r="K910" i="8"/>
  <c r="K911" i="8"/>
  <c r="K912" i="8"/>
  <c r="K913" i="8"/>
  <c r="K914" i="8"/>
  <c r="K915" i="8"/>
  <c r="K916" i="8"/>
  <c r="K917" i="8"/>
  <c r="K918" i="8"/>
  <c r="K919" i="8"/>
  <c r="K920" i="8"/>
  <c r="K921" i="8"/>
  <c r="K922" i="8"/>
  <c r="K923" i="8"/>
  <c r="K924" i="8"/>
  <c r="K925" i="8"/>
  <c r="K926" i="8"/>
  <c r="K927" i="8"/>
  <c r="K928" i="8"/>
  <c r="K929" i="8"/>
  <c r="K930" i="8"/>
  <c r="K931" i="8"/>
  <c r="K932" i="8"/>
  <c r="K933" i="8"/>
  <c r="K934" i="8"/>
  <c r="K935" i="8"/>
  <c r="K936" i="8"/>
  <c r="K937" i="8"/>
  <c r="K938" i="8"/>
  <c r="K939" i="8"/>
  <c r="K940" i="8"/>
  <c r="K941" i="8"/>
  <c r="K942" i="8"/>
  <c r="K943" i="8"/>
  <c r="K944" i="8"/>
  <c r="K945" i="8"/>
  <c r="K946" i="8"/>
  <c r="K947" i="8"/>
  <c r="K948" i="8"/>
  <c r="K949" i="8"/>
  <c r="K950" i="8"/>
  <c r="K951" i="8"/>
  <c r="K952" i="8"/>
  <c r="K953" i="8"/>
  <c r="K954" i="8"/>
  <c r="K955" i="8"/>
  <c r="K956" i="8"/>
  <c r="K957" i="8"/>
  <c r="K958" i="8"/>
  <c r="K959" i="8"/>
  <c r="K960" i="8"/>
  <c r="K961" i="8"/>
  <c r="K962" i="8"/>
  <c r="K963" i="8"/>
  <c r="K964" i="8"/>
  <c r="K965" i="8"/>
  <c r="K966" i="8"/>
  <c r="K967" i="8"/>
  <c r="K968" i="8"/>
  <c r="K969" i="8"/>
  <c r="K970" i="8"/>
  <c r="K971" i="8"/>
  <c r="K972" i="8"/>
  <c r="K973" i="8"/>
  <c r="K974" i="8"/>
  <c r="K975" i="8"/>
  <c r="K976" i="8"/>
  <c r="K977" i="8"/>
  <c r="K978" i="8"/>
  <c r="K979" i="8"/>
  <c r="K980" i="8"/>
  <c r="K981" i="8"/>
  <c r="K982" i="8"/>
  <c r="K983" i="8"/>
  <c r="K984" i="8"/>
  <c r="K985" i="8"/>
  <c r="K986" i="8"/>
  <c r="K987" i="8"/>
  <c r="K988" i="8"/>
  <c r="K989" i="8"/>
  <c r="K990" i="8"/>
  <c r="K991" i="8"/>
  <c r="K992" i="8"/>
  <c r="K993" i="8"/>
  <c r="K994" i="8"/>
  <c r="K995" i="8"/>
  <c r="K996" i="8"/>
  <c r="K997" i="8"/>
  <c r="K998" i="8"/>
  <c r="K999" i="8"/>
  <c r="K1000" i="8"/>
  <c r="K1001" i="8"/>
  <c r="K1002" i="8"/>
  <c r="K1003" i="8"/>
  <c r="K1004" i="8"/>
  <c r="K1005" i="8"/>
  <c r="K1006" i="8"/>
  <c r="K1007" i="8"/>
  <c r="K1008" i="8"/>
  <c r="K1009" i="8"/>
  <c r="K1010" i="8"/>
  <c r="K1011" i="8"/>
  <c r="K1012" i="8"/>
  <c r="K1013" i="8"/>
  <c r="K1014" i="8"/>
  <c r="K1015" i="8"/>
  <c r="K1016" i="8"/>
  <c r="K1017" i="8"/>
  <c r="K1018" i="8"/>
  <c r="K1019" i="8"/>
  <c r="K1020" i="8"/>
  <c r="K1021" i="8"/>
  <c r="K1022" i="8"/>
  <c r="K1023" i="8"/>
  <c r="K1024" i="8"/>
  <c r="K1025" i="8"/>
  <c r="K1026" i="8"/>
  <c r="K1027" i="8"/>
  <c r="K1028" i="8"/>
  <c r="K1029" i="8"/>
  <c r="K1030" i="8"/>
  <c r="K1031" i="8"/>
  <c r="K1032" i="8"/>
  <c r="K1033" i="8"/>
  <c r="K1034" i="8"/>
  <c r="K1035" i="8"/>
  <c r="K1036" i="8"/>
  <c r="K1037" i="8"/>
  <c r="K1038" i="8"/>
  <c r="K1039" i="8"/>
  <c r="K1040" i="8"/>
  <c r="K1041" i="8"/>
  <c r="K1042" i="8"/>
  <c r="K1043" i="8"/>
  <c r="K1044" i="8"/>
  <c r="K1045" i="8"/>
  <c r="K1046" i="8"/>
  <c r="K1047" i="8"/>
  <c r="K1048" i="8"/>
  <c r="K1049" i="8"/>
  <c r="K1050" i="8"/>
  <c r="K1051" i="8"/>
  <c r="K1052" i="8"/>
  <c r="K1053" i="8"/>
  <c r="K1054" i="8"/>
  <c r="K1055" i="8"/>
  <c r="K1056" i="8"/>
  <c r="K1057" i="8"/>
  <c r="K1058" i="8"/>
  <c r="K1059" i="8"/>
  <c r="K1060" i="8"/>
  <c r="K1061" i="8"/>
  <c r="K1062" i="8"/>
  <c r="K1063" i="8"/>
  <c r="K1064" i="8"/>
  <c r="K1065" i="8"/>
  <c r="K1066" i="8"/>
  <c r="K1067" i="8"/>
  <c r="K1068" i="8"/>
  <c r="K1069" i="8"/>
  <c r="K1070" i="8"/>
  <c r="K1071" i="8"/>
  <c r="K1072" i="8"/>
  <c r="K1073" i="8"/>
  <c r="K1074" i="8"/>
  <c r="K1075" i="8"/>
  <c r="K1076" i="8"/>
  <c r="K1077" i="8"/>
  <c r="K1078" i="8"/>
  <c r="K1079" i="8"/>
  <c r="K1080" i="8"/>
  <c r="K1081" i="8"/>
  <c r="K1082" i="8"/>
  <c r="K1083" i="8"/>
  <c r="K1084" i="8"/>
  <c r="K1085" i="8"/>
  <c r="K1086" i="8"/>
  <c r="K1087" i="8"/>
  <c r="K1088" i="8"/>
  <c r="K1089" i="8"/>
  <c r="K1090" i="8"/>
  <c r="K1091" i="8"/>
  <c r="K1092" i="8"/>
  <c r="K1093" i="8"/>
  <c r="K1094" i="8"/>
  <c r="K1095" i="8"/>
  <c r="K1096" i="8"/>
  <c r="K1097" i="8"/>
  <c r="K1098" i="8"/>
  <c r="K1099" i="8"/>
  <c r="K1100" i="8"/>
  <c r="K1101" i="8"/>
  <c r="K1102" i="8"/>
  <c r="K1103" i="8"/>
  <c r="K1104" i="8"/>
  <c r="K1105" i="8"/>
  <c r="K1106" i="8"/>
  <c r="K1107" i="8"/>
  <c r="K1108" i="8"/>
  <c r="K1109" i="8"/>
  <c r="K1110" i="8"/>
  <c r="K1111" i="8"/>
  <c r="K1112" i="8"/>
  <c r="K1113" i="8"/>
  <c r="K1114" i="8"/>
  <c r="K1115" i="8"/>
  <c r="K1116" i="8"/>
  <c r="K1117" i="8"/>
  <c r="K1118" i="8"/>
  <c r="K1119" i="8"/>
  <c r="K1120" i="8"/>
  <c r="K1121" i="8"/>
  <c r="K1122" i="8"/>
  <c r="K1123" i="8"/>
  <c r="K1124" i="8"/>
  <c r="K1125" i="8"/>
  <c r="K1126" i="8"/>
  <c r="K1127" i="8"/>
  <c r="K1128" i="8"/>
  <c r="K1129" i="8"/>
  <c r="K1130" i="8"/>
  <c r="K1131" i="8"/>
  <c r="K1132" i="8"/>
  <c r="K1133" i="8"/>
  <c r="K1134" i="8"/>
  <c r="K1135" i="8"/>
  <c r="K1136" i="8"/>
  <c r="K1137" i="8"/>
  <c r="K1138" i="8"/>
  <c r="K1139" i="8"/>
  <c r="K1140" i="8"/>
  <c r="K1141" i="8"/>
  <c r="K1142" i="8"/>
  <c r="K1143" i="8"/>
  <c r="K1144" i="8"/>
  <c r="K1145" i="8"/>
  <c r="K1146" i="8"/>
  <c r="K1147" i="8"/>
  <c r="K1148" i="8"/>
  <c r="K1149" i="8"/>
  <c r="K1150" i="8"/>
  <c r="K1151" i="8"/>
  <c r="K1152" i="8"/>
  <c r="K1153" i="8"/>
  <c r="K1154" i="8"/>
  <c r="K1155" i="8"/>
  <c r="K1156" i="8"/>
  <c r="K1157" i="8"/>
  <c r="K1158" i="8"/>
  <c r="K1159" i="8"/>
  <c r="K1160" i="8"/>
  <c r="K1161" i="8"/>
  <c r="K1162" i="8"/>
  <c r="K1163" i="8"/>
  <c r="K1164" i="8"/>
  <c r="K1165" i="8"/>
  <c r="K1166" i="8"/>
  <c r="K1167" i="8"/>
  <c r="K1168" i="8"/>
  <c r="K1169" i="8"/>
  <c r="K1170" i="8"/>
  <c r="K1171" i="8"/>
  <c r="K1172" i="8"/>
  <c r="K1173" i="8"/>
  <c r="K1174" i="8"/>
  <c r="K1175" i="8"/>
  <c r="K1176" i="8"/>
  <c r="K1177" i="8"/>
  <c r="K1178" i="8"/>
  <c r="K1179" i="8"/>
  <c r="K1180" i="8"/>
  <c r="K1181" i="8"/>
  <c r="K1182" i="8"/>
  <c r="K1183" i="8"/>
  <c r="K1184" i="8"/>
  <c r="K1185" i="8"/>
  <c r="K1186" i="8"/>
  <c r="K1187" i="8"/>
  <c r="K1188" i="8"/>
  <c r="K1189" i="8"/>
  <c r="K1190" i="8"/>
  <c r="K1191" i="8"/>
  <c r="K1192" i="8"/>
  <c r="K1193" i="8"/>
  <c r="K1194" i="8"/>
  <c r="K1195" i="8"/>
  <c r="K1196" i="8"/>
  <c r="K1197" i="8"/>
  <c r="K1198" i="8"/>
  <c r="K1199" i="8"/>
  <c r="K1200" i="8"/>
  <c r="K1201" i="8"/>
  <c r="K1202" i="8"/>
  <c r="K1203" i="8"/>
  <c r="K1204" i="8"/>
  <c r="K1205" i="8"/>
  <c r="K1206" i="8"/>
  <c r="K1207" i="8"/>
  <c r="K1208" i="8"/>
  <c r="K1209" i="8"/>
  <c r="K1210" i="8"/>
  <c r="K1211" i="8"/>
  <c r="K1212" i="8"/>
  <c r="K1213" i="8"/>
  <c r="G5" i="8"/>
  <c r="N5" i="8" s="1"/>
  <c r="B5" i="11" s="1"/>
  <c r="G6" i="8"/>
  <c r="G7" i="8"/>
  <c r="N7" i="8" s="1"/>
  <c r="B7" i="11" s="1"/>
  <c r="G8" i="8"/>
  <c r="N8" i="8" s="1"/>
  <c r="B8" i="11" s="1"/>
  <c r="G9" i="8"/>
  <c r="N9" i="8" s="1"/>
  <c r="B9" i="11" s="1"/>
  <c r="G10" i="8"/>
  <c r="G11" i="8"/>
  <c r="N11" i="8" s="1"/>
  <c r="B11" i="11" s="1"/>
  <c r="G12" i="8"/>
  <c r="N12" i="8" s="1"/>
  <c r="B12" i="11" s="1"/>
  <c r="G13" i="8"/>
  <c r="N13" i="8" s="1"/>
  <c r="B13" i="11" s="1"/>
  <c r="G14" i="8"/>
  <c r="G15" i="8"/>
  <c r="N15" i="8" s="1"/>
  <c r="B15" i="11" s="1"/>
  <c r="G16" i="8"/>
  <c r="N16" i="8" s="1"/>
  <c r="B16" i="11" s="1"/>
  <c r="G17" i="8"/>
  <c r="N17" i="8" s="1"/>
  <c r="B17" i="11" s="1"/>
  <c r="G18" i="8"/>
  <c r="G19" i="8"/>
  <c r="N19" i="8" s="1"/>
  <c r="B19" i="11" s="1"/>
  <c r="G20" i="8"/>
  <c r="N20" i="8" s="1"/>
  <c r="B20" i="11" s="1"/>
  <c r="G21" i="8"/>
  <c r="N21" i="8" s="1"/>
  <c r="B21" i="11" s="1"/>
  <c r="G22" i="8"/>
  <c r="G23" i="8"/>
  <c r="N23" i="8" s="1"/>
  <c r="B23" i="11" s="1"/>
  <c r="G24" i="8"/>
  <c r="N24" i="8" s="1"/>
  <c r="B24" i="11" s="1"/>
  <c r="G25" i="8"/>
  <c r="N25" i="8" s="1"/>
  <c r="B25" i="11" s="1"/>
  <c r="G26" i="8"/>
  <c r="G27" i="8"/>
  <c r="N27" i="8" s="1"/>
  <c r="B27" i="11" s="1"/>
  <c r="G28" i="8"/>
  <c r="N28" i="8" s="1"/>
  <c r="B28" i="11" s="1"/>
  <c r="G29" i="8"/>
  <c r="N29" i="8" s="1"/>
  <c r="B29" i="11" s="1"/>
  <c r="G30" i="8"/>
  <c r="G31" i="8"/>
  <c r="N31" i="8" s="1"/>
  <c r="B31" i="11" s="1"/>
  <c r="G32" i="8"/>
  <c r="N32" i="8" s="1"/>
  <c r="B32" i="11" s="1"/>
  <c r="G33" i="8"/>
  <c r="N33" i="8" s="1"/>
  <c r="B33" i="11" s="1"/>
  <c r="G34" i="8"/>
  <c r="G35" i="8"/>
  <c r="N35" i="8" s="1"/>
  <c r="B35" i="11" s="1"/>
  <c r="G36" i="8"/>
  <c r="N36" i="8" s="1"/>
  <c r="B36" i="11" s="1"/>
  <c r="G37" i="8"/>
  <c r="N37" i="8" s="1"/>
  <c r="B37" i="11" s="1"/>
  <c r="G38" i="8"/>
  <c r="G39" i="8"/>
  <c r="N39" i="8" s="1"/>
  <c r="B39" i="11" s="1"/>
  <c r="G40" i="8"/>
  <c r="N40" i="8" s="1"/>
  <c r="B40" i="11" s="1"/>
  <c r="G41" i="8"/>
  <c r="N41" i="8" s="1"/>
  <c r="B41" i="11" s="1"/>
  <c r="G42" i="8"/>
  <c r="G43" i="8"/>
  <c r="N43" i="8" s="1"/>
  <c r="B43" i="11" s="1"/>
  <c r="G44" i="8"/>
  <c r="N44" i="8" s="1"/>
  <c r="B44" i="11" s="1"/>
  <c r="G45" i="8"/>
  <c r="N45" i="8" s="1"/>
  <c r="B45" i="11" s="1"/>
  <c r="G46" i="8"/>
  <c r="G47" i="8"/>
  <c r="N47" i="8" s="1"/>
  <c r="B47" i="11" s="1"/>
  <c r="G48" i="8"/>
  <c r="N48" i="8" s="1"/>
  <c r="B48" i="11" s="1"/>
  <c r="G49" i="8"/>
  <c r="N49" i="8" s="1"/>
  <c r="B49" i="11" s="1"/>
  <c r="G50" i="8"/>
  <c r="G51" i="8"/>
  <c r="N51" i="8" s="1"/>
  <c r="B51" i="11" s="1"/>
  <c r="G52" i="8"/>
  <c r="N52" i="8" s="1"/>
  <c r="B52" i="11" s="1"/>
  <c r="G53" i="8"/>
  <c r="N53" i="8" s="1"/>
  <c r="B53" i="11" s="1"/>
  <c r="G54" i="8"/>
  <c r="G55" i="8"/>
  <c r="N55" i="8" s="1"/>
  <c r="B55" i="11" s="1"/>
  <c r="G56" i="8"/>
  <c r="N56" i="8" s="1"/>
  <c r="B56" i="11" s="1"/>
  <c r="G57" i="8"/>
  <c r="N57" i="8" s="1"/>
  <c r="B57" i="11" s="1"/>
  <c r="G58" i="8"/>
  <c r="G59" i="8"/>
  <c r="N59" i="8" s="1"/>
  <c r="B59" i="11" s="1"/>
  <c r="G60" i="8"/>
  <c r="N60" i="8" s="1"/>
  <c r="B60" i="11" s="1"/>
  <c r="G61" i="8"/>
  <c r="N61" i="8" s="1"/>
  <c r="B61" i="11" s="1"/>
  <c r="G62" i="8"/>
  <c r="G63" i="8"/>
  <c r="N63" i="8" s="1"/>
  <c r="B63" i="11" s="1"/>
  <c r="G64" i="8"/>
  <c r="N64" i="8" s="1"/>
  <c r="B64" i="11" s="1"/>
  <c r="G65" i="8"/>
  <c r="N65" i="8" s="1"/>
  <c r="B65" i="11" s="1"/>
  <c r="G66" i="8"/>
  <c r="G67" i="8"/>
  <c r="N67" i="8" s="1"/>
  <c r="B67" i="11" s="1"/>
  <c r="G68" i="8"/>
  <c r="N68" i="8" s="1"/>
  <c r="B68" i="11" s="1"/>
  <c r="G69" i="8"/>
  <c r="N69" i="8" s="1"/>
  <c r="B69" i="11" s="1"/>
  <c r="G70" i="8"/>
  <c r="G71" i="8"/>
  <c r="N71" i="8" s="1"/>
  <c r="B71" i="11" s="1"/>
  <c r="G72" i="8"/>
  <c r="N72" i="8" s="1"/>
  <c r="B72" i="11" s="1"/>
  <c r="G73" i="8"/>
  <c r="N73" i="8" s="1"/>
  <c r="B73" i="11" s="1"/>
  <c r="G74" i="8"/>
  <c r="G75" i="8"/>
  <c r="N75" i="8" s="1"/>
  <c r="B75" i="11" s="1"/>
  <c r="G76" i="8"/>
  <c r="N76" i="8" s="1"/>
  <c r="B76" i="11" s="1"/>
  <c r="G77" i="8"/>
  <c r="N77" i="8" s="1"/>
  <c r="B77" i="11" s="1"/>
  <c r="G78" i="8"/>
  <c r="G79" i="8"/>
  <c r="N79" i="8" s="1"/>
  <c r="B79" i="11" s="1"/>
  <c r="G80" i="8"/>
  <c r="N80" i="8" s="1"/>
  <c r="B80" i="11" s="1"/>
  <c r="G81" i="8"/>
  <c r="N81" i="8" s="1"/>
  <c r="B81" i="11" s="1"/>
  <c r="G82" i="8"/>
  <c r="G83" i="8"/>
  <c r="N83" i="8" s="1"/>
  <c r="B83" i="11" s="1"/>
  <c r="G84" i="8"/>
  <c r="N84" i="8" s="1"/>
  <c r="B84" i="11" s="1"/>
  <c r="G85" i="8"/>
  <c r="N85" i="8" s="1"/>
  <c r="B85" i="11" s="1"/>
  <c r="G86" i="8"/>
  <c r="G87" i="8"/>
  <c r="N87" i="8" s="1"/>
  <c r="B87" i="11" s="1"/>
  <c r="G88" i="8"/>
  <c r="N88" i="8" s="1"/>
  <c r="B88" i="11" s="1"/>
  <c r="G89" i="8"/>
  <c r="N89" i="8" s="1"/>
  <c r="B89" i="11" s="1"/>
  <c r="G90" i="8"/>
  <c r="G91" i="8"/>
  <c r="N91" i="8" s="1"/>
  <c r="B91" i="11" s="1"/>
  <c r="G92" i="8"/>
  <c r="N92" i="8" s="1"/>
  <c r="B92" i="11" s="1"/>
  <c r="G93" i="8"/>
  <c r="N93" i="8" s="1"/>
  <c r="B93" i="11" s="1"/>
  <c r="G94" i="8"/>
  <c r="G95" i="8"/>
  <c r="N95" i="8" s="1"/>
  <c r="B95" i="11" s="1"/>
  <c r="G96" i="8"/>
  <c r="N96" i="8" s="1"/>
  <c r="B96" i="11" s="1"/>
  <c r="G97" i="8"/>
  <c r="N97" i="8" s="1"/>
  <c r="B97" i="11" s="1"/>
  <c r="G98" i="8"/>
  <c r="G99" i="8"/>
  <c r="N99" i="8" s="1"/>
  <c r="B99" i="11" s="1"/>
  <c r="G100" i="8"/>
  <c r="N100" i="8" s="1"/>
  <c r="B100" i="11" s="1"/>
  <c r="G101" i="8"/>
  <c r="N101" i="8" s="1"/>
  <c r="B101" i="11" s="1"/>
  <c r="G102" i="8"/>
  <c r="G103" i="8"/>
  <c r="N103" i="8" s="1"/>
  <c r="B103" i="11" s="1"/>
  <c r="G104" i="8"/>
  <c r="N104" i="8" s="1"/>
  <c r="B104" i="11" s="1"/>
  <c r="G105" i="8"/>
  <c r="N105" i="8" s="1"/>
  <c r="B105" i="11" s="1"/>
  <c r="G106" i="8"/>
  <c r="G107" i="8"/>
  <c r="N107" i="8" s="1"/>
  <c r="B107" i="11" s="1"/>
  <c r="G108" i="8"/>
  <c r="N108" i="8" s="1"/>
  <c r="B108" i="11" s="1"/>
  <c r="G109" i="8"/>
  <c r="N109" i="8" s="1"/>
  <c r="B109" i="11" s="1"/>
  <c r="G110" i="8"/>
  <c r="G111" i="8"/>
  <c r="N111" i="8" s="1"/>
  <c r="B111" i="11" s="1"/>
  <c r="G112" i="8"/>
  <c r="N112" i="8" s="1"/>
  <c r="B112" i="11" s="1"/>
  <c r="G113" i="8"/>
  <c r="N113" i="8" s="1"/>
  <c r="B113" i="11" s="1"/>
  <c r="G114" i="8"/>
  <c r="G115" i="8"/>
  <c r="N115" i="8" s="1"/>
  <c r="B115" i="11" s="1"/>
  <c r="G116" i="8"/>
  <c r="N116" i="8" s="1"/>
  <c r="B116" i="11" s="1"/>
  <c r="G117" i="8"/>
  <c r="N117" i="8" s="1"/>
  <c r="B117" i="11" s="1"/>
  <c r="G118" i="8"/>
  <c r="G119" i="8"/>
  <c r="N119" i="8" s="1"/>
  <c r="B119" i="11" s="1"/>
  <c r="G120" i="8"/>
  <c r="N120" i="8" s="1"/>
  <c r="B120" i="11" s="1"/>
  <c r="G121" i="8"/>
  <c r="N121" i="8" s="1"/>
  <c r="B121" i="11" s="1"/>
  <c r="G122" i="8"/>
  <c r="G123" i="8"/>
  <c r="N123" i="8" s="1"/>
  <c r="B123" i="11" s="1"/>
  <c r="G124" i="8"/>
  <c r="N124" i="8" s="1"/>
  <c r="B124" i="11" s="1"/>
  <c r="G125" i="8"/>
  <c r="N125" i="8" s="1"/>
  <c r="B125" i="11" s="1"/>
  <c r="G126" i="8"/>
  <c r="G127" i="8"/>
  <c r="N127" i="8" s="1"/>
  <c r="B127" i="11" s="1"/>
  <c r="G128" i="8"/>
  <c r="N128" i="8" s="1"/>
  <c r="B128" i="11" s="1"/>
  <c r="G129" i="8"/>
  <c r="N129" i="8" s="1"/>
  <c r="B129" i="11" s="1"/>
  <c r="G130" i="8"/>
  <c r="G131" i="8"/>
  <c r="N131" i="8" s="1"/>
  <c r="B131" i="11" s="1"/>
  <c r="G132" i="8"/>
  <c r="N132" i="8" s="1"/>
  <c r="B132" i="11" s="1"/>
  <c r="G133" i="8"/>
  <c r="N133" i="8" s="1"/>
  <c r="B133" i="11" s="1"/>
  <c r="G134" i="8"/>
  <c r="G135" i="8"/>
  <c r="N135" i="8" s="1"/>
  <c r="B135" i="11" s="1"/>
  <c r="G136" i="8"/>
  <c r="N136" i="8" s="1"/>
  <c r="B136" i="11" s="1"/>
  <c r="G137" i="8"/>
  <c r="N137" i="8" s="1"/>
  <c r="B137" i="11" s="1"/>
  <c r="G138" i="8"/>
  <c r="G139" i="8"/>
  <c r="N139" i="8" s="1"/>
  <c r="B139" i="11" s="1"/>
  <c r="G140" i="8"/>
  <c r="N140" i="8" s="1"/>
  <c r="B140" i="11" s="1"/>
  <c r="G141" i="8"/>
  <c r="N141" i="8" s="1"/>
  <c r="B141" i="11" s="1"/>
  <c r="G142" i="8"/>
  <c r="G143" i="8"/>
  <c r="N143" i="8" s="1"/>
  <c r="B143" i="11" s="1"/>
  <c r="G144" i="8"/>
  <c r="N144" i="8" s="1"/>
  <c r="B144" i="11" s="1"/>
  <c r="G145" i="8"/>
  <c r="N145" i="8" s="1"/>
  <c r="B145" i="11" s="1"/>
  <c r="G146" i="8"/>
  <c r="G147" i="8"/>
  <c r="N147" i="8" s="1"/>
  <c r="B147" i="11" s="1"/>
  <c r="G148" i="8"/>
  <c r="N148" i="8" s="1"/>
  <c r="B148" i="11" s="1"/>
  <c r="G149" i="8"/>
  <c r="N149" i="8" s="1"/>
  <c r="B149" i="11" s="1"/>
  <c r="G150" i="8"/>
  <c r="G151" i="8"/>
  <c r="N151" i="8" s="1"/>
  <c r="B151" i="11" s="1"/>
  <c r="G152" i="8"/>
  <c r="N152" i="8" s="1"/>
  <c r="B152" i="11" s="1"/>
  <c r="G153" i="8"/>
  <c r="N153" i="8" s="1"/>
  <c r="B153" i="11" s="1"/>
  <c r="G154" i="8"/>
  <c r="G155" i="8"/>
  <c r="N155" i="8" s="1"/>
  <c r="B155" i="11" s="1"/>
  <c r="G156" i="8"/>
  <c r="N156" i="8" s="1"/>
  <c r="B156" i="11" s="1"/>
  <c r="G157" i="8"/>
  <c r="N157" i="8" s="1"/>
  <c r="B157" i="11" s="1"/>
  <c r="G158" i="8"/>
  <c r="G159" i="8"/>
  <c r="N159" i="8" s="1"/>
  <c r="B159" i="11" s="1"/>
  <c r="G160" i="8"/>
  <c r="N160" i="8" s="1"/>
  <c r="B160" i="11" s="1"/>
  <c r="G161" i="8"/>
  <c r="N161" i="8" s="1"/>
  <c r="B161" i="11" s="1"/>
  <c r="G162" i="8"/>
  <c r="G163" i="8"/>
  <c r="N163" i="8" s="1"/>
  <c r="B163" i="11" s="1"/>
  <c r="G164" i="8"/>
  <c r="N164" i="8" s="1"/>
  <c r="B164" i="11" s="1"/>
  <c r="G165" i="8"/>
  <c r="N165" i="8" s="1"/>
  <c r="B165" i="11" s="1"/>
  <c r="G166" i="8"/>
  <c r="G167" i="8"/>
  <c r="N167" i="8" s="1"/>
  <c r="B167" i="11" s="1"/>
  <c r="G168" i="8"/>
  <c r="N168" i="8" s="1"/>
  <c r="B168" i="11" s="1"/>
  <c r="G169" i="8"/>
  <c r="N169" i="8" s="1"/>
  <c r="B169" i="11" s="1"/>
  <c r="G170" i="8"/>
  <c r="G171" i="8"/>
  <c r="N171" i="8" s="1"/>
  <c r="B171" i="11" s="1"/>
  <c r="G172" i="8"/>
  <c r="N172" i="8" s="1"/>
  <c r="B172" i="11" s="1"/>
  <c r="G173" i="8"/>
  <c r="N173" i="8" s="1"/>
  <c r="B173" i="11" s="1"/>
  <c r="G174" i="8"/>
  <c r="G175" i="8"/>
  <c r="N175" i="8" s="1"/>
  <c r="B175" i="11" s="1"/>
  <c r="G176" i="8"/>
  <c r="N176" i="8" s="1"/>
  <c r="B176" i="11" s="1"/>
  <c r="G177" i="8"/>
  <c r="N177" i="8" s="1"/>
  <c r="B177" i="11" s="1"/>
  <c r="G178" i="8"/>
  <c r="G179" i="8"/>
  <c r="N179" i="8" s="1"/>
  <c r="B179" i="11" s="1"/>
  <c r="G180" i="8"/>
  <c r="N180" i="8" s="1"/>
  <c r="B180" i="11" s="1"/>
  <c r="G181" i="8"/>
  <c r="N181" i="8" s="1"/>
  <c r="B181" i="11" s="1"/>
  <c r="G182" i="8"/>
  <c r="G183" i="8"/>
  <c r="N183" i="8" s="1"/>
  <c r="B183" i="11" s="1"/>
  <c r="G184" i="8"/>
  <c r="N184" i="8" s="1"/>
  <c r="B184" i="11" s="1"/>
  <c r="G185" i="8"/>
  <c r="N185" i="8" s="1"/>
  <c r="B185" i="11" s="1"/>
  <c r="G186" i="8"/>
  <c r="G187" i="8"/>
  <c r="N187" i="8" s="1"/>
  <c r="B187" i="11" s="1"/>
  <c r="G188" i="8"/>
  <c r="N188" i="8" s="1"/>
  <c r="B188" i="11" s="1"/>
  <c r="G189" i="8"/>
  <c r="N189" i="8" s="1"/>
  <c r="B189" i="11" s="1"/>
  <c r="G190" i="8"/>
  <c r="G191" i="8"/>
  <c r="N191" i="8" s="1"/>
  <c r="B191" i="11" s="1"/>
  <c r="G192" i="8"/>
  <c r="N192" i="8" s="1"/>
  <c r="B192" i="11" s="1"/>
  <c r="G193" i="8"/>
  <c r="N193" i="8" s="1"/>
  <c r="B193" i="11" s="1"/>
  <c r="G194" i="8"/>
  <c r="G195" i="8"/>
  <c r="N195" i="8" s="1"/>
  <c r="B195" i="11" s="1"/>
  <c r="G196" i="8"/>
  <c r="N196" i="8" s="1"/>
  <c r="B196" i="11" s="1"/>
  <c r="G197" i="8"/>
  <c r="N197" i="8" s="1"/>
  <c r="B197" i="11" s="1"/>
  <c r="G198" i="8"/>
  <c r="G199" i="8"/>
  <c r="N199" i="8" s="1"/>
  <c r="B199" i="11" s="1"/>
  <c r="G200" i="8"/>
  <c r="N200" i="8" s="1"/>
  <c r="B200" i="11" s="1"/>
  <c r="G201" i="8"/>
  <c r="N201" i="8" s="1"/>
  <c r="B201" i="11" s="1"/>
  <c r="G202" i="8"/>
  <c r="G203" i="8"/>
  <c r="N203" i="8" s="1"/>
  <c r="B203" i="11" s="1"/>
  <c r="G204" i="8"/>
  <c r="N204" i="8" s="1"/>
  <c r="B204" i="11" s="1"/>
  <c r="G205" i="8"/>
  <c r="N205" i="8" s="1"/>
  <c r="B205" i="11" s="1"/>
  <c r="G206" i="8"/>
  <c r="G207" i="8"/>
  <c r="N207" i="8" s="1"/>
  <c r="B207" i="11" s="1"/>
  <c r="G208" i="8"/>
  <c r="N208" i="8" s="1"/>
  <c r="B208" i="11" s="1"/>
  <c r="G209" i="8"/>
  <c r="N209" i="8" s="1"/>
  <c r="B209" i="11" s="1"/>
  <c r="G210" i="8"/>
  <c r="G211" i="8"/>
  <c r="N211" i="8" s="1"/>
  <c r="B211" i="11" s="1"/>
  <c r="G212" i="8"/>
  <c r="N212" i="8" s="1"/>
  <c r="B212" i="11" s="1"/>
  <c r="G213" i="8"/>
  <c r="N213" i="8" s="1"/>
  <c r="B213" i="11" s="1"/>
  <c r="G214" i="8"/>
  <c r="G215" i="8"/>
  <c r="N215" i="8" s="1"/>
  <c r="B215" i="11" s="1"/>
  <c r="G216" i="8"/>
  <c r="N216" i="8" s="1"/>
  <c r="B216" i="11" s="1"/>
  <c r="G217" i="8"/>
  <c r="N217" i="8" s="1"/>
  <c r="B217" i="11" s="1"/>
  <c r="G218" i="8"/>
  <c r="G219" i="8"/>
  <c r="N219" i="8" s="1"/>
  <c r="B219" i="11" s="1"/>
  <c r="G220" i="8"/>
  <c r="N220" i="8" s="1"/>
  <c r="B220" i="11" s="1"/>
  <c r="G221" i="8"/>
  <c r="N221" i="8" s="1"/>
  <c r="B221" i="11" s="1"/>
  <c r="G222" i="8"/>
  <c r="G223" i="8"/>
  <c r="N223" i="8" s="1"/>
  <c r="B223" i="11" s="1"/>
  <c r="G224" i="8"/>
  <c r="N224" i="8" s="1"/>
  <c r="B224" i="11" s="1"/>
  <c r="G225" i="8"/>
  <c r="N225" i="8" s="1"/>
  <c r="B225" i="11" s="1"/>
  <c r="G226" i="8"/>
  <c r="G227" i="8"/>
  <c r="N227" i="8" s="1"/>
  <c r="B227" i="11" s="1"/>
  <c r="G228" i="8"/>
  <c r="N228" i="8" s="1"/>
  <c r="B228" i="11" s="1"/>
  <c r="G229" i="8"/>
  <c r="N229" i="8" s="1"/>
  <c r="B229" i="11" s="1"/>
  <c r="G230" i="8"/>
  <c r="G231" i="8"/>
  <c r="N231" i="8" s="1"/>
  <c r="B231" i="11" s="1"/>
  <c r="G232" i="8"/>
  <c r="N232" i="8" s="1"/>
  <c r="B232" i="11" s="1"/>
  <c r="G233" i="8"/>
  <c r="N233" i="8" s="1"/>
  <c r="B233" i="11" s="1"/>
  <c r="G234" i="8"/>
  <c r="G235" i="8"/>
  <c r="N235" i="8" s="1"/>
  <c r="B235" i="11" s="1"/>
  <c r="G236" i="8"/>
  <c r="N236" i="8" s="1"/>
  <c r="B236" i="11" s="1"/>
  <c r="G237" i="8"/>
  <c r="N237" i="8" s="1"/>
  <c r="B237" i="11" s="1"/>
  <c r="G238" i="8"/>
  <c r="G239" i="8"/>
  <c r="N239" i="8" s="1"/>
  <c r="B239" i="11" s="1"/>
  <c r="G240" i="8"/>
  <c r="N240" i="8" s="1"/>
  <c r="B240" i="11" s="1"/>
  <c r="G241" i="8"/>
  <c r="N241" i="8" s="1"/>
  <c r="B241" i="11" s="1"/>
  <c r="G242" i="8"/>
  <c r="G243" i="8"/>
  <c r="N243" i="8" s="1"/>
  <c r="B243" i="11" s="1"/>
  <c r="G244" i="8"/>
  <c r="N244" i="8" s="1"/>
  <c r="B244" i="11" s="1"/>
  <c r="G245" i="8"/>
  <c r="N245" i="8" s="1"/>
  <c r="B245" i="11" s="1"/>
  <c r="G246" i="8"/>
  <c r="G247" i="8"/>
  <c r="N247" i="8" s="1"/>
  <c r="B247" i="11" s="1"/>
  <c r="G248" i="8"/>
  <c r="N248" i="8" s="1"/>
  <c r="B248" i="11" s="1"/>
  <c r="G249" i="8"/>
  <c r="N249" i="8" s="1"/>
  <c r="B249" i="11" s="1"/>
  <c r="G250" i="8"/>
  <c r="G251" i="8"/>
  <c r="N251" i="8" s="1"/>
  <c r="B251" i="11" s="1"/>
  <c r="G252" i="8"/>
  <c r="N252" i="8" s="1"/>
  <c r="B252" i="11" s="1"/>
  <c r="G253" i="8"/>
  <c r="N253" i="8" s="1"/>
  <c r="B253" i="11" s="1"/>
  <c r="G254" i="8"/>
  <c r="G255" i="8"/>
  <c r="N255" i="8" s="1"/>
  <c r="B255" i="11" s="1"/>
  <c r="G256" i="8"/>
  <c r="N256" i="8" s="1"/>
  <c r="B256" i="11" s="1"/>
  <c r="G257" i="8"/>
  <c r="N257" i="8" s="1"/>
  <c r="B257" i="11" s="1"/>
  <c r="G258" i="8"/>
  <c r="G259" i="8"/>
  <c r="N259" i="8" s="1"/>
  <c r="B259" i="11" s="1"/>
  <c r="G260" i="8"/>
  <c r="N260" i="8" s="1"/>
  <c r="B260" i="11" s="1"/>
  <c r="G261" i="8"/>
  <c r="N261" i="8" s="1"/>
  <c r="B261" i="11" s="1"/>
  <c r="G262" i="8"/>
  <c r="G263" i="8"/>
  <c r="N263" i="8" s="1"/>
  <c r="B263" i="11" s="1"/>
  <c r="G264" i="8"/>
  <c r="N264" i="8" s="1"/>
  <c r="B264" i="11" s="1"/>
  <c r="G265" i="8"/>
  <c r="N265" i="8" s="1"/>
  <c r="B265" i="11" s="1"/>
  <c r="G266" i="8"/>
  <c r="G267" i="8"/>
  <c r="N267" i="8" s="1"/>
  <c r="B267" i="11" s="1"/>
  <c r="G268" i="8"/>
  <c r="N268" i="8" s="1"/>
  <c r="B268" i="11" s="1"/>
  <c r="G269" i="8"/>
  <c r="N269" i="8" s="1"/>
  <c r="B269" i="11" s="1"/>
  <c r="G270" i="8"/>
  <c r="G271" i="8"/>
  <c r="N271" i="8" s="1"/>
  <c r="B271" i="11" s="1"/>
  <c r="G272" i="8"/>
  <c r="N272" i="8" s="1"/>
  <c r="B272" i="11" s="1"/>
  <c r="G273" i="8"/>
  <c r="N273" i="8" s="1"/>
  <c r="B273" i="11" s="1"/>
  <c r="G274" i="8"/>
  <c r="G275" i="8"/>
  <c r="N275" i="8" s="1"/>
  <c r="B275" i="11" s="1"/>
  <c r="G276" i="8"/>
  <c r="N276" i="8" s="1"/>
  <c r="B276" i="11" s="1"/>
  <c r="G277" i="8"/>
  <c r="N277" i="8" s="1"/>
  <c r="B277" i="11" s="1"/>
  <c r="G278" i="8"/>
  <c r="G279" i="8"/>
  <c r="N279" i="8" s="1"/>
  <c r="B279" i="11" s="1"/>
  <c r="G280" i="8"/>
  <c r="N280" i="8" s="1"/>
  <c r="B280" i="11" s="1"/>
  <c r="G281" i="8"/>
  <c r="N281" i="8" s="1"/>
  <c r="B281" i="11" s="1"/>
  <c r="G282" i="8"/>
  <c r="G283" i="8"/>
  <c r="N283" i="8" s="1"/>
  <c r="B283" i="11" s="1"/>
  <c r="G284" i="8"/>
  <c r="N284" i="8" s="1"/>
  <c r="B284" i="11" s="1"/>
  <c r="G285" i="8"/>
  <c r="N285" i="8" s="1"/>
  <c r="B285" i="11" s="1"/>
  <c r="G286" i="8"/>
  <c r="G287" i="8"/>
  <c r="N287" i="8" s="1"/>
  <c r="B287" i="11" s="1"/>
  <c r="G288" i="8"/>
  <c r="N288" i="8" s="1"/>
  <c r="B288" i="11" s="1"/>
  <c r="G289" i="8"/>
  <c r="N289" i="8" s="1"/>
  <c r="B289" i="11" s="1"/>
  <c r="G290" i="8"/>
  <c r="G291" i="8"/>
  <c r="N291" i="8" s="1"/>
  <c r="B291" i="11" s="1"/>
  <c r="G292" i="8"/>
  <c r="N292" i="8" s="1"/>
  <c r="B292" i="11" s="1"/>
  <c r="G293" i="8"/>
  <c r="N293" i="8" s="1"/>
  <c r="B293" i="11" s="1"/>
  <c r="G294" i="8"/>
  <c r="G295" i="8"/>
  <c r="N295" i="8" s="1"/>
  <c r="B295" i="11" s="1"/>
  <c r="G296" i="8"/>
  <c r="N296" i="8" s="1"/>
  <c r="B296" i="11" s="1"/>
  <c r="G297" i="8"/>
  <c r="N297" i="8" s="1"/>
  <c r="B297" i="11" s="1"/>
  <c r="G298" i="8"/>
  <c r="G299" i="8"/>
  <c r="N299" i="8" s="1"/>
  <c r="B299" i="11" s="1"/>
  <c r="G300" i="8"/>
  <c r="N300" i="8" s="1"/>
  <c r="B300" i="11" s="1"/>
  <c r="G301" i="8"/>
  <c r="N301" i="8" s="1"/>
  <c r="B301" i="11" s="1"/>
  <c r="G302" i="8"/>
  <c r="G303" i="8"/>
  <c r="N303" i="8" s="1"/>
  <c r="B303" i="11" s="1"/>
  <c r="G304" i="8"/>
  <c r="N304" i="8" s="1"/>
  <c r="B304" i="11" s="1"/>
  <c r="G305" i="8"/>
  <c r="N305" i="8" s="1"/>
  <c r="B305" i="11" s="1"/>
  <c r="G306" i="8"/>
  <c r="G307" i="8"/>
  <c r="N307" i="8" s="1"/>
  <c r="B307" i="11" s="1"/>
  <c r="G308" i="8"/>
  <c r="N308" i="8" s="1"/>
  <c r="B308" i="11" s="1"/>
  <c r="G309" i="8"/>
  <c r="N309" i="8" s="1"/>
  <c r="B309" i="11" s="1"/>
  <c r="G310" i="8"/>
  <c r="G311" i="8"/>
  <c r="N311" i="8" s="1"/>
  <c r="B311" i="11" s="1"/>
  <c r="G312" i="8"/>
  <c r="N312" i="8" s="1"/>
  <c r="B312" i="11" s="1"/>
  <c r="G313" i="8"/>
  <c r="N313" i="8" s="1"/>
  <c r="B313" i="11" s="1"/>
  <c r="G314" i="8"/>
  <c r="G315" i="8"/>
  <c r="N315" i="8" s="1"/>
  <c r="B315" i="11" s="1"/>
  <c r="G316" i="8"/>
  <c r="N316" i="8" s="1"/>
  <c r="B316" i="11" s="1"/>
  <c r="G317" i="8"/>
  <c r="N317" i="8" s="1"/>
  <c r="B317" i="11" s="1"/>
  <c r="G318" i="8"/>
  <c r="G319" i="8"/>
  <c r="N319" i="8" s="1"/>
  <c r="B319" i="11" s="1"/>
  <c r="G320" i="8"/>
  <c r="N320" i="8" s="1"/>
  <c r="B320" i="11" s="1"/>
  <c r="G321" i="8"/>
  <c r="N321" i="8" s="1"/>
  <c r="B321" i="11" s="1"/>
  <c r="G322" i="8"/>
  <c r="G323" i="8"/>
  <c r="N323" i="8" s="1"/>
  <c r="B323" i="11" s="1"/>
  <c r="G324" i="8"/>
  <c r="N324" i="8" s="1"/>
  <c r="B324" i="11" s="1"/>
  <c r="G325" i="8"/>
  <c r="N325" i="8" s="1"/>
  <c r="B325" i="11" s="1"/>
  <c r="G326" i="8"/>
  <c r="G327" i="8"/>
  <c r="N327" i="8" s="1"/>
  <c r="B327" i="11" s="1"/>
  <c r="G328" i="8"/>
  <c r="N328" i="8" s="1"/>
  <c r="B328" i="11" s="1"/>
  <c r="G329" i="8"/>
  <c r="N329" i="8" s="1"/>
  <c r="B329" i="11" s="1"/>
  <c r="G330" i="8"/>
  <c r="G331" i="8"/>
  <c r="N331" i="8" s="1"/>
  <c r="B331" i="11" s="1"/>
  <c r="G332" i="8"/>
  <c r="N332" i="8" s="1"/>
  <c r="B332" i="11" s="1"/>
  <c r="G333" i="8"/>
  <c r="N333" i="8" s="1"/>
  <c r="B333" i="11" s="1"/>
  <c r="G334" i="8"/>
  <c r="G335" i="8"/>
  <c r="N335" i="8" s="1"/>
  <c r="B335" i="11" s="1"/>
  <c r="G336" i="8"/>
  <c r="N336" i="8" s="1"/>
  <c r="B336" i="11" s="1"/>
  <c r="G337" i="8"/>
  <c r="N337" i="8" s="1"/>
  <c r="B337" i="11" s="1"/>
  <c r="G338" i="8"/>
  <c r="G339" i="8"/>
  <c r="N339" i="8" s="1"/>
  <c r="B339" i="11" s="1"/>
  <c r="G340" i="8"/>
  <c r="N340" i="8" s="1"/>
  <c r="B340" i="11" s="1"/>
  <c r="G341" i="8"/>
  <c r="N341" i="8" s="1"/>
  <c r="B341" i="11" s="1"/>
  <c r="G342" i="8"/>
  <c r="G343" i="8"/>
  <c r="N343" i="8" s="1"/>
  <c r="B343" i="11" s="1"/>
  <c r="G344" i="8"/>
  <c r="N344" i="8" s="1"/>
  <c r="B344" i="11" s="1"/>
  <c r="G345" i="8"/>
  <c r="N345" i="8" s="1"/>
  <c r="B345" i="11" s="1"/>
  <c r="G346" i="8"/>
  <c r="G347" i="8"/>
  <c r="N347" i="8" s="1"/>
  <c r="B347" i="11" s="1"/>
  <c r="G348" i="8"/>
  <c r="N348" i="8" s="1"/>
  <c r="B348" i="11" s="1"/>
  <c r="G349" i="8"/>
  <c r="N349" i="8" s="1"/>
  <c r="B349" i="11" s="1"/>
  <c r="G350" i="8"/>
  <c r="G351" i="8"/>
  <c r="N351" i="8" s="1"/>
  <c r="B351" i="11" s="1"/>
  <c r="G352" i="8"/>
  <c r="N352" i="8" s="1"/>
  <c r="B352" i="11" s="1"/>
  <c r="G353" i="8"/>
  <c r="N353" i="8" s="1"/>
  <c r="B353" i="11" s="1"/>
  <c r="G354" i="8"/>
  <c r="G355" i="8"/>
  <c r="N355" i="8" s="1"/>
  <c r="B355" i="11" s="1"/>
  <c r="G356" i="8"/>
  <c r="N356" i="8" s="1"/>
  <c r="B356" i="11" s="1"/>
  <c r="G357" i="8"/>
  <c r="N357" i="8" s="1"/>
  <c r="B357" i="11" s="1"/>
  <c r="G358" i="8"/>
  <c r="G359" i="8"/>
  <c r="N359" i="8" s="1"/>
  <c r="B359" i="11" s="1"/>
  <c r="G360" i="8"/>
  <c r="N360" i="8" s="1"/>
  <c r="B360" i="11" s="1"/>
  <c r="G361" i="8"/>
  <c r="N361" i="8" s="1"/>
  <c r="B361" i="11" s="1"/>
  <c r="G362" i="8"/>
  <c r="G363" i="8"/>
  <c r="N363" i="8" s="1"/>
  <c r="B363" i="11" s="1"/>
  <c r="G364" i="8"/>
  <c r="N364" i="8" s="1"/>
  <c r="B364" i="11" s="1"/>
  <c r="G365" i="8"/>
  <c r="N365" i="8" s="1"/>
  <c r="B365" i="11" s="1"/>
  <c r="G366" i="8"/>
  <c r="G367" i="8"/>
  <c r="N367" i="8" s="1"/>
  <c r="B367" i="11" s="1"/>
  <c r="G368" i="8"/>
  <c r="N368" i="8" s="1"/>
  <c r="B368" i="11" s="1"/>
  <c r="G369" i="8"/>
  <c r="N369" i="8" s="1"/>
  <c r="B369" i="11" s="1"/>
  <c r="G370" i="8"/>
  <c r="G371" i="8"/>
  <c r="N371" i="8" s="1"/>
  <c r="B371" i="11" s="1"/>
  <c r="G372" i="8"/>
  <c r="N372" i="8" s="1"/>
  <c r="B372" i="11" s="1"/>
  <c r="G373" i="8"/>
  <c r="N373" i="8" s="1"/>
  <c r="B373" i="11" s="1"/>
  <c r="G374" i="8"/>
  <c r="G375" i="8"/>
  <c r="N375" i="8" s="1"/>
  <c r="B375" i="11" s="1"/>
  <c r="G376" i="8"/>
  <c r="N376" i="8" s="1"/>
  <c r="B376" i="11" s="1"/>
  <c r="G377" i="8"/>
  <c r="N377" i="8" s="1"/>
  <c r="B377" i="11" s="1"/>
  <c r="G378" i="8"/>
  <c r="G379" i="8"/>
  <c r="N379" i="8" s="1"/>
  <c r="B379" i="11" s="1"/>
  <c r="G380" i="8"/>
  <c r="N380" i="8" s="1"/>
  <c r="B380" i="11" s="1"/>
  <c r="G381" i="8"/>
  <c r="N381" i="8" s="1"/>
  <c r="B381" i="11" s="1"/>
  <c r="G382" i="8"/>
  <c r="G383" i="8"/>
  <c r="N383" i="8" s="1"/>
  <c r="B383" i="11" s="1"/>
  <c r="G384" i="8"/>
  <c r="N384" i="8" s="1"/>
  <c r="B384" i="11" s="1"/>
  <c r="G385" i="8"/>
  <c r="N385" i="8" s="1"/>
  <c r="B385" i="11" s="1"/>
  <c r="G386" i="8"/>
  <c r="G387" i="8"/>
  <c r="N387" i="8" s="1"/>
  <c r="B387" i="11" s="1"/>
  <c r="G388" i="8"/>
  <c r="N388" i="8" s="1"/>
  <c r="B388" i="11" s="1"/>
  <c r="G389" i="8"/>
  <c r="N389" i="8" s="1"/>
  <c r="B389" i="11" s="1"/>
  <c r="G390" i="8"/>
  <c r="G391" i="8"/>
  <c r="N391" i="8" s="1"/>
  <c r="B391" i="11" s="1"/>
  <c r="G392" i="8"/>
  <c r="N392" i="8" s="1"/>
  <c r="B392" i="11" s="1"/>
  <c r="G393" i="8"/>
  <c r="N393" i="8" s="1"/>
  <c r="B393" i="11" s="1"/>
  <c r="G394" i="8"/>
  <c r="G395" i="8"/>
  <c r="N395" i="8" s="1"/>
  <c r="B395" i="11" s="1"/>
  <c r="G396" i="8"/>
  <c r="N396" i="8" s="1"/>
  <c r="B396" i="11" s="1"/>
  <c r="G397" i="8"/>
  <c r="N397" i="8" s="1"/>
  <c r="B397" i="11" s="1"/>
  <c r="G398" i="8"/>
  <c r="G399" i="8"/>
  <c r="N399" i="8" s="1"/>
  <c r="B399" i="11" s="1"/>
  <c r="G400" i="8"/>
  <c r="N400" i="8" s="1"/>
  <c r="B400" i="11" s="1"/>
  <c r="G401" i="8"/>
  <c r="N401" i="8" s="1"/>
  <c r="B401" i="11" s="1"/>
  <c r="G402" i="8"/>
  <c r="G403" i="8"/>
  <c r="N403" i="8" s="1"/>
  <c r="B403" i="11" s="1"/>
  <c r="G404" i="8"/>
  <c r="N404" i="8" s="1"/>
  <c r="B404" i="11" s="1"/>
  <c r="G405" i="8"/>
  <c r="N405" i="8" s="1"/>
  <c r="B405" i="11" s="1"/>
  <c r="G406" i="8"/>
  <c r="G407" i="8"/>
  <c r="N407" i="8" s="1"/>
  <c r="B407" i="11" s="1"/>
  <c r="G408" i="8"/>
  <c r="N408" i="8" s="1"/>
  <c r="B408" i="11" s="1"/>
  <c r="G409" i="8"/>
  <c r="N409" i="8" s="1"/>
  <c r="B409" i="11" s="1"/>
  <c r="G410" i="8"/>
  <c r="G411" i="8"/>
  <c r="N411" i="8" s="1"/>
  <c r="B411" i="11" s="1"/>
  <c r="G412" i="8"/>
  <c r="N412" i="8" s="1"/>
  <c r="B412" i="11" s="1"/>
  <c r="G413" i="8"/>
  <c r="N413" i="8" s="1"/>
  <c r="B413" i="11" s="1"/>
  <c r="G414" i="8"/>
  <c r="G415" i="8"/>
  <c r="N415" i="8" s="1"/>
  <c r="B415" i="11" s="1"/>
  <c r="G416" i="8"/>
  <c r="N416" i="8" s="1"/>
  <c r="B416" i="11" s="1"/>
  <c r="G417" i="8"/>
  <c r="N417" i="8" s="1"/>
  <c r="B417" i="11" s="1"/>
  <c r="G418" i="8"/>
  <c r="G419" i="8"/>
  <c r="N419" i="8" s="1"/>
  <c r="B419" i="11" s="1"/>
  <c r="G420" i="8"/>
  <c r="N420" i="8" s="1"/>
  <c r="B420" i="11" s="1"/>
  <c r="G421" i="8"/>
  <c r="N421" i="8" s="1"/>
  <c r="B421" i="11" s="1"/>
  <c r="G422" i="8"/>
  <c r="G423" i="8"/>
  <c r="N423" i="8" s="1"/>
  <c r="B423" i="11" s="1"/>
  <c r="G424" i="8"/>
  <c r="N424" i="8" s="1"/>
  <c r="B424" i="11" s="1"/>
  <c r="G425" i="8"/>
  <c r="N425" i="8" s="1"/>
  <c r="B425" i="11" s="1"/>
  <c r="G426" i="8"/>
  <c r="G427" i="8"/>
  <c r="N427" i="8" s="1"/>
  <c r="B427" i="11" s="1"/>
  <c r="G428" i="8"/>
  <c r="N428" i="8" s="1"/>
  <c r="B428" i="11" s="1"/>
  <c r="G429" i="8"/>
  <c r="N429" i="8" s="1"/>
  <c r="B429" i="11" s="1"/>
  <c r="G430" i="8"/>
  <c r="G431" i="8"/>
  <c r="N431" i="8" s="1"/>
  <c r="B431" i="11" s="1"/>
  <c r="G432" i="8"/>
  <c r="N432" i="8" s="1"/>
  <c r="B432" i="11" s="1"/>
  <c r="G433" i="8"/>
  <c r="N433" i="8" s="1"/>
  <c r="B433" i="11" s="1"/>
  <c r="G434" i="8"/>
  <c r="G435" i="8"/>
  <c r="N435" i="8" s="1"/>
  <c r="B435" i="11" s="1"/>
  <c r="G436" i="8"/>
  <c r="N436" i="8" s="1"/>
  <c r="B436" i="11" s="1"/>
  <c r="G437" i="8"/>
  <c r="N437" i="8" s="1"/>
  <c r="B437" i="11" s="1"/>
  <c r="G438" i="8"/>
  <c r="G439" i="8"/>
  <c r="N439" i="8" s="1"/>
  <c r="B439" i="11" s="1"/>
  <c r="G440" i="8"/>
  <c r="N440" i="8" s="1"/>
  <c r="B440" i="11" s="1"/>
  <c r="G441" i="8"/>
  <c r="N441" i="8" s="1"/>
  <c r="B441" i="11" s="1"/>
  <c r="G442" i="8"/>
  <c r="G443" i="8"/>
  <c r="N443" i="8" s="1"/>
  <c r="B443" i="11" s="1"/>
  <c r="G444" i="8"/>
  <c r="N444" i="8" s="1"/>
  <c r="B444" i="11" s="1"/>
  <c r="G445" i="8"/>
  <c r="N445" i="8" s="1"/>
  <c r="B445" i="11" s="1"/>
  <c r="G446" i="8"/>
  <c r="G447" i="8"/>
  <c r="N447" i="8" s="1"/>
  <c r="B447" i="11" s="1"/>
  <c r="G448" i="8"/>
  <c r="N448" i="8" s="1"/>
  <c r="B448" i="11" s="1"/>
  <c r="G449" i="8"/>
  <c r="N449" i="8" s="1"/>
  <c r="B449" i="11" s="1"/>
  <c r="G450" i="8"/>
  <c r="G451" i="8"/>
  <c r="N451" i="8" s="1"/>
  <c r="B451" i="11" s="1"/>
  <c r="G452" i="8"/>
  <c r="N452" i="8" s="1"/>
  <c r="B452" i="11" s="1"/>
  <c r="G453" i="8"/>
  <c r="N453" i="8" s="1"/>
  <c r="B453" i="11" s="1"/>
  <c r="G454" i="8"/>
  <c r="G455" i="8"/>
  <c r="N455" i="8" s="1"/>
  <c r="B455" i="11" s="1"/>
  <c r="G456" i="8"/>
  <c r="N456" i="8" s="1"/>
  <c r="B456" i="11" s="1"/>
  <c r="G457" i="8"/>
  <c r="N457" i="8" s="1"/>
  <c r="B457" i="11" s="1"/>
  <c r="G458" i="8"/>
  <c r="G459" i="8"/>
  <c r="N459" i="8" s="1"/>
  <c r="B459" i="11" s="1"/>
  <c r="G460" i="8"/>
  <c r="N460" i="8" s="1"/>
  <c r="B460" i="11" s="1"/>
  <c r="G461" i="8"/>
  <c r="N461" i="8" s="1"/>
  <c r="B461" i="11" s="1"/>
  <c r="G462" i="8"/>
  <c r="G463" i="8"/>
  <c r="N463" i="8" s="1"/>
  <c r="B463" i="11" s="1"/>
  <c r="G464" i="8"/>
  <c r="N464" i="8" s="1"/>
  <c r="B464" i="11" s="1"/>
  <c r="G465" i="8"/>
  <c r="N465" i="8" s="1"/>
  <c r="B465" i="11" s="1"/>
  <c r="G466" i="8"/>
  <c r="G467" i="8"/>
  <c r="N467" i="8" s="1"/>
  <c r="B467" i="11" s="1"/>
  <c r="G468" i="8"/>
  <c r="N468" i="8" s="1"/>
  <c r="B468" i="11" s="1"/>
  <c r="G469" i="8"/>
  <c r="N469" i="8" s="1"/>
  <c r="B469" i="11" s="1"/>
  <c r="G470" i="8"/>
  <c r="G471" i="8"/>
  <c r="N471" i="8" s="1"/>
  <c r="B471" i="11" s="1"/>
  <c r="G472" i="8"/>
  <c r="N472" i="8" s="1"/>
  <c r="B472" i="11" s="1"/>
  <c r="G473" i="8"/>
  <c r="N473" i="8" s="1"/>
  <c r="B473" i="11" s="1"/>
  <c r="G474" i="8"/>
  <c r="G475" i="8"/>
  <c r="N475" i="8" s="1"/>
  <c r="B475" i="11" s="1"/>
  <c r="G476" i="8"/>
  <c r="N476" i="8" s="1"/>
  <c r="B476" i="11" s="1"/>
  <c r="G477" i="8"/>
  <c r="N477" i="8" s="1"/>
  <c r="B477" i="11" s="1"/>
  <c r="G478" i="8"/>
  <c r="G479" i="8"/>
  <c r="N479" i="8" s="1"/>
  <c r="B479" i="11" s="1"/>
  <c r="G480" i="8"/>
  <c r="N480" i="8" s="1"/>
  <c r="B480" i="11" s="1"/>
  <c r="G481" i="8"/>
  <c r="N481" i="8" s="1"/>
  <c r="B481" i="11" s="1"/>
  <c r="G482" i="8"/>
  <c r="G483" i="8"/>
  <c r="N483" i="8" s="1"/>
  <c r="B483" i="11" s="1"/>
  <c r="G484" i="8"/>
  <c r="N484" i="8" s="1"/>
  <c r="B484" i="11" s="1"/>
  <c r="G485" i="8"/>
  <c r="N485" i="8" s="1"/>
  <c r="B485" i="11" s="1"/>
  <c r="G486" i="8"/>
  <c r="G487" i="8"/>
  <c r="N487" i="8" s="1"/>
  <c r="B487" i="11" s="1"/>
  <c r="G488" i="8"/>
  <c r="N488" i="8" s="1"/>
  <c r="B488" i="11" s="1"/>
  <c r="G489" i="8"/>
  <c r="N489" i="8" s="1"/>
  <c r="B489" i="11" s="1"/>
  <c r="G490" i="8"/>
  <c r="G491" i="8"/>
  <c r="N491" i="8" s="1"/>
  <c r="B491" i="11" s="1"/>
  <c r="G492" i="8"/>
  <c r="N492" i="8" s="1"/>
  <c r="B492" i="11" s="1"/>
  <c r="G493" i="8"/>
  <c r="N493" i="8" s="1"/>
  <c r="B493" i="11" s="1"/>
  <c r="G494" i="8"/>
  <c r="G495" i="8"/>
  <c r="N495" i="8" s="1"/>
  <c r="B495" i="11" s="1"/>
  <c r="G496" i="8"/>
  <c r="N496" i="8" s="1"/>
  <c r="B496" i="11" s="1"/>
  <c r="G497" i="8"/>
  <c r="N497" i="8" s="1"/>
  <c r="B497" i="11" s="1"/>
  <c r="G498" i="8"/>
  <c r="G499" i="8"/>
  <c r="N499" i="8" s="1"/>
  <c r="B499" i="11" s="1"/>
  <c r="G500" i="8"/>
  <c r="N500" i="8" s="1"/>
  <c r="B500" i="11" s="1"/>
  <c r="G501" i="8"/>
  <c r="N501" i="8" s="1"/>
  <c r="B501" i="11" s="1"/>
  <c r="G502" i="8"/>
  <c r="G503" i="8"/>
  <c r="N503" i="8" s="1"/>
  <c r="B503" i="11" s="1"/>
  <c r="G504" i="8"/>
  <c r="N504" i="8" s="1"/>
  <c r="B504" i="11" s="1"/>
  <c r="G505" i="8"/>
  <c r="N505" i="8" s="1"/>
  <c r="B505" i="11" s="1"/>
  <c r="G506" i="8"/>
  <c r="G507" i="8"/>
  <c r="N507" i="8" s="1"/>
  <c r="B507" i="11" s="1"/>
  <c r="G508" i="8"/>
  <c r="N508" i="8" s="1"/>
  <c r="B508" i="11" s="1"/>
  <c r="G509" i="8"/>
  <c r="N509" i="8" s="1"/>
  <c r="B509" i="11" s="1"/>
  <c r="G510" i="8"/>
  <c r="G511" i="8"/>
  <c r="N511" i="8" s="1"/>
  <c r="B511" i="11" s="1"/>
  <c r="G512" i="8"/>
  <c r="N512" i="8" s="1"/>
  <c r="B512" i="11" s="1"/>
  <c r="G513" i="8"/>
  <c r="N513" i="8" s="1"/>
  <c r="B513" i="11" s="1"/>
  <c r="G514" i="8"/>
  <c r="G515" i="8"/>
  <c r="N515" i="8" s="1"/>
  <c r="B515" i="11" s="1"/>
  <c r="G516" i="8"/>
  <c r="N516" i="8" s="1"/>
  <c r="B516" i="11" s="1"/>
  <c r="G517" i="8"/>
  <c r="N517" i="8" s="1"/>
  <c r="B517" i="11" s="1"/>
  <c r="G518" i="8"/>
  <c r="G519" i="8"/>
  <c r="N519" i="8" s="1"/>
  <c r="B519" i="11" s="1"/>
  <c r="G520" i="8"/>
  <c r="N520" i="8" s="1"/>
  <c r="B520" i="11" s="1"/>
  <c r="G521" i="8"/>
  <c r="N521" i="8" s="1"/>
  <c r="B521" i="11" s="1"/>
  <c r="G522" i="8"/>
  <c r="G523" i="8"/>
  <c r="N523" i="8" s="1"/>
  <c r="B523" i="11" s="1"/>
  <c r="G524" i="8"/>
  <c r="N524" i="8" s="1"/>
  <c r="B524" i="11" s="1"/>
  <c r="G525" i="8"/>
  <c r="N525" i="8" s="1"/>
  <c r="B525" i="11" s="1"/>
  <c r="G526" i="8"/>
  <c r="G527" i="8"/>
  <c r="N527" i="8" s="1"/>
  <c r="B527" i="11" s="1"/>
  <c r="G528" i="8"/>
  <c r="N528" i="8" s="1"/>
  <c r="B528" i="11" s="1"/>
  <c r="G529" i="8"/>
  <c r="N529" i="8" s="1"/>
  <c r="B529" i="11" s="1"/>
  <c r="G530" i="8"/>
  <c r="G531" i="8"/>
  <c r="N531" i="8" s="1"/>
  <c r="B531" i="11" s="1"/>
  <c r="G532" i="8"/>
  <c r="N532" i="8" s="1"/>
  <c r="B532" i="11" s="1"/>
  <c r="G533" i="8"/>
  <c r="N533" i="8" s="1"/>
  <c r="B533" i="11" s="1"/>
  <c r="G534" i="8"/>
  <c r="G535" i="8"/>
  <c r="N535" i="8" s="1"/>
  <c r="B535" i="11" s="1"/>
  <c r="G536" i="8"/>
  <c r="N536" i="8" s="1"/>
  <c r="B536" i="11" s="1"/>
  <c r="G537" i="8"/>
  <c r="N537" i="8" s="1"/>
  <c r="B537" i="11" s="1"/>
  <c r="G538" i="8"/>
  <c r="G539" i="8"/>
  <c r="N539" i="8" s="1"/>
  <c r="B539" i="11" s="1"/>
  <c r="G540" i="8"/>
  <c r="N540" i="8" s="1"/>
  <c r="B540" i="11" s="1"/>
  <c r="G541" i="8"/>
  <c r="N541" i="8" s="1"/>
  <c r="B541" i="11" s="1"/>
  <c r="G542" i="8"/>
  <c r="G543" i="8"/>
  <c r="N543" i="8" s="1"/>
  <c r="B543" i="11" s="1"/>
  <c r="G544" i="8"/>
  <c r="N544" i="8" s="1"/>
  <c r="B544" i="11" s="1"/>
  <c r="G545" i="8"/>
  <c r="N545" i="8" s="1"/>
  <c r="B545" i="11" s="1"/>
  <c r="G546" i="8"/>
  <c r="G547" i="8"/>
  <c r="N547" i="8" s="1"/>
  <c r="B547" i="11" s="1"/>
  <c r="G548" i="8"/>
  <c r="N548" i="8" s="1"/>
  <c r="B548" i="11" s="1"/>
  <c r="G549" i="8"/>
  <c r="N549" i="8" s="1"/>
  <c r="B549" i="11" s="1"/>
  <c r="G550" i="8"/>
  <c r="G551" i="8"/>
  <c r="N551" i="8" s="1"/>
  <c r="B551" i="11" s="1"/>
  <c r="G552" i="8"/>
  <c r="N552" i="8" s="1"/>
  <c r="B552" i="11" s="1"/>
  <c r="G553" i="8"/>
  <c r="N553" i="8" s="1"/>
  <c r="B553" i="11" s="1"/>
  <c r="G554" i="8"/>
  <c r="G555" i="8"/>
  <c r="N555" i="8" s="1"/>
  <c r="B555" i="11" s="1"/>
  <c r="G556" i="8"/>
  <c r="N556" i="8" s="1"/>
  <c r="B556" i="11" s="1"/>
  <c r="G557" i="8"/>
  <c r="N557" i="8" s="1"/>
  <c r="B557" i="11" s="1"/>
  <c r="G558" i="8"/>
  <c r="G559" i="8"/>
  <c r="N559" i="8" s="1"/>
  <c r="B559" i="11" s="1"/>
  <c r="G560" i="8"/>
  <c r="N560" i="8" s="1"/>
  <c r="B560" i="11" s="1"/>
  <c r="G561" i="8"/>
  <c r="N561" i="8" s="1"/>
  <c r="B561" i="11" s="1"/>
  <c r="G562" i="8"/>
  <c r="G563" i="8"/>
  <c r="N563" i="8" s="1"/>
  <c r="B563" i="11" s="1"/>
  <c r="G564" i="8"/>
  <c r="N564" i="8" s="1"/>
  <c r="B564" i="11" s="1"/>
  <c r="G565" i="8"/>
  <c r="N565" i="8" s="1"/>
  <c r="B565" i="11" s="1"/>
  <c r="G566" i="8"/>
  <c r="G567" i="8"/>
  <c r="N567" i="8" s="1"/>
  <c r="B567" i="11" s="1"/>
  <c r="G568" i="8"/>
  <c r="N568" i="8" s="1"/>
  <c r="B568" i="11" s="1"/>
  <c r="G569" i="8"/>
  <c r="N569" i="8" s="1"/>
  <c r="B569" i="11" s="1"/>
  <c r="G570" i="8"/>
  <c r="G571" i="8"/>
  <c r="N571" i="8" s="1"/>
  <c r="B571" i="11" s="1"/>
  <c r="G572" i="8"/>
  <c r="N572" i="8" s="1"/>
  <c r="B572" i="11" s="1"/>
  <c r="G573" i="8"/>
  <c r="N573" i="8" s="1"/>
  <c r="B573" i="11" s="1"/>
  <c r="G574" i="8"/>
  <c r="G575" i="8"/>
  <c r="N575" i="8" s="1"/>
  <c r="B575" i="11" s="1"/>
  <c r="G576" i="8"/>
  <c r="N576" i="8" s="1"/>
  <c r="B576" i="11" s="1"/>
  <c r="G577" i="8"/>
  <c r="N577" i="8" s="1"/>
  <c r="B577" i="11" s="1"/>
  <c r="G578" i="8"/>
  <c r="G579" i="8"/>
  <c r="N579" i="8" s="1"/>
  <c r="B579" i="11" s="1"/>
  <c r="G580" i="8"/>
  <c r="N580" i="8" s="1"/>
  <c r="B580" i="11" s="1"/>
  <c r="G581" i="8"/>
  <c r="N581" i="8" s="1"/>
  <c r="B581" i="11" s="1"/>
  <c r="G582" i="8"/>
  <c r="G583" i="8"/>
  <c r="N583" i="8" s="1"/>
  <c r="B583" i="11" s="1"/>
  <c r="G584" i="8"/>
  <c r="N584" i="8" s="1"/>
  <c r="B584" i="11" s="1"/>
  <c r="G585" i="8"/>
  <c r="N585" i="8" s="1"/>
  <c r="B585" i="11" s="1"/>
  <c r="G586" i="8"/>
  <c r="G587" i="8"/>
  <c r="N587" i="8" s="1"/>
  <c r="B587" i="11" s="1"/>
  <c r="G588" i="8"/>
  <c r="N588" i="8" s="1"/>
  <c r="B588" i="11" s="1"/>
  <c r="G589" i="8"/>
  <c r="N589" i="8" s="1"/>
  <c r="B589" i="11" s="1"/>
  <c r="G590" i="8"/>
  <c r="G591" i="8"/>
  <c r="N591" i="8" s="1"/>
  <c r="B591" i="11" s="1"/>
  <c r="G592" i="8"/>
  <c r="N592" i="8" s="1"/>
  <c r="B592" i="11" s="1"/>
  <c r="G593" i="8"/>
  <c r="N593" i="8" s="1"/>
  <c r="B593" i="11" s="1"/>
  <c r="G594" i="8"/>
  <c r="G595" i="8"/>
  <c r="N595" i="8" s="1"/>
  <c r="B595" i="11" s="1"/>
  <c r="G596" i="8"/>
  <c r="N596" i="8" s="1"/>
  <c r="B596" i="11" s="1"/>
  <c r="G597" i="8"/>
  <c r="N597" i="8" s="1"/>
  <c r="B597" i="11" s="1"/>
  <c r="G598" i="8"/>
  <c r="G599" i="8"/>
  <c r="N599" i="8" s="1"/>
  <c r="B599" i="11" s="1"/>
  <c r="G600" i="8"/>
  <c r="N600" i="8" s="1"/>
  <c r="B600" i="11" s="1"/>
  <c r="G601" i="8"/>
  <c r="N601" i="8" s="1"/>
  <c r="B601" i="11" s="1"/>
  <c r="G602" i="8"/>
  <c r="G603" i="8"/>
  <c r="N603" i="8" s="1"/>
  <c r="B603" i="11" s="1"/>
  <c r="G604" i="8"/>
  <c r="N604" i="8" s="1"/>
  <c r="B604" i="11" s="1"/>
  <c r="G605" i="8"/>
  <c r="N605" i="8" s="1"/>
  <c r="B605" i="11" s="1"/>
  <c r="G606" i="8"/>
  <c r="G607" i="8"/>
  <c r="N607" i="8" s="1"/>
  <c r="B607" i="11" s="1"/>
  <c r="G608" i="8"/>
  <c r="N608" i="8" s="1"/>
  <c r="B608" i="11" s="1"/>
  <c r="G609" i="8"/>
  <c r="N609" i="8" s="1"/>
  <c r="B609" i="11" s="1"/>
  <c r="G610" i="8"/>
  <c r="G611" i="8"/>
  <c r="N611" i="8" s="1"/>
  <c r="B611" i="11" s="1"/>
  <c r="G612" i="8"/>
  <c r="N612" i="8" s="1"/>
  <c r="B612" i="11" s="1"/>
  <c r="G613" i="8"/>
  <c r="N613" i="8" s="1"/>
  <c r="B613" i="11" s="1"/>
  <c r="G614" i="8"/>
  <c r="G615" i="8"/>
  <c r="N615" i="8" s="1"/>
  <c r="B615" i="11" s="1"/>
  <c r="G616" i="8"/>
  <c r="N616" i="8" s="1"/>
  <c r="B616" i="11" s="1"/>
  <c r="G617" i="8"/>
  <c r="N617" i="8" s="1"/>
  <c r="B617" i="11" s="1"/>
  <c r="G618" i="8"/>
  <c r="G619" i="8"/>
  <c r="N619" i="8" s="1"/>
  <c r="B619" i="11" s="1"/>
  <c r="G620" i="8"/>
  <c r="N620" i="8" s="1"/>
  <c r="B620" i="11" s="1"/>
  <c r="G621" i="8"/>
  <c r="N621" i="8" s="1"/>
  <c r="B621" i="11" s="1"/>
  <c r="G622" i="8"/>
  <c r="G623" i="8"/>
  <c r="N623" i="8" s="1"/>
  <c r="B623" i="11" s="1"/>
  <c r="G624" i="8"/>
  <c r="N624" i="8" s="1"/>
  <c r="B624" i="11" s="1"/>
  <c r="G625" i="8"/>
  <c r="N625" i="8" s="1"/>
  <c r="B625" i="11" s="1"/>
  <c r="G626" i="8"/>
  <c r="G627" i="8"/>
  <c r="N627" i="8" s="1"/>
  <c r="B627" i="11" s="1"/>
  <c r="G628" i="8"/>
  <c r="N628" i="8" s="1"/>
  <c r="B628" i="11" s="1"/>
  <c r="G629" i="8"/>
  <c r="N629" i="8" s="1"/>
  <c r="B629" i="11" s="1"/>
  <c r="G630" i="8"/>
  <c r="G631" i="8"/>
  <c r="N631" i="8" s="1"/>
  <c r="B631" i="11" s="1"/>
  <c r="G632" i="8"/>
  <c r="N632" i="8" s="1"/>
  <c r="B632" i="11" s="1"/>
  <c r="G633" i="8"/>
  <c r="N633" i="8" s="1"/>
  <c r="B633" i="11" s="1"/>
  <c r="G634" i="8"/>
  <c r="G635" i="8"/>
  <c r="N635" i="8" s="1"/>
  <c r="B635" i="11" s="1"/>
  <c r="G636" i="8"/>
  <c r="N636" i="8" s="1"/>
  <c r="B636" i="11" s="1"/>
  <c r="G637" i="8"/>
  <c r="N637" i="8" s="1"/>
  <c r="B637" i="11" s="1"/>
  <c r="G638" i="8"/>
  <c r="G639" i="8"/>
  <c r="N639" i="8" s="1"/>
  <c r="B639" i="11" s="1"/>
  <c r="G640" i="8"/>
  <c r="N640" i="8" s="1"/>
  <c r="B640" i="11" s="1"/>
  <c r="G641" i="8"/>
  <c r="N641" i="8" s="1"/>
  <c r="B641" i="11" s="1"/>
  <c r="G642" i="8"/>
  <c r="G643" i="8"/>
  <c r="N643" i="8" s="1"/>
  <c r="B643" i="11" s="1"/>
  <c r="G644" i="8"/>
  <c r="N644" i="8" s="1"/>
  <c r="B644" i="11" s="1"/>
  <c r="G645" i="8"/>
  <c r="N645" i="8" s="1"/>
  <c r="B645" i="11" s="1"/>
  <c r="G646" i="8"/>
  <c r="G647" i="8"/>
  <c r="N647" i="8" s="1"/>
  <c r="B647" i="11" s="1"/>
  <c r="G648" i="8"/>
  <c r="N648" i="8" s="1"/>
  <c r="B648" i="11" s="1"/>
  <c r="G649" i="8"/>
  <c r="N649" i="8" s="1"/>
  <c r="B649" i="11" s="1"/>
  <c r="G650" i="8"/>
  <c r="G651" i="8"/>
  <c r="N651" i="8" s="1"/>
  <c r="B651" i="11" s="1"/>
  <c r="G652" i="8"/>
  <c r="N652" i="8" s="1"/>
  <c r="B652" i="11" s="1"/>
  <c r="G653" i="8"/>
  <c r="N653" i="8" s="1"/>
  <c r="B653" i="11" s="1"/>
  <c r="G654" i="8"/>
  <c r="G655" i="8"/>
  <c r="N655" i="8" s="1"/>
  <c r="B655" i="11" s="1"/>
  <c r="G656" i="8"/>
  <c r="N656" i="8" s="1"/>
  <c r="B656" i="11" s="1"/>
  <c r="G657" i="8"/>
  <c r="N657" i="8" s="1"/>
  <c r="B657" i="11" s="1"/>
  <c r="G658" i="8"/>
  <c r="G659" i="8"/>
  <c r="N659" i="8" s="1"/>
  <c r="B659" i="11" s="1"/>
  <c r="G660" i="8"/>
  <c r="N660" i="8" s="1"/>
  <c r="B660" i="11" s="1"/>
  <c r="G661" i="8"/>
  <c r="N661" i="8" s="1"/>
  <c r="B661" i="11" s="1"/>
  <c r="G662" i="8"/>
  <c r="G663" i="8"/>
  <c r="N663" i="8" s="1"/>
  <c r="B663" i="11" s="1"/>
  <c r="G664" i="8"/>
  <c r="N664" i="8" s="1"/>
  <c r="B664" i="11" s="1"/>
  <c r="G665" i="8"/>
  <c r="N665" i="8" s="1"/>
  <c r="B665" i="11" s="1"/>
  <c r="G666" i="8"/>
  <c r="G667" i="8"/>
  <c r="N667" i="8" s="1"/>
  <c r="B667" i="11" s="1"/>
  <c r="G668" i="8"/>
  <c r="N668" i="8" s="1"/>
  <c r="B668" i="11" s="1"/>
  <c r="G669" i="8"/>
  <c r="N669" i="8" s="1"/>
  <c r="B669" i="11" s="1"/>
  <c r="G670" i="8"/>
  <c r="G671" i="8"/>
  <c r="N671" i="8" s="1"/>
  <c r="B671" i="11" s="1"/>
  <c r="G672" i="8"/>
  <c r="N672" i="8" s="1"/>
  <c r="B672" i="11" s="1"/>
  <c r="G673" i="8"/>
  <c r="N673" i="8" s="1"/>
  <c r="B673" i="11" s="1"/>
  <c r="G674" i="8"/>
  <c r="G675" i="8"/>
  <c r="N675" i="8" s="1"/>
  <c r="B675" i="11" s="1"/>
  <c r="G676" i="8"/>
  <c r="N676" i="8" s="1"/>
  <c r="B676" i="11" s="1"/>
  <c r="G677" i="8"/>
  <c r="N677" i="8" s="1"/>
  <c r="B677" i="11" s="1"/>
  <c r="G678" i="8"/>
  <c r="G679" i="8"/>
  <c r="N679" i="8" s="1"/>
  <c r="B679" i="11" s="1"/>
  <c r="G680" i="8"/>
  <c r="N680" i="8" s="1"/>
  <c r="B680" i="11" s="1"/>
  <c r="G681" i="8"/>
  <c r="N681" i="8" s="1"/>
  <c r="B681" i="11" s="1"/>
  <c r="G682" i="8"/>
  <c r="G683" i="8"/>
  <c r="N683" i="8" s="1"/>
  <c r="B683" i="11" s="1"/>
  <c r="G684" i="8"/>
  <c r="N684" i="8" s="1"/>
  <c r="B684" i="11" s="1"/>
  <c r="G685" i="8"/>
  <c r="N685" i="8" s="1"/>
  <c r="B685" i="11" s="1"/>
  <c r="G686" i="8"/>
  <c r="G687" i="8"/>
  <c r="N687" i="8" s="1"/>
  <c r="B687" i="11" s="1"/>
  <c r="G688" i="8"/>
  <c r="N688" i="8" s="1"/>
  <c r="B688" i="11" s="1"/>
  <c r="G689" i="8"/>
  <c r="N689" i="8" s="1"/>
  <c r="B689" i="11" s="1"/>
  <c r="G690" i="8"/>
  <c r="G691" i="8"/>
  <c r="N691" i="8" s="1"/>
  <c r="B691" i="11" s="1"/>
  <c r="G692" i="8"/>
  <c r="N692" i="8" s="1"/>
  <c r="B692" i="11" s="1"/>
  <c r="G693" i="8"/>
  <c r="N693" i="8" s="1"/>
  <c r="B693" i="11" s="1"/>
  <c r="G694" i="8"/>
  <c r="G695" i="8"/>
  <c r="N695" i="8" s="1"/>
  <c r="B695" i="11" s="1"/>
  <c r="G696" i="8"/>
  <c r="N696" i="8" s="1"/>
  <c r="B696" i="11" s="1"/>
  <c r="G697" i="8"/>
  <c r="N697" i="8" s="1"/>
  <c r="B697" i="11" s="1"/>
  <c r="G698" i="8"/>
  <c r="G699" i="8"/>
  <c r="N699" i="8" s="1"/>
  <c r="B699" i="11" s="1"/>
  <c r="G700" i="8"/>
  <c r="N700" i="8" s="1"/>
  <c r="B700" i="11" s="1"/>
  <c r="G701" i="8"/>
  <c r="N701" i="8" s="1"/>
  <c r="B701" i="11" s="1"/>
  <c r="G702" i="8"/>
  <c r="G703" i="8"/>
  <c r="N703" i="8" s="1"/>
  <c r="B703" i="11" s="1"/>
  <c r="G704" i="8"/>
  <c r="N704" i="8" s="1"/>
  <c r="B704" i="11" s="1"/>
  <c r="G705" i="8"/>
  <c r="N705" i="8" s="1"/>
  <c r="B705" i="11" s="1"/>
  <c r="G706" i="8"/>
  <c r="G707" i="8"/>
  <c r="N707" i="8" s="1"/>
  <c r="B707" i="11" s="1"/>
  <c r="G708" i="8"/>
  <c r="N708" i="8" s="1"/>
  <c r="B708" i="11" s="1"/>
  <c r="G709" i="8"/>
  <c r="N709" i="8" s="1"/>
  <c r="B709" i="11" s="1"/>
  <c r="G710" i="8"/>
  <c r="G711" i="8"/>
  <c r="N711" i="8" s="1"/>
  <c r="B711" i="11" s="1"/>
  <c r="G712" i="8"/>
  <c r="N712" i="8" s="1"/>
  <c r="B712" i="11" s="1"/>
  <c r="G713" i="8"/>
  <c r="N713" i="8" s="1"/>
  <c r="B713" i="11" s="1"/>
  <c r="G714" i="8"/>
  <c r="G715" i="8"/>
  <c r="N715" i="8" s="1"/>
  <c r="B715" i="11" s="1"/>
  <c r="G716" i="8"/>
  <c r="N716" i="8" s="1"/>
  <c r="B716" i="11" s="1"/>
  <c r="G717" i="8"/>
  <c r="N717" i="8" s="1"/>
  <c r="B717" i="11" s="1"/>
  <c r="G718" i="8"/>
  <c r="G719" i="8"/>
  <c r="N719" i="8" s="1"/>
  <c r="B719" i="11" s="1"/>
  <c r="G720" i="8"/>
  <c r="N720" i="8" s="1"/>
  <c r="B720" i="11" s="1"/>
  <c r="G721" i="8"/>
  <c r="N721" i="8" s="1"/>
  <c r="B721" i="11" s="1"/>
  <c r="G722" i="8"/>
  <c r="G723" i="8"/>
  <c r="N723" i="8" s="1"/>
  <c r="B723" i="11" s="1"/>
  <c r="G724" i="8"/>
  <c r="N724" i="8" s="1"/>
  <c r="B724" i="11" s="1"/>
  <c r="G725" i="8"/>
  <c r="N725" i="8" s="1"/>
  <c r="B725" i="11" s="1"/>
  <c r="G726" i="8"/>
  <c r="G727" i="8"/>
  <c r="N727" i="8" s="1"/>
  <c r="B727" i="11" s="1"/>
  <c r="G728" i="8"/>
  <c r="N728" i="8" s="1"/>
  <c r="B728" i="11" s="1"/>
  <c r="G729" i="8"/>
  <c r="N729" i="8" s="1"/>
  <c r="B729" i="11" s="1"/>
  <c r="G730" i="8"/>
  <c r="G731" i="8"/>
  <c r="N731" i="8" s="1"/>
  <c r="B731" i="11" s="1"/>
  <c r="G732" i="8"/>
  <c r="N732" i="8" s="1"/>
  <c r="B732" i="11" s="1"/>
  <c r="G733" i="8"/>
  <c r="N733" i="8" s="1"/>
  <c r="B733" i="11" s="1"/>
  <c r="G734" i="8"/>
  <c r="G735" i="8"/>
  <c r="N735" i="8" s="1"/>
  <c r="B735" i="11" s="1"/>
  <c r="G736" i="8"/>
  <c r="N736" i="8" s="1"/>
  <c r="B736" i="11" s="1"/>
  <c r="G737" i="8"/>
  <c r="N737" i="8" s="1"/>
  <c r="B737" i="11" s="1"/>
  <c r="G738" i="8"/>
  <c r="G739" i="8"/>
  <c r="N739" i="8" s="1"/>
  <c r="B739" i="11" s="1"/>
  <c r="G740" i="8"/>
  <c r="N740" i="8" s="1"/>
  <c r="B740" i="11" s="1"/>
  <c r="G741" i="8"/>
  <c r="N741" i="8" s="1"/>
  <c r="B741" i="11" s="1"/>
  <c r="G742" i="8"/>
  <c r="G743" i="8"/>
  <c r="N743" i="8" s="1"/>
  <c r="B743" i="11" s="1"/>
  <c r="G744" i="8"/>
  <c r="N744" i="8" s="1"/>
  <c r="B744" i="11" s="1"/>
  <c r="G745" i="8"/>
  <c r="N745" i="8" s="1"/>
  <c r="B745" i="11" s="1"/>
  <c r="G746" i="8"/>
  <c r="G747" i="8"/>
  <c r="N747" i="8" s="1"/>
  <c r="B747" i="11" s="1"/>
  <c r="G748" i="8"/>
  <c r="N748" i="8" s="1"/>
  <c r="B748" i="11" s="1"/>
  <c r="G749" i="8"/>
  <c r="N749" i="8" s="1"/>
  <c r="B749" i="11" s="1"/>
  <c r="G750" i="8"/>
  <c r="G751" i="8"/>
  <c r="N751" i="8" s="1"/>
  <c r="B751" i="11" s="1"/>
  <c r="G752" i="8"/>
  <c r="N752" i="8" s="1"/>
  <c r="B752" i="11" s="1"/>
  <c r="G753" i="8"/>
  <c r="N753" i="8" s="1"/>
  <c r="B753" i="11" s="1"/>
  <c r="G754" i="8"/>
  <c r="G755" i="8"/>
  <c r="N755" i="8" s="1"/>
  <c r="B755" i="11" s="1"/>
  <c r="G756" i="8"/>
  <c r="N756" i="8" s="1"/>
  <c r="B756" i="11" s="1"/>
  <c r="G757" i="8"/>
  <c r="N757" i="8" s="1"/>
  <c r="B757" i="11" s="1"/>
  <c r="G758" i="8"/>
  <c r="G759" i="8"/>
  <c r="N759" i="8" s="1"/>
  <c r="B759" i="11" s="1"/>
  <c r="G760" i="8"/>
  <c r="N760" i="8" s="1"/>
  <c r="B760" i="11" s="1"/>
  <c r="G761" i="8"/>
  <c r="N761" i="8" s="1"/>
  <c r="B761" i="11" s="1"/>
  <c r="G762" i="8"/>
  <c r="G763" i="8"/>
  <c r="N763" i="8" s="1"/>
  <c r="B763" i="11" s="1"/>
  <c r="G764" i="8"/>
  <c r="N764" i="8" s="1"/>
  <c r="B764" i="11" s="1"/>
  <c r="G765" i="8"/>
  <c r="N765" i="8" s="1"/>
  <c r="B765" i="11" s="1"/>
  <c r="G766" i="8"/>
  <c r="G767" i="8"/>
  <c r="N767" i="8" s="1"/>
  <c r="B767" i="11" s="1"/>
  <c r="G768" i="8"/>
  <c r="N768" i="8" s="1"/>
  <c r="B768" i="11" s="1"/>
  <c r="G769" i="8"/>
  <c r="N769" i="8" s="1"/>
  <c r="B769" i="11" s="1"/>
  <c r="G770" i="8"/>
  <c r="G771" i="8"/>
  <c r="N771" i="8" s="1"/>
  <c r="B771" i="11" s="1"/>
  <c r="G772" i="8"/>
  <c r="N772" i="8" s="1"/>
  <c r="B772" i="11" s="1"/>
  <c r="G773" i="8"/>
  <c r="N773" i="8" s="1"/>
  <c r="B773" i="11" s="1"/>
  <c r="G774" i="8"/>
  <c r="G775" i="8"/>
  <c r="N775" i="8" s="1"/>
  <c r="B775" i="11" s="1"/>
  <c r="G776" i="8"/>
  <c r="N776" i="8" s="1"/>
  <c r="B776" i="11" s="1"/>
  <c r="G777" i="8"/>
  <c r="N777" i="8" s="1"/>
  <c r="B777" i="11" s="1"/>
  <c r="G778" i="8"/>
  <c r="G779" i="8"/>
  <c r="N779" i="8" s="1"/>
  <c r="B779" i="11" s="1"/>
  <c r="G780" i="8"/>
  <c r="N780" i="8" s="1"/>
  <c r="B780" i="11" s="1"/>
  <c r="G781" i="8"/>
  <c r="N781" i="8" s="1"/>
  <c r="B781" i="11" s="1"/>
  <c r="G782" i="8"/>
  <c r="G783" i="8"/>
  <c r="N783" i="8" s="1"/>
  <c r="B783" i="11" s="1"/>
  <c r="G784" i="8"/>
  <c r="N784" i="8" s="1"/>
  <c r="B784" i="11" s="1"/>
  <c r="G785" i="8"/>
  <c r="N785" i="8" s="1"/>
  <c r="B785" i="11" s="1"/>
  <c r="G786" i="8"/>
  <c r="G787" i="8"/>
  <c r="N787" i="8" s="1"/>
  <c r="B787" i="11" s="1"/>
  <c r="G788" i="8"/>
  <c r="N788" i="8" s="1"/>
  <c r="B788" i="11" s="1"/>
  <c r="G789" i="8"/>
  <c r="N789" i="8" s="1"/>
  <c r="B789" i="11" s="1"/>
  <c r="G790" i="8"/>
  <c r="G791" i="8"/>
  <c r="N791" i="8" s="1"/>
  <c r="B791" i="11" s="1"/>
  <c r="G792" i="8"/>
  <c r="N792" i="8" s="1"/>
  <c r="B792" i="11" s="1"/>
  <c r="G793" i="8"/>
  <c r="N793" i="8" s="1"/>
  <c r="B793" i="11" s="1"/>
  <c r="G794" i="8"/>
  <c r="G795" i="8"/>
  <c r="N795" i="8" s="1"/>
  <c r="B795" i="11" s="1"/>
  <c r="G796" i="8"/>
  <c r="N796" i="8" s="1"/>
  <c r="B796" i="11" s="1"/>
  <c r="G797" i="8"/>
  <c r="N797" i="8" s="1"/>
  <c r="B797" i="11" s="1"/>
  <c r="G798" i="8"/>
  <c r="G799" i="8"/>
  <c r="N799" i="8" s="1"/>
  <c r="B799" i="11" s="1"/>
  <c r="G800" i="8"/>
  <c r="N800" i="8" s="1"/>
  <c r="B800" i="11" s="1"/>
  <c r="G801" i="8"/>
  <c r="N801" i="8" s="1"/>
  <c r="B801" i="11" s="1"/>
  <c r="G802" i="8"/>
  <c r="G803" i="8"/>
  <c r="N803" i="8" s="1"/>
  <c r="B803" i="11" s="1"/>
  <c r="G804" i="8"/>
  <c r="N804" i="8" s="1"/>
  <c r="B804" i="11" s="1"/>
  <c r="G805" i="8"/>
  <c r="N805" i="8" s="1"/>
  <c r="B805" i="11" s="1"/>
  <c r="G806" i="8"/>
  <c r="G807" i="8"/>
  <c r="N807" i="8" s="1"/>
  <c r="B807" i="11" s="1"/>
  <c r="G808" i="8"/>
  <c r="N808" i="8" s="1"/>
  <c r="B808" i="11" s="1"/>
  <c r="G809" i="8"/>
  <c r="N809" i="8" s="1"/>
  <c r="B809" i="11" s="1"/>
  <c r="G810" i="8"/>
  <c r="G811" i="8"/>
  <c r="N811" i="8" s="1"/>
  <c r="B811" i="11" s="1"/>
  <c r="G812" i="8"/>
  <c r="N812" i="8" s="1"/>
  <c r="B812" i="11" s="1"/>
  <c r="G813" i="8"/>
  <c r="N813" i="8" s="1"/>
  <c r="B813" i="11" s="1"/>
  <c r="G814" i="8"/>
  <c r="G815" i="8"/>
  <c r="N815" i="8" s="1"/>
  <c r="B815" i="11" s="1"/>
  <c r="G816" i="8"/>
  <c r="N816" i="8" s="1"/>
  <c r="B816" i="11" s="1"/>
  <c r="G817" i="8"/>
  <c r="N817" i="8" s="1"/>
  <c r="B817" i="11" s="1"/>
  <c r="G818" i="8"/>
  <c r="G819" i="8"/>
  <c r="N819" i="8" s="1"/>
  <c r="B819" i="11" s="1"/>
  <c r="G820" i="8"/>
  <c r="N820" i="8" s="1"/>
  <c r="B820" i="11" s="1"/>
  <c r="G821" i="8"/>
  <c r="N821" i="8" s="1"/>
  <c r="B821" i="11" s="1"/>
  <c r="G822" i="8"/>
  <c r="G823" i="8"/>
  <c r="N823" i="8" s="1"/>
  <c r="B823" i="11" s="1"/>
  <c r="G824" i="8"/>
  <c r="N824" i="8" s="1"/>
  <c r="B824" i="11" s="1"/>
  <c r="G825" i="8"/>
  <c r="N825" i="8" s="1"/>
  <c r="B825" i="11" s="1"/>
  <c r="G826" i="8"/>
  <c r="G827" i="8"/>
  <c r="N827" i="8" s="1"/>
  <c r="B827" i="11" s="1"/>
  <c r="G828" i="8"/>
  <c r="N828" i="8" s="1"/>
  <c r="B828" i="11" s="1"/>
  <c r="G829" i="8"/>
  <c r="N829" i="8" s="1"/>
  <c r="B829" i="11" s="1"/>
  <c r="G830" i="8"/>
  <c r="G831" i="8"/>
  <c r="N831" i="8" s="1"/>
  <c r="B831" i="11" s="1"/>
  <c r="G832" i="8"/>
  <c r="N832" i="8" s="1"/>
  <c r="B832" i="11" s="1"/>
  <c r="G833" i="8"/>
  <c r="N833" i="8" s="1"/>
  <c r="B833" i="11" s="1"/>
  <c r="G834" i="8"/>
  <c r="G835" i="8"/>
  <c r="N835" i="8" s="1"/>
  <c r="B835" i="11" s="1"/>
  <c r="G836" i="8"/>
  <c r="N836" i="8" s="1"/>
  <c r="B836" i="11" s="1"/>
  <c r="G837" i="8"/>
  <c r="N837" i="8" s="1"/>
  <c r="B837" i="11" s="1"/>
  <c r="G838" i="8"/>
  <c r="G839" i="8"/>
  <c r="N839" i="8" s="1"/>
  <c r="B839" i="11" s="1"/>
  <c r="G840" i="8"/>
  <c r="N840" i="8" s="1"/>
  <c r="B840" i="11" s="1"/>
  <c r="G841" i="8"/>
  <c r="N841" i="8" s="1"/>
  <c r="B841" i="11" s="1"/>
  <c r="G842" i="8"/>
  <c r="G843" i="8"/>
  <c r="N843" i="8" s="1"/>
  <c r="B843" i="11" s="1"/>
  <c r="G844" i="8"/>
  <c r="N844" i="8" s="1"/>
  <c r="B844" i="11" s="1"/>
  <c r="G845" i="8"/>
  <c r="N845" i="8" s="1"/>
  <c r="B845" i="11" s="1"/>
  <c r="G846" i="8"/>
  <c r="G847" i="8"/>
  <c r="N847" i="8" s="1"/>
  <c r="B847" i="11" s="1"/>
  <c r="G848" i="8"/>
  <c r="N848" i="8" s="1"/>
  <c r="B848" i="11" s="1"/>
  <c r="G849" i="8"/>
  <c r="N849" i="8" s="1"/>
  <c r="B849" i="11" s="1"/>
  <c r="G850" i="8"/>
  <c r="G851" i="8"/>
  <c r="N851" i="8" s="1"/>
  <c r="B851" i="11" s="1"/>
  <c r="G852" i="8"/>
  <c r="N852" i="8" s="1"/>
  <c r="B852" i="11" s="1"/>
  <c r="G853" i="8"/>
  <c r="N853" i="8" s="1"/>
  <c r="B853" i="11" s="1"/>
  <c r="G854" i="8"/>
  <c r="G855" i="8"/>
  <c r="N855" i="8" s="1"/>
  <c r="B855" i="11" s="1"/>
  <c r="G856" i="8"/>
  <c r="N856" i="8" s="1"/>
  <c r="B856" i="11" s="1"/>
  <c r="G857" i="8"/>
  <c r="N857" i="8" s="1"/>
  <c r="B857" i="11" s="1"/>
  <c r="G858" i="8"/>
  <c r="G859" i="8"/>
  <c r="N859" i="8" s="1"/>
  <c r="B859" i="11" s="1"/>
  <c r="G860" i="8"/>
  <c r="N860" i="8" s="1"/>
  <c r="B860" i="11" s="1"/>
  <c r="G861" i="8"/>
  <c r="N861" i="8" s="1"/>
  <c r="B861" i="11" s="1"/>
  <c r="G862" i="8"/>
  <c r="G863" i="8"/>
  <c r="N863" i="8" s="1"/>
  <c r="B863" i="11" s="1"/>
  <c r="G864" i="8"/>
  <c r="N864" i="8" s="1"/>
  <c r="B864" i="11" s="1"/>
  <c r="G865" i="8"/>
  <c r="N865" i="8" s="1"/>
  <c r="B865" i="11" s="1"/>
  <c r="G866" i="8"/>
  <c r="G867" i="8"/>
  <c r="N867" i="8" s="1"/>
  <c r="B867" i="11" s="1"/>
  <c r="G868" i="8"/>
  <c r="N868" i="8" s="1"/>
  <c r="B868" i="11" s="1"/>
  <c r="G869" i="8"/>
  <c r="N869" i="8" s="1"/>
  <c r="B869" i="11" s="1"/>
  <c r="G870" i="8"/>
  <c r="G871" i="8"/>
  <c r="N871" i="8" s="1"/>
  <c r="B871" i="11" s="1"/>
  <c r="G872" i="8"/>
  <c r="N872" i="8" s="1"/>
  <c r="B872" i="11" s="1"/>
  <c r="G873" i="8"/>
  <c r="N873" i="8" s="1"/>
  <c r="B873" i="11" s="1"/>
  <c r="G874" i="8"/>
  <c r="G875" i="8"/>
  <c r="N875" i="8" s="1"/>
  <c r="B875" i="11" s="1"/>
  <c r="G876" i="8"/>
  <c r="N876" i="8" s="1"/>
  <c r="B876" i="11" s="1"/>
  <c r="G877" i="8"/>
  <c r="N877" i="8" s="1"/>
  <c r="B877" i="11" s="1"/>
  <c r="G878" i="8"/>
  <c r="G879" i="8"/>
  <c r="N879" i="8" s="1"/>
  <c r="B879" i="11" s="1"/>
  <c r="G880" i="8"/>
  <c r="N880" i="8" s="1"/>
  <c r="B880" i="11" s="1"/>
  <c r="G881" i="8"/>
  <c r="N881" i="8" s="1"/>
  <c r="B881" i="11" s="1"/>
  <c r="G882" i="8"/>
  <c r="G883" i="8"/>
  <c r="N883" i="8" s="1"/>
  <c r="B883" i="11" s="1"/>
  <c r="G884" i="8"/>
  <c r="N884" i="8" s="1"/>
  <c r="B884" i="11" s="1"/>
  <c r="G885" i="8"/>
  <c r="N885" i="8" s="1"/>
  <c r="B885" i="11" s="1"/>
  <c r="G886" i="8"/>
  <c r="G887" i="8"/>
  <c r="N887" i="8" s="1"/>
  <c r="B887" i="11" s="1"/>
  <c r="G888" i="8"/>
  <c r="N888" i="8" s="1"/>
  <c r="B888" i="11" s="1"/>
  <c r="G889" i="8"/>
  <c r="N889" i="8" s="1"/>
  <c r="B889" i="11" s="1"/>
  <c r="G890" i="8"/>
  <c r="G891" i="8"/>
  <c r="N891" i="8" s="1"/>
  <c r="B891" i="11" s="1"/>
  <c r="G892" i="8"/>
  <c r="N892" i="8" s="1"/>
  <c r="B892" i="11" s="1"/>
  <c r="G893" i="8"/>
  <c r="N893" i="8" s="1"/>
  <c r="B893" i="11" s="1"/>
  <c r="G894" i="8"/>
  <c r="G895" i="8"/>
  <c r="N895" i="8" s="1"/>
  <c r="B895" i="11" s="1"/>
  <c r="G896" i="8"/>
  <c r="N896" i="8" s="1"/>
  <c r="B896" i="11" s="1"/>
  <c r="G897" i="8"/>
  <c r="N897" i="8" s="1"/>
  <c r="B897" i="11" s="1"/>
  <c r="G898" i="8"/>
  <c r="G899" i="8"/>
  <c r="N899" i="8" s="1"/>
  <c r="B899" i="11" s="1"/>
  <c r="G900" i="8"/>
  <c r="N900" i="8" s="1"/>
  <c r="B900" i="11" s="1"/>
  <c r="G901" i="8"/>
  <c r="N901" i="8" s="1"/>
  <c r="B901" i="11" s="1"/>
  <c r="G902" i="8"/>
  <c r="G903" i="8"/>
  <c r="N903" i="8" s="1"/>
  <c r="B903" i="11" s="1"/>
  <c r="G904" i="8"/>
  <c r="N904" i="8" s="1"/>
  <c r="B904" i="11" s="1"/>
  <c r="G905" i="8"/>
  <c r="N905" i="8" s="1"/>
  <c r="B905" i="11" s="1"/>
  <c r="G906" i="8"/>
  <c r="G907" i="8"/>
  <c r="N907" i="8" s="1"/>
  <c r="B907" i="11" s="1"/>
  <c r="G908" i="8"/>
  <c r="N908" i="8" s="1"/>
  <c r="B908" i="11" s="1"/>
  <c r="G909" i="8"/>
  <c r="N909" i="8" s="1"/>
  <c r="B909" i="11" s="1"/>
  <c r="G910" i="8"/>
  <c r="G911" i="8"/>
  <c r="N911" i="8" s="1"/>
  <c r="B911" i="11" s="1"/>
  <c r="G912" i="8"/>
  <c r="N912" i="8" s="1"/>
  <c r="B912" i="11" s="1"/>
  <c r="G913" i="8"/>
  <c r="N913" i="8" s="1"/>
  <c r="B913" i="11" s="1"/>
  <c r="G914" i="8"/>
  <c r="G915" i="8"/>
  <c r="N915" i="8" s="1"/>
  <c r="B915" i="11" s="1"/>
  <c r="G916" i="8"/>
  <c r="N916" i="8" s="1"/>
  <c r="B916" i="11" s="1"/>
  <c r="G917" i="8"/>
  <c r="N917" i="8" s="1"/>
  <c r="B917" i="11" s="1"/>
  <c r="G918" i="8"/>
  <c r="G919" i="8"/>
  <c r="N919" i="8" s="1"/>
  <c r="B919" i="11" s="1"/>
  <c r="G920" i="8"/>
  <c r="N920" i="8" s="1"/>
  <c r="B920" i="11" s="1"/>
  <c r="G921" i="8"/>
  <c r="N921" i="8" s="1"/>
  <c r="B921" i="11" s="1"/>
  <c r="G922" i="8"/>
  <c r="G923" i="8"/>
  <c r="N923" i="8" s="1"/>
  <c r="B923" i="11" s="1"/>
  <c r="G924" i="8"/>
  <c r="N924" i="8" s="1"/>
  <c r="B924" i="11" s="1"/>
  <c r="G925" i="8"/>
  <c r="N925" i="8" s="1"/>
  <c r="B925" i="11" s="1"/>
  <c r="G926" i="8"/>
  <c r="G927" i="8"/>
  <c r="N927" i="8" s="1"/>
  <c r="B927" i="11" s="1"/>
  <c r="G928" i="8"/>
  <c r="N928" i="8" s="1"/>
  <c r="B928" i="11" s="1"/>
  <c r="G929" i="8"/>
  <c r="N929" i="8" s="1"/>
  <c r="B929" i="11" s="1"/>
  <c r="G930" i="8"/>
  <c r="G931" i="8"/>
  <c r="N931" i="8" s="1"/>
  <c r="B931" i="11" s="1"/>
  <c r="G932" i="8"/>
  <c r="N932" i="8" s="1"/>
  <c r="B932" i="11" s="1"/>
  <c r="G933" i="8"/>
  <c r="N933" i="8" s="1"/>
  <c r="B933" i="11" s="1"/>
  <c r="G934" i="8"/>
  <c r="G935" i="8"/>
  <c r="N935" i="8" s="1"/>
  <c r="B935" i="11" s="1"/>
  <c r="G936" i="8"/>
  <c r="N936" i="8" s="1"/>
  <c r="B936" i="11" s="1"/>
  <c r="G937" i="8"/>
  <c r="N937" i="8" s="1"/>
  <c r="B937" i="11" s="1"/>
  <c r="G938" i="8"/>
  <c r="G939" i="8"/>
  <c r="N939" i="8" s="1"/>
  <c r="B939" i="11" s="1"/>
  <c r="G940" i="8"/>
  <c r="N940" i="8" s="1"/>
  <c r="B940" i="11" s="1"/>
  <c r="G941" i="8"/>
  <c r="N941" i="8" s="1"/>
  <c r="B941" i="11" s="1"/>
  <c r="G942" i="8"/>
  <c r="G943" i="8"/>
  <c r="N943" i="8" s="1"/>
  <c r="B943" i="11" s="1"/>
  <c r="G944" i="8"/>
  <c r="N944" i="8" s="1"/>
  <c r="B944" i="11" s="1"/>
  <c r="G945" i="8"/>
  <c r="N945" i="8" s="1"/>
  <c r="B945" i="11" s="1"/>
  <c r="G946" i="8"/>
  <c r="G947" i="8"/>
  <c r="N947" i="8" s="1"/>
  <c r="B947" i="11" s="1"/>
  <c r="G948" i="8"/>
  <c r="N948" i="8" s="1"/>
  <c r="B948" i="11" s="1"/>
  <c r="G949" i="8"/>
  <c r="N949" i="8" s="1"/>
  <c r="B949" i="11" s="1"/>
  <c r="G950" i="8"/>
  <c r="G951" i="8"/>
  <c r="N951" i="8" s="1"/>
  <c r="B951" i="11" s="1"/>
  <c r="G952" i="8"/>
  <c r="N952" i="8" s="1"/>
  <c r="B952" i="11" s="1"/>
  <c r="G953" i="8"/>
  <c r="N953" i="8" s="1"/>
  <c r="B953" i="11" s="1"/>
  <c r="G954" i="8"/>
  <c r="G955" i="8"/>
  <c r="N955" i="8" s="1"/>
  <c r="B955" i="11" s="1"/>
  <c r="G956" i="8"/>
  <c r="N956" i="8" s="1"/>
  <c r="B956" i="11" s="1"/>
  <c r="G957" i="8"/>
  <c r="N957" i="8" s="1"/>
  <c r="B957" i="11" s="1"/>
  <c r="G958" i="8"/>
  <c r="G959" i="8"/>
  <c r="N959" i="8" s="1"/>
  <c r="B959" i="11" s="1"/>
  <c r="G960" i="8"/>
  <c r="N960" i="8" s="1"/>
  <c r="B960" i="11" s="1"/>
  <c r="G961" i="8"/>
  <c r="N961" i="8" s="1"/>
  <c r="B961" i="11" s="1"/>
  <c r="G962" i="8"/>
  <c r="G963" i="8"/>
  <c r="N963" i="8" s="1"/>
  <c r="B963" i="11" s="1"/>
  <c r="G964" i="8"/>
  <c r="N964" i="8" s="1"/>
  <c r="B964" i="11" s="1"/>
  <c r="G965" i="8"/>
  <c r="N965" i="8" s="1"/>
  <c r="B965" i="11" s="1"/>
  <c r="G966" i="8"/>
  <c r="G967" i="8"/>
  <c r="N967" i="8" s="1"/>
  <c r="B967" i="11" s="1"/>
  <c r="G968" i="8"/>
  <c r="N968" i="8" s="1"/>
  <c r="B968" i="11" s="1"/>
  <c r="G969" i="8"/>
  <c r="N969" i="8" s="1"/>
  <c r="B969" i="11" s="1"/>
  <c r="G970" i="8"/>
  <c r="G971" i="8"/>
  <c r="N971" i="8" s="1"/>
  <c r="B971" i="11" s="1"/>
  <c r="G972" i="8"/>
  <c r="N972" i="8" s="1"/>
  <c r="B972" i="11" s="1"/>
  <c r="G973" i="8"/>
  <c r="N973" i="8" s="1"/>
  <c r="B973" i="11" s="1"/>
  <c r="G974" i="8"/>
  <c r="G975" i="8"/>
  <c r="N975" i="8" s="1"/>
  <c r="B975" i="11" s="1"/>
  <c r="G976" i="8"/>
  <c r="N976" i="8" s="1"/>
  <c r="B976" i="11" s="1"/>
  <c r="G977" i="8"/>
  <c r="N977" i="8" s="1"/>
  <c r="B977" i="11" s="1"/>
  <c r="G978" i="8"/>
  <c r="G979" i="8"/>
  <c r="N979" i="8" s="1"/>
  <c r="B979" i="11" s="1"/>
  <c r="G980" i="8"/>
  <c r="N980" i="8" s="1"/>
  <c r="B980" i="11" s="1"/>
  <c r="G981" i="8"/>
  <c r="N981" i="8" s="1"/>
  <c r="B981" i="11" s="1"/>
  <c r="G982" i="8"/>
  <c r="G983" i="8"/>
  <c r="N983" i="8" s="1"/>
  <c r="B983" i="11" s="1"/>
  <c r="G984" i="8"/>
  <c r="N984" i="8" s="1"/>
  <c r="B984" i="11" s="1"/>
  <c r="G985" i="8"/>
  <c r="N985" i="8" s="1"/>
  <c r="B985" i="11" s="1"/>
  <c r="G986" i="8"/>
  <c r="G987" i="8"/>
  <c r="N987" i="8" s="1"/>
  <c r="B987" i="11" s="1"/>
  <c r="G988" i="8"/>
  <c r="N988" i="8" s="1"/>
  <c r="B988" i="11" s="1"/>
  <c r="G989" i="8"/>
  <c r="N989" i="8" s="1"/>
  <c r="B989" i="11" s="1"/>
  <c r="G990" i="8"/>
  <c r="G991" i="8"/>
  <c r="N991" i="8" s="1"/>
  <c r="B991" i="11" s="1"/>
  <c r="G992" i="8"/>
  <c r="N992" i="8" s="1"/>
  <c r="B992" i="11" s="1"/>
  <c r="G993" i="8"/>
  <c r="N993" i="8" s="1"/>
  <c r="B993" i="11" s="1"/>
  <c r="G994" i="8"/>
  <c r="G995" i="8"/>
  <c r="N995" i="8" s="1"/>
  <c r="B995" i="11" s="1"/>
  <c r="G996" i="8"/>
  <c r="N996" i="8" s="1"/>
  <c r="B996" i="11" s="1"/>
  <c r="G997" i="8"/>
  <c r="N997" i="8" s="1"/>
  <c r="B997" i="11" s="1"/>
  <c r="G998" i="8"/>
  <c r="G999" i="8"/>
  <c r="N999" i="8" s="1"/>
  <c r="B999" i="11" s="1"/>
  <c r="G1000" i="8"/>
  <c r="N1000" i="8" s="1"/>
  <c r="B1000" i="11" s="1"/>
  <c r="G1001" i="8"/>
  <c r="N1001" i="8" s="1"/>
  <c r="B1001" i="11" s="1"/>
  <c r="G1002" i="8"/>
  <c r="G1003" i="8"/>
  <c r="N1003" i="8" s="1"/>
  <c r="B1003" i="11" s="1"/>
  <c r="G1004" i="8"/>
  <c r="N1004" i="8" s="1"/>
  <c r="B1004" i="11" s="1"/>
  <c r="G1005" i="8"/>
  <c r="N1005" i="8" s="1"/>
  <c r="B1005" i="11" s="1"/>
  <c r="G1006" i="8"/>
  <c r="G1007" i="8"/>
  <c r="N1007" i="8" s="1"/>
  <c r="B1007" i="11" s="1"/>
  <c r="G1008" i="8"/>
  <c r="N1008" i="8" s="1"/>
  <c r="B1008" i="11" s="1"/>
  <c r="G1009" i="8"/>
  <c r="N1009" i="8" s="1"/>
  <c r="B1009" i="11" s="1"/>
  <c r="G1010" i="8"/>
  <c r="G1011" i="8"/>
  <c r="N1011" i="8" s="1"/>
  <c r="B1011" i="11" s="1"/>
  <c r="G1012" i="8"/>
  <c r="N1012" i="8" s="1"/>
  <c r="B1012" i="11" s="1"/>
  <c r="G1013" i="8"/>
  <c r="N1013" i="8" s="1"/>
  <c r="B1013" i="11" s="1"/>
  <c r="G1014" i="8"/>
  <c r="G1015" i="8"/>
  <c r="N1015" i="8" s="1"/>
  <c r="B1015" i="11" s="1"/>
  <c r="G1016" i="8"/>
  <c r="N1016" i="8" s="1"/>
  <c r="B1016" i="11" s="1"/>
  <c r="G1017" i="8"/>
  <c r="N1017" i="8" s="1"/>
  <c r="B1017" i="11" s="1"/>
  <c r="G1018" i="8"/>
  <c r="G1019" i="8"/>
  <c r="N1019" i="8" s="1"/>
  <c r="B1019" i="11" s="1"/>
  <c r="G1020" i="8"/>
  <c r="N1020" i="8" s="1"/>
  <c r="B1020" i="11" s="1"/>
  <c r="G1021" i="8"/>
  <c r="N1021" i="8" s="1"/>
  <c r="B1021" i="11" s="1"/>
  <c r="G1022" i="8"/>
  <c r="G1023" i="8"/>
  <c r="N1023" i="8" s="1"/>
  <c r="B1023" i="11" s="1"/>
  <c r="G1024" i="8"/>
  <c r="N1024" i="8" s="1"/>
  <c r="B1024" i="11" s="1"/>
  <c r="G1025" i="8"/>
  <c r="N1025" i="8" s="1"/>
  <c r="B1025" i="11" s="1"/>
  <c r="G1026" i="8"/>
  <c r="G1027" i="8"/>
  <c r="N1027" i="8" s="1"/>
  <c r="B1027" i="11" s="1"/>
  <c r="G1028" i="8"/>
  <c r="N1028" i="8" s="1"/>
  <c r="B1028" i="11" s="1"/>
  <c r="G1029" i="8"/>
  <c r="N1029" i="8" s="1"/>
  <c r="B1029" i="11" s="1"/>
  <c r="G1030" i="8"/>
  <c r="G1031" i="8"/>
  <c r="N1031" i="8" s="1"/>
  <c r="B1031" i="11" s="1"/>
  <c r="G1032" i="8"/>
  <c r="N1032" i="8" s="1"/>
  <c r="B1032" i="11" s="1"/>
  <c r="G1033" i="8"/>
  <c r="N1033" i="8" s="1"/>
  <c r="B1033" i="11" s="1"/>
  <c r="G1034" i="8"/>
  <c r="G1035" i="8"/>
  <c r="N1035" i="8" s="1"/>
  <c r="B1035" i="11" s="1"/>
  <c r="G1036" i="8"/>
  <c r="N1036" i="8" s="1"/>
  <c r="B1036" i="11" s="1"/>
  <c r="G1037" i="8"/>
  <c r="N1037" i="8" s="1"/>
  <c r="B1037" i="11" s="1"/>
  <c r="G1038" i="8"/>
  <c r="G1039" i="8"/>
  <c r="N1039" i="8" s="1"/>
  <c r="B1039" i="11" s="1"/>
  <c r="G1040" i="8"/>
  <c r="N1040" i="8" s="1"/>
  <c r="B1040" i="11" s="1"/>
  <c r="G1041" i="8"/>
  <c r="N1041" i="8" s="1"/>
  <c r="B1041" i="11" s="1"/>
  <c r="G1042" i="8"/>
  <c r="G1043" i="8"/>
  <c r="N1043" i="8" s="1"/>
  <c r="B1043" i="11" s="1"/>
  <c r="G1044" i="8"/>
  <c r="N1044" i="8" s="1"/>
  <c r="B1044" i="11" s="1"/>
  <c r="G1045" i="8"/>
  <c r="N1045" i="8" s="1"/>
  <c r="B1045" i="11" s="1"/>
  <c r="G1046" i="8"/>
  <c r="G1047" i="8"/>
  <c r="N1047" i="8" s="1"/>
  <c r="B1047" i="11" s="1"/>
  <c r="G1048" i="8"/>
  <c r="N1048" i="8" s="1"/>
  <c r="B1048" i="11" s="1"/>
  <c r="G1049" i="8"/>
  <c r="N1049" i="8" s="1"/>
  <c r="B1049" i="11" s="1"/>
  <c r="G1050" i="8"/>
  <c r="G1051" i="8"/>
  <c r="N1051" i="8" s="1"/>
  <c r="B1051" i="11" s="1"/>
  <c r="G1052" i="8"/>
  <c r="N1052" i="8" s="1"/>
  <c r="B1052" i="11" s="1"/>
  <c r="G1053" i="8"/>
  <c r="N1053" i="8" s="1"/>
  <c r="B1053" i="11" s="1"/>
  <c r="G1054" i="8"/>
  <c r="G1055" i="8"/>
  <c r="N1055" i="8" s="1"/>
  <c r="B1055" i="11" s="1"/>
  <c r="G1056" i="8"/>
  <c r="N1056" i="8" s="1"/>
  <c r="B1056" i="11" s="1"/>
  <c r="G1057" i="8"/>
  <c r="N1057" i="8" s="1"/>
  <c r="B1057" i="11" s="1"/>
  <c r="G1058" i="8"/>
  <c r="G1059" i="8"/>
  <c r="N1059" i="8" s="1"/>
  <c r="B1059" i="11" s="1"/>
  <c r="G1060" i="8"/>
  <c r="N1060" i="8" s="1"/>
  <c r="B1060" i="11" s="1"/>
  <c r="G1061" i="8"/>
  <c r="N1061" i="8" s="1"/>
  <c r="B1061" i="11" s="1"/>
  <c r="G1062" i="8"/>
  <c r="G1063" i="8"/>
  <c r="N1063" i="8" s="1"/>
  <c r="B1063" i="11" s="1"/>
  <c r="G1064" i="8"/>
  <c r="N1064" i="8" s="1"/>
  <c r="B1064" i="11" s="1"/>
  <c r="G1065" i="8"/>
  <c r="N1065" i="8" s="1"/>
  <c r="B1065" i="11" s="1"/>
  <c r="G1066" i="8"/>
  <c r="G1067" i="8"/>
  <c r="N1067" i="8" s="1"/>
  <c r="B1067" i="11" s="1"/>
  <c r="G1068" i="8"/>
  <c r="N1068" i="8" s="1"/>
  <c r="B1068" i="11" s="1"/>
  <c r="G1069" i="8"/>
  <c r="N1069" i="8" s="1"/>
  <c r="B1069" i="11" s="1"/>
  <c r="G1070" i="8"/>
  <c r="G1071" i="8"/>
  <c r="N1071" i="8" s="1"/>
  <c r="B1071" i="11" s="1"/>
  <c r="G1072" i="8"/>
  <c r="N1072" i="8" s="1"/>
  <c r="B1072" i="11" s="1"/>
  <c r="G1073" i="8"/>
  <c r="N1073" i="8" s="1"/>
  <c r="B1073" i="11" s="1"/>
  <c r="G1074" i="8"/>
  <c r="G1075" i="8"/>
  <c r="N1075" i="8" s="1"/>
  <c r="B1075" i="11" s="1"/>
  <c r="G1076" i="8"/>
  <c r="N1076" i="8" s="1"/>
  <c r="B1076" i="11" s="1"/>
  <c r="G1077" i="8"/>
  <c r="N1077" i="8" s="1"/>
  <c r="B1077" i="11" s="1"/>
  <c r="G1078" i="8"/>
  <c r="G1079" i="8"/>
  <c r="N1079" i="8" s="1"/>
  <c r="B1079" i="11" s="1"/>
  <c r="G1080" i="8"/>
  <c r="N1080" i="8" s="1"/>
  <c r="B1080" i="11" s="1"/>
  <c r="G1081" i="8"/>
  <c r="N1081" i="8" s="1"/>
  <c r="B1081" i="11" s="1"/>
  <c r="G1082" i="8"/>
  <c r="G1083" i="8"/>
  <c r="N1083" i="8" s="1"/>
  <c r="B1083" i="11" s="1"/>
  <c r="G1084" i="8"/>
  <c r="N1084" i="8" s="1"/>
  <c r="B1084" i="11" s="1"/>
  <c r="G1085" i="8"/>
  <c r="N1085" i="8" s="1"/>
  <c r="B1085" i="11" s="1"/>
  <c r="G1086" i="8"/>
  <c r="G1087" i="8"/>
  <c r="N1087" i="8" s="1"/>
  <c r="B1087" i="11" s="1"/>
  <c r="G1088" i="8"/>
  <c r="N1088" i="8" s="1"/>
  <c r="B1088" i="11" s="1"/>
  <c r="G1089" i="8"/>
  <c r="N1089" i="8" s="1"/>
  <c r="B1089" i="11" s="1"/>
  <c r="G1090" i="8"/>
  <c r="G1091" i="8"/>
  <c r="N1091" i="8" s="1"/>
  <c r="B1091" i="11" s="1"/>
  <c r="G1092" i="8"/>
  <c r="N1092" i="8" s="1"/>
  <c r="B1092" i="11" s="1"/>
  <c r="G1093" i="8"/>
  <c r="N1093" i="8" s="1"/>
  <c r="B1093" i="11" s="1"/>
  <c r="G1094" i="8"/>
  <c r="G1095" i="8"/>
  <c r="N1095" i="8" s="1"/>
  <c r="B1095" i="11" s="1"/>
  <c r="G1096" i="8"/>
  <c r="N1096" i="8" s="1"/>
  <c r="B1096" i="11" s="1"/>
  <c r="G1097" i="8"/>
  <c r="N1097" i="8" s="1"/>
  <c r="B1097" i="11" s="1"/>
  <c r="G1098" i="8"/>
  <c r="G1099" i="8"/>
  <c r="N1099" i="8" s="1"/>
  <c r="B1099" i="11" s="1"/>
  <c r="G1100" i="8"/>
  <c r="N1100" i="8" s="1"/>
  <c r="B1100" i="11" s="1"/>
  <c r="G1101" i="8"/>
  <c r="N1101" i="8" s="1"/>
  <c r="B1101" i="11" s="1"/>
  <c r="G1102" i="8"/>
  <c r="G1103" i="8"/>
  <c r="N1103" i="8" s="1"/>
  <c r="B1103" i="11" s="1"/>
  <c r="G1104" i="8"/>
  <c r="N1104" i="8" s="1"/>
  <c r="B1104" i="11" s="1"/>
  <c r="G1105" i="8"/>
  <c r="N1105" i="8" s="1"/>
  <c r="B1105" i="11" s="1"/>
  <c r="G1106" i="8"/>
  <c r="G1107" i="8"/>
  <c r="N1107" i="8" s="1"/>
  <c r="B1107" i="11" s="1"/>
  <c r="G1108" i="8"/>
  <c r="N1108" i="8" s="1"/>
  <c r="B1108" i="11" s="1"/>
  <c r="G1109" i="8"/>
  <c r="N1109" i="8" s="1"/>
  <c r="B1109" i="11" s="1"/>
  <c r="G1110" i="8"/>
  <c r="G1111" i="8"/>
  <c r="N1111" i="8" s="1"/>
  <c r="B1111" i="11" s="1"/>
  <c r="G1112" i="8"/>
  <c r="N1112" i="8" s="1"/>
  <c r="B1112" i="11" s="1"/>
  <c r="G1113" i="8"/>
  <c r="N1113" i="8" s="1"/>
  <c r="B1113" i="11" s="1"/>
  <c r="G1114" i="8"/>
  <c r="G1115" i="8"/>
  <c r="N1115" i="8" s="1"/>
  <c r="B1115" i="11" s="1"/>
  <c r="G1116" i="8"/>
  <c r="N1116" i="8" s="1"/>
  <c r="B1116" i="11" s="1"/>
  <c r="G1117" i="8"/>
  <c r="N1117" i="8" s="1"/>
  <c r="B1117" i="11" s="1"/>
  <c r="G1118" i="8"/>
  <c r="G1119" i="8"/>
  <c r="N1119" i="8" s="1"/>
  <c r="B1119" i="11" s="1"/>
  <c r="G1120" i="8"/>
  <c r="N1120" i="8" s="1"/>
  <c r="B1120" i="11" s="1"/>
  <c r="G1121" i="8"/>
  <c r="N1121" i="8" s="1"/>
  <c r="B1121" i="11" s="1"/>
  <c r="G1122" i="8"/>
  <c r="G1123" i="8"/>
  <c r="N1123" i="8" s="1"/>
  <c r="B1123" i="11" s="1"/>
  <c r="G1124" i="8"/>
  <c r="N1124" i="8" s="1"/>
  <c r="B1124" i="11" s="1"/>
  <c r="G1125" i="8"/>
  <c r="N1125" i="8" s="1"/>
  <c r="B1125" i="11" s="1"/>
  <c r="G1126" i="8"/>
  <c r="G1127" i="8"/>
  <c r="N1127" i="8" s="1"/>
  <c r="B1127" i="11" s="1"/>
  <c r="G1128" i="8"/>
  <c r="N1128" i="8" s="1"/>
  <c r="B1128" i="11" s="1"/>
  <c r="G1129" i="8"/>
  <c r="N1129" i="8" s="1"/>
  <c r="B1129" i="11" s="1"/>
  <c r="G1130" i="8"/>
  <c r="G1131" i="8"/>
  <c r="N1131" i="8" s="1"/>
  <c r="B1131" i="11" s="1"/>
  <c r="G1132" i="8"/>
  <c r="N1132" i="8" s="1"/>
  <c r="B1132" i="11" s="1"/>
  <c r="G1133" i="8"/>
  <c r="N1133" i="8" s="1"/>
  <c r="B1133" i="11" s="1"/>
  <c r="G1134" i="8"/>
  <c r="G1135" i="8"/>
  <c r="N1135" i="8" s="1"/>
  <c r="B1135" i="11" s="1"/>
  <c r="G1136" i="8"/>
  <c r="N1136" i="8" s="1"/>
  <c r="B1136" i="11" s="1"/>
  <c r="G1137" i="8"/>
  <c r="N1137" i="8" s="1"/>
  <c r="B1137" i="11" s="1"/>
  <c r="G1138" i="8"/>
  <c r="G1139" i="8"/>
  <c r="N1139" i="8" s="1"/>
  <c r="B1139" i="11" s="1"/>
  <c r="G1140" i="8"/>
  <c r="N1140" i="8" s="1"/>
  <c r="B1140" i="11" s="1"/>
  <c r="G1141" i="8"/>
  <c r="N1141" i="8" s="1"/>
  <c r="B1141" i="11" s="1"/>
  <c r="G1142" i="8"/>
  <c r="G1143" i="8"/>
  <c r="N1143" i="8" s="1"/>
  <c r="B1143" i="11" s="1"/>
  <c r="G1144" i="8"/>
  <c r="N1144" i="8" s="1"/>
  <c r="B1144" i="11" s="1"/>
  <c r="G1145" i="8"/>
  <c r="N1145" i="8" s="1"/>
  <c r="B1145" i="11" s="1"/>
  <c r="G1146" i="8"/>
  <c r="G1147" i="8"/>
  <c r="N1147" i="8" s="1"/>
  <c r="B1147" i="11" s="1"/>
  <c r="G1148" i="8"/>
  <c r="N1148" i="8" s="1"/>
  <c r="B1148" i="11" s="1"/>
  <c r="G1149" i="8"/>
  <c r="N1149" i="8" s="1"/>
  <c r="B1149" i="11" s="1"/>
  <c r="G1150" i="8"/>
  <c r="G1151" i="8"/>
  <c r="N1151" i="8" s="1"/>
  <c r="B1151" i="11" s="1"/>
  <c r="G1152" i="8"/>
  <c r="N1152" i="8" s="1"/>
  <c r="B1152" i="11" s="1"/>
  <c r="G1153" i="8"/>
  <c r="N1153" i="8" s="1"/>
  <c r="B1153" i="11" s="1"/>
  <c r="G1154" i="8"/>
  <c r="G1155" i="8"/>
  <c r="N1155" i="8" s="1"/>
  <c r="B1155" i="11" s="1"/>
  <c r="G1156" i="8"/>
  <c r="N1156" i="8" s="1"/>
  <c r="B1156" i="11" s="1"/>
  <c r="G1157" i="8"/>
  <c r="N1157" i="8" s="1"/>
  <c r="B1157" i="11" s="1"/>
  <c r="G1158" i="8"/>
  <c r="G1159" i="8"/>
  <c r="N1159" i="8" s="1"/>
  <c r="B1159" i="11" s="1"/>
  <c r="G1160" i="8"/>
  <c r="G1161" i="8"/>
  <c r="G1162" i="8"/>
  <c r="G1163" i="8"/>
  <c r="G1164" i="8"/>
  <c r="G1165" i="8"/>
  <c r="G1166" i="8"/>
  <c r="G1167" i="8"/>
  <c r="G1168" i="8"/>
  <c r="G1169" i="8"/>
  <c r="G1170" i="8"/>
  <c r="G1171" i="8"/>
  <c r="G1172" i="8"/>
  <c r="G1173" i="8"/>
  <c r="G1174" i="8"/>
  <c r="G1175" i="8"/>
  <c r="G1176" i="8"/>
  <c r="G1177" i="8"/>
  <c r="G1178" i="8"/>
  <c r="G1179" i="8"/>
  <c r="G1180" i="8"/>
  <c r="G1181" i="8"/>
  <c r="G1182" i="8"/>
  <c r="G1183" i="8"/>
  <c r="G1184" i="8"/>
  <c r="G1185" i="8"/>
  <c r="G1186" i="8"/>
  <c r="G1187" i="8"/>
  <c r="G1188" i="8"/>
  <c r="G1189" i="8"/>
  <c r="G1190" i="8"/>
  <c r="G1191" i="8"/>
  <c r="G1192" i="8"/>
  <c r="G1193" i="8"/>
  <c r="G1194" i="8"/>
  <c r="G1195" i="8"/>
  <c r="G1196" i="8"/>
  <c r="G1197" i="8"/>
  <c r="G1198" i="8"/>
  <c r="G1199" i="8"/>
  <c r="G1200" i="8"/>
  <c r="G1201" i="8"/>
  <c r="G1202" i="8"/>
  <c r="G1203" i="8"/>
  <c r="G1204" i="8"/>
  <c r="G1205" i="8"/>
  <c r="G1206" i="8"/>
  <c r="G1207" i="8"/>
  <c r="G1208" i="8"/>
  <c r="G1209" i="8"/>
  <c r="G1210" i="8"/>
  <c r="G1211" i="8"/>
  <c r="G1212" i="8"/>
  <c r="G1213" i="8"/>
  <c r="G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B106" i="3" l="1"/>
  <c r="B111" i="3" s="1"/>
  <c r="B123" i="3" s="1"/>
  <c r="T18" i="20"/>
  <c r="G18" i="20" s="1"/>
  <c r="B21" i="7"/>
  <c r="G54" i="3"/>
  <c r="G120" i="3" s="1"/>
  <c r="H18" i="3"/>
  <c r="U18" i="20"/>
  <c r="C106" i="3"/>
  <c r="C111" i="3" s="1"/>
  <c r="C123" i="3" s="1"/>
  <c r="C125" i="3" s="1"/>
  <c r="C21" i="7"/>
  <c r="W15" i="20"/>
  <c r="J15" i="20" s="1"/>
  <c r="J14" i="20"/>
  <c r="X14" i="20"/>
  <c r="F41" i="3"/>
  <c r="F9" i="7"/>
  <c r="H28" i="3"/>
  <c r="G31" i="3"/>
  <c r="Y10" i="20"/>
  <c r="K10" i="20"/>
  <c r="X11" i="20"/>
  <c r="K11" i="20" s="1"/>
  <c r="E88" i="3"/>
  <c r="E115" i="3"/>
  <c r="F53" i="3"/>
  <c r="F119" i="3" s="1"/>
  <c r="F85" i="3"/>
  <c r="G29" i="3"/>
  <c r="G30" i="3" s="1"/>
  <c r="G32" i="3" s="1"/>
  <c r="H10" i="3"/>
  <c r="H29" i="3" s="1"/>
  <c r="D129" i="3"/>
  <c r="D133" i="3" s="1"/>
  <c r="E155" i="3"/>
  <c r="E159" i="3" s="1"/>
  <c r="D61" i="3"/>
  <c r="D65" i="3" s="1"/>
  <c r="D11" i="7"/>
  <c r="D23" i="7" s="1"/>
  <c r="D42" i="3"/>
  <c r="D43" i="3" s="1"/>
  <c r="G157" i="3"/>
  <c r="F158" i="3"/>
  <c r="F108" i="3" s="1"/>
  <c r="E11" i="7"/>
  <c r="E23" i="7" s="1"/>
  <c r="E42" i="3"/>
  <c r="E43" i="3" s="1"/>
  <c r="N1160" i="8"/>
  <c r="B1160" i="11" s="1"/>
  <c r="N1161" i="8"/>
  <c r="B1161" i="11" s="1"/>
  <c r="N1163" i="8"/>
  <c r="B1163" i="11" s="1"/>
  <c r="N1164" i="8"/>
  <c r="B1164" i="11" s="1"/>
  <c r="N1165" i="8"/>
  <c r="B1165" i="11" s="1"/>
  <c r="N1167" i="8"/>
  <c r="B1167" i="11" s="1"/>
  <c r="N1168" i="8"/>
  <c r="B1168" i="11" s="1"/>
  <c r="N1169" i="8"/>
  <c r="B1169" i="11" s="1"/>
  <c r="N1171" i="8"/>
  <c r="B1171" i="11" s="1"/>
  <c r="N1172" i="8"/>
  <c r="B1172" i="11" s="1"/>
  <c r="N1173" i="8"/>
  <c r="B1173" i="11" s="1"/>
  <c r="N1175" i="8"/>
  <c r="B1175" i="11" s="1"/>
  <c r="N1176" i="8"/>
  <c r="B1176" i="11" s="1"/>
  <c r="N1177" i="8"/>
  <c r="B1177" i="11" s="1"/>
  <c r="N1179" i="8"/>
  <c r="B1179" i="11" s="1"/>
  <c r="N1180" i="8"/>
  <c r="B1180" i="11" s="1"/>
  <c r="N1181" i="8"/>
  <c r="B1181" i="11" s="1"/>
  <c r="N1183" i="8"/>
  <c r="B1183" i="11" s="1"/>
  <c r="N1184" i="8"/>
  <c r="B1184" i="11" s="1"/>
  <c r="N1185" i="8"/>
  <c r="B1185" i="11" s="1"/>
  <c r="N1187" i="8"/>
  <c r="B1187" i="11" s="1"/>
  <c r="N1188" i="8"/>
  <c r="B1188" i="11" s="1"/>
  <c r="N1189" i="8"/>
  <c r="B1189" i="11" s="1"/>
  <c r="N1191" i="8"/>
  <c r="B1191" i="11" s="1"/>
  <c r="N1192" i="8"/>
  <c r="B1192" i="11" s="1"/>
  <c r="N1193" i="8"/>
  <c r="B1193" i="11" s="1"/>
  <c r="N1195" i="8"/>
  <c r="B1195" i="11" s="1"/>
  <c r="N1196" i="8"/>
  <c r="B1196" i="11" s="1"/>
  <c r="N1197" i="8"/>
  <c r="B1197" i="11" s="1"/>
  <c r="N1199" i="8"/>
  <c r="B1199" i="11" s="1"/>
  <c r="N1200" i="8"/>
  <c r="B1200" i="11" s="1"/>
  <c r="N1201" i="8"/>
  <c r="B1201" i="11" s="1"/>
  <c r="N1203" i="8"/>
  <c r="B1203" i="11" s="1"/>
  <c r="N1204" i="8"/>
  <c r="B1204" i="11" s="1"/>
  <c r="N1205" i="8"/>
  <c r="B1205" i="11" s="1"/>
  <c r="N1207" i="8"/>
  <c r="B1207" i="11" s="1"/>
  <c r="N1208" i="8"/>
  <c r="B1208" i="11" s="1"/>
  <c r="N1209" i="8"/>
  <c r="B1209" i="11" s="1"/>
  <c r="N1211" i="8"/>
  <c r="B1211" i="11" s="1"/>
  <c r="N1212" i="8"/>
  <c r="B1212" i="11" s="1"/>
  <c r="N1213" i="8"/>
  <c r="B1213" i="11" s="1"/>
  <c r="N4" i="8"/>
  <c r="B4" i="11" s="1"/>
  <c r="O5" i="8"/>
  <c r="C5" i="11" s="1"/>
  <c r="M5" i="11" s="1"/>
  <c r="O7" i="8"/>
  <c r="C7" i="11" s="1"/>
  <c r="M7" i="11" s="1"/>
  <c r="O8" i="8"/>
  <c r="C8" i="11" s="1"/>
  <c r="M8" i="11" s="1"/>
  <c r="O9" i="8"/>
  <c r="C9" i="11" s="1"/>
  <c r="M9" i="11" s="1"/>
  <c r="O11" i="8"/>
  <c r="C11" i="11" s="1"/>
  <c r="M11" i="11" s="1"/>
  <c r="O12" i="8"/>
  <c r="C12" i="11" s="1"/>
  <c r="M12" i="11" s="1"/>
  <c r="O13" i="8"/>
  <c r="C13" i="11" s="1"/>
  <c r="M13" i="11" s="1"/>
  <c r="O15" i="8"/>
  <c r="C15" i="11" s="1"/>
  <c r="M15" i="11" s="1"/>
  <c r="O16" i="8"/>
  <c r="C16" i="11" s="1"/>
  <c r="M16" i="11" s="1"/>
  <c r="O17" i="8"/>
  <c r="C17" i="11" s="1"/>
  <c r="M17" i="11" s="1"/>
  <c r="O19" i="8"/>
  <c r="C19" i="11" s="1"/>
  <c r="M19" i="11" s="1"/>
  <c r="O20" i="8"/>
  <c r="C20" i="11" s="1"/>
  <c r="M20" i="11" s="1"/>
  <c r="O21" i="8"/>
  <c r="C21" i="11" s="1"/>
  <c r="M21" i="11" s="1"/>
  <c r="O23" i="8"/>
  <c r="C23" i="11" s="1"/>
  <c r="M23" i="11" s="1"/>
  <c r="O24" i="8"/>
  <c r="C24" i="11" s="1"/>
  <c r="M24" i="11" s="1"/>
  <c r="O25" i="8"/>
  <c r="C25" i="11" s="1"/>
  <c r="M25" i="11" s="1"/>
  <c r="O27" i="8"/>
  <c r="C27" i="11" s="1"/>
  <c r="M27" i="11" s="1"/>
  <c r="O28" i="8"/>
  <c r="C28" i="11" s="1"/>
  <c r="M28" i="11" s="1"/>
  <c r="O29" i="8"/>
  <c r="C29" i="11" s="1"/>
  <c r="M29" i="11" s="1"/>
  <c r="O31" i="8"/>
  <c r="C31" i="11" s="1"/>
  <c r="M31" i="11" s="1"/>
  <c r="O32" i="8"/>
  <c r="C32" i="11" s="1"/>
  <c r="M32" i="11" s="1"/>
  <c r="O33" i="8"/>
  <c r="C33" i="11" s="1"/>
  <c r="M33" i="11" s="1"/>
  <c r="O35" i="8"/>
  <c r="C35" i="11" s="1"/>
  <c r="M35" i="11" s="1"/>
  <c r="O36" i="8"/>
  <c r="C36" i="11" s="1"/>
  <c r="M36" i="11" s="1"/>
  <c r="O37" i="8"/>
  <c r="C37" i="11" s="1"/>
  <c r="M37" i="11" s="1"/>
  <c r="O39" i="8"/>
  <c r="C39" i="11" s="1"/>
  <c r="M39" i="11" s="1"/>
  <c r="O40" i="8"/>
  <c r="C40" i="11" s="1"/>
  <c r="M40" i="11" s="1"/>
  <c r="O41" i="8"/>
  <c r="C41" i="11" s="1"/>
  <c r="M41" i="11" s="1"/>
  <c r="O43" i="8"/>
  <c r="C43" i="11" s="1"/>
  <c r="M43" i="11" s="1"/>
  <c r="O44" i="8"/>
  <c r="C44" i="11" s="1"/>
  <c r="M44" i="11" s="1"/>
  <c r="O45" i="8"/>
  <c r="C45" i="11" s="1"/>
  <c r="M45" i="11" s="1"/>
  <c r="O47" i="8"/>
  <c r="C47" i="11" s="1"/>
  <c r="M47" i="11" s="1"/>
  <c r="O48" i="8"/>
  <c r="C48" i="11" s="1"/>
  <c r="M48" i="11" s="1"/>
  <c r="O49" i="8"/>
  <c r="C49" i="11" s="1"/>
  <c r="M49" i="11" s="1"/>
  <c r="O51" i="8"/>
  <c r="C51" i="11" s="1"/>
  <c r="M51" i="11" s="1"/>
  <c r="O52" i="8"/>
  <c r="C52" i="11" s="1"/>
  <c r="M52" i="11" s="1"/>
  <c r="O53" i="8"/>
  <c r="C53" i="11" s="1"/>
  <c r="M53" i="11" s="1"/>
  <c r="O55" i="8"/>
  <c r="C55" i="11" s="1"/>
  <c r="M55" i="11" s="1"/>
  <c r="O56" i="8"/>
  <c r="C56" i="11" s="1"/>
  <c r="M56" i="11" s="1"/>
  <c r="O57" i="8"/>
  <c r="C57" i="11" s="1"/>
  <c r="M57" i="11" s="1"/>
  <c r="O59" i="8"/>
  <c r="C59" i="11" s="1"/>
  <c r="M59" i="11" s="1"/>
  <c r="O60" i="8"/>
  <c r="C60" i="11" s="1"/>
  <c r="M60" i="11" s="1"/>
  <c r="O61" i="8"/>
  <c r="C61" i="11" s="1"/>
  <c r="M61" i="11" s="1"/>
  <c r="O63" i="8"/>
  <c r="C63" i="11" s="1"/>
  <c r="M63" i="11" s="1"/>
  <c r="O64" i="8"/>
  <c r="C64" i="11" s="1"/>
  <c r="M64" i="11" s="1"/>
  <c r="O65" i="8"/>
  <c r="C65" i="11" s="1"/>
  <c r="M65" i="11" s="1"/>
  <c r="O67" i="8"/>
  <c r="C67" i="11" s="1"/>
  <c r="M67" i="11" s="1"/>
  <c r="O68" i="8"/>
  <c r="C68" i="11" s="1"/>
  <c r="M68" i="11" s="1"/>
  <c r="O69" i="8"/>
  <c r="C69" i="11" s="1"/>
  <c r="M69" i="11" s="1"/>
  <c r="O71" i="8"/>
  <c r="C71" i="11" s="1"/>
  <c r="M71" i="11" s="1"/>
  <c r="O72" i="8"/>
  <c r="C72" i="11" s="1"/>
  <c r="M72" i="11" s="1"/>
  <c r="O73" i="8"/>
  <c r="C73" i="11" s="1"/>
  <c r="M73" i="11" s="1"/>
  <c r="O75" i="8"/>
  <c r="C75" i="11" s="1"/>
  <c r="M75" i="11" s="1"/>
  <c r="O76" i="8"/>
  <c r="C76" i="11" s="1"/>
  <c r="M76" i="11" s="1"/>
  <c r="O77" i="8"/>
  <c r="C77" i="11" s="1"/>
  <c r="M77" i="11" s="1"/>
  <c r="O79" i="8"/>
  <c r="C79" i="11" s="1"/>
  <c r="M79" i="11" s="1"/>
  <c r="O80" i="8"/>
  <c r="C80" i="11" s="1"/>
  <c r="M80" i="11" s="1"/>
  <c r="O81" i="8"/>
  <c r="C81" i="11" s="1"/>
  <c r="M81" i="11" s="1"/>
  <c r="O83" i="8"/>
  <c r="C83" i="11" s="1"/>
  <c r="M83" i="11" s="1"/>
  <c r="O84" i="8"/>
  <c r="C84" i="11" s="1"/>
  <c r="M84" i="11" s="1"/>
  <c r="O85" i="8"/>
  <c r="C85" i="11" s="1"/>
  <c r="M85" i="11" s="1"/>
  <c r="O87" i="8"/>
  <c r="C87" i="11" s="1"/>
  <c r="M87" i="11" s="1"/>
  <c r="O88" i="8"/>
  <c r="C88" i="11" s="1"/>
  <c r="M88" i="11" s="1"/>
  <c r="O89" i="8"/>
  <c r="C89" i="11" s="1"/>
  <c r="M89" i="11" s="1"/>
  <c r="O91" i="8"/>
  <c r="C91" i="11" s="1"/>
  <c r="M91" i="11" s="1"/>
  <c r="O92" i="8"/>
  <c r="C92" i="11" s="1"/>
  <c r="M92" i="11" s="1"/>
  <c r="O93" i="8"/>
  <c r="C93" i="11" s="1"/>
  <c r="M93" i="11" s="1"/>
  <c r="O95" i="8"/>
  <c r="C95" i="11" s="1"/>
  <c r="M95" i="11" s="1"/>
  <c r="O96" i="8"/>
  <c r="C96" i="11" s="1"/>
  <c r="M96" i="11" s="1"/>
  <c r="O97" i="8"/>
  <c r="C97" i="11" s="1"/>
  <c r="M97" i="11" s="1"/>
  <c r="O99" i="8"/>
  <c r="C99" i="11" s="1"/>
  <c r="M99" i="11" s="1"/>
  <c r="O100" i="8"/>
  <c r="C100" i="11" s="1"/>
  <c r="M100" i="11" s="1"/>
  <c r="O101" i="8"/>
  <c r="C101" i="11" s="1"/>
  <c r="M101" i="11" s="1"/>
  <c r="O103" i="8"/>
  <c r="C103" i="11" s="1"/>
  <c r="M103" i="11" s="1"/>
  <c r="O104" i="8"/>
  <c r="C104" i="11" s="1"/>
  <c r="M104" i="11" s="1"/>
  <c r="O105" i="8"/>
  <c r="C105" i="11" s="1"/>
  <c r="M105" i="11" s="1"/>
  <c r="O107" i="8"/>
  <c r="C107" i="11" s="1"/>
  <c r="M107" i="11" s="1"/>
  <c r="O108" i="8"/>
  <c r="C108" i="11" s="1"/>
  <c r="M108" i="11" s="1"/>
  <c r="O109" i="8"/>
  <c r="C109" i="11" s="1"/>
  <c r="M109" i="11" s="1"/>
  <c r="O111" i="8"/>
  <c r="C111" i="11" s="1"/>
  <c r="M111" i="11" s="1"/>
  <c r="O112" i="8"/>
  <c r="C112" i="11" s="1"/>
  <c r="M112" i="11" s="1"/>
  <c r="O113" i="8"/>
  <c r="C113" i="11" s="1"/>
  <c r="M113" i="11" s="1"/>
  <c r="O115" i="8"/>
  <c r="C115" i="11" s="1"/>
  <c r="M115" i="11" s="1"/>
  <c r="O116" i="8"/>
  <c r="C116" i="11" s="1"/>
  <c r="M116" i="11" s="1"/>
  <c r="O117" i="8"/>
  <c r="C117" i="11" s="1"/>
  <c r="M117" i="11" s="1"/>
  <c r="O119" i="8"/>
  <c r="C119" i="11" s="1"/>
  <c r="M119" i="11" s="1"/>
  <c r="O120" i="8"/>
  <c r="C120" i="11" s="1"/>
  <c r="M120" i="11" s="1"/>
  <c r="O121" i="8"/>
  <c r="C121" i="11" s="1"/>
  <c r="M121" i="11" s="1"/>
  <c r="O123" i="8"/>
  <c r="C123" i="11" s="1"/>
  <c r="M123" i="11" s="1"/>
  <c r="O124" i="8"/>
  <c r="C124" i="11" s="1"/>
  <c r="M124" i="11" s="1"/>
  <c r="O125" i="8"/>
  <c r="C125" i="11" s="1"/>
  <c r="M125" i="11" s="1"/>
  <c r="O127" i="8"/>
  <c r="C127" i="11" s="1"/>
  <c r="M127" i="11" s="1"/>
  <c r="O128" i="8"/>
  <c r="C128" i="11" s="1"/>
  <c r="M128" i="11" s="1"/>
  <c r="O129" i="8"/>
  <c r="C129" i="11" s="1"/>
  <c r="M129" i="11" s="1"/>
  <c r="O131" i="8"/>
  <c r="C131" i="11" s="1"/>
  <c r="M131" i="11" s="1"/>
  <c r="O132" i="8"/>
  <c r="C132" i="11" s="1"/>
  <c r="M132" i="11" s="1"/>
  <c r="O133" i="8"/>
  <c r="C133" i="11" s="1"/>
  <c r="M133" i="11" s="1"/>
  <c r="O135" i="8"/>
  <c r="C135" i="11" s="1"/>
  <c r="M135" i="11" s="1"/>
  <c r="O136" i="8"/>
  <c r="C136" i="11" s="1"/>
  <c r="M136" i="11" s="1"/>
  <c r="O137" i="8"/>
  <c r="C137" i="11" s="1"/>
  <c r="M137" i="11" s="1"/>
  <c r="O139" i="8"/>
  <c r="C139" i="11" s="1"/>
  <c r="M139" i="11" s="1"/>
  <c r="O140" i="8"/>
  <c r="C140" i="11" s="1"/>
  <c r="M140" i="11" s="1"/>
  <c r="O141" i="8"/>
  <c r="C141" i="11" s="1"/>
  <c r="M141" i="11" s="1"/>
  <c r="O143" i="8"/>
  <c r="C143" i="11" s="1"/>
  <c r="M143" i="11" s="1"/>
  <c r="O144" i="8"/>
  <c r="C144" i="11" s="1"/>
  <c r="M144" i="11" s="1"/>
  <c r="O145" i="8"/>
  <c r="C145" i="11" s="1"/>
  <c r="M145" i="11" s="1"/>
  <c r="O147" i="8"/>
  <c r="C147" i="11" s="1"/>
  <c r="M147" i="11" s="1"/>
  <c r="O148" i="8"/>
  <c r="C148" i="11" s="1"/>
  <c r="M148" i="11" s="1"/>
  <c r="O149" i="8"/>
  <c r="C149" i="11" s="1"/>
  <c r="M149" i="11" s="1"/>
  <c r="O151" i="8"/>
  <c r="C151" i="11" s="1"/>
  <c r="M151" i="11" s="1"/>
  <c r="O152" i="8"/>
  <c r="C152" i="11" s="1"/>
  <c r="M152" i="11" s="1"/>
  <c r="O153" i="8"/>
  <c r="C153" i="11" s="1"/>
  <c r="M153" i="11" s="1"/>
  <c r="O155" i="8"/>
  <c r="C155" i="11" s="1"/>
  <c r="M155" i="11" s="1"/>
  <c r="O156" i="8"/>
  <c r="C156" i="11" s="1"/>
  <c r="M156" i="11" s="1"/>
  <c r="O157" i="8"/>
  <c r="C157" i="11" s="1"/>
  <c r="M157" i="11" s="1"/>
  <c r="O159" i="8"/>
  <c r="C159" i="11" s="1"/>
  <c r="M159" i="11" s="1"/>
  <c r="O160" i="8"/>
  <c r="C160" i="11" s="1"/>
  <c r="M160" i="11" s="1"/>
  <c r="O161" i="8"/>
  <c r="C161" i="11" s="1"/>
  <c r="M161" i="11" s="1"/>
  <c r="O163" i="8"/>
  <c r="C163" i="11" s="1"/>
  <c r="M163" i="11" s="1"/>
  <c r="O164" i="8"/>
  <c r="C164" i="11" s="1"/>
  <c r="M164" i="11" s="1"/>
  <c r="O165" i="8"/>
  <c r="C165" i="11" s="1"/>
  <c r="M165" i="11" s="1"/>
  <c r="O167" i="8"/>
  <c r="C167" i="11" s="1"/>
  <c r="M167" i="11" s="1"/>
  <c r="O168" i="8"/>
  <c r="C168" i="11" s="1"/>
  <c r="M168" i="11" s="1"/>
  <c r="O169" i="8"/>
  <c r="C169" i="11" s="1"/>
  <c r="M169" i="11" s="1"/>
  <c r="O171" i="8"/>
  <c r="C171" i="11" s="1"/>
  <c r="M171" i="11" s="1"/>
  <c r="O172" i="8"/>
  <c r="C172" i="11" s="1"/>
  <c r="M172" i="11" s="1"/>
  <c r="O173" i="8"/>
  <c r="C173" i="11" s="1"/>
  <c r="M173" i="11" s="1"/>
  <c r="O175" i="8"/>
  <c r="C175" i="11" s="1"/>
  <c r="M175" i="11" s="1"/>
  <c r="O176" i="8"/>
  <c r="C176" i="11" s="1"/>
  <c r="M176" i="11" s="1"/>
  <c r="O177" i="8"/>
  <c r="C177" i="11" s="1"/>
  <c r="M177" i="11" s="1"/>
  <c r="O179" i="8"/>
  <c r="C179" i="11" s="1"/>
  <c r="M179" i="11" s="1"/>
  <c r="O180" i="8"/>
  <c r="C180" i="11" s="1"/>
  <c r="M180" i="11" s="1"/>
  <c r="O181" i="8"/>
  <c r="C181" i="11" s="1"/>
  <c r="M181" i="11" s="1"/>
  <c r="O183" i="8"/>
  <c r="C183" i="11" s="1"/>
  <c r="M183" i="11" s="1"/>
  <c r="O184" i="8"/>
  <c r="C184" i="11" s="1"/>
  <c r="M184" i="11" s="1"/>
  <c r="O185" i="8"/>
  <c r="C185" i="11" s="1"/>
  <c r="M185" i="11" s="1"/>
  <c r="O187" i="8"/>
  <c r="C187" i="11" s="1"/>
  <c r="M187" i="11" s="1"/>
  <c r="O188" i="8"/>
  <c r="C188" i="11" s="1"/>
  <c r="M188" i="11" s="1"/>
  <c r="O189" i="8"/>
  <c r="C189" i="11" s="1"/>
  <c r="M189" i="11" s="1"/>
  <c r="O191" i="8"/>
  <c r="C191" i="11" s="1"/>
  <c r="M191" i="11" s="1"/>
  <c r="O192" i="8"/>
  <c r="C192" i="11" s="1"/>
  <c r="M192" i="11" s="1"/>
  <c r="O193" i="8"/>
  <c r="C193" i="11" s="1"/>
  <c r="M193" i="11" s="1"/>
  <c r="O195" i="8"/>
  <c r="C195" i="11" s="1"/>
  <c r="M195" i="11" s="1"/>
  <c r="O196" i="8"/>
  <c r="C196" i="11" s="1"/>
  <c r="M196" i="11" s="1"/>
  <c r="O197" i="8"/>
  <c r="C197" i="11" s="1"/>
  <c r="M197" i="11" s="1"/>
  <c r="O199" i="8"/>
  <c r="C199" i="11" s="1"/>
  <c r="M199" i="11" s="1"/>
  <c r="O200" i="8"/>
  <c r="C200" i="11" s="1"/>
  <c r="M200" i="11" s="1"/>
  <c r="O201" i="8"/>
  <c r="C201" i="11" s="1"/>
  <c r="M201" i="11" s="1"/>
  <c r="O203" i="8"/>
  <c r="C203" i="11" s="1"/>
  <c r="M203" i="11" s="1"/>
  <c r="O204" i="8"/>
  <c r="C204" i="11" s="1"/>
  <c r="M204" i="11" s="1"/>
  <c r="O205" i="8"/>
  <c r="C205" i="11" s="1"/>
  <c r="M205" i="11" s="1"/>
  <c r="O207" i="8"/>
  <c r="C207" i="11" s="1"/>
  <c r="M207" i="11" s="1"/>
  <c r="O208" i="8"/>
  <c r="C208" i="11" s="1"/>
  <c r="M208" i="11" s="1"/>
  <c r="O209" i="8"/>
  <c r="C209" i="11" s="1"/>
  <c r="M209" i="11" s="1"/>
  <c r="O211" i="8"/>
  <c r="C211" i="11" s="1"/>
  <c r="M211" i="11" s="1"/>
  <c r="O212" i="8"/>
  <c r="C212" i="11" s="1"/>
  <c r="M212" i="11" s="1"/>
  <c r="O213" i="8"/>
  <c r="C213" i="11" s="1"/>
  <c r="M213" i="11" s="1"/>
  <c r="O215" i="8"/>
  <c r="C215" i="11" s="1"/>
  <c r="M215" i="11" s="1"/>
  <c r="O216" i="8"/>
  <c r="C216" i="11" s="1"/>
  <c r="M216" i="11" s="1"/>
  <c r="O217" i="8"/>
  <c r="C217" i="11" s="1"/>
  <c r="M217" i="11" s="1"/>
  <c r="O219" i="8"/>
  <c r="C219" i="11" s="1"/>
  <c r="M219" i="11" s="1"/>
  <c r="O220" i="8"/>
  <c r="C220" i="11" s="1"/>
  <c r="M220" i="11" s="1"/>
  <c r="O221" i="8"/>
  <c r="C221" i="11" s="1"/>
  <c r="M221" i="11" s="1"/>
  <c r="O223" i="8"/>
  <c r="C223" i="11" s="1"/>
  <c r="M223" i="11" s="1"/>
  <c r="O224" i="8"/>
  <c r="C224" i="11" s="1"/>
  <c r="M224" i="11" s="1"/>
  <c r="O225" i="8"/>
  <c r="C225" i="11" s="1"/>
  <c r="M225" i="11" s="1"/>
  <c r="O227" i="8"/>
  <c r="C227" i="11" s="1"/>
  <c r="M227" i="11" s="1"/>
  <c r="O228" i="8"/>
  <c r="C228" i="11" s="1"/>
  <c r="M228" i="11" s="1"/>
  <c r="O229" i="8"/>
  <c r="C229" i="11" s="1"/>
  <c r="M229" i="11" s="1"/>
  <c r="O231" i="8"/>
  <c r="C231" i="11" s="1"/>
  <c r="M231" i="11" s="1"/>
  <c r="O232" i="8"/>
  <c r="C232" i="11" s="1"/>
  <c r="M232" i="11" s="1"/>
  <c r="O233" i="8"/>
  <c r="C233" i="11" s="1"/>
  <c r="M233" i="11" s="1"/>
  <c r="O235" i="8"/>
  <c r="C235" i="11" s="1"/>
  <c r="M235" i="11" s="1"/>
  <c r="O236" i="8"/>
  <c r="C236" i="11" s="1"/>
  <c r="M236" i="11" s="1"/>
  <c r="O237" i="8"/>
  <c r="C237" i="11" s="1"/>
  <c r="M237" i="11" s="1"/>
  <c r="O239" i="8"/>
  <c r="C239" i="11" s="1"/>
  <c r="M239" i="11" s="1"/>
  <c r="O240" i="8"/>
  <c r="C240" i="11" s="1"/>
  <c r="M240" i="11" s="1"/>
  <c r="O241" i="8"/>
  <c r="C241" i="11" s="1"/>
  <c r="M241" i="11" s="1"/>
  <c r="O243" i="8"/>
  <c r="C243" i="11" s="1"/>
  <c r="M243" i="11" s="1"/>
  <c r="O244" i="8"/>
  <c r="C244" i="11" s="1"/>
  <c r="M244" i="11" s="1"/>
  <c r="O245" i="8"/>
  <c r="C245" i="11" s="1"/>
  <c r="M245" i="11" s="1"/>
  <c r="O247" i="8"/>
  <c r="C247" i="11" s="1"/>
  <c r="M247" i="11" s="1"/>
  <c r="O248" i="8"/>
  <c r="C248" i="11" s="1"/>
  <c r="M248" i="11" s="1"/>
  <c r="O249" i="8"/>
  <c r="C249" i="11" s="1"/>
  <c r="M249" i="11" s="1"/>
  <c r="O251" i="8"/>
  <c r="C251" i="11" s="1"/>
  <c r="M251" i="11" s="1"/>
  <c r="O252" i="8"/>
  <c r="C252" i="11" s="1"/>
  <c r="M252" i="11" s="1"/>
  <c r="O253" i="8"/>
  <c r="C253" i="11" s="1"/>
  <c r="M253" i="11" s="1"/>
  <c r="O255" i="8"/>
  <c r="C255" i="11" s="1"/>
  <c r="M255" i="11" s="1"/>
  <c r="O256" i="8"/>
  <c r="C256" i="11" s="1"/>
  <c r="M256" i="11" s="1"/>
  <c r="O257" i="8"/>
  <c r="C257" i="11" s="1"/>
  <c r="M257" i="11" s="1"/>
  <c r="O259" i="8"/>
  <c r="C259" i="11" s="1"/>
  <c r="M259" i="11" s="1"/>
  <c r="O260" i="8"/>
  <c r="C260" i="11" s="1"/>
  <c r="M260" i="11" s="1"/>
  <c r="O261" i="8"/>
  <c r="C261" i="11" s="1"/>
  <c r="M261" i="11" s="1"/>
  <c r="O263" i="8"/>
  <c r="C263" i="11" s="1"/>
  <c r="M263" i="11" s="1"/>
  <c r="O264" i="8"/>
  <c r="C264" i="11" s="1"/>
  <c r="M264" i="11" s="1"/>
  <c r="O265" i="8"/>
  <c r="C265" i="11" s="1"/>
  <c r="M265" i="11" s="1"/>
  <c r="O267" i="8"/>
  <c r="C267" i="11" s="1"/>
  <c r="M267" i="11" s="1"/>
  <c r="O268" i="8"/>
  <c r="C268" i="11" s="1"/>
  <c r="M268" i="11" s="1"/>
  <c r="O269" i="8"/>
  <c r="C269" i="11" s="1"/>
  <c r="M269" i="11" s="1"/>
  <c r="O271" i="8"/>
  <c r="C271" i="11" s="1"/>
  <c r="M271" i="11" s="1"/>
  <c r="O272" i="8"/>
  <c r="C272" i="11" s="1"/>
  <c r="M272" i="11" s="1"/>
  <c r="O273" i="8"/>
  <c r="C273" i="11" s="1"/>
  <c r="M273" i="11" s="1"/>
  <c r="O275" i="8"/>
  <c r="C275" i="11" s="1"/>
  <c r="M275" i="11" s="1"/>
  <c r="O276" i="8"/>
  <c r="C276" i="11" s="1"/>
  <c r="M276" i="11" s="1"/>
  <c r="O277" i="8"/>
  <c r="C277" i="11" s="1"/>
  <c r="M277" i="11" s="1"/>
  <c r="O279" i="8"/>
  <c r="C279" i="11" s="1"/>
  <c r="M279" i="11" s="1"/>
  <c r="O280" i="8"/>
  <c r="C280" i="11" s="1"/>
  <c r="M280" i="11" s="1"/>
  <c r="O281" i="8"/>
  <c r="C281" i="11" s="1"/>
  <c r="M281" i="11" s="1"/>
  <c r="O283" i="8"/>
  <c r="C283" i="11" s="1"/>
  <c r="M283" i="11" s="1"/>
  <c r="O284" i="8"/>
  <c r="C284" i="11" s="1"/>
  <c r="M284" i="11" s="1"/>
  <c r="O285" i="8"/>
  <c r="C285" i="11" s="1"/>
  <c r="M285" i="11" s="1"/>
  <c r="O287" i="8"/>
  <c r="C287" i="11" s="1"/>
  <c r="M287" i="11" s="1"/>
  <c r="O288" i="8"/>
  <c r="C288" i="11" s="1"/>
  <c r="M288" i="11" s="1"/>
  <c r="O289" i="8"/>
  <c r="C289" i="11" s="1"/>
  <c r="M289" i="11" s="1"/>
  <c r="O291" i="8"/>
  <c r="C291" i="11" s="1"/>
  <c r="M291" i="11" s="1"/>
  <c r="O292" i="8"/>
  <c r="C292" i="11" s="1"/>
  <c r="M292" i="11" s="1"/>
  <c r="O293" i="8"/>
  <c r="C293" i="11" s="1"/>
  <c r="M293" i="11" s="1"/>
  <c r="O295" i="8"/>
  <c r="C295" i="11" s="1"/>
  <c r="M295" i="11" s="1"/>
  <c r="O296" i="8"/>
  <c r="C296" i="11" s="1"/>
  <c r="M296" i="11" s="1"/>
  <c r="O297" i="8"/>
  <c r="C297" i="11" s="1"/>
  <c r="M297" i="11" s="1"/>
  <c r="O299" i="8"/>
  <c r="C299" i="11" s="1"/>
  <c r="M299" i="11" s="1"/>
  <c r="O300" i="8"/>
  <c r="C300" i="11" s="1"/>
  <c r="M300" i="11" s="1"/>
  <c r="O301" i="8"/>
  <c r="C301" i="11" s="1"/>
  <c r="M301" i="11" s="1"/>
  <c r="O303" i="8"/>
  <c r="C303" i="11" s="1"/>
  <c r="M303" i="11" s="1"/>
  <c r="O304" i="8"/>
  <c r="C304" i="11" s="1"/>
  <c r="M304" i="11" s="1"/>
  <c r="O305" i="8"/>
  <c r="C305" i="11" s="1"/>
  <c r="M305" i="11" s="1"/>
  <c r="O307" i="8"/>
  <c r="C307" i="11" s="1"/>
  <c r="M307" i="11" s="1"/>
  <c r="O308" i="8"/>
  <c r="C308" i="11" s="1"/>
  <c r="M308" i="11" s="1"/>
  <c r="O309" i="8"/>
  <c r="C309" i="11" s="1"/>
  <c r="M309" i="11" s="1"/>
  <c r="O311" i="8"/>
  <c r="C311" i="11" s="1"/>
  <c r="M311" i="11" s="1"/>
  <c r="O312" i="8"/>
  <c r="C312" i="11" s="1"/>
  <c r="M312" i="11" s="1"/>
  <c r="O313" i="8"/>
  <c r="C313" i="11" s="1"/>
  <c r="M313" i="11" s="1"/>
  <c r="O315" i="8"/>
  <c r="C315" i="11" s="1"/>
  <c r="M315" i="11" s="1"/>
  <c r="O316" i="8"/>
  <c r="C316" i="11" s="1"/>
  <c r="M316" i="11" s="1"/>
  <c r="O317" i="8"/>
  <c r="C317" i="11" s="1"/>
  <c r="M317" i="11" s="1"/>
  <c r="O319" i="8"/>
  <c r="C319" i="11" s="1"/>
  <c r="M319" i="11" s="1"/>
  <c r="O320" i="8"/>
  <c r="C320" i="11" s="1"/>
  <c r="M320" i="11" s="1"/>
  <c r="O321" i="8"/>
  <c r="C321" i="11" s="1"/>
  <c r="M321" i="11" s="1"/>
  <c r="O323" i="8"/>
  <c r="C323" i="11" s="1"/>
  <c r="M323" i="11" s="1"/>
  <c r="O324" i="8"/>
  <c r="C324" i="11" s="1"/>
  <c r="M324" i="11" s="1"/>
  <c r="O325" i="8"/>
  <c r="C325" i="11" s="1"/>
  <c r="M325" i="11" s="1"/>
  <c r="O327" i="8"/>
  <c r="C327" i="11" s="1"/>
  <c r="M327" i="11" s="1"/>
  <c r="O328" i="8"/>
  <c r="C328" i="11" s="1"/>
  <c r="M328" i="11" s="1"/>
  <c r="O329" i="8"/>
  <c r="C329" i="11" s="1"/>
  <c r="M329" i="11" s="1"/>
  <c r="O331" i="8"/>
  <c r="C331" i="11" s="1"/>
  <c r="M331" i="11" s="1"/>
  <c r="O332" i="8"/>
  <c r="C332" i="11" s="1"/>
  <c r="M332" i="11" s="1"/>
  <c r="O333" i="8"/>
  <c r="C333" i="11" s="1"/>
  <c r="M333" i="11" s="1"/>
  <c r="O335" i="8"/>
  <c r="C335" i="11" s="1"/>
  <c r="M335" i="11" s="1"/>
  <c r="O336" i="8"/>
  <c r="C336" i="11" s="1"/>
  <c r="M336" i="11" s="1"/>
  <c r="O337" i="8"/>
  <c r="C337" i="11" s="1"/>
  <c r="M337" i="11" s="1"/>
  <c r="O339" i="8"/>
  <c r="C339" i="11" s="1"/>
  <c r="M339" i="11" s="1"/>
  <c r="O340" i="8"/>
  <c r="C340" i="11" s="1"/>
  <c r="M340" i="11" s="1"/>
  <c r="O341" i="8"/>
  <c r="C341" i="11" s="1"/>
  <c r="M341" i="11" s="1"/>
  <c r="O343" i="8"/>
  <c r="C343" i="11" s="1"/>
  <c r="M343" i="11" s="1"/>
  <c r="O344" i="8"/>
  <c r="C344" i="11" s="1"/>
  <c r="M344" i="11" s="1"/>
  <c r="O345" i="8"/>
  <c r="C345" i="11" s="1"/>
  <c r="M345" i="11" s="1"/>
  <c r="O347" i="8"/>
  <c r="C347" i="11" s="1"/>
  <c r="M347" i="11" s="1"/>
  <c r="O348" i="8"/>
  <c r="C348" i="11" s="1"/>
  <c r="M348" i="11" s="1"/>
  <c r="O349" i="8"/>
  <c r="C349" i="11" s="1"/>
  <c r="M349" i="11" s="1"/>
  <c r="O351" i="8"/>
  <c r="C351" i="11" s="1"/>
  <c r="M351" i="11" s="1"/>
  <c r="O352" i="8"/>
  <c r="C352" i="11" s="1"/>
  <c r="M352" i="11" s="1"/>
  <c r="O353" i="8"/>
  <c r="C353" i="11" s="1"/>
  <c r="M353" i="11" s="1"/>
  <c r="O355" i="8"/>
  <c r="C355" i="11" s="1"/>
  <c r="M355" i="11" s="1"/>
  <c r="O356" i="8"/>
  <c r="C356" i="11" s="1"/>
  <c r="M356" i="11" s="1"/>
  <c r="O357" i="8"/>
  <c r="C357" i="11" s="1"/>
  <c r="M357" i="11" s="1"/>
  <c r="O359" i="8"/>
  <c r="C359" i="11" s="1"/>
  <c r="M359" i="11" s="1"/>
  <c r="O360" i="8"/>
  <c r="C360" i="11" s="1"/>
  <c r="M360" i="11" s="1"/>
  <c r="O361" i="8"/>
  <c r="C361" i="11" s="1"/>
  <c r="M361" i="11" s="1"/>
  <c r="O363" i="8"/>
  <c r="C363" i="11" s="1"/>
  <c r="M363" i="11" s="1"/>
  <c r="O364" i="8"/>
  <c r="C364" i="11" s="1"/>
  <c r="M364" i="11" s="1"/>
  <c r="O365" i="8"/>
  <c r="C365" i="11" s="1"/>
  <c r="M365" i="11" s="1"/>
  <c r="O367" i="8"/>
  <c r="C367" i="11" s="1"/>
  <c r="M367" i="11" s="1"/>
  <c r="O368" i="8"/>
  <c r="C368" i="11" s="1"/>
  <c r="M368" i="11" s="1"/>
  <c r="O369" i="8"/>
  <c r="C369" i="11" s="1"/>
  <c r="M369" i="11" s="1"/>
  <c r="O371" i="8"/>
  <c r="C371" i="11" s="1"/>
  <c r="M371" i="11" s="1"/>
  <c r="O372" i="8"/>
  <c r="C372" i="11" s="1"/>
  <c r="M372" i="11" s="1"/>
  <c r="O373" i="8"/>
  <c r="C373" i="11" s="1"/>
  <c r="M373" i="11" s="1"/>
  <c r="O375" i="8"/>
  <c r="C375" i="11" s="1"/>
  <c r="M375" i="11" s="1"/>
  <c r="O376" i="8"/>
  <c r="C376" i="11" s="1"/>
  <c r="M376" i="11" s="1"/>
  <c r="O377" i="8"/>
  <c r="C377" i="11" s="1"/>
  <c r="M377" i="11" s="1"/>
  <c r="O379" i="8"/>
  <c r="C379" i="11" s="1"/>
  <c r="M379" i="11" s="1"/>
  <c r="O380" i="8"/>
  <c r="C380" i="11" s="1"/>
  <c r="M380" i="11" s="1"/>
  <c r="O381" i="8"/>
  <c r="C381" i="11" s="1"/>
  <c r="M381" i="11" s="1"/>
  <c r="O383" i="8"/>
  <c r="C383" i="11" s="1"/>
  <c r="M383" i="11" s="1"/>
  <c r="O384" i="8"/>
  <c r="C384" i="11" s="1"/>
  <c r="M384" i="11" s="1"/>
  <c r="O385" i="8"/>
  <c r="C385" i="11" s="1"/>
  <c r="M385" i="11" s="1"/>
  <c r="O387" i="8"/>
  <c r="C387" i="11" s="1"/>
  <c r="M387" i="11" s="1"/>
  <c r="O388" i="8"/>
  <c r="C388" i="11" s="1"/>
  <c r="M388" i="11" s="1"/>
  <c r="O389" i="8"/>
  <c r="C389" i="11" s="1"/>
  <c r="M389" i="11" s="1"/>
  <c r="O391" i="8"/>
  <c r="C391" i="11" s="1"/>
  <c r="M391" i="11" s="1"/>
  <c r="O392" i="8"/>
  <c r="C392" i="11" s="1"/>
  <c r="M392" i="11" s="1"/>
  <c r="O393" i="8"/>
  <c r="C393" i="11" s="1"/>
  <c r="M393" i="11" s="1"/>
  <c r="O395" i="8"/>
  <c r="C395" i="11" s="1"/>
  <c r="M395" i="11" s="1"/>
  <c r="O396" i="8"/>
  <c r="C396" i="11" s="1"/>
  <c r="M396" i="11" s="1"/>
  <c r="O397" i="8"/>
  <c r="C397" i="11" s="1"/>
  <c r="M397" i="11" s="1"/>
  <c r="O399" i="8"/>
  <c r="C399" i="11" s="1"/>
  <c r="M399" i="11" s="1"/>
  <c r="O400" i="8"/>
  <c r="C400" i="11" s="1"/>
  <c r="M400" i="11" s="1"/>
  <c r="O401" i="8"/>
  <c r="C401" i="11" s="1"/>
  <c r="M401" i="11" s="1"/>
  <c r="O403" i="8"/>
  <c r="C403" i="11" s="1"/>
  <c r="M403" i="11" s="1"/>
  <c r="O404" i="8"/>
  <c r="C404" i="11" s="1"/>
  <c r="M404" i="11" s="1"/>
  <c r="O405" i="8"/>
  <c r="C405" i="11" s="1"/>
  <c r="M405" i="11" s="1"/>
  <c r="O407" i="8"/>
  <c r="C407" i="11" s="1"/>
  <c r="M407" i="11" s="1"/>
  <c r="O408" i="8"/>
  <c r="C408" i="11" s="1"/>
  <c r="M408" i="11" s="1"/>
  <c r="O409" i="8"/>
  <c r="C409" i="11" s="1"/>
  <c r="M409" i="11" s="1"/>
  <c r="O411" i="8"/>
  <c r="C411" i="11" s="1"/>
  <c r="M411" i="11" s="1"/>
  <c r="O412" i="8"/>
  <c r="C412" i="11" s="1"/>
  <c r="M412" i="11" s="1"/>
  <c r="O413" i="8"/>
  <c r="C413" i="11" s="1"/>
  <c r="M413" i="11" s="1"/>
  <c r="O415" i="8"/>
  <c r="C415" i="11" s="1"/>
  <c r="M415" i="11" s="1"/>
  <c r="O416" i="8"/>
  <c r="C416" i="11" s="1"/>
  <c r="M416" i="11" s="1"/>
  <c r="O417" i="8"/>
  <c r="C417" i="11" s="1"/>
  <c r="M417" i="11" s="1"/>
  <c r="O419" i="8"/>
  <c r="C419" i="11" s="1"/>
  <c r="M419" i="11" s="1"/>
  <c r="O420" i="8"/>
  <c r="C420" i="11" s="1"/>
  <c r="M420" i="11" s="1"/>
  <c r="O421" i="8"/>
  <c r="C421" i="11" s="1"/>
  <c r="M421" i="11" s="1"/>
  <c r="O423" i="8"/>
  <c r="C423" i="11" s="1"/>
  <c r="M423" i="11" s="1"/>
  <c r="O424" i="8"/>
  <c r="C424" i="11" s="1"/>
  <c r="M424" i="11" s="1"/>
  <c r="O425" i="8"/>
  <c r="C425" i="11" s="1"/>
  <c r="M425" i="11" s="1"/>
  <c r="O427" i="8"/>
  <c r="C427" i="11" s="1"/>
  <c r="M427" i="11" s="1"/>
  <c r="O428" i="8"/>
  <c r="C428" i="11" s="1"/>
  <c r="M428" i="11" s="1"/>
  <c r="O429" i="8"/>
  <c r="C429" i="11" s="1"/>
  <c r="M429" i="11" s="1"/>
  <c r="O431" i="8"/>
  <c r="C431" i="11" s="1"/>
  <c r="M431" i="11" s="1"/>
  <c r="O432" i="8"/>
  <c r="C432" i="11" s="1"/>
  <c r="M432" i="11" s="1"/>
  <c r="O433" i="8"/>
  <c r="C433" i="11" s="1"/>
  <c r="M433" i="11" s="1"/>
  <c r="O435" i="8"/>
  <c r="C435" i="11" s="1"/>
  <c r="M435" i="11" s="1"/>
  <c r="O436" i="8"/>
  <c r="C436" i="11" s="1"/>
  <c r="M436" i="11" s="1"/>
  <c r="O437" i="8"/>
  <c r="C437" i="11" s="1"/>
  <c r="M437" i="11" s="1"/>
  <c r="O439" i="8"/>
  <c r="C439" i="11" s="1"/>
  <c r="M439" i="11" s="1"/>
  <c r="O440" i="8"/>
  <c r="C440" i="11" s="1"/>
  <c r="M440" i="11" s="1"/>
  <c r="O441" i="8"/>
  <c r="C441" i="11" s="1"/>
  <c r="M441" i="11" s="1"/>
  <c r="O443" i="8"/>
  <c r="C443" i="11" s="1"/>
  <c r="M443" i="11" s="1"/>
  <c r="O444" i="8"/>
  <c r="C444" i="11" s="1"/>
  <c r="M444" i="11" s="1"/>
  <c r="O445" i="8"/>
  <c r="C445" i="11" s="1"/>
  <c r="M445" i="11" s="1"/>
  <c r="O447" i="8"/>
  <c r="C447" i="11" s="1"/>
  <c r="M447" i="11" s="1"/>
  <c r="O448" i="8"/>
  <c r="C448" i="11" s="1"/>
  <c r="M448" i="11" s="1"/>
  <c r="O449" i="8"/>
  <c r="C449" i="11" s="1"/>
  <c r="M449" i="11" s="1"/>
  <c r="O451" i="8"/>
  <c r="C451" i="11" s="1"/>
  <c r="M451" i="11" s="1"/>
  <c r="O452" i="8"/>
  <c r="C452" i="11" s="1"/>
  <c r="M452" i="11" s="1"/>
  <c r="O453" i="8"/>
  <c r="C453" i="11" s="1"/>
  <c r="M453" i="11" s="1"/>
  <c r="O455" i="8"/>
  <c r="C455" i="11" s="1"/>
  <c r="M455" i="11" s="1"/>
  <c r="O456" i="8"/>
  <c r="C456" i="11" s="1"/>
  <c r="M456" i="11" s="1"/>
  <c r="O457" i="8"/>
  <c r="C457" i="11" s="1"/>
  <c r="M457" i="11" s="1"/>
  <c r="O459" i="8"/>
  <c r="C459" i="11" s="1"/>
  <c r="M459" i="11" s="1"/>
  <c r="O460" i="8"/>
  <c r="C460" i="11" s="1"/>
  <c r="M460" i="11" s="1"/>
  <c r="O461" i="8"/>
  <c r="C461" i="11" s="1"/>
  <c r="M461" i="11" s="1"/>
  <c r="O463" i="8"/>
  <c r="C463" i="11" s="1"/>
  <c r="M463" i="11" s="1"/>
  <c r="O464" i="8"/>
  <c r="C464" i="11" s="1"/>
  <c r="M464" i="11" s="1"/>
  <c r="O465" i="8"/>
  <c r="C465" i="11" s="1"/>
  <c r="M465" i="11" s="1"/>
  <c r="O467" i="8"/>
  <c r="C467" i="11" s="1"/>
  <c r="M467" i="11" s="1"/>
  <c r="O468" i="8"/>
  <c r="C468" i="11" s="1"/>
  <c r="M468" i="11" s="1"/>
  <c r="O469" i="8"/>
  <c r="C469" i="11" s="1"/>
  <c r="M469" i="11" s="1"/>
  <c r="O471" i="8"/>
  <c r="C471" i="11" s="1"/>
  <c r="M471" i="11" s="1"/>
  <c r="O472" i="8"/>
  <c r="C472" i="11" s="1"/>
  <c r="M472" i="11" s="1"/>
  <c r="O473" i="8"/>
  <c r="C473" i="11" s="1"/>
  <c r="M473" i="11" s="1"/>
  <c r="O475" i="8"/>
  <c r="C475" i="11" s="1"/>
  <c r="M475" i="11" s="1"/>
  <c r="O476" i="8"/>
  <c r="C476" i="11" s="1"/>
  <c r="M476" i="11" s="1"/>
  <c r="O477" i="8"/>
  <c r="C477" i="11" s="1"/>
  <c r="M477" i="11" s="1"/>
  <c r="O479" i="8"/>
  <c r="C479" i="11" s="1"/>
  <c r="M479" i="11" s="1"/>
  <c r="O480" i="8"/>
  <c r="C480" i="11" s="1"/>
  <c r="M480" i="11" s="1"/>
  <c r="O481" i="8"/>
  <c r="C481" i="11" s="1"/>
  <c r="M481" i="11" s="1"/>
  <c r="O483" i="8"/>
  <c r="C483" i="11" s="1"/>
  <c r="M483" i="11" s="1"/>
  <c r="O484" i="8"/>
  <c r="C484" i="11" s="1"/>
  <c r="M484" i="11" s="1"/>
  <c r="O485" i="8"/>
  <c r="C485" i="11" s="1"/>
  <c r="M485" i="11" s="1"/>
  <c r="O487" i="8"/>
  <c r="C487" i="11" s="1"/>
  <c r="M487" i="11" s="1"/>
  <c r="O488" i="8"/>
  <c r="C488" i="11" s="1"/>
  <c r="M488" i="11" s="1"/>
  <c r="O489" i="8"/>
  <c r="C489" i="11" s="1"/>
  <c r="M489" i="11" s="1"/>
  <c r="O491" i="8"/>
  <c r="C491" i="11" s="1"/>
  <c r="M491" i="11" s="1"/>
  <c r="O492" i="8"/>
  <c r="C492" i="11" s="1"/>
  <c r="M492" i="11" s="1"/>
  <c r="O493" i="8"/>
  <c r="C493" i="11" s="1"/>
  <c r="M493" i="11" s="1"/>
  <c r="O495" i="8"/>
  <c r="C495" i="11" s="1"/>
  <c r="M495" i="11" s="1"/>
  <c r="O496" i="8"/>
  <c r="C496" i="11" s="1"/>
  <c r="M496" i="11" s="1"/>
  <c r="O497" i="8"/>
  <c r="C497" i="11" s="1"/>
  <c r="M497" i="11" s="1"/>
  <c r="O499" i="8"/>
  <c r="C499" i="11" s="1"/>
  <c r="M499" i="11" s="1"/>
  <c r="O500" i="8"/>
  <c r="C500" i="11" s="1"/>
  <c r="M500" i="11" s="1"/>
  <c r="O501" i="8"/>
  <c r="C501" i="11" s="1"/>
  <c r="M501" i="11" s="1"/>
  <c r="O503" i="8"/>
  <c r="C503" i="11" s="1"/>
  <c r="M503" i="11" s="1"/>
  <c r="O504" i="8"/>
  <c r="C504" i="11" s="1"/>
  <c r="M504" i="11" s="1"/>
  <c r="O505" i="8"/>
  <c r="C505" i="11" s="1"/>
  <c r="M505" i="11" s="1"/>
  <c r="O507" i="8"/>
  <c r="C507" i="11" s="1"/>
  <c r="M507" i="11" s="1"/>
  <c r="O508" i="8"/>
  <c r="C508" i="11" s="1"/>
  <c r="M508" i="11" s="1"/>
  <c r="O509" i="8"/>
  <c r="C509" i="11" s="1"/>
  <c r="M509" i="11" s="1"/>
  <c r="O511" i="8"/>
  <c r="C511" i="11" s="1"/>
  <c r="M511" i="11" s="1"/>
  <c r="O512" i="8"/>
  <c r="C512" i="11" s="1"/>
  <c r="M512" i="11" s="1"/>
  <c r="O513" i="8"/>
  <c r="C513" i="11" s="1"/>
  <c r="M513" i="11" s="1"/>
  <c r="O515" i="8"/>
  <c r="C515" i="11" s="1"/>
  <c r="M515" i="11" s="1"/>
  <c r="O516" i="8"/>
  <c r="C516" i="11" s="1"/>
  <c r="M516" i="11" s="1"/>
  <c r="O517" i="8"/>
  <c r="C517" i="11" s="1"/>
  <c r="M517" i="11" s="1"/>
  <c r="O519" i="8"/>
  <c r="C519" i="11" s="1"/>
  <c r="M519" i="11" s="1"/>
  <c r="O520" i="8"/>
  <c r="C520" i="11" s="1"/>
  <c r="M520" i="11" s="1"/>
  <c r="O521" i="8"/>
  <c r="C521" i="11" s="1"/>
  <c r="M521" i="11" s="1"/>
  <c r="O523" i="8"/>
  <c r="C523" i="11" s="1"/>
  <c r="M523" i="11" s="1"/>
  <c r="O524" i="8"/>
  <c r="C524" i="11" s="1"/>
  <c r="M524" i="11" s="1"/>
  <c r="O525" i="8"/>
  <c r="C525" i="11" s="1"/>
  <c r="M525" i="11" s="1"/>
  <c r="O527" i="8"/>
  <c r="C527" i="11" s="1"/>
  <c r="M527" i="11" s="1"/>
  <c r="O528" i="8"/>
  <c r="C528" i="11" s="1"/>
  <c r="M528" i="11" s="1"/>
  <c r="O529" i="8"/>
  <c r="C529" i="11" s="1"/>
  <c r="M529" i="11" s="1"/>
  <c r="O531" i="8"/>
  <c r="C531" i="11" s="1"/>
  <c r="M531" i="11" s="1"/>
  <c r="O532" i="8"/>
  <c r="C532" i="11" s="1"/>
  <c r="M532" i="11" s="1"/>
  <c r="O533" i="8"/>
  <c r="C533" i="11" s="1"/>
  <c r="M533" i="11" s="1"/>
  <c r="O535" i="8"/>
  <c r="C535" i="11" s="1"/>
  <c r="M535" i="11" s="1"/>
  <c r="O536" i="8"/>
  <c r="C536" i="11" s="1"/>
  <c r="M536" i="11" s="1"/>
  <c r="O537" i="8"/>
  <c r="C537" i="11" s="1"/>
  <c r="M537" i="11" s="1"/>
  <c r="O539" i="8"/>
  <c r="C539" i="11" s="1"/>
  <c r="M539" i="11" s="1"/>
  <c r="O540" i="8"/>
  <c r="C540" i="11" s="1"/>
  <c r="M540" i="11" s="1"/>
  <c r="O541" i="8"/>
  <c r="C541" i="11" s="1"/>
  <c r="M541" i="11" s="1"/>
  <c r="O543" i="8"/>
  <c r="C543" i="11" s="1"/>
  <c r="M543" i="11" s="1"/>
  <c r="O544" i="8"/>
  <c r="C544" i="11" s="1"/>
  <c r="M544" i="11" s="1"/>
  <c r="O545" i="8"/>
  <c r="C545" i="11" s="1"/>
  <c r="M545" i="11" s="1"/>
  <c r="O547" i="8"/>
  <c r="C547" i="11" s="1"/>
  <c r="M547" i="11" s="1"/>
  <c r="O548" i="8"/>
  <c r="C548" i="11" s="1"/>
  <c r="M548" i="11" s="1"/>
  <c r="O549" i="8"/>
  <c r="C549" i="11" s="1"/>
  <c r="M549" i="11" s="1"/>
  <c r="O551" i="8"/>
  <c r="C551" i="11" s="1"/>
  <c r="M551" i="11" s="1"/>
  <c r="O552" i="8"/>
  <c r="C552" i="11" s="1"/>
  <c r="M552" i="11" s="1"/>
  <c r="O553" i="8"/>
  <c r="C553" i="11" s="1"/>
  <c r="M553" i="11" s="1"/>
  <c r="O555" i="8"/>
  <c r="C555" i="11" s="1"/>
  <c r="M555" i="11" s="1"/>
  <c r="O556" i="8"/>
  <c r="C556" i="11" s="1"/>
  <c r="M556" i="11" s="1"/>
  <c r="O557" i="8"/>
  <c r="C557" i="11" s="1"/>
  <c r="M557" i="11" s="1"/>
  <c r="O559" i="8"/>
  <c r="C559" i="11" s="1"/>
  <c r="M559" i="11" s="1"/>
  <c r="O560" i="8"/>
  <c r="C560" i="11" s="1"/>
  <c r="M560" i="11" s="1"/>
  <c r="O561" i="8"/>
  <c r="C561" i="11" s="1"/>
  <c r="M561" i="11" s="1"/>
  <c r="O563" i="8"/>
  <c r="C563" i="11" s="1"/>
  <c r="M563" i="11" s="1"/>
  <c r="O564" i="8"/>
  <c r="C564" i="11" s="1"/>
  <c r="M564" i="11" s="1"/>
  <c r="O565" i="8"/>
  <c r="C565" i="11" s="1"/>
  <c r="M565" i="11" s="1"/>
  <c r="O567" i="8"/>
  <c r="C567" i="11" s="1"/>
  <c r="M567" i="11" s="1"/>
  <c r="O568" i="8"/>
  <c r="C568" i="11" s="1"/>
  <c r="M568" i="11" s="1"/>
  <c r="O569" i="8"/>
  <c r="C569" i="11" s="1"/>
  <c r="M569" i="11" s="1"/>
  <c r="O571" i="8"/>
  <c r="C571" i="11" s="1"/>
  <c r="M571" i="11" s="1"/>
  <c r="O572" i="8"/>
  <c r="C572" i="11" s="1"/>
  <c r="M572" i="11" s="1"/>
  <c r="O573" i="8"/>
  <c r="C573" i="11" s="1"/>
  <c r="M573" i="11" s="1"/>
  <c r="O575" i="8"/>
  <c r="C575" i="11" s="1"/>
  <c r="M575" i="11" s="1"/>
  <c r="O576" i="8"/>
  <c r="C576" i="11" s="1"/>
  <c r="M576" i="11" s="1"/>
  <c r="O577" i="8"/>
  <c r="C577" i="11" s="1"/>
  <c r="M577" i="11" s="1"/>
  <c r="O579" i="8"/>
  <c r="C579" i="11" s="1"/>
  <c r="M579" i="11" s="1"/>
  <c r="O580" i="8"/>
  <c r="C580" i="11" s="1"/>
  <c r="M580" i="11" s="1"/>
  <c r="O581" i="8"/>
  <c r="C581" i="11" s="1"/>
  <c r="M581" i="11" s="1"/>
  <c r="O583" i="8"/>
  <c r="C583" i="11" s="1"/>
  <c r="M583" i="11" s="1"/>
  <c r="O584" i="8"/>
  <c r="C584" i="11" s="1"/>
  <c r="M584" i="11" s="1"/>
  <c r="O585" i="8"/>
  <c r="C585" i="11" s="1"/>
  <c r="M585" i="11" s="1"/>
  <c r="O587" i="8"/>
  <c r="C587" i="11" s="1"/>
  <c r="M587" i="11" s="1"/>
  <c r="O588" i="8"/>
  <c r="C588" i="11" s="1"/>
  <c r="M588" i="11" s="1"/>
  <c r="O589" i="8"/>
  <c r="C589" i="11" s="1"/>
  <c r="M589" i="11" s="1"/>
  <c r="O591" i="8"/>
  <c r="C591" i="11" s="1"/>
  <c r="M591" i="11" s="1"/>
  <c r="O592" i="8"/>
  <c r="C592" i="11" s="1"/>
  <c r="M592" i="11" s="1"/>
  <c r="O593" i="8"/>
  <c r="C593" i="11" s="1"/>
  <c r="M593" i="11" s="1"/>
  <c r="O595" i="8"/>
  <c r="C595" i="11" s="1"/>
  <c r="M595" i="11" s="1"/>
  <c r="O596" i="8"/>
  <c r="C596" i="11" s="1"/>
  <c r="M596" i="11" s="1"/>
  <c r="O597" i="8"/>
  <c r="C597" i="11" s="1"/>
  <c r="M597" i="11" s="1"/>
  <c r="O599" i="8"/>
  <c r="C599" i="11" s="1"/>
  <c r="M599" i="11" s="1"/>
  <c r="O600" i="8"/>
  <c r="C600" i="11" s="1"/>
  <c r="M600" i="11" s="1"/>
  <c r="O601" i="8"/>
  <c r="C601" i="11" s="1"/>
  <c r="M601" i="11" s="1"/>
  <c r="O603" i="8"/>
  <c r="C603" i="11" s="1"/>
  <c r="M603" i="11" s="1"/>
  <c r="O604" i="8"/>
  <c r="C604" i="11" s="1"/>
  <c r="M604" i="11" s="1"/>
  <c r="O605" i="8"/>
  <c r="C605" i="11" s="1"/>
  <c r="M605" i="11" s="1"/>
  <c r="O607" i="8"/>
  <c r="C607" i="11" s="1"/>
  <c r="M607" i="11" s="1"/>
  <c r="O608" i="8"/>
  <c r="C608" i="11" s="1"/>
  <c r="M608" i="11" s="1"/>
  <c r="O609" i="8"/>
  <c r="C609" i="11" s="1"/>
  <c r="M609" i="11" s="1"/>
  <c r="O611" i="8"/>
  <c r="C611" i="11" s="1"/>
  <c r="M611" i="11" s="1"/>
  <c r="O612" i="8"/>
  <c r="C612" i="11" s="1"/>
  <c r="M612" i="11" s="1"/>
  <c r="O613" i="8"/>
  <c r="C613" i="11" s="1"/>
  <c r="M613" i="11" s="1"/>
  <c r="O615" i="8"/>
  <c r="C615" i="11" s="1"/>
  <c r="M615" i="11" s="1"/>
  <c r="O616" i="8"/>
  <c r="C616" i="11" s="1"/>
  <c r="M616" i="11" s="1"/>
  <c r="O617" i="8"/>
  <c r="C617" i="11" s="1"/>
  <c r="M617" i="11" s="1"/>
  <c r="O619" i="8"/>
  <c r="C619" i="11" s="1"/>
  <c r="M619" i="11" s="1"/>
  <c r="O620" i="8"/>
  <c r="C620" i="11" s="1"/>
  <c r="M620" i="11" s="1"/>
  <c r="O621" i="8"/>
  <c r="C621" i="11" s="1"/>
  <c r="M621" i="11" s="1"/>
  <c r="O623" i="8"/>
  <c r="C623" i="11" s="1"/>
  <c r="M623" i="11" s="1"/>
  <c r="O624" i="8"/>
  <c r="C624" i="11" s="1"/>
  <c r="M624" i="11" s="1"/>
  <c r="O625" i="8"/>
  <c r="C625" i="11" s="1"/>
  <c r="M625" i="11" s="1"/>
  <c r="O627" i="8"/>
  <c r="C627" i="11" s="1"/>
  <c r="M627" i="11" s="1"/>
  <c r="O628" i="8"/>
  <c r="C628" i="11" s="1"/>
  <c r="M628" i="11" s="1"/>
  <c r="O629" i="8"/>
  <c r="C629" i="11" s="1"/>
  <c r="M629" i="11" s="1"/>
  <c r="O631" i="8"/>
  <c r="C631" i="11" s="1"/>
  <c r="M631" i="11" s="1"/>
  <c r="O632" i="8"/>
  <c r="C632" i="11" s="1"/>
  <c r="M632" i="11" s="1"/>
  <c r="O633" i="8"/>
  <c r="C633" i="11" s="1"/>
  <c r="M633" i="11" s="1"/>
  <c r="O635" i="8"/>
  <c r="C635" i="11" s="1"/>
  <c r="M635" i="11" s="1"/>
  <c r="O636" i="8"/>
  <c r="C636" i="11" s="1"/>
  <c r="M636" i="11" s="1"/>
  <c r="O637" i="8"/>
  <c r="C637" i="11" s="1"/>
  <c r="M637" i="11" s="1"/>
  <c r="O639" i="8"/>
  <c r="C639" i="11" s="1"/>
  <c r="M639" i="11" s="1"/>
  <c r="O640" i="8"/>
  <c r="C640" i="11" s="1"/>
  <c r="M640" i="11" s="1"/>
  <c r="O641" i="8"/>
  <c r="C641" i="11" s="1"/>
  <c r="M641" i="11" s="1"/>
  <c r="O643" i="8"/>
  <c r="C643" i="11" s="1"/>
  <c r="M643" i="11" s="1"/>
  <c r="O644" i="8"/>
  <c r="C644" i="11" s="1"/>
  <c r="M644" i="11" s="1"/>
  <c r="O645" i="8"/>
  <c r="C645" i="11" s="1"/>
  <c r="M645" i="11" s="1"/>
  <c r="O647" i="8"/>
  <c r="C647" i="11" s="1"/>
  <c r="M647" i="11" s="1"/>
  <c r="O648" i="8"/>
  <c r="C648" i="11" s="1"/>
  <c r="M648" i="11" s="1"/>
  <c r="O649" i="8"/>
  <c r="C649" i="11" s="1"/>
  <c r="M649" i="11" s="1"/>
  <c r="O651" i="8"/>
  <c r="C651" i="11" s="1"/>
  <c r="M651" i="11" s="1"/>
  <c r="O652" i="8"/>
  <c r="C652" i="11" s="1"/>
  <c r="M652" i="11" s="1"/>
  <c r="O653" i="8"/>
  <c r="C653" i="11" s="1"/>
  <c r="M653" i="11" s="1"/>
  <c r="O655" i="8"/>
  <c r="C655" i="11" s="1"/>
  <c r="M655" i="11" s="1"/>
  <c r="O656" i="8"/>
  <c r="C656" i="11" s="1"/>
  <c r="M656" i="11" s="1"/>
  <c r="O657" i="8"/>
  <c r="C657" i="11" s="1"/>
  <c r="M657" i="11" s="1"/>
  <c r="O659" i="8"/>
  <c r="C659" i="11" s="1"/>
  <c r="M659" i="11" s="1"/>
  <c r="O660" i="8"/>
  <c r="C660" i="11" s="1"/>
  <c r="M660" i="11" s="1"/>
  <c r="O661" i="8"/>
  <c r="C661" i="11" s="1"/>
  <c r="M661" i="11" s="1"/>
  <c r="O663" i="8"/>
  <c r="C663" i="11" s="1"/>
  <c r="M663" i="11" s="1"/>
  <c r="O664" i="8"/>
  <c r="C664" i="11" s="1"/>
  <c r="M664" i="11" s="1"/>
  <c r="O665" i="8"/>
  <c r="C665" i="11" s="1"/>
  <c r="M665" i="11" s="1"/>
  <c r="O667" i="8"/>
  <c r="C667" i="11" s="1"/>
  <c r="M667" i="11" s="1"/>
  <c r="O668" i="8"/>
  <c r="C668" i="11" s="1"/>
  <c r="M668" i="11" s="1"/>
  <c r="O669" i="8"/>
  <c r="C669" i="11" s="1"/>
  <c r="M669" i="11" s="1"/>
  <c r="O671" i="8"/>
  <c r="C671" i="11" s="1"/>
  <c r="M671" i="11" s="1"/>
  <c r="O672" i="8"/>
  <c r="C672" i="11" s="1"/>
  <c r="M672" i="11" s="1"/>
  <c r="O673" i="8"/>
  <c r="C673" i="11" s="1"/>
  <c r="M673" i="11" s="1"/>
  <c r="O675" i="8"/>
  <c r="C675" i="11" s="1"/>
  <c r="M675" i="11" s="1"/>
  <c r="O676" i="8"/>
  <c r="C676" i="11" s="1"/>
  <c r="M676" i="11" s="1"/>
  <c r="O677" i="8"/>
  <c r="C677" i="11" s="1"/>
  <c r="M677" i="11" s="1"/>
  <c r="O679" i="8"/>
  <c r="C679" i="11" s="1"/>
  <c r="M679" i="11" s="1"/>
  <c r="O680" i="8"/>
  <c r="C680" i="11" s="1"/>
  <c r="M680" i="11" s="1"/>
  <c r="O681" i="8"/>
  <c r="C681" i="11" s="1"/>
  <c r="M681" i="11" s="1"/>
  <c r="O683" i="8"/>
  <c r="C683" i="11" s="1"/>
  <c r="M683" i="11" s="1"/>
  <c r="O684" i="8"/>
  <c r="C684" i="11" s="1"/>
  <c r="M684" i="11" s="1"/>
  <c r="O685" i="8"/>
  <c r="C685" i="11" s="1"/>
  <c r="M685" i="11" s="1"/>
  <c r="O687" i="8"/>
  <c r="C687" i="11" s="1"/>
  <c r="M687" i="11" s="1"/>
  <c r="O688" i="8"/>
  <c r="C688" i="11" s="1"/>
  <c r="M688" i="11" s="1"/>
  <c r="O689" i="8"/>
  <c r="C689" i="11" s="1"/>
  <c r="M689" i="11" s="1"/>
  <c r="O691" i="8"/>
  <c r="C691" i="11" s="1"/>
  <c r="M691" i="11" s="1"/>
  <c r="O692" i="8"/>
  <c r="C692" i="11" s="1"/>
  <c r="M692" i="11" s="1"/>
  <c r="O693" i="8"/>
  <c r="C693" i="11" s="1"/>
  <c r="M693" i="11" s="1"/>
  <c r="O695" i="8"/>
  <c r="C695" i="11" s="1"/>
  <c r="M695" i="11" s="1"/>
  <c r="O696" i="8"/>
  <c r="C696" i="11" s="1"/>
  <c r="M696" i="11" s="1"/>
  <c r="O697" i="8"/>
  <c r="C697" i="11" s="1"/>
  <c r="M697" i="11" s="1"/>
  <c r="O699" i="8"/>
  <c r="C699" i="11" s="1"/>
  <c r="M699" i="11" s="1"/>
  <c r="O700" i="8"/>
  <c r="C700" i="11" s="1"/>
  <c r="M700" i="11" s="1"/>
  <c r="O701" i="8"/>
  <c r="C701" i="11" s="1"/>
  <c r="M701" i="11" s="1"/>
  <c r="O703" i="8"/>
  <c r="C703" i="11" s="1"/>
  <c r="M703" i="11" s="1"/>
  <c r="O704" i="8"/>
  <c r="C704" i="11" s="1"/>
  <c r="M704" i="11" s="1"/>
  <c r="O705" i="8"/>
  <c r="C705" i="11" s="1"/>
  <c r="M705" i="11" s="1"/>
  <c r="O707" i="8"/>
  <c r="C707" i="11" s="1"/>
  <c r="M707" i="11" s="1"/>
  <c r="O708" i="8"/>
  <c r="C708" i="11" s="1"/>
  <c r="M708" i="11" s="1"/>
  <c r="O709" i="8"/>
  <c r="C709" i="11" s="1"/>
  <c r="M709" i="11" s="1"/>
  <c r="O711" i="8"/>
  <c r="C711" i="11" s="1"/>
  <c r="M711" i="11" s="1"/>
  <c r="O712" i="8"/>
  <c r="C712" i="11" s="1"/>
  <c r="M712" i="11" s="1"/>
  <c r="O713" i="8"/>
  <c r="C713" i="11" s="1"/>
  <c r="M713" i="11" s="1"/>
  <c r="O715" i="8"/>
  <c r="C715" i="11" s="1"/>
  <c r="M715" i="11" s="1"/>
  <c r="O716" i="8"/>
  <c r="C716" i="11" s="1"/>
  <c r="M716" i="11" s="1"/>
  <c r="O717" i="8"/>
  <c r="C717" i="11" s="1"/>
  <c r="M717" i="11" s="1"/>
  <c r="O719" i="8"/>
  <c r="C719" i="11" s="1"/>
  <c r="M719" i="11" s="1"/>
  <c r="O720" i="8"/>
  <c r="C720" i="11" s="1"/>
  <c r="M720" i="11" s="1"/>
  <c r="O721" i="8"/>
  <c r="C721" i="11" s="1"/>
  <c r="M721" i="11" s="1"/>
  <c r="O723" i="8"/>
  <c r="C723" i="11" s="1"/>
  <c r="M723" i="11" s="1"/>
  <c r="O724" i="8"/>
  <c r="C724" i="11" s="1"/>
  <c r="M724" i="11" s="1"/>
  <c r="O725" i="8"/>
  <c r="C725" i="11" s="1"/>
  <c r="M725" i="11" s="1"/>
  <c r="O727" i="8"/>
  <c r="C727" i="11" s="1"/>
  <c r="M727" i="11" s="1"/>
  <c r="O728" i="8"/>
  <c r="C728" i="11" s="1"/>
  <c r="M728" i="11" s="1"/>
  <c r="O729" i="8"/>
  <c r="C729" i="11" s="1"/>
  <c r="M729" i="11" s="1"/>
  <c r="O731" i="8"/>
  <c r="C731" i="11" s="1"/>
  <c r="M731" i="11" s="1"/>
  <c r="O732" i="8"/>
  <c r="C732" i="11" s="1"/>
  <c r="M732" i="11" s="1"/>
  <c r="O733" i="8"/>
  <c r="C733" i="11" s="1"/>
  <c r="M733" i="11" s="1"/>
  <c r="O734" i="8"/>
  <c r="C734" i="11" s="1"/>
  <c r="M734" i="11" s="1"/>
  <c r="O735" i="8"/>
  <c r="C735" i="11" s="1"/>
  <c r="M735" i="11" s="1"/>
  <c r="O736" i="8"/>
  <c r="C736" i="11" s="1"/>
  <c r="M736" i="11" s="1"/>
  <c r="O737" i="8"/>
  <c r="C737" i="11" s="1"/>
  <c r="M737" i="11" s="1"/>
  <c r="O738" i="8"/>
  <c r="C738" i="11" s="1"/>
  <c r="M738" i="11" s="1"/>
  <c r="O739" i="8"/>
  <c r="C739" i="11" s="1"/>
  <c r="M739" i="11" s="1"/>
  <c r="O740" i="8"/>
  <c r="C740" i="11" s="1"/>
  <c r="M740" i="11" s="1"/>
  <c r="O741" i="8"/>
  <c r="C741" i="11" s="1"/>
  <c r="M741" i="11" s="1"/>
  <c r="O742" i="8"/>
  <c r="C742" i="11" s="1"/>
  <c r="M742" i="11" s="1"/>
  <c r="O743" i="8"/>
  <c r="C743" i="11" s="1"/>
  <c r="M743" i="11" s="1"/>
  <c r="O744" i="8"/>
  <c r="C744" i="11" s="1"/>
  <c r="M744" i="11" s="1"/>
  <c r="O745" i="8"/>
  <c r="C745" i="11" s="1"/>
  <c r="M745" i="11" s="1"/>
  <c r="O746" i="8"/>
  <c r="C746" i="11" s="1"/>
  <c r="M746" i="11" s="1"/>
  <c r="O747" i="8"/>
  <c r="C747" i="11" s="1"/>
  <c r="M747" i="11" s="1"/>
  <c r="O748" i="8"/>
  <c r="C748" i="11" s="1"/>
  <c r="M748" i="11" s="1"/>
  <c r="O749" i="8"/>
  <c r="C749" i="11" s="1"/>
  <c r="M749" i="11" s="1"/>
  <c r="O750" i="8"/>
  <c r="C750" i="11" s="1"/>
  <c r="M750" i="11" s="1"/>
  <c r="O751" i="8"/>
  <c r="C751" i="11" s="1"/>
  <c r="M751" i="11" s="1"/>
  <c r="O752" i="8"/>
  <c r="C752" i="11" s="1"/>
  <c r="M752" i="11" s="1"/>
  <c r="O753" i="8"/>
  <c r="C753" i="11" s="1"/>
  <c r="M753" i="11" s="1"/>
  <c r="O754" i="8"/>
  <c r="C754" i="11" s="1"/>
  <c r="M754" i="11" s="1"/>
  <c r="O755" i="8"/>
  <c r="C755" i="11" s="1"/>
  <c r="M755" i="11" s="1"/>
  <c r="O756" i="8"/>
  <c r="C756" i="11" s="1"/>
  <c r="M756" i="11" s="1"/>
  <c r="O757" i="8"/>
  <c r="C757" i="11" s="1"/>
  <c r="M757" i="11" s="1"/>
  <c r="O758" i="8"/>
  <c r="C758" i="11" s="1"/>
  <c r="M758" i="11" s="1"/>
  <c r="O759" i="8"/>
  <c r="C759" i="11" s="1"/>
  <c r="M759" i="11" s="1"/>
  <c r="O760" i="8"/>
  <c r="C760" i="11" s="1"/>
  <c r="M760" i="11" s="1"/>
  <c r="O761" i="8"/>
  <c r="C761" i="11" s="1"/>
  <c r="M761" i="11" s="1"/>
  <c r="O762" i="8"/>
  <c r="C762" i="11" s="1"/>
  <c r="M762" i="11" s="1"/>
  <c r="O763" i="8"/>
  <c r="C763" i="11" s="1"/>
  <c r="M763" i="11" s="1"/>
  <c r="O764" i="8"/>
  <c r="C764" i="11" s="1"/>
  <c r="M764" i="11" s="1"/>
  <c r="O765" i="8"/>
  <c r="C765" i="11" s="1"/>
  <c r="M765" i="11" s="1"/>
  <c r="O766" i="8"/>
  <c r="C766" i="11" s="1"/>
  <c r="M766" i="11" s="1"/>
  <c r="O767" i="8"/>
  <c r="C767" i="11" s="1"/>
  <c r="M767" i="11" s="1"/>
  <c r="O768" i="8"/>
  <c r="C768" i="11" s="1"/>
  <c r="M768" i="11" s="1"/>
  <c r="O769" i="8"/>
  <c r="C769" i="11" s="1"/>
  <c r="M769" i="11" s="1"/>
  <c r="O770" i="8"/>
  <c r="C770" i="11" s="1"/>
  <c r="M770" i="11" s="1"/>
  <c r="O771" i="8"/>
  <c r="C771" i="11" s="1"/>
  <c r="M771" i="11" s="1"/>
  <c r="O772" i="8"/>
  <c r="C772" i="11" s="1"/>
  <c r="M772" i="11" s="1"/>
  <c r="O773" i="8"/>
  <c r="C773" i="11" s="1"/>
  <c r="M773" i="11" s="1"/>
  <c r="O774" i="8"/>
  <c r="C774" i="11" s="1"/>
  <c r="M774" i="11" s="1"/>
  <c r="O775" i="8"/>
  <c r="C775" i="11" s="1"/>
  <c r="M775" i="11" s="1"/>
  <c r="O776" i="8"/>
  <c r="C776" i="11" s="1"/>
  <c r="M776" i="11" s="1"/>
  <c r="O777" i="8"/>
  <c r="C777" i="11" s="1"/>
  <c r="M777" i="11" s="1"/>
  <c r="O778" i="8"/>
  <c r="C778" i="11" s="1"/>
  <c r="M778" i="11" s="1"/>
  <c r="O779" i="8"/>
  <c r="C779" i="11" s="1"/>
  <c r="M779" i="11" s="1"/>
  <c r="O780" i="8"/>
  <c r="C780" i="11" s="1"/>
  <c r="M780" i="11" s="1"/>
  <c r="O781" i="8"/>
  <c r="C781" i="11" s="1"/>
  <c r="M781" i="11" s="1"/>
  <c r="O782" i="8"/>
  <c r="C782" i="11" s="1"/>
  <c r="M782" i="11" s="1"/>
  <c r="O783" i="8"/>
  <c r="C783" i="11" s="1"/>
  <c r="M783" i="11" s="1"/>
  <c r="O784" i="8"/>
  <c r="C784" i="11" s="1"/>
  <c r="M784" i="11" s="1"/>
  <c r="O785" i="8"/>
  <c r="C785" i="11" s="1"/>
  <c r="M785" i="11" s="1"/>
  <c r="O786" i="8"/>
  <c r="C786" i="11" s="1"/>
  <c r="M786" i="11" s="1"/>
  <c r="O787" i="8"/>
  <c r="C787" i="11" s="1"/>
  <c r="M787" i="11" s="1"/>
  <c r="O788" i="8"/>
  <c r="C788" i="11" s="1"/>
  <c r="M788" i="11" s="1"/>
  <c r="O789" i="8"/>
  <c r="C789" i="11" s="1"/>
  <c r="M789" i="11" s="1"/>
  <c r="O790" i="8"/>
  <c r="C790" i="11" s="1"/>
  <c r="M790" i="11" s="1"/>
  <c r="O791" i="8"/>
  <c r="C791" i="11" s="1"/>
  <c r="M791" i="11" s="1"/>
  <c r="O792" i="8"/>
  <c r="C792" i="11" s="1"/>
  <c r="M792" i="11" s="1"/>
  <c r="O793" i="8"/>
  <c r="C793" i="11" s="1"/>
  <c r="M793" i="11" s="1"/>
  <c r="O794" i="8"/>
  <c r="C794" i="11" s="1"/>
  <c r="M794" i="11" s="1"/>
  <c r="O795" i="8"/>
  <c r="C795" i="11" s="1"/>
  <c r="M795" i="11" s="1"/>
  <c r="O796" i="8"/>
  <c r="C796" i="11" s="1"/>
  <c r="M796" i="11" s="1"/>
  <c r="O797" i="8"/>
  <c r="C797" i="11" s="1"/>
  <c r="M797" i="11" s="1"/>
  <c r="O798" i="8"/>
  <c r="C798" i="11" s="1"/>
  <c r="M798" i="11" s="1"/>
  <c r="O799" i="8"/>
  <c r="C799" i="11" s="1"/>
  <c r="M799" i="11" s="1"/>
  <c r="O800" i="8"/>
  <c r="C800" i="11" s="1"/>
  <c r="M800" i="11" s="1"/>
  <c r="O801" i="8"/>
  <c r="C801" i="11" s="1"/>
  <c r="M801" i="11" s="1"/>
  <c r="O802" i="8"/>
  <c r="C802" i="11" s="1"/>
  <c r="M802" i="11" s="1"/>
  <c r="O803" i="8"/>
  <c r="C803" i="11" s="1"/>
  <c r="M803" i="11" s="1"/>
  <c r="O804" i="8"/>
  <c r="C804" i="11" s="1"/>
  <c r="M804" i="11" s="1"/>
  <c r="O805" i="8"/>
  <c r="C805" i="11" s="1"/>
  <c r="M805" i="11" s="1"/>
  <c r="O806" i="8"/>
  <c r="C806" i="11" s="1"/>
  <c r="M806" i="11" s="1"/>
  <c r="O807" i="8"/>
  <c r="C807" i="11" s="1"/>
  <c r="M807" i="11" s="1"/>
  <c r="O808" i="8"/>
  <c r="C808" i="11" s="1"/>
  <c r="M808" i="11" s="1"/>
  <c r="O809" i="8"/>
  <c r="C809" i="11" s="1"/>
  <c r="M809" i="11" s="1"/>
  <c r="O810" i="8"/>
  <c r="C810" i="11" s="1"/>
  <c r="M810" i="11" s="1"/>
  <c r="O811" i="8"/>
  <c r="C811" i="11" s="1"/>
  <c r="M811" i="11" s="1"/>
  <c r="O812" i="8"/>
  <c r="C812" i="11" s="1"/>
  <c r="M812" i="11" s="1"/>
  <c r="O813" i="8"/>
  <c r="C813" i="11" s="1"/>
  <c r="M813" i="11" s="1"/>
  <c r="O814" i="8"/>
  <c r="C814" i="11" s="1"/>
  <c r="M814" i="11" s="1"/>
  <c r="O815" i="8"/>
  <c r="C815" i="11" s="1"/>
  <c r="M815" i="11" s="1"/>
  <c r="O816" i="8"/>
  <c r="C816" i="11" s="1"/>
  <c r="M816" i="11" s="1"/>
  <c r="O817" i="8"/>
  <c r="C817" i="11" s="1"/>
  <c r="M817" i="11" s="1"/>
  <c r="O818" i="8"/>
  <c r="C818" i="11" s="1"/>
  <c r="M818" i="11" s="1"/>
  <c r="O819" i="8"/>
  <c r="C819" i="11" s="1"/>
  <c r="M819" i="11" s="1"/>
  <c r="O820" i="8"/>
  <c r="C820" i="11" s="1"/>
  <c r="M820" i="11" s="1"/>
  <c r="O821" i="8"/>
  <c r="C821" i="11" s="1"/>
  <c r="M821" i="11" s="1"/>
  <c r="O822" i="8"/>
  <c r="C822" i="11" s="1"/>
  <c r="M822" i="11" s="1"/>
  <c r="O823" i="8"/>
  <c r="C823" i="11" s="1"/>
  <c r="M823" i="11" s="1"/>
  <c r="O824" i="8"/>
  <c r="C824" i="11" s="1"/>
  <c r="M824" i="11" s="1"/>
  <c r="O825" i="8"/>
  <c r="C825" i="11" s="1"/>
  <c r="M825" i="11" s="1"/>
  <c r="O826" i="8"/>
  <c r="C826" i="11" s="1"/>
  <c r="M826" i="11" s="1"/>
  <c r="O827" i="8"/>
  <c r="C827" i="11" s="1"/>
  <c r="M827" i="11" s="1"/>
  <c r="O828" i="8"/>
  <c r="C828" i="11" s="1"/>
  <c r="M828" i="11" s="1"/>
  <c r="O829" i="8"/>
  <c r="C829" i="11" s="1"/>
  <c r="M829" i="11" s="1"/>
  <c r="O830" i="8"/>
  <c r="C830" i="11" s="1"/>
  <c r="M830" i="11" s="1"/>
  <c r="O831" i="8"/>
  <c r="C831" i="11" s="1"/>
  <c r="M831" i="11" s="1"/>
  <c r="O832" i="8"/>
  <c r="C832" i="11" s="1"/>
  <c r="M832" i="11" s="1"/>
  <c r="O833" i="8"/>
  <c r="C833" i="11" s="1"/>
  <c r="M833" i="11" s="1"/>
  <c r="O834" i="8"/>
  <c r="C834" i="11" s="1"/>
  <c r="M834" i="11" s="1"/>
  <c r="O835" i="8"/>
  <c r="C835" i="11" s="1"/>
  <c r="M835" i="11" s="1"/>
  <c r="O836" i="8"/>
  <c r="C836" i="11" s="1"/>
  <c r="M836" i="11" s="1"/>
  <c r="O837" i="8"/>
  <c r="C837" i="11" s="1"/>
  <c r="M837" i="11" s="1"/>
  <c r="O838" i="8"/>
  <c r="C838" i="11" s="1"/>
  <c r="M838" i="11" s="1"/>
  <c r="O839" i="8"/>
  <c r="C839" i="11" s="1"/>
  <c r="M839" i="11" s="1"/>
  <c r="O840" i="8"/>
  <c r="C840" i="11" s="1"/>
  <c r="M840" i="11" s="1"/>
  <c r="O841" i="8"/>
  <c r="C841" i="11" s="1"/>
  <c r="M841" i="11" s="1"/>
  <c r="O842" i="8"/>
  <c r="C842" i="11" s="1"/>
  <c r="M842" i="11" s="1"/>
  <c r="O843" i="8"/>
  <c r="C843" i="11" s="1"/>
  <c r="M843" i="11" s="1"/>
  <c r="O844" i="8"/>
  <c r="C844" i="11" s="1"/>
  <c r="M844" i="11" s="1"/>
  <c r="O845" i="8"/>
  <c r="C845" i="11" s="1"/>
  <c r="M845" i="11" s="1"/>
  <c r="O846" i="8"/>
  <c r="C846" i="11" s="1"/>
  <c r="M846" i="11" s="1"/>
  <c r="O847" i="8"/>
  <c r="C847" i="11" s="1"/>
  <c r="M847" i="11" s="1"/>
  <c r="O848" i="8"/>
  <c r="C848" i="11" s="1"/>
  <c r="M848" i="11" s="1"/>
  <c r="O849" i="8"/>
  <c r="C849" i="11" s="1"/>
  <c r="M849" i="11" s="1"/>
  <c r="O850" i="8"/>
  <c r="C850" i="11" s="1"/>
  <c r="M850" i="11" s="1"/>
  <c r="O851" i="8"/>
  <c r="C851" i="11" s="1"/>
  <c r="M851" i="11" s="1"/>
  <c r="O852" i="8"/>
  <c r="C852" i="11" s="1"/>
  <c r="M852" i="11" s="1"/>
  <c r="O853" i="8"/>
  <c r="C853" i="11" s="1"/>
  <c r="M853" i="11" s="1"/>
  <c r="O854" i="8"/>
  <c r="C854" i="11" s="1"/>
  <c r="M854" i="11" s="1"/>
  <c r="O855" i="8"/>
  <c r="C855" i="11" s="1"/>
  <c r="M855" i="11" s="1"/>
  <c r="O856" i="8"/>
  <c r="C856" i="11" s="1"/>
  <c r="M856" i="11" s="1"/>
  <c r="O857" i="8"/>
  <c r="C857" i="11" s="1"/>
  <c r="M857" i="11" s="1"/>
  <c r="O858" i="8"/>
  <c r="C858" i="11" s="1"/>
  <c r="M858" i="11" s="1"/>
  <c r="O859" i="8"/>
  <c r="C859" i="11" s="1"/>
  <c r="M859" i="11" s="1"/>
  <c r="O860" i="8"/>
  <c r="C860" i="11" s="1"/>
  <c r="M860" i="11" s="1"/>
  <c r="O861" i="8"/>
  <c r="C861" i="11" s="1"/>
  <c r="M861" i="11" s="1"/>
  <c r="O862" i="8"/>
  <c r="C862" i="11" s="1"/>
  <c r="M862" i="11" s="1"/>
  <c r="O863" i="8"/>
  <c r="C863" i="11" s="1"/>
  <c r="M863" i="11" s="1"/>
  <c r="O864" i="8"/>
  <c r="C864" i="11" s="1"/>
  <c r="M864" i="11" s="1"/>
  <c r="O865" i="8"/>
  <c r="C865" i="11" s="1"/>
  <c r="M865" i="11" s="1"/>
  <c r="O866" i="8"/>
  <c r="C866" i="11" s="1"/>
  <c r="M866" i="11" s="1"/>
  <c r="O867" i="8"/>
  <c r="C867" i="11" s="1"/>
  <c r="M867" i="11" s="1"/>
  <c r="O868" i="8"/>
  <c r="C868" i="11" s="1"/>
  <c r="M868" i="11" s="1"/>
  <c r="O869" i="8"/>
  <c r="C869" i="11" s="1"/>
  <c r="M869" i="11" s="1"/>
  <c r="O870" i="8"/>
  <c r="C870" i="11" s="1"/>
  <c r="M870" i="11" s="1"/>
  <c r="O871" i="8"/>
  <c r="C871" i="11" s="1"/>
  <c r="M871" i="11" s="1"/>
  <c r="O872" i="8"/>
  <c r="C872" i="11" s="1"/>
  <c r="M872" i="11" s="1"/>
  <c r="O873" i="8"/>
  <c r="C873" i="11" s="1"/>
  <c r="M873" i="11" s="1"/>
  <c r="O874" i="8"/>
  <c r="C874" i="11" s="1"/>
  <c r="M874" i="11" s="1"/>
  <c r="O875" i="8"/>
  <c r="C875" i="11" s="1"/>
  <c r="M875" i="11" s="1"/>
  <c r="O876" i="8"/>
  <c r="C876" i="11" s="1"/>
  <c r="M876" i="11" s="1"/>
  <c r="O877" i="8"/>
  <c r="C877" i="11" s="1"/>
  <c r="M877" i="11" s="1"/>
  <c r="O878" i="8"/>
  <c r="C878" i="11" s="1"/>
  <c r="M878" i="11" s="1"/>
  <c r="O879" i="8"/>
  <c r="C879" i="11" s="1"/>
  <c r="M879" i="11" s="1"/>
  <c r="O880" i="8"/>
  <c r="C880" i="11" s="1"/>
  <c r="M880" i="11" s="1"/>
  <c r="O881" i="8"/>
  <c r="C881" i="11" s="1"/>
  <c r="M881" i="11" s="1"/>
  <c r="O882" i="8"/>
  <c r="C882" i="11" s="1"/>
  <c r="M882" i="11" s="1"/>
  <c r="O883" i="8"/>
  <c r="C883" i="11" s="1"/>
  <c r="M883" i="11" s="1"/>
  <c r="O884" i="8"/>
  <c r="C884" i="11" s="1"/>
  <c r="M884" i="11" s="1"/>
  <c r="O885" i="8"/>
  <c r="C885" i="11" s="1"/>
  <c r="M885" i="11" s="1"/>
  <c r="O886" i="8"/>
  <c r="C886" i="11" s="1"/>
  <c r="M886" i="11" s="1"/>
  <c r="O887" i="8"/>
  <c r="C887" i="11" s="1"/>
  <c r="M887" i="11" s="1"/>
  <c r="O888" i="8"/>
  <c r="C888" i="11" s="1"/>
  <c r="M888" i="11" s="1"/>
  <c r="O889" i="8"/>
  <c r="C889" i="11" s="1"/>
  <c r="M889" i="11" s="1"/>
  <c r="O890" i="8"/>
  <c r="C890" i="11" s="1"/>
  <c r="M890" i="11" s="1"/>
  <c r="O891" i="8"/>
  <c r="C891" i="11" s="1"/>
  <c r="M891" i="11" s="1"/>
  <c r="O892" i="8"/>
  <c r="C892" i="11" s="1"/>
  <c r="M892" i="11" s="1"/>
  <c r="O893" i="8"/>
  <c r="C893" i="11" s="1"/>
  <c r="M893" i="11" s="1"/>
  <c r="O894" i="8"/>
  <c r="C894" i="11" s="1"/>
  <c r="M894" i="11" s="1"/>
  <c r="O895" i="8"/>
  <c r="C895" i="11" s="1"/>
  <c r="M895" i="11" s="1"/>
  <c r="O896" i="8"/>
  <c r="C896" i="11" s="1"/>
  <c r="M896" i="11" s="1"/>
  <c r="O897" i="8"/>
  <c r="C897" i="11" s="1"/>
  <c r="M897" i="11" s="1"/>
  <c r="O898" i="8"/>
  <c r="C898" i="11" s="1"/>
  <c r="M898" i="11" s="1"/>
  <c r="O899" i="8"/>
  <c r="C899" i="11" s="1"/>
  <c r="M899" i="11" s="1"/>
  <c r="O900" i="8"/>
  <c r="C900" i="11" s="1"/>
  <c r="M900" i="11" s="1"/>
  <c r="O901" i="8"/>
  <c r="C901" i="11" s="1"/>
  <c r="M901" i="11" s="1"/>
  <c r="O902" i="8"/>
  <c r="C902" i="11" s="1"/>
  <c r="M902" i="11" s="1"/>
  <c r="O903" i="8"/>
  <c r="C903" i="11" s="1"/>
  <c r="M903" i="11" s="1"/>
  <c r="O904" i="8"/>
  <c r="C904" i="11" s="1"/>
  <c r="M904" i="11" s="1"/>
  <c r="O905" i="8"/>
  <c r="C905" i="11" s="1"/>
  <c r="M905" i="11" s="1"/>
  <c r="O906" i="8"/>
  <c r="C906" i="11" s="1"/>
  <c r="M906" i="11" s="1"/>
  <c r="O907" i="8"/>
  <c r="C907" i="11" s="1"/>
  <c r="M907" i="11" s="1"/>
  <c r="O908" i="8"/>
  <c r="C908" i="11" s="1"/>
  <c r="M908" i="11" s="1"/>
  <c r="O909" i="8"/>
  <c r="C909" i="11" s="1"/>
  <c r="M909" i="11" s="1"/>
  <c r="O910" i="8"/>
  <c r="C910" i="11" s="1"/>
  <c r="M910" i="11" s="1"/>
  <c r="O911" i="8"/>
  <c r="C911" i="11" s="1"/>
  <c r="M911" i="11" s="1"/>
  <c r="O912" i="8"/>
  <c r="C912" i="11" s="1"/>
  <c r="M912" i="11" s="1"/>
  <c r="O913" i="8"/>
  <c r="C913" i="11" s="1"/>
  <c r="M913" i="11" s="1"/>
  <c r="O914" i="8"/>
  <c r="C914" i="11" s="1"/>
  <c r="M914" i="11" s="1"/>
  <c r="O915" i="8"/>
  <c r="C915" i="11" s="1"/>
  <c r="M915" i="11" s="1"/>
  <c r="O916" i="8"/>
  <c r="C916" i="11" s="1"/>
  <c r="M916" i="11" s="1"/>
  <c r="O917" i="8"/>
  <c r="C917" i="11" s="1"/>
  <c r="M917" i="11" s="1"/>
  <c r="O918" i="8"/>
  <c r="C918" i="11" s="1"/>
  <c r="M918" i="11" s="1"/>
  <c r="O919" i="8"/>
  <c r="C919" i="11" s="1"/>
  <c r="M919" i="11" s="1"/>
  <c r="O920" i="8"/>
  <c r="C920" i="11" s="1"/>
  <c r="M920" i="11" s="1"/>
  <c r="O921" i="8"/>
  <c r="C921" i="11" s="1"/>
  <c r="M921" i="11" s="1"/>
  <c r="O922" i="8"/>
  <c r="C922" i="11" s="1"/>
  <c r="M922" i="11" s="1"/>
  <c r="O923" i="8"/>
  <c r="C923" i="11" s="1"/>
  <c r="M923" i="11" s="1"/>
  <c r="O924" i="8"/>
  <c r="C924" i="11" s="1"/>
  <c r="M924" i="11" s="1"/>
  <c r="O925" i="8"/>
  <c r="C925" i="11" s="1"/>
  <c r="M925" i="11" s="1"/>
  <c r="O926" i="8"/>
  <c r="C926" i="11" s="1"/>
  <c r="M926" i="11" s="1"/>
  <c r="O927" i="8"/>
  <c r="C927" i="11" s="1"/>
  <c r="M927" i="11" s="1"/>
  <c r="O928" i="8"/>
  <c r="C928" i="11" s="1"/>
  <c r="M928" i="11" s="1"/>
  <c r="O929" i="8"/>
  <c r="C929" i="11" s="1"/>
  <c r="M929" i="11" s="1"/>
  <c r="O930" i="8"/>
  <c r="C930" i="11" s="1"/>
  <c r="M930" i="11" s="1"/>
  <c r="O931" i="8"/>
  <c r="C931" i="11" s="1"/>
  <c r="M931" i="11" s="1"/>
  <c r="O932" i="8"/>
  <c r="C932" i="11" s="1"/>
  <c r="M932" i="11" s="1"/>
  <c r="O933" i="8"/>
  <c r="C933" i="11" s="1"/>
  <c r="M933" i="11" s="1"/>
  <c r="O934" i="8"/>
  <c r="C934" i="11" s="1"/>
  <c r="M934" i="11" s="1"/>
  <c r="O935" i="8"/>
  <c r="C935" i="11" s="1"/>
  <c r="M935" i="11" s="1"/>
  <c r="O936" i="8"/>
  <c r="C936" i="11" s="1"/>
  <c r="M936" i="11" s="1"/>
  <c r="O937" i="8"/>
  <c r="C937" i="11" s="1"/>
  <c r="M937" i="11" s="1"/>
  <c r="O938" i="8"/>
  <c r="C938" i="11" s="1"/>
  <c r="M938" i="11" s="1"/>
  <c r="O939" i="8"/>
  <c r="C939" i="11" s="1"/>
  <c r="M939" i="11" s="1"/>
  <c r="O940" i="8"/>
  <c r="C940" i="11" s="1"/>
  <c r="M940" i="11" s="1"/>
  <c r="O941" i="8"/>
  <c r="C941" i="11" s="1"/>
  <c r="M941" i="11" s="1"/>
  <c r="O942" i="8"/>
  <c r="C942" i="11" s="1"/>
  <c r="M942" i="11" s="1"/>
  <c r="O943" i="8"/>
  <c r="C943" i="11" s="1"/>
  <c r="M943" i="11" s="1"/>
  <c r="O944" i="8"/>
  <c r="C944" i="11" s="1"/>
  <c r="M944" i="11" s="1"/>
  <c r="O945" i="8"/>
  <c r="C945" i="11" s="1"/>
  <c r="M945" i="11" s="1"/>
  <c r="O946" i="8"/>
  <c r="C946" i="11" s="1"/>
  <c r="M946" i="11" s="1"/>
  <c r="O947" i="8"/>
  <c r="C947" i="11" s="1"/>
  <c r="M947" i="11" s="1"/>
  <c r="O948" i="8"/>
  <c r="C948" i="11" s="1"/>
  <c r="M948" i="11" s="1"/>
  <c r="O949" i="8"/>
  <c r="C949" i="11" s="1"/>
  <c r="M949" i="11" s="1"/>
  <c r="O950" i="8"/>
  <c r="C950" i="11" s="1"/>
  <c r="M950" i="11" s="1"/>
  <c r="O951" i="8"/>
  <c r="C951" i="11" s="1"/>
  <c r="M951" i="11" s="1"/>
  <c r="O952" i="8"/>
  <c r="C952" i="11" s="1"/>
  <c r="M952" i="11" s="1"/>
  <c r="O953" i="8"/>
  <c r="C953" i="11" s="1"/>
  <c r="M953" i="11" s="1"/>
  <c r="O954" i="8"/>
  <c r="C954" i="11" s="1"/>
  <c r="M954" i="11" s="1"/>
  <c r="O955" i="8"/>
  <c r="C955" i="11" s="1"/>
  <c r="M955" i="11" s="1"/>
  <c r="O956" i="8"/>
  <c r="C956" i="11" s="1"/>
  <c r="M956" i="11" s="1"/>
  <c r="O957" i="8"/>
  <c r="C957" i="11" s="1"/>
  <c r="M957" i="11" s="1"/>
  <c r="O958" i="8"/>
  <c r="C958" i="11" s="1"/>
  <c r="M958" i="11" s="1"/>
  <c r="O959" i="8"/>
  <c r="C959" i="11" s="1"/>
  <c r="M959" i="11" s="1"/>
  <c r="O960" i="8"/>
  <c r="C960" i="11" s="1"/>
  <c r="M960" i="11" s="1"/>
  <c r="O961" i="8"/>
  <c r="C961" i="11" s="1"/>
  <c r="M961" i="11" s="1"/>
  <c r="O962" i="8"/>
  <c r="C962" i="11" s="1"/>
  <c r="M962" i="11" s="1"/>
  <c r="O963" i="8"/>
  <c r="C963" i="11" s="1"/>
  <c r="M963" i="11" s="1"/>
  <c r="O964" i="8"/>
  <c r="C964" i="11" s="1"/>
  <c r="M964" i="11" s="1"/>
  <c r="O965" i="8"/>
  <c r="C965" i="11" s="1"/>
  <c r="M965" i="11" s="1"/>
  <c r="O966" i="8"/>
  <c r="C966" i="11" s="1"/>
  <c r="M966" i="11" s="1"/>
  <c r="O967" i="8"/>
  <c r="C967" i="11" s="1"/>
  <c r="M967" i="11" s="1"/>
  <c r="O968" i="8"/>
  <c r="C968" i="11" s="1"/>
  <c r="M968" i="11" s="1"/>
  <c r="O969" i="8"/>
  <c r="C969" i="11" s="1"/>
  <c r="M969" i="11" s="1"/>
  <c r="O970" i="8"/>
  <c r="C970" i="11" s="1"/>
  <c r="M970" i="11" s="1"/>
  <c r="O971" i="8"/>
  <c r="C971" i="11" s="1"/>
  <c r="M971" i="11" s="1"/>
  <c r="O972" i="8"/>
  <c r="C972" i="11" s="1"/>
  <c r="M972" i="11" s="1"/>
  <c r="O973" i="8"/>
  <c r="C973" i="11" s="1"/>
  <c r="M973" i="11" s="1"/>
  <c r="O974" i="8"/>
  <c r="C974" i="11" s="1"/>
  <c r="M974" i="11" s="1"/>
  <c r="O975" i="8"/>
  <c r="C975" i="11" s="1"/>
  <c r="M975" i="11" s="1"/>
  <c r="O976" i="8"/>
  <c r="C976" i="11" s="1"/>
  <c r="M976" i="11" s="1"/>
  <c r="O977" i="8"/>
  <c r="C977" i="11" s="1"/>
  <c r="M977" i="11" s="1"/>
  <c r="O978" i="8"/>
  <c r="C978" i="11" s="1"/>
  <c r="M978" i="11" s="1"/>
  <c r="O979" i="8"/>
  <c r="C979" i="11" s="1"/>
  <c r="M979" i="11" s="1"/>
  <c r="O980" i="8"/>
  <c r="C980" i="11" s="1"/>
  <c r="M980" i="11" s="1"/>
  <c r="O981" i="8"/>
  <c r="C981" i="11" s="1"/>
  <c r="M981" i="11" s="1"/>
  <c r="O982" i="8"/>
  <c r="C982" i="11" s="1"/>
  <c r="M982" i="11" s="1"/>
  <c r="O983" i="8"/>
  <c r="C983" i="11" s="1"/>
  <c r="M983" i="11" s="1"/>
  <c r="O984" i="8"/>
  <c r="C984" i="11" s="1"/>
  <c r="M984" i="11" s="1"/>
  <c r="O985" i="8"/>
  <c r="C985" i="11" s="1"/>
  <c r="M985" i="11" s="1"/>
  <c r="O986" i="8"/>
  <c r="C986" i="11" s="1"/>
  <c r="M986" i="11" s="1"/>
  <c r="O987" i="8"/>
  <c r="C987" i="11" s="1"/>
  <c r="M987" i="11" s="1"/>
  <c r="O988" i="8"/>
  <c r="C988" i="11" s="1"/>
  <c r="M988" i="11" s="1"/>
  <c r="O989" i="8"/>
  <c r="C989" i="11" s="1"/>
  <c r="M989" i="11" s="1"/>
  <c r="O990" i="8"/>
  <c r="C990" i="11" s="1"/>
  <c r="M990" i="11" s="1"/>
  <c r="O991" i="8"/>
  <c r="C991" i="11" s="1"/>
  <c r="M991" i="11" s="1"/>
  <c r="O992" i="8"/>
  <c r="C992" i="11" s="1"/>
  <c r="M992" i="11" s="1"/>
  <c r="O993" i="8"/>
  <c r="C993" i="11" s="1"/>
  <c r="M993" i="11" s="1"/>
  <c r="O994" i="8"/>
  <c r="C994" i="11" s="1"/>
  <c r="M994" i="11" s="1"/>
  <c r="O995" i="8"/>
  <c r="C995" i="11" s="1"/>
  <c r="M995" i="11" s="1"/>
  <c r="O996" i="8"/>
  <c r="C996" i="11" s="1"/>
  <c r="M996" i="11" s="1"/>
  <c r="O997" i="8"/>
  <c r="C997" i="11" s="1"/>
  <c r="M997" i="11" s="1"/>
  <c r="O998" i="8"/>
  <c r="C998" i="11" s="1"/>
  <c r="M998" i="11" s="1"/>
  <c r="O999" i="8"/>
  <c r="C999" i="11" s="1"/>
  <c r="M999" i="11" s="1"/>
  <c r="O1000" i="8"/>
  <c r="C1000" i="11" s="1"/>
  <c r="M1000" i="11" s="1"/>
  <c r="O1001" i="8"/>
  <c r="C1001" i="11" s="1"/>
  <c r="M1001" i="11" s="1"/>
  <c r="O1002" i="8"/>
  <c r="C1002" i="11" s="1"/>
  <c r="M1002" i="11" s="1"/>
  <c r="O1003" i="8"/>
  <c r="C1003" i="11" s="1"/>
  <c r="M1003" i="11" s="1"/>
  <c r="O1004" i="8"/>
  <c r="C1004" i="11" s="1"/>
  <c r="M1004" i="11" s="1"/>
  <c r="O1005" i="8"/>
  <c r="C1005" i="11" s="1"/>
  <c r="M1005" i="11" s="1"/>
  <c r="O1006" i="8"/>
  <c r="C1006" i="11" s="1"/>
  <c r="M1006" i="11" s="1"/>
  <c r="O1007" i="8"/>
  <c r="C1007" i="11" s="1"/>
  <c r="M1007" i="11" s="1"/>
  <c r="O1008" i="8"/>
  <c r="C1008" i="11" s="1"/>
  <c r="M1008" i="11" s="1"/>
  <c r="O1009" i="8"/>
  <c r="C1009" i="11" s="1"/>
  <c r="M1009" i="11" s="1"/>
  <c r="O1010" i="8"/>
  <c r="C1010" i="11" s="1"/>
  <c r="M1010" i="11" s="1"/>
  <c r="O1011" i="8"/>
  <c r="C1011" i="11" s="1"/>
  <c r="M1011" i="11" s="1"/>
  <c r="O1012" i="8"/>
  <c r="C1012" i="11" s="1"/>
  <c r="M1012" i="11" s="1"/>
  <c r="O1013" i="8"/>
  <c r="C1013" i="11" s="1"/>
  <c r="M1013" i="11" s="1"/>
  <c r="O1014" i="8"/>
  <c r="C1014" i="11" s="1"/>
  <c r="M1014" i="11" s="1"/>
  <c r="O1015" i="8"/>
  <c r="C1015" i="11" s="1"/>
  <c r="M1015" i="11" s="1"/>
  <c r="O1016" i="8"/>
  <c r="C1016" i="11" s="1"/>
  <c r="M1016" i="11" s="1"/>
  <c r="O1017" i="8"/>
  <c r="C1017" i="11" s="1"/>
  <c r="M1017" i="11" s="1"/>
  <c r="O1018" i="8"/>
  <c r="C1018" i="11" s="1"/>
  <c r="M1018" i="11" s="1"/>
  <c r="O1019" i="8"/>
  <c r="C1019" i="11" s="1"/>
  <c r="M1019" i="11" s="1"/>
  <c r="O1020" i="8"/>
  <c r="C1020" i="11" s="1"/>
  <c r="M1020" i="11" s="1"/>
  <c r="O1021" i="8"/>
  <c r="C1021" i="11" s="1"/>
  <c r="M1021" i="11" s="1"/>
  <c r="O1022" i="8"/>
  <c r="C1022" i="11" s="1"/>
  <c r="M1022" i="11" s="1"/>
  <c r="O1023" i="8"/>
  <c r="C1023" i="11" s="1"/>
  <c r="M1023" i="11" s="1"/>
  <c r="O1024" i="8"/>
  <c r="C1024" i="11" s="1"/>
  <c r="M1024" i="11" s="1"/>
  <c r="O1025" i="8"/>
  <c r="C1025" i="11" s="1"/>
  <c r="M1025" i="11" s="1"/>
  <c r="O1026" i="8"/>
  <c r="C1026" i="11" s="1"/>
  <c r="M1026" i="11" s="1"/>
  <c r="O1027" i="8"/>
  <c r="C1027" i="11" s="1"/>
  <c r="M1027" i="11" s="1"/>
  <c r="O1028" i="8"/>
  <c r="C1028" i="11" s="1"/>
  <c r="M1028" i="11" s="1"/>
  <c r="O1029" i="8"/>
  <c r="C1029" i="11" s="1"/>
  <c r="M1029" i="11" s="1"/>
  <c r="O1030" i="8"/>
  <c r="C1030" i="11" s="1"/>
  <c r="M1030" i="11" s="1"/>
  <c r="O1031" i="8"/>
  <c r="C1031" i="11" s="1"/>
  <c r="M1031" i="11" s="1"/>
  <c r="O1032" i="8"/>
  <c r="C1032" i="11" s="1"/>
  <c r="M1032" i="11" s="1"/>
  <c r="O1033" i="8"/>
  <c r="C1033" i="11" s="1"/>
  <c r="M1033" i="11" s="1"/>
  <c r="O1034" i="8"/>
  <c r="C1034" i="11" s="1"/>
  <c r="M1034" i="11" s="1"/>
  <c r="O1035" i="8"/>
  <c r="C1035" i="11" s="1"/>
  <c r="M1035" i="11" s="1"/>
  <c r="O1036" i="8"/>
  <c r="C1036" i="11" s="1"/>
  <c r="M1036" i="11" s="1"/>
  <c r="O1037" i="8"/>
  <c r="C1037" i="11" s="1"/>
  <c r="M1037" i="11" s="1"/>
  <c r="O1038" i="8"/>
  <c r="C1038" i="11" s="1"/>
  <c r="M1038" i="11" s="1"/>
  <c r="O1039" i="8"/>
  <c r="C1039" i="11" s="1"/>
  <c r="M1039" i="11" s="1"/>
  <c r="O1040" i="8"/>
  <c r="C1040" i="11" s="1"/>
  <c r="M1040" i="11" s="1"/>
  <c r="O1041" i="8"/>
  <c r="C1041" i="11" s="1"/>
  <c r="M1041" i="11" s="1"/>
  <c r="O1042" i="8"/>
  <c r="C1042" i="11" s="1"/>
  <c r="M1042" i="11" s="1"/>
  <c r="O1043" i="8"/>
  <c r="C1043" i="11" s="1"/>
  <c r="M1043" i="11" s="1"/>
  <c r="O1044" i="8"/>
  <c r="C1044" i="11" s="1"/>
  <c r="M1044" i="11" s="1"/>
  <c r="O1045" i="8"/>
  <c r="C1045" i="11" s="1"/>
  <c r="M1045" i="11" s="1"/>
  <c r="O1046" i="8"/>
  <c r="C1046" i="11" s="1"/>
  <c r="M1046" i="11" s="1"/>
  <c r="O1047" i="8"/>
  <c r="C1047" i="11" s="1"/>
  <c r="M1047" i="11" s="1"/>
  <c r="O1048" i="8"/>
  <c r="C1048" i="11" s="1"/>
  <c r="M1048" i="11" s="1"/>
  <c r="O1049" i="8"/>
  <c r="C1049" i="11" s="1"/>
  <c r="M1049" i="11" s="1"/>
  <c r="O1050" i="8"/>
  <c r="C1050" i="11" s="1"/>
  <c r="M1050" i="11" s="1"/>
  <c r="O1051" i="8"/>
  <c r="C1051" i="11" s="1"/>
  <c r="M1051" i="11" s="1"/>
  <c r="O1052" i="8"/>
  <c r="C1052" i="11" s="1"/>
  <c r="M1052" i="11" s="1"/>
  <c r="O1053" i="8"/>
  <c r="C1053" i="11" s="1"/>
  <c r="M1053" i="11" s="1"/>
  <c r="O1054" i="8"/>
  <c r="C1054" i="11" s="1"/>
  <c r="M1054" i="11" s="1"/>
  <c r="O1055" i="8"/>
  <c r="C1055" i="11" s="1"/>
  <c r="M1055" i="11" s="1"/>
  <c r="O1056" i="8"/>
  <c r="C1056" i="11" s="1"/>
  <c r="M1056" i="11" s="1"/>
  <c r="O1057" i="8"/>
  <c r="C1057" i="11" s="1"/>
  <c r="M1057" i="11" s="1"/>
  <c r="O1058" i="8"/>
  <c r="C1058" i="11" s="1"/>
  <c r="M1058" i="11" s="1"/>
  <c r="O1059" i="8"/>
  <c r="C1059" i="11" s="1"/>
  <c r="M1059" i="11" s="1"/>
  <c r="O1060" i="8"/>
  <c r="C1060" i="11" s="1"/>
  <c r="M1060" i="11" s="1"/>
  <c r="O1061" i="8"/>
  <c r="C1061" i="11" s="1"/>
  <c r="M1061" i="11" s="1"/>
  <c r="O1062" i="8"/>
  <c r="C1062" i="11" s="1"/>
  <c r="M1062" i="11" s="1"/>
  <c r="O1063" i="8"/>
  <c r="C1063" i="11" s="1"/>
  <c r="M1063" i="11" s="1"/>
  <c r="O1064" i="8"/>
  <c r="C1064" i="11" s="1"/>
  <c r="M1064" i="11" s="1"/>
  <c r="O1065" i="8"/>
  <c r="C1065" i="11" s="1"/>
  <c r="M1065" i="11" s="1"/>
  <c r="O1066" i="8"/>
  <c r="C1066" i="11" s="1"/>
  <c r="M1066" i="11" s="1"/>
  <c r="O1067" i="8"/>
  <c r="C1067" i="11" s="1"/>
  <c r="M1067" i="11" s="1"/>
  <c r="O1068" i="8"/>
  <c r="C1068" i="11" s="1"/>
  <c r="M1068" i="11" s="1"/>
  <c r="O1069" i="8"/>
  <c r="C1069" i="11" s="1"/>
  <c r="M1069" i="11" s="1"/>
  <c r="O1070" i="8"/>
  <c r="C1070" i="11" s="1"/>
  <c r="M1070" i="11" s="1"/>
  <c r="O1071" i="8"/>
  <c r="C1071" i="11" s="1"/>
  <c r="M1071" i="11" s="1"/>
  <c r="O1072" i="8"/>
  <c r="C1072" i="11" s="1"/>
  <c r="M1072" i="11" s="1"/>
  <c r="O1073" i="8"/>
  <c r="C1073" i="11" s="1"/>
  <c r="M1073" i="11" s="1"/>
  <c r="O1074" i="8"/>
  <c r="C1074" i="11" s="1"/>
  <c r="M1074" i="11" s="1"/>
  <c r="O1075" i="8"/>
  <c r="C1075" i="11" s="1"/>
  <c r="M1075" i="11" s="1"/>
  <c r="O1076" i="8"/>
  <c r="C1076" i="11" s="1"/>
  <c r="M1076" i="11" s="1"/>
  <c r="O1077" i="8"/>
  <c r="C1077" i="11" s="1"/>
  <c r="M1077" i="11" s="1"/>
  <c r="O1078" i="8"/>
  <c r="C1078" i="11" s="1"/>
  <c r="M1078" i="11" s="1"/>
  <c r="O1079" i="8"/>
  <c r="C1079" i="11" s="1"/>
  <c r="M1079" i="11" s="1"/>
  <c r="O1080" i="8"/>
  <c r="C1080" i="11" s="1"/>
  <c r="M1080" i="11" s="1"/>
  <c r="O1081" i="8"/>
  <c r="C1081" i="11" s="1"/>
  <c r="M1081" i="11" s="1"/>
  <c r="O1082" i="8"/>
  <c r="C1082" i="11" s="1"/>
  <c r="M1082" i="11" s="1"/>
  <c r="O1083" i="8"/>
  <c r="C1083" i="11" s="1"/>
  <c r="M1083" i="11" s="1"/>
  <c r="O1084" i="8"/>
  <c r="C1084" i="11" s="1"/>
  <c r="M1084" i="11" s="1"/>
  <c r="O1085" i="8"/>
  <c r="C1085" i="11" s="1"/>
  <c r="M1085" i="11" s="1"/>
  <c r="O1086" i="8"/>
  <c r="C1086" i="11" s="1"/>
  <c r="M1086" i="11" s="1"/>
  <c r="O1087" i="8"/>
  <c r="C1087" i="11" s="1"/>
  <c r="M1087" i="11" s="1"/>
  <c r="O1088" i="8"/>
  <c r="C1088" i="11" s="1"/>
  <c r="M1088" i="11" s="1"/>
  <c r="O1089" i="8"/>
  <c r="C1089" i="11" s="1"/>
  <c r="M1089" i="11" s="1"/>
  <c r="O1090" i="8"/>
  <c r="C1090" i="11" s="1"/>
  <c r="M1090" i="11" s="1"/>
  <c r="O1091" i="8"/>
  <c r="C1091" i="11" s="1"/>
  <c r="M1091" i="11" s="1"/>
  <c r="O1092" i="8"/>
  <c r="C1092" i="11" s="1"/>
  <c r="M1092" i="11" s="1"/>
  <c r="O1093" i="8"/>
  <c r="C1093" i="11" s="1"/>
  <c r="M1093" i="11" s="1"/>
  <c r="O1094" i="8"/>
  <c r="C1094" i="11" s="1"/>
  <c r="M1094" i="11" s="1"/>
  <c r="O1095" i="8"/>
  <c r="C1095" i="11" s="1"/>
  <c r="M1095" i="11" s="1"/>
  <c r="O1096" i="8"/>
  <c r="C1096" i="11" s="1"/>
  <c r="M1096" i="11" s="1"/>
  <c r="O1097" i="8"/>
  <c r="C1097" i="11" s="1"/>
  <c r="M1097" i="11" s="1"/>
  <c r="O1098" i="8"/>
  <c r="C1098" i="11" s="1"/>
  <c r="M1098" i="11" s="1"/>
  <c r="O1099" i="8"/>
  <c r="C1099" i="11" s="1"/>
  <c r="M1099" i="11" s="1"/>
  <c r="O1100" i="8"/>
  <c r="C1100" i="11" s="1"/>
  <c r="M1100" i="11" s="1"/>
  <c r="O1101" i="8"/>
  <c r="C1101" i="11" s="1"/>
  <c r="M1101" i="11" s="1"/>
  <c r="O1102" i="8"/>
  <c r="C1102" i="11" s="1"/>
  <c r="M1102" i="11" s="1"/>
  <c r="O1103" i="8"/>
  <c r="C1103" i="11" s="1"/>
  <c r="M1103" i="11" s="1"/>
  <c r="O1104" i="8"/>
  <c r="C1104" i="11" s="1"/>
  <c r="M1104" i="11" s="1"/>
  <c r="O1105" i="8"/>
  <c r="C1105" i="11" s="1"/>
  <c r="M1105" i="11" s="1"/>
  <c r="O1106" i="8"/>
  <c r="C1106" i="11" s="1"/>
  <c r="M1106" i="11" s="1"/>
  <c r="O1107" i="8"/>
  <c r="C1107" i="11" s="1"/>
  <c r="M1107" i="11" s="1"/>
  <c r="O1108" i="8"/>
  <c r="C1108" i="11" s="1"/>
  <c r="M1108" i="11" s="1"/>
  <c r="O1109" i="8"/>
  <c r="C1109" i="11" s="1"/>
  <c r="M1109" i="11" s="1"/>
  <c r="O1110" i="8"/>
  <c r="C1110" i="11" s="1"/>
  <c r="M1110" i="11" s="1"/>
  <c r="O1111" i="8"/>
  <c r="C1111" i="11" s="1"/>
  <c r="M1111" i="11" s="1"/>
  <c r="O1112" i="8"/>
  <c r="C1112" i="11" s="1"/>
  <c r="M1112" i="11" s="1"/>
  <c r="O1113" i="8"/>
  <c r="C1113" i="11" s="1"/>
  <c r="M1113" i="11" s="1"/>
  <c r="O1114" i="8"/>
  <c r="C1114" i="11" s="1"/>
  <c r="M1114" i="11" s="1"/>
  <c r="O1115" i="8"/>
  <c r="C1115" i="11" s="1"/>
  <c r="M1115" i="11" s="1"/>
  <c r="O1116" i="8"/>
  <c r="C1116" i="11" s="1"/>
  <c r="M1116" i="11" s="1"/>
  <c r="O1117" i="8"/>
  <c r="C1117" i="11" s="1"/>
  <c r="M1117" i="11" s="1"/>
  <c r="O1118" i="8"/>
  <c r="C1118" i="11" s="1"/>
  <c r="M1118" i="11" s="1"/>
  <c r="O1119" i="8"/>
  <c r="C1119" i="11" s="1"/>
  <c r="M1119" i="11" s="1"/>
  <c r="O1120" i="8"/>
  <c r="C1120" i="11" s="1"/>
  <c r="M1120" i="11" s="1"/>
  <c r="O1121" i="8"/>
  <c r="C1121" i="11" s="1"/>
  <c r="M1121" i="11" s="1"/>
  <c r="O1122" i="8"/>
  <c r="C1122" i="11" s="1"/>
  <c r="M1122" i="11" s="1"/>
  <c r="O1123" i="8"/>
  <c r="C1123" i="11" s="1"/>
  <c r="M1123" i="11" s="1"/>
  <c r="O1124" i="8"/>
  <c r="C1124" i="11" s="1"/>
  <c r="M1124" i="11" s="1"/>
  <c r="O1125" i="8"/>
  <c r="C1125" i="11" s="1"/>
  <c r="M1125" i="11" s="1"/>
  <c r="O1126" i="8"/>
  <c r="C1126" i="11" s="1"/>
  <c r="M1126" i="11" s="1"/>
  <c r="O1127" i="8"/>
  <c r="C1127" i="11" s="1"/>
  <c r="M1127" i="11" s="1"/>
  <c r="O1128" i="8"/>
  <c r="C1128" i="11" s="1"/>
  <c r="M1128" i="11" s="1"/>
  <c r="O1129" i="8"/>
  <c r="C1129" i="11" s="1"/>
  <c r="M1129" i="11" s="1"/>
  <c r="O1130" i="8"/>
  <c r="C1130" i="11" s="1"/>
  <c r="M1130" i="11" s="1"/>
  <c r="O1131" i="8"/>
  <c r="C1131" i="11" s="1"/>
  <c r="M1131" i="11" s="1"/>
  <c r="O1132" i="8"/>
  <c r="C1132" i="11" s="1"/>
  <c r="M1132" i="11" s="1"/>
  <c r="O1133" i="8"/>
  <c r="C1133" i="11" s="1"/>
  <c r="M1133" i="11" s="1"/>
  <c r="O1134" i="8"/>
  <c r="C1134" i="11" s="1"/>
  <c r="M1134" i="11" s="1"/>
  <c r="O1135" i="8"/>
  <c r="C1135" i="11" s="1"/>
  <c r="M1135" i="11" s="1"/>
  <c r="O1136" i="8"/>
  <c r="C1136" i="11" s="1"/>
  <c r="M1136" i="11" s="1"/>
  <c r="O1137" i="8"/>
  <c r="C1137" i="11" s="1"/>
  <c r="M1137" i="11" s="1"/>
  <c r="O1138" i="8"/>
  <c r="C1138" i="11" s="1"/>
  <c r="M1138" i="11" s="1"/>
  <c r="O1139" i="8"/>
  <c r="C1139" i="11" s="1"/>
  <c r="M1139" i="11" s="1"/>
  <c r="O1140" i="8"/>
  <c r="C1140" i="11" s="1"/>
  <c r="M1140" i="11" s="1"/>
  <c r="O1141" i="8"/>
  <c r="C1141" i="11" s="1"/>
  <c r="M1141" i="11" s="1"/>
  <c r="O1142" i="8"/>
  <c r="C1142" i="11" s="1"/>
  <c r="M1142" i="11" s="1"/>
  <c r="O1143" i="8"/>
  <c r="C1143" i="11" s="1"/>
  <c r="M1143" i="11" s="1"/>
  <c r="O1144" i="8"/>
  <c r="C1144" i="11" s="1"/>
  <c r="M1144" i="11" s="1"/>
  <c r="O1145" i="8"/>
  <c r="C1145" i="11" s="1"/>
  <c r="M1145" i="11" s="1"/>
  <c r="O1146" i="8"/>
  <c r="C1146" i="11" s="1"/>
  <c r="M1146" i="11" s="1"/>
  <c r="O1147" i="8"/>
  <c r="C1147" i="11" s="1"/>
  <c r="M1147" i="11" s="1"/>
  <c r="O1148" i="8"/>
  <c r="C1148" i="11" s="1"/>
  <c r="M1148" i="11" s="1"/>
  <c r="O1149" i="8"/>
  <c r="C1149" i="11" s="1"/>
  <c r="M1149" i="11" s="1"/>
  <c r="O1150" i="8"/>
  <c r="C1150" i="11" s="1"/>
  <c r="M1150" i="11" s="1"/>
  <c r="O1151" i="8"/>
  <c r="C1151" i="11" s="1"/>
  <c r="M1151" i="11" s="1"/>
  <c r="O1152" i="8"/>
  <c r="C1152" i="11" s="1"/>
  <c r="M1152" i="11" s="1"/>
  <c r="O1153" i="8"/>
  <c r="C1153" i="11" s="1"/>
  <c r="M1153" i="11" s="1"/>
  <c r="O1154" i="8"/>
  <c r="C1154" i="11" s="1"/>
  <c r="M1154" i="11" s="1"/>
  <c r="O1155" i="8"/>
  <c r="C1155" i="11" s="1"/>
  <c r="M1155" i="11" s="1"/>
  <c r="O1156" i="8"/>
  <c r="C1156" i="11" s="1"/>
  <c r="M1156" i="11" s="1"/>
  <c r="O1157" i="8"/>
  <c r="C1157" i="11" s="1"/>
  <c r="M1157" i="11" s="1"/>
  <c r="O1158" i="8"/>
  <c r="C1158" i="11" s="1"/>
  <c r="M1158" i="11" s="1"/>
  <c r="O1159" i="8"/>
  <c r="C1159" i="11" s="1"/>
  <c r="M1159" i="11" s="1"/>
  <c r="O1160" i="8"/>
  <c r="C1160" i="11" s="1"/>
  <c r="M1160" i="11" s="1"/>
  <c r="O1161" i="8"/>
  <c r="C1161" i="11" s="1"/>
  <c r="M1161" i="11" s="1"/>
  <c r="O1162" i="8"/>
  <c r="C1162" i="11" s="1"/>
  <c r="M1162" i="11" s="1"/>
  <c r="O1163" i="8"/>
  <c r="C1163" i="11" s="1"/>
  <c r="M1163" i="11" s="1"/>
  <c r="O1164" i="8"/>
  <c r="C1164" i="11" s="1"/>
  <c r="M1164" i="11" s="1"/>
  <c r="O1165" i="8"/>
  <c r="C1165" i="11" s="1"/>
  <c r="M1165" i="11" s="1"/>
  <c r="O1166" i="8"/>
  <c r="C1166" i="11" s="1"/>
  <c r="M1166" i="11" s="1"/>
  <c r="O1167" i="8"/>
  <c r="C1167" i="11" s="1"/>
  <c r="M1167" i="11" s="1"/>
  <c r="O1168" i="8"/>
  <c r="C1168" i="11" s="1"/>
  <c r="M1168" i="11" s="1"/>
  <c r="O1169" i="8"/>
  <c r="C1169" i="11" s="1"/>
  <c r="M1169" i="11" s="1"/>
  <c r="O1170" i="8"/>
  <c r="C1170" i="11" s="1"/>
  <c r="M1170" i="11" s="1"/>
  <c r="O1171" i="8"/>
  <c r="C1171" i="11" s="1"/>
  <c r="M1171" i="11" s="1"/>
  <c r="O1172" i="8"/>
  <c r="C1172" i="11" s="1"/>
  <c r="M1172" i="11" s="1"/>
  <c r="O1173" i="8"/>
  <c r="C1173" i="11" s="1"/>
  <c r="M1173" i="11" s="1"/>
  <c r="O1174" i="8"/>
  <c r="C1174" i="11" s="1"/>
  <c r="M1174" i="11" s="1"/>
  <c r="O1175" i="8"/>
  <c r="C1175" i="11" s="1"/>
  <c r="M1175" i="11" s="1"/>
  <c r="O1176" i="8"/>
  <c r="C1176" i="11" s="1"/>
  <c r="M1176" i="11" s="1"/>
  <c r="O1177" i="8"/>
  <c r="C1177" i="11" s="1"/>
  <c r="M1177" i="11" s="1"/>
  <c r="O1178" i="8"/>
  <c r="C1178" i="11" s="1"/>
  <c r="M1178" i="11" s="1"/>
  <c r="O1179" i="8"/>
  <c r="C1179" i="11" s="1"/>
  <c r="M1179" i="11" s="1"/>
  <c r="O1180" i="8"/>
  <c r="C1180" i="11" s="1"/>
  <c r="M1180" i="11" s="1"/>
  <c r="O1181" i="8"/>
  <c r="C1181" i="11" s="1"/>
  <c r="M1181" i="11" s="1"/>
  <c r="O1182" i="8"/>
  <c r="C1182" i="11" s="1"/>
  <c r="M1182" i="11" s="1"/>
  <c r="O1183" i="8"/>
  <c r="C1183" i="11" s="1"/>
  <c r="M1183" i="11" s="1"/>
  <c r="O1184" i="8"/>
  <c r="C1184" i="11" s="1"/>
  <c r="M1184" i="11" s="1"/>
  <c r="O1185" i="8"/>
  <c r="C1185" i="11" s="1"/>
  <c r="M1185" i="11" s="1"/>
  <c r="O1186" i="8"/>
  <c r="C1186" i="11" s="1"/>
  <c r="M1186" i="11" s="1"/>
  <c r="O1187" i="8"/>
  <c r="C1187" i="11" s="1"/>
  <c r="M1187" i="11" s="1"/>
  <c r="O1188" i="8"/>
  <c r="C1188" i="11" s="1"/>
  <c r="M1188" i="11" s="1"/>
  <c r="O1189" i="8"/>
  <c r="C1189" i="11" s="1"/>
  <c r="M1189" i="11" s="1"/>
  <c r="O1190" i="8"/>
  <c r="C1190" i="11" s="1"/>
  <c r="M1190" i="11" s="1"/>
  <c r="O1191" i="8"/>
  <c r="C1191" i="11" s="1"/>
  <c r="M1191" i="11" s="1"/>
  <c r="O1192" i="8"/>
  <c r="C1192" i="11" s="1"/>
  <c r="M1192" i="11" s="1"/>
  <c r="O1193" i="8"/>
  <c r="C1193" i="11" s="1"/>
  <c r="M1193" i="11" s="1"/>
  <c r="O1194" i="8"/>
  <c r="C1194" i="11" s="1"/>
  <c r="M1194" i="11" s="1"/>
  <c r="O1195" i="8"/>
  <c r="C1195" i="11" s="1"/>
  <c r="M1195" i="11" s="1"/>
  <c r="O1196" i="8"/>
  <c r="C1196" i="11" s="1"/>
  <c r="M1196" i="11" s="1"/>
  <c r="O1197" i="8"/>
  <c r="C1197" i="11" s="1"/>
  <c r="M1197" i="11" s="1"/>
  <c r="O1198" i="8"/>
  <c r="C1198" i="11" s="1"/>
  <c r="M1198" i="11" s="1"/>
  <c r="O1199" i="8"/>
  <c r="C1199" i="11" s="1"/>
  <c r="M1199" i="11" s="1"/>
  <c r="O1200" i="8"/>
  <c r="C1200" i="11" s="1"/>
  <c r="M1200" i="11" s="1"/>
  <c r="O1201" i="8"/>
  <c r="C1201" i="11" s="1"/>
  <c r="M1201" i="11" s="1"/>
  <c r="O1202" i="8"/>
  <c r="C1202" i="11" s="1"/>
  <c r="M1202" i="11" s="1"/>
  <c r="O1203" i="8"/>
  <c r="C1203" i="11" s="1"/>
  <c r="M1203" i="11" s="1"/>
  <c r="O1204" i="8"/>
  <c r="C1204" i="11" s="1"/>
  <c r="M1204" i="11" s="1"/>
  <c r="O1205" i="8"/>
  <c r="C1205" i="11" s="1"/>
  <c r="M1205" i="11" s="1"/>
  <c r="O1206" i="8"/>
  <c r="C1206" i="11" s="1"/>
  <c r="M1206" i="11" s="1"/>
  <c r="O1207" i="8"/>
  <c r="C1207" i="11" s="1"/>
  <c r="M1207" i="11" s="1"/>
  <c r="O1208" i="8"/>
  <c r="C1208" i="11" s="1"/>
  <c r="M1208" i="11" s="1"/>
  <c r="O1209" i="8"/>
  <c r="C1209" i="11" s="1"/>
  <c r="M1209" i="11" s="1"/>
  <c r="O1210" i="8"/>
  <c r="C1210" i="11" s="1"/>
  <c r="M1210" i="11" s="1"/>
  <c r="O1211" i="8"/>
  <c r="C1211" i="11" s="1"/>
  <c r="M1211" i="11" s="1"/>
  <c r="O1212" i="8"/>
  <c r="C1212" i="11" s="1"/>
  <c r="M1212" i="11" s="1"/>
  <c r="O1213" i="8"/>
  <c r="C1213" i="11" s="1"/>
  <c r="M1213" i="11" s="1"/>
  <c r="O3" i="11"/>
  <c r="L5" i="11"/>
  <c r="R5" i="11"/>
  <c r="O5" i="11" s="1"/>
  <c r="L7" i="11"/>
  <c r="R7" i="11"/>
  <c r="O7" i="11" s="1"/>
  <c r="L8" i="11"/>
  <c r="R8" i="11"/>
  <c r="O8" i="11" s="1"/>
  <c r="L9" i="11"/>
  <c r="R9" i="11"/>
  <c r="O9" i="11" s="1"/>
  <c r="L11" i="11"/>
  <c r="R11" i="11"/>
  <c r="O11" i="11" s="1"/>
  <c r="L12" i="11"/>
  <c r="R12" i="11"/>
  <c r="O12" i="11" s="1"/>
  <c r="L13" i="11"/>
  <c r="R13" i="11"/>
  <c r="O13" i="11" s="1"/>
  <c r="L15" i="11"/>
  <c r="R15" i="11"/>
  <c r="O15" i="11" s="1"/>
  <c r="L16" i="11"/>
  <c r="R16" i="11"/>
  <c r="O16" i="11" s="1"/>
  <c r="L17" i="11"/>
  <c r="R17" i="11"/>
  <c r="O17" i="11" s="1"/>
  <c r="L19" i="11"/>
  <c r="R19" i="11"/>
  <c r="O19" i="11" s="1"/>
  <c r="L20" i="11"/>
  <c r="R20" i="11"/>
  <c r="O20" i="11" s="1"/>
  <c r="L21" i="11"/>
  <c r="R21" i="11"/>
  <c r="O21" i="11" s="1"/>
  <c r="L23" i="11"/>
  <c r="R23" i="11"/>
  <c r="O23" i="11" s="1"/>
  <c r="L24" i="11"/>
  <c r="R24" i="11"/>
  <c r="O24" i="11" s="1"/>
  <c r="L25" i="11"/>
  <c r="R25" i="11"/>
  <c r="O25" i="11" s="1"/>
  <c r="L27" i="11"/>
  <c r="R27" i="11"/>
  <c r="O27" i="11" s="1"/>
  <c r="L28" i="11"/>
  <c r="R28" i="11"/>
  <c r="O28" i="11" s="1"/>
  <c r="L29" i="11"/>
  <c r="R29" i="11"/>
  <c r="O29" i="11" s="1"/>
  <c r="L31" i="11"/>
  <c r="R31" i="11"/>
  <c r="O31" i="11" s="1"/>
  <c r="L32" i="11"/>
  <c r="R32" i="11"/>
  <c r="O32" i="11" s="1"/>
  <c r="L33" i="11"/>
  <c r="R33" i="11"/>
  <c r="O33" i="11" s="1"/>
  <c r="L35" i="11"/>
  <c r="R35" i="11"/>
  <c r="O35" i="11" s="1"/>
  <c r="L36" i="11"/>
  <c r="R36" i="11"/>
  <c r="O36" i="11" s="1"/>
  <c r="L37" i="11"/>
  <c r="R37" i="11"/>
  <c r="O37" i="11" s="1"/>
  <c r="L39" i="11"/>
  <c r="R39" i="11"/>
  <c r="O39" i="11" s="1"/>
  <c r="L40" i="11"/>
  <c r="R40" i="11"/>
  <c r="O40" i="11" s="1"/>
  <c r="L41" i="11"/>
  <c r="R41" i="11"/>
  <c r="O41" i="11" s="1"/>
  <c r="L43" i="11"/>
  <c r="R43" i="11"/>
  <c r="O43" i="11" s="1"/>
  <c r="L44" i="11"/>
  <c r="R44" i="11"/>
  <c r="O44" i="11" s="1"/>
  <c r="L45" i="11"/>
  <c r="R45" i="11"/>
  <c r="O45" i="11" s="1"/>
  <c r="L47" i="11"/>
  <c r="R47" i="11"/>
  <c r="O47" i="11" s="1"/>
  <c r="L48" i="11"/>
  <c r="R48" i="11"/>
  <c r="O48" i="11" s="1"/>
  <c r="L49" i="11"/>
  <c r="R49" i="11"/>
  <c r="O49" i="11" s="1"/>
  <c r="L51" i="11"/>
  <c r="R51" i="11"/>
  <c r="O51" i="11" s="1"/>
  <c r="L52" i="11"/>
  <c r="R52" i="11"/>
  <c r="O52" i="11" s="1"/>
  <c r="L53" i="11"/>
  <c r="R53" i="11"/>
  <c r="O53" i="11" s="1"/>
  <c r="L55" i="11"/>
  <c r="R55" i="11"/>
  <c r="O55" i="11" s="1"/>
  <c r="L56" i="11"/>
  <c r="R56" i="11"/>
  <c r="O56" i="11" s="1"/>
  <c r="L57" i="11"/>
  <c r="R57" i="11"/>
  <c r="O57" i="11" s="1"/>
  <c r="L59" i="11"/>
  <c r="R59" i="11"/>
  <c r="O59" i="11" s="1"/>
  <c r="L60" i="11"/>
  <c r="R60" i="11"/>
  <c r="O60" i="11" s="1"/>
  <c r="L61" i="11"/>
  <c r="R61" i="11"/>
  <c r="O61" i="11" s="1"/>
  <c r="L63" i="11"/>
  <c r="R63" i="11"/>
  <c r="O63" i="11" s="1"/>
  <c r="L64" i="11"/>
  <c r="R64" i="11"/>
  <c r="O64" i="11" s="1"/>
  <c r="L65" i="11"/>
  <c r="R65" i="11"/>
  <c r="O65" i="11" s="1"/>
  <c r="L67" i="11"/>
  <c r="R67" i="11"/>
  <c r="O67" i="11" s="1"/>
  <c r="L68" i="11"/>
  <c r="R68" i="11"/>
  <c r="O68" i="11" s="1"/>
  <c r="L69" i="11"/>
  <c r="R69" i="11"/>
  <c r="O69" i="11" s="1"/>
  <c r="L71" i="11"/>
  <c r="R71" i="11"/>
  <c r="O71" i="11" s="1"/>
  <c r="L72" i="11"/>
  <c r="R72" i="11"/>
  <c r="O72" i="11" s="1"/>
  <c r="L73" i="11"/>
  <c r="R73" i="11"/>
  <c r="O73" i="11" s="1"/>
  <c r="L75" i="11"/>
  <c r="R75" i="11"/>
  <c r="O75" i="11" s="1"/>
  <c r="L76" i="11"/>
  <c r="R76" i="11"/>
  <c r="O76" i="11" s="1"/>
  <c r="L77" i="11"/>
  <c r="R77" i="11"/>
  <c r="O77" i="11" s="1"/>
  <c r="L79" i="11"/>
  <c r="R79" i="11"/>
  <c r="O79" i="11" s="1"/>
  <c r="L80" i="11"/>
  <c r="R80" i="11"/>
  <c r="O80" i="11" s="1"/>
  <c r="L81" i="11"/>
  <c r="R81" i="11"/>
  <c r="O81" i="11" s="1"/>
  <c r="L83" i="11"/>
  <c r="R83" i="11"/>
  <c r="O83" i="11" s="1"/>
  <c r="L84" i="11"/>
  <c r="R84" i="11"/>
  <c r="O84" i="11" s="1"/>
  <c r="L85" i="11"/>
  <c r="R85" i="11"/>
  <c r="O85" i="11" s="1"/>
  <c r="L87" i="11"/>
  <c r="R87" i="11"/>
  <c r="O87" i="11" s="1"/>
  <c r="L88" i="11"/>
  <c r="R88" i="11"/>
  <c r="O88" i="11" s="1"/>
  <c r="L89" i="11"/>
  <c r="R89" i="11"/>
  <c r="O89" i="11" s="1"/>
  <c r="L91" i="11"/>
  <c r="R91" i="11"/>
  <c r="O91" i="11" s="1"/>
  <c r="L92" i="11"/>
  <c r="R92" i="11"/>
  <c r="O92" i="11" s="1"/>
  <c r="L93" i="11"/>
  <c r="R93" i="11"/>
  <c r="O93" i="11" s="1"/>
  <c r="L95" i="11"/>
  <c r="R95" i="11"/>
  <c r="O95" i="11" s="1"/>
  <c r="L96" i="11"/>
  <c r="R96" i="11"/>
  <c r="O96" i="11" s="1"/>
  <c r="L97" i="11"/>
  <c r="R97" i="11"/>
  <c r="O97" i="11" s="1"/>
  <c r="L99" i="11"/>
  <c r="R99" i="11"/>
  <c r="O99" i="11" s="1"/>
  <c r="L100" i="11"/>
  <c r="R100" i="11"/>
  <c r="O100" i="11" s="1"/>
  <c r="L101" i="11"/>
  <c r="R101" i="11"/>
  <c r="O101" i="11" s="1"/>
  <c r="L103" i="11"/>
  <c r="R103" i="11"/>
  <c r="O103" i="11" s="1"/>
  <c r="L104" i="11"/>
  <c r="R104" i="11"/>
  <c r="O104" i="11" s="1"/>
  <c r="L105" i="11"/>
  <c r="R105" i="11"/>
  <c r="O105" i="11" s="1"/>
  <c r="L107" i="11"/>
  <c r="R107" i="11"/>
  <c r="O107" i="11" s="1"/>
  <c r="L108" i="11"/>
  <c r="R108" i="11"/>
  <c r="O108" i="11" s="1"/>
  <c r="L109" i="11"/>
  <c r="R109" i="11"/>
  <c r="O109" i="11" s="1"/>
  <c r="L111" i="11"/>
  <c r="R111" i="11"/>
  <c r="O111" i="11" s="1"/>
  <c r="L112" i="11"/>
  <c r="R112" i="11"/>
  <c r="O112" i="11" s="1"/>
  <c r="L113" i="11"/>
  <c r="R113" i="11"/>
  <c r="O113" i="11" s="1"/>
  <c r="L115" i="11"/>
  <c r="R115" i="11"/>
  <c r="O115" i="11" s="1"/>
  <c r="L116" i="11"/>
  <c r="R116" i="11"/>
  <c r="O116" i="11" s="1"/>
  <c r="L117" i="11"/>
  <c r="R117" i="11"/>
  <c r="O117" i="11" s="1"/>
  <c r="L119" i="11"/>
  <c r="R119" i="11"/>
  <c r="O119" i="11" s="1"/>
  <c r="L120" i="11"/>
  <c r="R120" i="11"/>
  <c r="O120" i="11" s="1"/>
  <c r="L121" i="11"/>
  <c r="R121" i="11"/>
  <c r="O121" i="11" s="1"/>
  <c r="L123" i="11"/>
  <c r="R123" i="11"/>
  <c r="O123" i="11" s="1"/>
  <c r="L124" i="11"/>
  <c r="R124" i="11"/>
  <c r="O124" i="11" s="1"/>
  <c r="L125" i="11"/>
  <c r="R125" i="11"/>
  <c r="O125" i="11" s="1"/>
  <c r="L127" i="11"/>
  <c r="R127" i="11"/>
  <c r="O127" i="11" s="1"/>
  <c r="L128" i="11"/>
  <c r="R128" i="11"/>
  <c r="O128" i="11" s="1"/>
  <c r="L129" i="11"/>
  <c r="R129" i="11"/>
  <c r="O129" i="11" s="1"/>
  <c r="L131" i="11"/>
  <c r="R131" i="11"/>
  <c r="O131" i="11" s="1"/>
  <c r="L132" i="11"/>
  <c r="R132" i="11"/>
  <c r="O132" i="11" s="1"/>
  <c r="L133" i="11"/>
  <c r="R133" i="11"/>
  <c r="O133" i="11" s="1"/>
  <c r="L135" i="11"/>
  <c r="R135" i="11"/>
  <c r="O135" i="11" s="1"/>
  <c r="L136" i="11"/>
  <c r="R136" i="11"/>
  <c r="O136" i="11" s="1"/>
  <c r="L137" i="11"/>
  <c r="R137" i="11"/>
  <c r="O137" i="11" s="1"/>
  <c r="L139" i="11"/>
  <c r="R139" i="11"/>
  <c r="O139" i="11" s="1"/>
  <c r="L140" i="11"/>
  <c r="R140" i="11"/>
  <c r="O140" i="11" s="1"/>
  <c r="L141" i="11"/>
  <c r="R141" i="11"/>
  <c r="O141" i="11" s="1"/>
  <c r="L143" i="11"/>
  <c r="R143" i="11"/>
  <c r="O143" i="11" s="1"/>
  <c r="L144" i="11"/>
  <c r="R144" i="11"/>
  <c r="O144" i="11" s="1"/>
  <c r="L145" i="11"/>
  <c r="R145" i="11"/>
  <c r="O145" i="11" s="1"/>
  <c r="L147" i="11"/>
  <c r="R147" i="11"/>
  <c r="O147" i="11" s="1"/>
  <c r="L148" i="11"/>
  <c r="R148" i="11"/>
  <c r="O148" i="11" s="1"/>
  <c r="L149" i="11"/>
  <c r="R149" i="11"/>
  <c r="O149" i="11" s="1"/>
  <c r="L151" i="11"/>
  <c r="R151" i="11"/>
  <c r="O151" i="11" s="1"/>
  <c r="L152" i="11"/>
  <c r="R152" i="11"/>
  <c r="O152" i="11" s="1"/>
  <c r="L153" i="11"/>
  <c r="R153" i="11"/>
  <c r="O153" i="11" s="1"/>
  <c r="L155" i="11"/>
  <c r="R155" i="11"/>
  <c r="O155" i="11" s="1"/>
  <c r="L156" i="11"/>
  <c r="R156" i="11"/>
  <c r="O156" i="11" s="1"/>
  <c r="L157" i="11"/>
  <c r="R157" i="11"/>
  <c r="O157" i="11" s="1"/>
  <c r="L159" i="11"/>
  <c r="R159" i="11"/>
  <c r="O159" i="11" s="1"/>
  <c r="L160" i="11"/>
  <c r="R160" i="11"/>
  <c r="O160" i="11" s="1"/>
  <c r="L161" i="11"/>
  <c r="R161" i="11"/>
  <c r="O161" i="11" s="1"/>
  <c r="L163" i="11"/>
  <c r="R163" i="11"/>
  <c r="O163" i="11" s="1"/>
  <c r="L164" i="11"/>
  <c r="R164" i="11"/>
  <c r="O164" i="11" s="1"/>
  <c r="L165" i="11"/>
  <c r="R165" i="11"/>
  <c r="O165" i="11" s="1"/>
  <c r="L167" i="11"/>
  <c r="R167" i="11"/>
  <c r="O167" i="11" s="1"/>
  <c r="L168" i="11"/>
  <c r="R168" i="11"/>
  <c r="O168" i="11" s="1"/>
  <c r="L169" i="11"/>
  <c r="R169" i="11"/>
  <c r="O169" i="11" s="1"/>
  <c r="L171" i="11"/>
  <c r="R171" i="11"/>
  <c r="O171" i="11" s="1"/>
  <c r="L172" i="11"/>
  <c r="R172" i="11"/>
  <c r="O172" i="11" s="1"/>
  <c r="L173" i="11"/>
  <c r="R173" i="11"/>
  <c r="O173" i="11" s="1"/>
  <c r="L175" i="11"/>
  <c r="R175" i="11"/>
  <c r="O175" i="11" s="1"/>
  <c r="L176" i="11"/>
  <c r="R176" i="11"/>
  <c r="O176" i="11" s="1"/>
  <c r="L177" i="11"/>
  <c r="R177" i="11"/>
  <c r="O177" i="11" s="1"/>
  <c r="L179" i="11"/>
  <c r="R179" i="11"/>
  <c r="O179" i="11" s="1"/>
  <c r="L180" i="11"/>
  <c r="R180" i="11"/>
  <c r="O180" i="11" s="1"/>
  <c r="L181" i="11"/>
  <c r="R181" i="11"/>
  <c r="O181" i="11" s="1"/>
  <c r="L183" i="11"/>
  <c r="R183" i="11"/>
  <c r="O183" i="11" s="1"/>
  <c r="L184" i="11"/>
  <c r="R184" i="11"/>
  <c r="O184" i="11" s="1"/>
  <c r="L185" i="11"/>
  <c r="R185" i="11"/>
  <c r="O185" i="11" s="1"/>
  <c r="L187" i="11"/>
  <c r="R187" i="11"/>
  <c r="O187" i="11" s="1"/>
  <c r="L188" i="11"/>
  <c r="R188" i="11"/>
  <c r="O188" i="11" s="1"/>
  <c r="L189" i="11"/>
  <c r="R189" i="11"/>
  <c r="O189" i="11" s="1"/>
  <c r="L191" i="11"/>
  <c r="R191" i="11"/>
  <c r="O191" i="11" s="1"/>
  <c r="L192" i="11"/>
  <c r="R192" i="11"/>
  <c r="O192" i="11" s="1"/>
  <c r="L193" i="11"/>
  <c r="R193" i="11"/>
  <c r="O193" i="11" s="1"/>
  <c r="L195" i="11"/>
  <c r="R195" i="11"/>
  <c r="O195" i="11" s="1"/>
  <c r="L196" i="11"/>
  <c r="R196" i="11"/>
  <c r="O196" i="11" s="1"/>
  <c r="L197" i="11"/>
  <c r="R197" i="11"/>
  <c r="O197" i="11" s="1"/>
  <c r="L199" i="11"/>
  <c r="R199" i="11"/>
  <c r="O199" i="11" s="1"/>
  <c r="L200" i="11"/>
  <c r="R200" i="11"/>
  <c r="O200" i="11" s="1"/>
  <c r="L201" i="11"/>
  <c r="R201" i="11"/>
  <c r="O201" i="11" s="1"/>
  <c r="L203" i="11"/>
  <c r="R203" i="11"/>
  <c r="O203" i="11" s="1"/>
  <c r="L204" i="11"/>
  <c r="R204" i="11"/>
  <c r="O204" i="11" s="1"/>
  <c r="L205" i="11"/>
  <c r="R205" i="11"/>
  <c r="O205" i="11" s="1"/>
  <c r="L207" i="11"/>
  <c r="R207" i="11"/>
  <c r="O207" i="11" s="1"/>
  <c r="L208" i="11"/>
  <c r="R208" i="11"/>
  <c r="O208" i="11" s="1"/>
  <c r="L209" i="11"/>
  <c r="R209" i="11"/>
  <c r="O209" i="11" s="1"/>
  <c r="L211" i="11"/>
  <c r="R211" i="11"/>
  <c r="O211" i="11" s="1"/>
  <c r="L212" i="11"/>
  <c r="R212" i="11"/>
  <c r="O212" i="11" s="1"/>
  <c r="L213" i="11"/>
  <c r="R213" i="11"/>
  <c r="O213" i="11" s="1"/>
  <c r="L215" i="11"/>
  <c r="R215" i="11"/>
  <c r="O215" i="11" s="1"/>
  <c r="L216" i="11"/>
  <c r="R216" i="11"/>
  <c r="O216" i="11" s="1"/>
  <c r="L217" i="11"/>
  <c r="R217" i="11"/>
  <c r="O217" i="11" s="1"/>
  <c r="L219" i="11"/>
  <c r="R219" i="11"/>
  <c r="O219" i="11" s="1"/>
  <c r="L220" i="11"/>
  <c r="R220" i="11"/>
  <c r="O220" i="11" s="1"/>
  <c r="L221" i="11"/>
  <c r="R221" i="11"/>
  <c r="O221" i="11" s="1"/>
  <c r="L223" i="11"/>
  <c r="R223" i="11"/>
  <c r="O223" i="11" s="1"/>
  <c r="L224" i="11"/>
  <c r="R224" i="11"/>
  <c r="O224" i="11" s="1"/>
  <c r="L225" i="11"/>
  <c r="R225" i="11"/>
  <c r="O225" i="11" s="1"/>
  <c r="L227" i="11"/>
  <c r="R227" i="11"/>
  <c r="O227" i="11" s="1"/>
  <c r="L228" i="11"/>
  <c r="R228" i="11"/>
  <c r="O228" i="11" s="1"/>
  <c r="L229" i="11"/>
  <c r="R229" i="11"/>
  <c r="O229" i="11" s="1"/>
  <c r="L231" i="11"/>
  <c r="R231" i="11"/>
  <c r="O231" i="11" s="1"/>
  <c r="L232" i="11"/>
  <c r="R232" i="11"/>
  <c r="O232" i="11" s="1"/>
  <c r="L233" i="11"/>
  <c r="R233" i="11"/>
  <c r="O233" i="11" s="1"/>
  <c r="L235" i="11"/>
  <c r="R235" i="11"/>
  <c r="O235" i="11" s="1"/>
  <c r="L236" i="11"/>
  <c r="R236" i="11"/>
  <c r="O236" i="11" s="1"/>
  <c r="L237" i="11"/>
  <c r="R237" i="11"/>
  <c r="O237" i="11" s="1"/>
  <c r="L239" i="11"/>
  <c r="R239" i="11"/>
  <c r="O239" i="11" s="1"/>
  <c r="L240" i="11"/>
  <c r="R240" i="11"/>
  <c r="O240" i="11" s="1"/>
  <c r="L241" i="11"/>
  <c r="R241" i="11"/>
  <c r="O241" i="11" s="1"/>
  <c r="L243" i="11"/>
  <c r="R243" i="11"/>
  <c r="O243" i="11" s="1"/>
  <c r="L244" i="11"/>
  <c r="R244" i="11"/>
  <c r="O244" i="11" s="1"/>
  <c r="L245" i="11"/>
  <c r="R245" i="11"/>
  <c r="O245" i="11" s="1"/>
  <c r="L247" i="11"/>
  <c r="R247" i="11"/>
  <c r="O247" i="11" s="1"/>
  <c r="L248" i="11"/>
  <c r="R248" i="11"/>
  <c r="O248" i="11" s="1"/>
  <c r="L249" i="11"/>
  <c r="R249" i="11"/>
  <c r="O249" i="11" s="1"/>
  <c r="L251" i="11"/>
  <c r="R251" i="11"/>
  <c r="O251" i="11" s="1"/>
  <c r="L252" i="11"/>
  <c r="R252" i="11"/>
  <c r="O252" i="11" s="1"/>
  <c r="L253" i="11"/>
  <c r="R253" i="11"/>
  <c r="O253" i="11" s="1"/>
  <c r="L255" i="11"/>
  <c r="R255" i="11"/>
  <c r="O255" i="11" s="1"/>
  <c r="L256" i="11"/>
  <c r="R256" i="11"/>
  <c r="O256" i="11" s="1"/>
  <c r="L257" i="11"/>
  <c r="R257" i="11"/>
  <c r="O257" i="11" s="1"/>
  <c r="L259" i="11"/>
  <c r="R259" i="11"/>
  <c r="O259" i="11" s="1"/>
  <c r="L260" i="11"/>
  <c r="R260" i="11"/>
  <c r="O260" i="11" s="1"/>
  <c r="L261" i="11"/>
  <c r="R261" i="11"/>
  <c r="O261" i="11" s="1"/>
  <c r="L263" i="11"/>
  <c r="R263" i="11"/>
  <c r="O263" i="11" s="1"/>
  <c r="L264" i="11"/>
  <c r="R264" i="11"/>
  <c r="O264" i="11" s="1"/>
  <c r="L265" i="11"/>
  <c r="R265" i="11"/>
  <c r="O265" i="11" s="1"/>
  <c r="L267" i="11"/>
  <c r="R267" i="11"/>
  <c r="O267" i="11" s="1"/>
  <c r="L268" i="11"/>
  <c r="R268" i="11"/>
  <c r="O268" i="11" s="1"/>
  <c r="L269" i="11"/>
  <c r="R269" i="11"/>
  <c r="O269" i="11" s="1"/>
  <c r="L271" i="11"/>
  <c r="R271" i="11"/>
  <c r="O271" i="11" s="1"/>
  <c r="L272" i="11"/>
  <c r="R272" i="11"/>
  <c r="O272" i="11" s="1"/>
  <c r="L273" i="11"/>
  <c r="R273" i="11"/>
  <c r="O273" i="11" s="1"/>
  <c r="L275" i="11"/>
  <c r="R275" i="11"/>
  <c r="O275" i="11" s="1"/>
  <c r="L276" i="11"/>
  <c r="R276" i="11"/>
  <c r="O276" i="11" s="1"/>
  <c r="L277" i="11"/>
  <c r="R277" i="11"/>
  <c r="O277" i="11" s="1"/>
  <c r="L279" i="11"/>
  <c r="R279" i="11"/>
  <c r="O279" i="11" s="1"/>
  <c r="L280" i="11"/>
  <c r="R280" i="11"/>
  <c r="O280" i="11" s="1"/>
  <c r="L281" i="11"/>
  <c r="R281" i="11"/>
  <c r="O281" i="11" s="1"/>
  <c r="L283" i="11"/>
  <c r="R283" i="11"/>
  <c r="O283" i="11" s="1"/>
  <c r="L284" i="11"/>
  <c r="R284" i="11"/>
  <c r="O284" i="11" s="1"/>
  <c r="L285" i="11"/>
  <c r="R285" i="11"/>
  <c r="O285" i="11" s="1"/>
  <c r="L287" i="11"/>
  <c r="R287" i="11"/>
  <c r="O287" i="11" s="1"/>
  <c r="L288" i="11"/>
  <c r="R288" i="11"/>
  <c r="O288" i="11" s="1"/>
  <c r="L289" i="11"/>
  <c r="R289" i="11"/>
  <c r="O289" i="11" s="1"/>
  <c r="L291" i="11"/>
  <c r="R291" i="11"/>
  <c r="O291" i="11" s="1"/>
  <c r="L292" i="11"/>
  <c r="R292" i="11"/>
  <c r="O292" i="11" s="1"/>
  <c r="L293" i="11"/>
  <c r="R293" i="11"/>
  <c r="O293" i="11" s="1"/>
  <c r="L295" i="11"/>
  <c r="R295" i="11"/>
  <c r="O295" i="11" s="1"/>
  <c r="L296" i="11"/>
  <c r="R296" i="11"/>
  <c r="O296" i="11" s="1"/>
  <c r="L297" i="11"/>
  <c r="R297" i="11"/>
  <c r="O297" i="11" s="1"/>
  <c r="L299" i="11"/>
  <c r="R299" i="11"/>
  <c r="O299" i="11" s="1"/>
  <c r="L300" i="11"/>
  <c r="R300" i="11"/>
  <c r="O300" i="11" s="1"/>
  <c r="L301" i="11"/>
  <c r="R301" i="11"/>
  <c r="O301" i="11" s="1"/>
  <c r="L303" i="11"/>
  <c r="R303" i="11"/>
  <c r="O303" i="11" s="1"/>
  <c r="L304" i="11"/>
  <c r="R304" i="11"/>
  <c r="O304" i="11" s="1"/>
  <c r="L305" i="11"/>
  <c r="R305" i="11"/>
  <c r="O305" i="11" s="1"/>
  <c r="L307" i="11"/>
  <c r="R307" i="11"/>
  <c r="O307" i="11" s="1"/>
  <c r="L308" i="11"/>
  <c r="R308" i="11"/>
  <c r="O308" i="11" s="1"/>
  <c r="L309" i="11"/>
  <c r="R309" i="11"/>
  <c r="O309" i="11" s="1"/>
  <c r="L311" i="11"/>
  <c r="R311" i="11"/>
  <c r="O311" i="11" s="1"/>
  <c r="L312" i="11"/>
  <c r="R312" i="11"/>
  <c r="O312" i="11" s="1"/>
  <c r="L313" i="11"/>
  <c r="R313" i="11"/>
  <c r="O313" i="11" s="1"/>
  <c r="L315" i="11"/>
  <c r="R315" i="11"/>
  <c r="O315" i="11" s="1"/>
  <c r="L316" i="11"/>
  <c r="R316" i="11"/>
  <c r="O316" i="11" s="1"/>
  <c r="L317" i="11"/>
  <c r="R317" i="11"/>
  <c r="O317" i="11" s="1"/>
  <c r="L319" i="11"/>
  <c r="R319" i="11"/>
  <c r="O319" i="11" s="1"/>
  <c r="L320" i="11"/>
  <c r="R320" i="11"/>
  <c r="O320" i="11" s="1"/>
  <c r="L321" i="11"/>
  <c r="R321" i="11"/>
  <c r="O321" i="11" s="1"/>
  <c r="L323" i="11"/>
  <c r="R323" i="11"/>
  <c r="O323" i="11" s="1"/>
  <c r="L324" i="11"/>
  <c r="R324" i="11"/>
  <c r="O324" i="11" s="1"/>
  <c r="L325" i="11"/>
  <c r="R325" i="11"/>
  <c r="O325" i="11" s="1"/>
  <c r="L327" i="11"/>
  <c r="R327" i="11"/>
  <c r="O327" i="11" s="1"/>
  <c r="L328" i="11"/>
  <c r="R328" i="11"/>
  <c r="O328" i="11" s="1"/>
  <c r="L329" i="11"/>
  <c r="R329" i="11"/>
  <c r="O329" i="11" s="1"/>
  <c r="L331" i="11"/>
  <c r="R331" i="11"/>
  <c r="O331" i="11" s="1"/>
  <c r="L332" i="11"/>
  <c r="R332" i="11"/>
  <c r="O332" i="11" s="1"/>
  <c r="L333" i="11"/>
  <c r="R333" i="11"/>
  <c r="O333" i="11" s="1"/>
  <c r="L335" i="11"/>
  <c r="R335" i="11"/>
  <c r="O335" i="11" s="1"/>
  <c r="L336" i="11"/>
  <c r="R336" i="11"/>
  <c r="O336" i="11" s="1"/>
  <c r="L337" i="11"/>
  <c r="R337" i="11"/>
  <c r="O337" i="11" s="1"/>
  <c r="L339" i="11"/>
  <c r="R339" i="11"/>
  <c r="O339" i="11" s="1"/>
  <c r="L340" i="11"/>
  <c r="R340" i="11"/>
  <c r="O340" i="11" s="1"/>
  <c r="L341" i="11"/>
  <c r="R341" i="11"/>
  <c r="O341" i="11" s="1"/>
  <c r="L343" i="11"/>
  <c r="R343" i="11"/>
  <c r="O343" i="11" s="1"/>
  <c r="L344" i="11"/>
  <c r="R344" i="11"/>
  <c r="O344" i="11" s="1"/>
  <c r="L345" i="11"/>
  <c r="R345" i="11"/>
  <c r="O345" i="11" s="1"/>
  <c r="L347" i="11"/>
  <c r="R347" i="11"/>
  <c r="O347" i="11" s="1"/>
  <c r="L348" i="11"/>
  <c r="R348" i="11"/>
  <c r="O348" i="11" s="1"/>
  <c r="L349" i="11"/>
  <c r="R349" i="11"/>
  <c r="O349" i="11" s="1"/>
  <c r="L351" i="11"/>
  <c r="R351" i="11"/>
  <c r="O351" i="11" s="1"/>
  <c r="L352" i="11"/>
  <c r="R352" i="11"/>
  <c r="O352" i="11" s="1"/>
  <c r="L353" i="11"/>
  <c r="R353" i="11"/>
  <c r="O353" i="11" s="1"/>
  <c r="L355" i="11"/>
  <c r="R355" i="11"/>
  <c r="O355" i="11" s="1"/>
  <c r="L356" i="11"/>
  <c r="R356" i="11"/>
  <c r="O356" i="11" s="1"/>
  <c r="L357" i="11"/>
  <c r="R357" i="11"/>
  <c r="O357" i="11" s="1"/>
  <c r="L359" i="11"/>
  <c r="R359" i="11"/>
  <c r="O359" i="11" s="1"/>
  <c r="L360" i="11"/>
  <c r="R360" i="11"/>
  <c r="O360" i="11" s="1"/>
  <c r="L361" i="11"/>
  <c r="R361" i="11"/>
  <c r="O361" i="11" s="1"/>
  <c r="L363" i="11"/>
  <c r="R363" i="11"/>
  <c r="O363" i="11" s="1"/>
  <c r="L364" i="11"/>
  <c r="R364" i="11"/>
  <c r="O364" i="11" s="1"/>
  <c r="L365" i="11"/>
  <c r="R365" i="11"/>
  <c r="O365" i="11" s="1"/>
  <c r="L367" i="11"/>
  <c r="R367" i="11"/>
  <c r="O367" i="11" s="1"/>
  <c r="L368" i="11"/>
  <c r="R368" i="11"/>
  <c r="O368" i="11" s="1"/>
  <c r="L369" i="11"/>
  <c r="R369" i="11"/>
  <c r="O369" i="11" s="1"/>
  <c r="L371" i="11"/>
  <c r="R371" i="11"/>
  <c r="O371" i="11" s="1"/>
  <c r="L372" i="11"/>
  <c r="R372" i="11"/>
  <c r="O372" i="11" s="1"/>
  <c r="L373" i="11"/>
  <c r="R373" i="11"/>
  <c r="O373" i="11" s="1"/>
  <c r="L375" i="11"/>
  <c r="R375" i="11"/>
  <c r="O375" i="11" s="1"/>
  <c r="L376" i="11"/>
  <c r="R376" i="11"/>
  <c r="O376" i="11" s="1"/>
  <c r="L377" i="11"/>
  <c r="R377" i="11"/>
  <c r="O377" i="11" s="1"/>
  <c r="L379" i="11"/>
  <c r="R379" i="11"/>
  <c r="O379" i="11" s="1"/>
  <c r="L380" i="11"/>
  <c r="R380" i="11"/>
  <c r="O380" i="11" s="1"/>
  <c r="L381" i="11"/>
  <c r="R381" i="11"/>
  <c r="O381" i="11" s="1"/>
  <c r="L383" i="11"/>
  <c r="R383" i="11"/>
  <c r="O383" i="11" s="1"/>
  <c r="L384" i="11"/>
  <c r="R384" i="11"/>
  <c r="O384" i="11" s="1"/>
  <c r="L385" i="11"/>
  <c r="R385" i="11"/>
  <c r="O385" i="11" s="1"/>
  <c r="L387" i="11"/>
  <c r="R387" i="11"/>
  <c r="O387" i="11" s="1"/>
  <c r="L388" i="11"/>
  <c r="R388" i="11"/>
  <c r="O388" i="11" s="1"/>
  <c r="L389" i="11"/>
  <c r="R389" i="11"/>
  <c r="O389" i="11" s="1"/>
  <c r="L391" i="11"/>
  <c r="R391" i="11"/>
  <c r="O391" i="11" s="1"/>
  <c r="L392" i="11"/>
  <c r="R392" i="11"/>
  <c r="O392" i="11" s="1"/>
  <c r="L393" i="11"/>
  <c r="R393" i="11"/>
  <c r="O393" i="11" s="1"/>
  <c r="L395" i="11"/>
  <c r="R395" i="11"/>
  <c r="O395" i="11" s="1"/>
  <c r="L396" i="11"/>
  <c r="R396" i="11"/>
  <c r="O396" i="11" s="1"/>
  <c r="L397" i="11"/>
  <c r="R397" i="11"/>
  <c r="O397" i="11" s="1"/>
  <c r="L399" i="11"/>
  <c r="R399" i="11"/>
  <c r="O399" i="11" s="1"/>
  <c r="L400" i="11"/>
  <c r="R400" i="11"/>
  <c r="O400" i="11" s="1"/>
  <c r="L401" i="11"/>
  <c r="R401" i="11"/>
  <c r="O401" i="11" s="1"/>
  <c r="L403" i="11"/>
  <c r="R403" i="11"/>
  <c r="O403" i="11" s="1"/>
  <c r="L404" i="11"/>
  <c r="R404" i="11"/>
  <c r="O404" i="11" s="1"/>
  <c r="L405" i="11"/>
  <c r="R405" i="11"/>
  <c r="O405" i="11" s="1"/>
  <c r="L407" i="11"/>
  <c r="R407" i="11"/>
  <c r="O407" i="11" s="1"/>
  <c r="L408" i="11"/>
  <c r="R408" i="11"/>
  <c r="O408" i="11" s="1"/>
  <c r="L409" i="11"/>
  <c r="R409" i="11"/>
  <c r="O409" i="11" s="1"/>
  <c r="L411" i="11"/>
  <c r="R411" i="11"/>
  <c r="O411" i="11" s="1"/>
  <c r="L412" i="11"/>
  <c r="R412" i="11"/>
  <c r="O412" i="11" s="1"/>
  <c r="L413" i="11"/>
  <c r="R413" i="11"/>
  <c r="O413" i="11" s="1"/>
  <c r="L415" i="11"/>
  <c r="R415" i="11"/>
  <c r="O415" i="11" s="1"/>
  <c r="L416" i="11"/>
  <c r="R416" i="11"/>
  <c r="O416" i="11" s="1"/>
  <c r="L417" i="11"/>
  <c r="R417" i="11"/>
  <c r="O417" i="11" s="1"/>
  <c r="L419" i="11"/>
  <c r="R419" i="11"/>
  <c r="O419" i="11" s="1"/>
  <c r="L420" i="11"/>
  <c r="R420" i="11"/>
  <c r="O420" i="11" s="1"/>
  <c r="L421" i="11"/>
  <c r="R421" i="11"/>
  <c r="O421" i="11" s="1"/>
  <c r="L423" i="11"/>
  <c r="R423" i="11"/>
  <c r="O423" i="11" s="1"/>
  <c r="L424" i="11"/>
  <c r="R424" i="11"/>
  <c r="O424" i="11" s="1"/>
  <c r="L425" i="11"/>
  <c r="R425" i="11"/>
  <c r="O425" i="11" s="1"/>
  <c r="L427" i="11"/>
  <c r="R427" i="11"/>
  <c r="O427" i="11" s="1"/>
  <c r="L428" i="11"/>
  <c r="R428" i="11"/>
  <c r="O428" i="11" s="1"/>
  <c r="L429" i="11"/>
  <c r="R429" i="11"/>
  <c r="O429" i="11" s="1"/>
  <c r="L431" i="11"/>
  <c r="R431" i="11"/>
  <c r="O431" i="11" s="1"/>
  <c r="L432" i="11"/>
  <c r="R432" i="11"/>
  <c r="O432" i="11" s="1"/>
  <c r="L433" i="11"/>
  <c r="R433" i="11"/>
  <c r="O433" i="11" s="1"/>
  <c r="L435" i="11"/>
  <c r="R435" i="11"/>
  <c r="O435" i="11" s="1"/>
  <c r="L436" i="11"/>
  <c r="R436" i="11"/>
  <c r="O436" i="11" s="1"/>
  <c r="L437" i="11"/>
  <c r="R437" i="11"/>
  <c r="O437" i="11" s="1"/>
  <c r="L439" i="11"/>
  <c r="R439" i="11"/>
  <c r="O439" i="11" s="1"/>
  <c r="L440" i="11"/>
  <c r="R440" i="11"/>
  <c r="O440" i="11" s="1"/>
  <c r="L441" i="11"/>
  <c r="R441" i="11"/>
  <c r="O441" i="11" s="1"/>
  <c r="L443" i="11"/>
  <c r="R443" i="11"/>
  <c r="O443" i="11" s="1"/>
  <c r="L444" i="11"/>
  <c r="R444" i="11"/>
  <c r="O444" i="11" s="1"/>
  <c r="L445" i="11"/>
  <c r="R445" i="11"/>
  <c r="O445" i="11" s="1"/>
  <c r="L447" i="11"/>
  <c r="R447" i="11"/>
  <c r="O447" i="11" s="1"/>
  <c r="L448" i="11"/>
  <c r="R448" i="11"/>
  <c r="O448" i="11" s="1"/>
  <c r="L449" i="11"/>
  <c r="R449" i="11"/>
  <c r="O449" i="11" s="1"/>
  <c r="L451" i="11"/>
  <c r="R451" i="11"/>
  <c r="O451" i="11" s="1"/>
  <c r="L452" i="11"/>
  <c r="R452" i="11"/>
  <c r="O452" i="11" s="1"/>
  <c r="L453" i="11"/>
  <c r="R453" i="11"/>
  <c r="O453" i="11" s="1"/>
  <c r="L455" i="11"/>
  <c r="R455" i="11"/>
  <c r="O455" i="11" s="1"/>
  <c r="L456" i="11"/>
  <c r="R456" i="11"/>
  <c r="O456" i="11" s="1"/>
  <c r="L457" i="11"/>
  <c r="R457" i="11"/>
  <c r="O457" i="11" s="1"/>
  <c r="L459" i="11"/>
  <c r="R459" i="11"/>
  <c r="O459" i="11" s="1"/>
  <c r="L460" i="11"/>
  <c r="R460" i="11"/>
  <c r="O460" i="11" s="1"/>
  <c r="L461" i="11"/>
  <c r="R461" i="11"/>
  <c r="O461" i="11" s="1"/>
  <c r="L463" i="11"/>
  <c r="R463" i="11"/>
  <c r="O463" i="11" s="1"/>
  <c r="L464" i="11"/>
  <c r="R464" i="11"/>
  <c r="O464" i="11" s="1"/>
  <c r="L465" i="11"/>
  <c r="R465" i="11"/>
  <c r="O465" i="11" s="1"/>
  <c r="L467" i="11"/>
  <c r="R467" i="11"/>
  <c r="O467" i="11" s="1"/>
  <c r="L468" i="11"/>
  <c r="R468" i="11"/>
  <c r="O468" i="11" s="1"/>
  <c r="L469" i="11"/>
  <c r="R469" i="11"/>
  <c r="O469" i="11" s="1"/>
  <c r="L471" i="11"/>
  <c r="R471" i="11"/>
  <c r="O471" i="11" s="1"/>
  <c r="L472" i="11"/>
  <c r="R472" i="11"/>
  <c r="O472" i="11" s="1"/>
  <c r="L473" i="11"/>
  <c r="R473" i="11"/>
  <c r="O473" i="11" s="1"/>
  <c r="L475" i="11"/>
  <c r="R475" i="11"/>
  <c r="O475" i="11" s="1"/>
  <c r="L476" i="11"/>
  <c r="R476" i="11"/>
  <c r="O476" i="11" s="1"/>
  <c r="L477" i="11"/>
  <c r="R477" i="11"/>
  <c r="O477" i="11" s="1"/>
  <c r="L479" i="11"/>
  <c r="R479" i="11"/>
  <c r="O479" i="11" s="1"/>
  <c r="L480" i="11"/>
  <c r="R480" i="11"/>
  <c r="O480" i="11" s="1"/>
  <c r="L481" i="11"/>
  <c r="R481" i="11"/>
  <c r="O481" i="11" s="1"/>
  <c r="L483" i="11"/>
  <c r="R483" i="11"/>
  <c r="O483" i="11" s="1"/>
  <c r="L484" i="11"/>
  <c r="R484" i="11"/>
  <c r="O484" i="11" s="1"/>
  <c r="L485" i="11"/>
  <c r="R485" i="11"/>
  <c r="O485" i="11" s="1"/>
  <c r="L487" i="11"/>
  <c r="R487" i="11"/>
  <c r="O487" i="11" s="1"/>
  <c r="L488" i="11"/>
  <c r="R488" i="11"/>
  <c r="O488" i="11" s="1"/>
  <c r="L489" i="11"/>
  <c r="R489" i="11"/>
  <c r="O489" i="11" s="1"/>
  <c r="L491" i="11"/>
  <c r="R491" i="11"/>
  <c r="O491" i="11" s="1"/>
  <c r="L492" i="11"/>
  <c r="R492" i="11"/>
  <c r="O492" i="11" s="1"/>
  <c r="L493" i="11"/>
  <c r="R493" i="11"/>
  <c r="O493" i="11" s="1"/>
  <c r="L495" i="11"/>
  <c r="R495" i="11"/>
  <c r="O495" i="11" s="1"/>
  <c r="L496" i="11"/>
  <c r="R496" i="11"/>
  <c r="O496" i="11" s="1"/>
  <c r="L497" i="11"/>
  <c r="R497" i="11"/>
  <c r="O497" i="11" s="1"/>
  <c r="L499" i="11"/>
  <c r="R499" i="11"/>
  <c r="O499" i="11" s="1"/>
  <c r="L500" i="11"/>
  <c r="R500" i="11"/>
  <c r="O500" i="11" s="1"/>
  <c r="L501" i="11"/>
  <c r="R501" i="11"/>
  <c r="O501" i="11" s="1"/>
  <c r="L503" i="11"/>
  <c r="R503" i="11"/>
  <c r="O503" i="11" s="1"/>
  <c r="L504" i="11"/>
  <c r="R504" i="11"/>
  <c r="O504" i="11" s="1"/>
  <c r="L505" i="11"/>
  <c r="R505" i="11"/>
  <c r="O505" i="11" s="1"/>
  <c r="L507" i="11"/>
  <c r="R507" i="11"/>
  <c r="O507" i="11" s="1"/>
  <c r="L508" i="11"/>
  <c r="R508" i="11"/>
  <c r="O508" i="11" s="1"/>
  <c r="L509" i="11"/>
  <c r="R509" i="11"/>
  <c r="O509" i="11" s="1"/>
  <c r="L511" i="11"/>
  <c r="R511" i="11"/>
  <c r="O511" i="11" s="1"/>
  <c r="L512" i="11"/>
  <c r="R512" i="11"/>
  <c r="O512" i="11" s="1"/>
  <c r="L513" i="11"/>
  <c r="R513" i="11"/>
  <c r="O513" i="11" s="1"/>
  <c r="L515" i="11"/>
  <c r="R515" i="11"/>
  <c r="O515" i="11" s="1"/>
  <c r="L516" i="11"/>
  <c r="R516" i="11"/>
  <c r="O516" i="11" s="1"/>
  <c r="L517" i="11"/>
  <c r="R517" i="11"/>
  <c r="O517" i="11" s="1"/>
  <c r="L519" i="11"/>
  <c r="R519" i="11"/>
  <c r="O519" i="11" s="1"/>
  <c r="L520" i="11"/>
  <c r="R520" i="11"/>
  <c r="O520" i="11" s="1"/>
  <c r="L521" i="11"/>
  <c r="R521" i="11"/>
  <c r="O521" i="11" s="1"/>
  <c r="L523" i="11"/>
  <c r="R523" i="11"/>
  <c r="O523" i="11" s="1"/>
  <c r="L524" i="11"/>
  <c r="R524" i="11"/>
  <c r="O524" i="11" s="1"/>
  <c r="L525" i="11"/>
  <c r="R525" i="11"/>
  <c r="O525" i="11" s="1"/>
  <c r="L527" i="11"/>
  <c r="R527" i="11"/>
  <c r="O527" i="11" s="1"/>
  <c r="L528" i="11"/>
  <c r="R528" i="11"/>
  <c r="O528" i="11" s="1"/>
  <c r="L529" i="11"/>
  <c r="R529" i="11"/>
  <c r="O529" i="11" s="1"/>
  <c r="L531" i="11"/>
  <c r="R531" i="11"/>
  <c r="O531" i="11" s="1"/>
  <c r="L532" i="11"/>
  <c r="R532" i="11"/>
  <c r="O532" i="11" s="1"/>
  <c r="L533" i="11"/>
  <c r="R533" i="11"/>
  <c r="O533" i="11" s="1"/>
  <c r="L535" i="11"/>
  <c r="R535" i="11"/>
  <c r="O535" i="11" s="1"/>
  <c r="L536" i="11"/>
  <c r="R536" i="11"/>
  <c r="O536" i="11" s="1"/>
  <c r="L537" i="11"/>
  <c r="R537" i="11"/>
  <c r="O537" i="11" s="1"/>
  <c r="L539" i="11"/>
  <c r="R539" i="11"/>
  <c r="O539" i="11" s="1"/>
  <c r="L540" i="11"/>
  <c r="R540" i="11"/>
  <c r="O540" i="11" s="1"/>
  <c r="L541" i="11"/>
  <c r="R541" i="11"/>
  <c r="O541" i="11" s="1"/>
  <c r="L543" i="11"/>
  <c r="R543" i="11"/>
  <c r="O543" i="11" s="1"/>
  <c r="L544" i="11"/>
  <c r="R544" i="11"/>
  <c r="O544" i="11" s="1"/>
  <c r="L545" i="11"/>
  <c r="R545" i="11"/>
  <c r="O545" i="11" s="1"/>
  <c r="L547" i="11"/>
  <c r="R547" i="11"/>
  <c r="O547" i="11" s="1"/>
  <c r="L548" i="11"/>
  <c r="R548" i="11"/>
  <c r="O548" i="11" s="1"/>
  <c r="L549" i="11"/>
  <c r="R549" i="11"/>
  <c r="O549" i="11" s="1"/>
  <c r="L551" i="11"/>
  <c r="R551" i="11"/>
  <c r="O551" i="11" s="1"/>
  <c r="L552" i="11"/>
  <c r="R552" i="11"/>
  <c r="O552" i="11" s="1"/>
  <c r="L553" i="11"/>
  <c r="R553" i="11"/>
  <c r="O553" i="11" s="1"/>
  <c r="L555" i="11"/>
  <c r="R555" i="11"/>
  <c r="O555" i="11" s="1"/>
  <c r="L556" i="11"/>
  <c r="R556" i="11"/>
  <c r="O556" i="11" s="1"/>
  <c r="L557" i="11"/>
  <c r="R557" i="11"/>
  <c r="O557" i="11" s="1"/>
  <c r="L559" i="11"/>
  <c r="R559" i="11"/>
  <c r="O559" i="11" s="1"/>
  <c r="L560" i="11"/>
  <c r="R560" i="11"/>
  <c r="O560" i="11" s="1"/>
  <c r="L561" i="11"/>
  <c r="R561" i="11"/>
  <c r="O561" i="11" s="1"/>
  <c r="L563" i="11"/>
  <c r="R563" i="11"/>
  <c r="O563" i="11" s="1"/>
  <c r="L564" i="11"/>
  <c r="R564" i="11"/>
  <c r="O564" i="11" s="1"/>
  <c r="L565" i="11"/>
  <c r="R565" i="11"/>
  <c r="O565" i="11" s="1"/>
  <c r="L567" i="11"/>
  <c r="R567" i="11"/>
  <c r="O567" i="11" s="1"/>
  <c r="L568" i="11"/>
  <c r="R568" i="11"/>
  <c r="O568" i="11" s="1"/>
  <c r="L569" i="11"/>
  <c r="R569" i="11"/>
  <c r="O569" i="11" s="1"/>
  <c r="L571" i="11"/>
  <c r="R571" i="11"/>
  <c r="O571" i="11" s="1"/>
  <c r="L572" i="11"/>
  <c r="R572" i="11"/>
  <c r="O572" i="11" s="1"/>
  <c r="L573" i="11"/>
  <c r="R573" i="11"/>
  <c r="O573" i="11" s="1"/>
  <c r="L575" i="11"/>
  <c r="R575" i="11"/>
  <c r="O575" i="11" s="1"/>
  <c r="L576" i="11"/>
  <c r="R576" i="11"/>
  <c r="O576" i="11" s="1"/>
  <c r="L577" i="11"/>
  <c r="R577" i="11"/>
  <c r="O577" i="11" s="1"/>
  <c r="L579" i="11"/>
  <c r="R579" i="11"/>
  <c r="O579" i="11" s="1"/>
  <c r="L580" i="11"/>
  <c r="R580" i="11"/>
  <c r="O580" i="11" s="1"/>
  <c r="L581" i="11"/>
  <c r="R581" i="11"/>
  <c r="O581" i="11" s="1"/>
  <c r="L583" i="11"/>
  <c r="R583" i="11"/>
  <c r="O583" i="11" s="1"/>
  <c r="L584" i="11"/>
  <c r="R584" i="11"/>
  <c r="O584" i="11" s="1"/>
  <c r="L585" i="11"/>
  <c r="R585" i="11"/>
  <c r="O585" i="11" s="1"/>
  <c r="L587" i="11"/>
  <c r="R587" i="11"/>
  <c r="O587" i="11" s="1"/>
  <c r="L588" i="11"/>
  <c r="R588" i="11"/>
  <c r="O588" i="11" s="1"/>
  <c r="L589" i="11"/>
  <c r="R589" i="11"/>
  <c r="O589" i="11" s="1"/>
  <c r="L591" i="11"/>
  <c r="R591" i="11"/>
  <c r="O591" i="11" s="1"/>
  <c r="L592" i="11"/>
  <c r="R592" i="11"/>
  <c r="O592" i="11" s="1"/>
  <c r="L593" i="11"/>
  <c r="R593" i="11"/>
  <c r="O593" i="11" s="1"/>
  <c r="L595" i="11"/>
  <c r="R595" i="11"/>
  <c r="O595" i="11" s="1"/>
  <c r="L596" i="11"/>
  <c r="R596" i="11"/>
  <c r="O596" i="11" s="1"/>
  <c r="L597" i="11"/>
  <c r="R597" i="11"/>
  <c r="O597" i="11" s="1"/>
  <c r="L599" i="11"/>
  <c r="R599" i="11"/>
  <c r="O599" i="11" s="1"/>
  <c r="L600" i="11"/>
  <c r="R600" i="11"/>
  <c r="O600" i="11" s="1"/>
  <c r="L601" i="11"/>
  <c r="R601" i="11"/>
  <c r="O601" i="11" s="1"/>
  <c r="L603" i="11"/>
  <c r="R603" i="11"/>
  <c r="O603" i="11" s="1"/>
  <c r="L604" i="11"/>
  <c r="R604" i="11"/>
  <c r="O604" i="11" s="1"/>
  <c r="L605" i="11"/>
  <c r="R605" i="11"/>
  <c r="O605" i="11" s="1"/>
  <c r="L607" i="11"/>
  <c r="R607" i="11"/>
  <c r="O607" i="11" s="1"/>
  <c r="L608" i="11"/>
  <c r="R608" i="11"/>
  <c r="O608" i="11" s="1"/>
  <c r="L609" i="11"/>
  <c r="R609" i="11"/>
  <c r="O609" i="11" s="1"/>
  <c r="L611" i="11"/>
  <c r="R611" i="11"/>
  <c r="O611" i="11" s="1"/>
  <c r="L612" i="11"/>
  <c r="R612" i="11"/>
  <c r="O612" i="11" s="1"/>
  <c r="L613" i="11"/>
  <c r="R613" i="11"/>
  <c r="O613" i="11" s="1"/>
  <c r="L615" i="11"/>
  <c r="R615" i="11"/>
  <c r="O615" i="11" s="1"/>
  <c r="L616" i="11"/>
  <c r="R616" i="11"/>
  <c r="O616" i="11" s="1"/>
  <c r="L617" i="11"/>
  <c r="R617" i="11"/>
  <c r="O617" i="11" s="1"/>
  <c r="L619" i="11"/>
  <c r="R619" i="11"/>
  <c r="O619" i="11" s="1"/>
  <c r="L620" i="11"/>
  <c r="R620" i="11"/>
  <c r="O620" i="11" s="1"/>
  <c r="L621" i="11"/>
  <c r="R621" i="11"/>
  <c r="O621" i="11" s="1"/>
  <c r="L623" i="11"/>
  <c r="R623" i="11"/>
  <c r="O623" i="11" s="1"/>
  <c r="L624" i="11"/>
  <c r="R624" i="11"/>
  <c r="O624" i="11" s="1"/>
  <c r="L625" i="11"/>
  <c r="R625" i="11"/>
  <c r="O625" i="11" s="1"/>
  <c r="L627" i="11"/>
  <c r="R627" i="11"/>
  <c r="O627" i="11" s="1"/>
  <c r="L628" i="11"/>
  <c r="R628" i="11"/>
  <c r="O628" i="11" s="1"/>
  <c r="L629" i="11"/>
  <c r="R629" i="11"/>
  <c r="O629" i="11" s="1"/>
  <c r="L631" i="11"/>
  <c r="R631" i="11"/>
  <c r="O631" i="11" s="1"/>
  <c r="L632" i="11"/>
  <c r="R632" i="11"/>
  <c r="O632" i="11" s="1"/>
  <c r="L633" i="11"/>
  <c r="R633" i="11"/>
  <c r="O633" i="11" s="1"/>
  <c r="L635" i="11"/>
  <c r="R635" i="11"/>
  <c r="O635" i="11" s="1"/>
  <c r="L636" i="11"/>
  <c r="R636" i="11"/>
  <c r="O636" i="11" s="1"/>
  <c r="L637" i="11"/>
  <c r="R637" i="11"/>
  <c r="O637" i="11" s="1"/>
  <c r="L639" i="11"/>
  <c r="R639" i="11"/>
  <c r="O639" i="11" s="1"/>
  <c r="L640" i="11"/>
  <c r="R640" i="11"/>
  <c r="O640" i="11" s="1"/>
  <c r="L641" i="11"/>
  <c r="R641" i="11"/>
  <c r="O641" i="11" s="1"/>
  <c r="L643" i="11"/>
  <c r="R643" i="11"/>
  <c r="O643" i="11" s="1"/>
  <c r="L644" i="11"/>
  <c r="R644" i="11"/>
  <c r="O644" i="11" s="1"/>
  <c r="L645" i="11"/>
  <c r="R645" i="11"/>
  <c r="O645" i="11" s="1"/>
  <c r="L647" i="11"/>
  <c r="R647" i="11"/>
  <c r="O647" i="11" s="1"/>
  <c r="L648" i="11"/>
  <c r="R648" i="11"/>
  <c r="O648" i="11" s="1"/>
  <c r="L649" i="11"/>
  <c r="R649" i="11"/>
  <c r="O649" i="11" s="1"/>
  <c r="L651" i="11"/>
  <c r="R651" i="11"/>
  <c r="O651" i="11" s="1"/>
  <c r="L652" i="11"/>
  <c r="R652" i="11"/>
  <c r="O652" i="11" s="1"/>
  <c r="L653" i="11"/>
  <c r="R653" i="11"/>
  <c r="O653" i="11" s="1"/>
  <c r="L655" i="11"/>
  <c r="R655" i="11"/>
  <c r="O655" i="11" s="1"/>
  <c r="L656" i="11"/>
  <c r="R656" i="11"/>
  <c r="O656" i="11" s="1"/>
  <c r="L657" i="11"/>
  <c r="R657" i="11"/>
  <c r="O657" i="11" s="1"/>
  <c r="L659" i="11"/>
  <c r="R659" i="11"/>
  <c r="O659" i="11" s="1"/>
  <c r="L660" i="11"/>
  <c r="R660" i="11"/>
  <c r="O660" i="11" s="1"/>
  <c r="L661" i="11"/>
  <c r="R661" i="11"/>
  <c r="O661" i="11" s="1"/>
  <c r="L663" i="11"/>
  <c r="R663" i="11"/>
  <c r="O663" i="11" s="1"/>
  <c r="L664" i="11"/>
  <c r="R664" i="11"/>
  <c r="O664" i="11" s="1"/>
  <c r="L665" i="11"/>
  <c r="R665" i="11"/>
  <c r="O665" i="11" s="1"/>
  <c r="L667" i="11"/>
  <c r="R667" i="11"/>
  <c r="O667" i="11" s="1"/>
  <c r="L668" i="11"/>
  <c r="R668" i="11"/>
  <c r="O668" i="11" s="1"/>
  <c r="L669" i="11"/>
  <c r="R669" i="11"/>
  <c r="O669" i="11" s="1"/>
  <c r="L671" i="11"/>
  <c r="R671" i="11"/>
  <c r="O671" i="11" s="1"/>
  <c r="L672" i="11"/>
  <c r="R672" i="11"/>
  <c r="O672" i="11" s="1"/>
  <c r="L673" i="11"/>
  <c r="R673" i="11"/>
  <c r="O673" i="11" s="1"/>
  <c r="L675" i="11"/>
  <c r="R675" i="11"/>
  <c r="O675" i="11" s="1"/>
  <c r="L676" i="11"/>
  <c r="R676" i="11"/>
  <c r="O676" i="11" s="1"/>
  <c r="L677" i="11"/>
  <c r="R677" i="11"/>
  <c r="O677" i="11" s="1"/>
  <c r="L679" i="11"/>
  <c r="R679" i="11"/>
  <c r="O679" i="11" s="1"/>
  <c r="L680" i="11"/>
  <c r="R680" i="11"/>
  <c r="O680" i="11" s="1"/>
  <c r="L681" i="11"/>
  <c r="R681" i="11"/>
  <c r="O681" i="11" s="1"/>
  <c r="L683" i="11"/>
  <c r="R683" i="11"/>
  <c r="O683" i="11" s="1"/>
  <c r="L684" i="11"/>
  <c r="R684" i="11"/>
  <c r="O684" i="11" s="1"/>
  <c r="L685" i="11"/>
  <c r="R685" i="11"/>
  <c r="O685" i="11" s="1"/>
  <c r="L687" i="11"/>
  <c r="R687" i="11"/>
  <c r="O687" i="11" s="1"/>
  <c r="L688" i="11"/>
  <c r="R688" i="11"/>
  <c r="O688" i="11" s="1"/>
  <c r="L689" i="11"/>
  <c r="R689" i="11"/>
  <c r="O689" i="11" s="1"/>
  <c r="L691" i="11"/>
  <c r="R691" i="11"/>
  <c r="O691" i="11" s="1"/>
  <c r="L692" i="11"/>
  <c r="R692" i="11"/>
  <c r="O692" i="11" s="1"/>
  <c r="L693" i="11"/>
  <c r="R693" i="11"/>
  <c r="O693" i="11" s="1"/>
  <c r="L695" i="11"/>
  <c r="R695" i="11"/>
  <c r="O695" i="11" s="1"/>
  <c r="L696" i="11"/>
  <c r="R696" i="11"/>
  <c r="O696" i="11" s="1"/>
  <c r="L697" i="11"/>
  <c r="R697" i="11"/>
  <c r="O697" i="11" s="1"/>
  <c r="L699" i="11"/>
  <c r="R699" i="11"/>
  <c r="O699" i="11" s="1"/>
  <c r="L700" i="11"/>
  <c r="R700" i="11"/>
  <c r="O700" i="11" s="1"/>
  <c r="L701" i="11"/>
  <c r="R701" i="11"/>
  <c r="O701" i="11" s="1"/>
  <c r="L703" i="11"/>
  <c r="R703" i="11"/>
  <c r="O703" i="11" s="1"/>
  <c r="L704" i="11"/>
  <c r="R704" i="11"/>
  <c r="O704" i="11" s="1"/>
  <c r="L705" i="11"/>
  <c r="R705" i="11"/>
  <c r="O705" i="11" s="1"/>
  <c r="L707" i="11"/>
  <c r="R707" i="11"/>
  <c r="O707" i="11" s="1"/>
  <c r="L708" i="11"/>
  <c r="R708" i="11"/>
  <c r="O708" i="11" s="1"/>
  <c r="L709" i="11"/>
  <c r="R709" i="11"/>
  <c r="O709" i="11" s="1"/>
  <c r="L711" i="11"/>
  <c r="R711" i="11"/>
  <c r="O711" i="11" s="1"/>
  <c r="L712" i="11"/>
  <c r="R712" i="11"/>
  <c r="O712" i="11" s="1"/>
  <c r="L713" i="11"/>
  <c r="R713" i="11"/>
  <c r="O713" i="11" s="1"/>
  <c r="L715" i="11"/>
  <c r="R715" i="11"/>
  <c r="O715" i="11" s="1"/>
  <c r="L716" i="11"/>
  <c r="R716" i="11"/>
  <c r="O716" i="11" s="1"/>
  <c r="L717" i="11"/>
  <c r="R717" i="11"/>
  <c r="O717" i="11" s="1"/>
  <c r="L719" i="11"/>
  <c r="R719" i="11"/>
  <c r="O719" i="11" s="1"/>
  <c r="L720" i="11"/>
  <c r="R720" i="11"/>
  <c r="O720" i="11" s="1"/>
  <c r="L721" i="11"/>
  <c r="R721" i="11"/>
  <c r="O721" i="11" s="1"/>
  <c r="L723" i="11"/>
  <c r="R723" i="11"/>
  <c r="O723" i="11" s="1"/>
  <c r="L724" i="11"/>
  <c r="R724" i="11"/>
  <c r="O724" i="11" s="1"/>
  <c r="L725" i="11"/>
  <c r="R725" i="11"/>
  <c r="O725" i="11" s="1"/>
  <c r="L727" i="11"/>
  <c r="R727" i="11"/>
  <c r="O727" i="11" s="1"/>
  <c r="L728" i="11"/>
  <c r="R728" i="11"/>
  <c r="O728" i="11" s="1"/>
  <c r="L729" i="11"/>
  <c r="R729" i="11"/>
  <c r="O729" i="11" s="1"/>
  <c r="L731" i="11"/>
  <c r="R731" i="11"/>
  <c r="O731" i="11" s="1"/>
  <c r="L732" i="11"/>
  <c r="R732" i="11"/>
  <c r="O732" i="11" s="1"/>
  <c r="L733" i="11"/>
  <c r="R733" i="11"/>
  <c r="O733" i="11" s="1"/>
  <c r="L735" i="11"/>
  <c r="R735" i="11"/>
  <c r="O735" i="11" s="1"/>
  <c r="L736" i="11"/>
  <c r="R736" i="11"/>
  <c r="O736" i="11" s="1"/>
  <c r="L737" i="11"/>
  <c r="R737" i="11"/>
  <c r="O737" i="11" s="1"/>
  <c r="L739" i="11"/>
  <c r="R739" i="11"/>
  <c r="O739" i="11" s="1"/>
  <c r="L740" i="11"/>
  <c r="R740" i="11"/>
  <c r="O740" i="11" s="1"/>
  <c r="L741" i="11"/>
  <c r="R741" i="11"/>
  <c r="O741" i="11" s="1"/>
  <c r="L743" i="11"/>
  <c r="R743" i="11"/>
  <c r="O743" i="11" s="1"/>
  <c r="L744" i="11"/>
  <c r="R744" i="11"/>
  <c r="O744" i="11" s="1"/>
  <c r="L745" i="11"/>
  <c r="R745" i="11"/>
  <c r="O745" i="11" s="1"/>
  <c r="L747" i="11"/>
  <c r="R747" i="11"/>
  <c r="O747" i="11" s="1"/>
  <c r="L748" i="11"/>
  <c r="R748" i="11"/>
  <c r="O748" i="11" s="1"/>
  <c r="L749" i="11"/>
  <c r="R749" i="11"/>
  <c r="O749" i="11" s="1"/>
  <c r="L751" i="11"/>
  <c r="R751" i="11"/>
  <c r="O751" i="11" s="1"/>
  <c r="L752" i="11"/>
  <c r="R752" i="11"/>
  <c r="O752" i="11" s="1"/>
  <c r="L753" i="11"/>
  <c r="R753" i="11"/>
  <c r="O753" i="11" s="1"/>
  <c r="L755" i="11"/>
  <c r="R755" i="11"/>
  <c r="O755" i="11" s="1"/>
  <c r="L756" i="11"/>
  <c r="R756" i="11"/>
  <c r="O756" i="11" s="1"/>
  <c r="L757" i="11"/>
  <c r="R757" i="11"/>
  <c r="O757" i="11" s="1"/>
  <c r="L759" i="11"/>
  <c r="R759" i="11"/>
  <c r="O759" i="11" s="1"/>
  <c r="L760" i="11"/>
  <c r="R760" i="11"/>
  <c r="O760" i="11" s="1"/>
  <c r="L761" i="11"/>
  <c r="R761" i="11"/>
  <c r="O761" i="11" s="1"/>
  <c r="L763" i="11"/>
  <c r="R763" i="11"/>
  <c r="O763" i="11" s="1"/>
  <c r="L764" i="11"/>
  <c r="R764" i="11"/>
  <c r="O764" i="11" s="1"/>
  <c r="L765" i="11"/>
  <c r="R765" i="11"/>
  <c r="O765" i="11" s="1"/>
  <c r="L767" i="11"/>
  <c r="R767" i="11"/>
  <c r="O767" i="11" s="1"/>
  <c r="L768" i="11"/>
  <c r="R768" i="11"/>
  <c r="O768" i="11" s="1"/>
  <c r="L769" i="11"/>
  <c r="R769" i="11"/>
  <c r="O769" i="11" s="1"/>
  <c r="L771" i="11"/>
  <c r="R771" i="11"/>
  <c r="O771" i="11" s="1"/>
  <c r="L772" i="11"/>
  <c r="R772" i="11"/>
  <c r="O772" i="11" s="1"/>
  <c r="L773" i="11"/>
  <c r="R773" i="11"/>
  <c r="O773" i="11" s="1"/>
  <c r="L775" i="11"/>
  <c r="R775" i="11"/>
  <c r="O775" i="11" s="1"/>
  <c r="L776" i="11"/>
  <c r="R776" i="11"/>
  <c r="O776" i="11" s="1"/>
  <c r="L777" i="11"/>
  <c r="R777" i="11"/>
  <c r="O777" i="11" s="1"/>
  <c r="L779" i="11"/>
  <c r="R779" i="11"/>
  <c r="O779" i="11" s="1"/>
  <c r="L780" i="11"/>
  <c r="R780" i="11"/>
  <c r="O780" i="11" s="1"/>
  <c r="L781" i="11"/>
  <c r="R781" i="11"/>
  <c r="O781" i="11" s="1"/>
  <c r="L783" i="11"/>
  <c r="R783" i="11"/>
  <c r="O783" i="11" s="1"/>
  <c r="L784" i="11"/>
  <c r="R784" i="11"/>
  <c r="O784" i="11" s="1"/>
  <c r="L785" i="11"/>
  <c r="R785" i="11"/>
  <c r="O785" i="11" s="1"/>
  <c r="L787" i="11"/>
  <c r="R787" i="11"/>
  <c r="O787" i="11" s="1"/>
  <c r="L788" i="11"/>
  <c r="R788" i="11"/>
  <c r="O788" i="11" s="1"/>
  <c r="L789" i="11"/>
  <c r="R789" i="11"/>
  <c r="O789" i="11" s="1"/>
  <c r="L791" i="11"/>
  <c r="R791" i="11"/>
  <c r="O791" i="11" s="1"/>
  <c r="L792" i="11"/>
  <c r="R792" i="11"/>
  <c r="O792" i="11" s="1"/>
  <c r="L793" i="11"/>
  <c r="R793" i="11"/>
  <c r="O793" i="11" s="1"/>
  <c r="L795" i="11"/>
  <c r="R795" i="11"/>
  <c r="O795" i="11" s="1"/>
  <c r="L796" i="11"/>
  <c r="R796" i="11"/>
  <c r="O796" i="11" s="1"/>
  <c r="L797" i="11"/>
  <c r="R797" i="11"/>
  <c r="O797" i="11" s="1"/>
  <c r="L799" i="11"/>
  <c r="R799" i="11"/>
  <c r="O799" i="11" s="1"/>
  <c r="L800" i="11"/>
  <c r="R800" i="11"/>
  <c r="O800" i="11" s="1"/>
  <c r="L801" i="11"/>
  <c r="R801" i="11"/>
  <c r="O801" i="11" s="1"/>
  <c r="L803" i="11"/>
  <c r="R803" i="11"/>
  <c r="O803" i="11" s="1"/>
  <c r="L804" i="11"/>
  <c r="R804" i="11"/>
  <c r="O804" i="11" s="1"/>
  <c r="L805" i="11"/>
  <c r="R805" i="11"/>
  <c r="O805" i="11" s="1"/>
  <c r="L807" i="11"/>
  <c r="R807" i="11"/>
  <c r="O807" i="11" s="1"/>
  <c r="L808" i="11"/>
  <c r="R808" i="11"/>
  <c r="O808" i="11" s="1"/>
  <c r="L809" i="11"/>
  <c r="R809" i="11"/>
  <c r="O809" i="11" s="1"/>
  <c r="L811" i="11"/>
  <c r="R811" i="11"/>
  <c r="O811" i="11" s="1"/>
  <c r="L812" i="11"/>
  <c r="R812" i="11"/>
  <c r="O812" i="11" s="1"/>
  <c r="L813" i="11"/>
  <c r="R813" i="11"/>
  <c r="O813" i="11" s="1"/>
  <c r="L815" i="11"/>
  <c r="R815" i="11"/>
  <c r="O815" i="11" s="1"/>
  <c r="L816" i="11"/>
  <c r="R816" i="11"/>
  <c r="O816" i="11" s="1"/>
  <c r="L817" i="11"/>
  <c r="R817" i="11"/>
  <c r="O817" i="11" s="1"/>
  <c r="L819" i="11"/>
  <c r="R819" i="11"/>
  <c r="O819" i="11" s="1"/>
  <c r="L820" i="11"/>
  <c r="R820" i="11"/>
  <c r="O820" i="11" s="1"/>
  <c r="L821" i="11"/>
  <c r="R821" i="11"/>
  <c r="O821" i="11" s="1"/>
  <c r="L823" i="11"/>
  <c r="R823" i="11"/>
  <c r="O823" i="11" s="1"/>
  <c r="L824" i="11"/>
  <c r="R824" i="11"/>
  <c r="O824" i="11" s="1"/>
  <c r="L825" i="11"/>
  <c r="R825" i="11"/>
  <c r="O825" i="11" s="1"/>
  <c r="L827" i="11"/>
  <c r="R827" i="11"/>
  <c r="O827" i="11" s="1"/>
  <c r="L828" i="11"/>
  <c r="R828" i="11"/>
  <c r="O828" i="11" s="1"/>
  <c r="L829" i="11"/>
  <c r="R829" i="11"/>
  <c r="O829" i="11" s="1"/>
  <c r="L831" i="11"/>
  <c r="R831" i="11"/>
  <c r="O831" i="11" s="1"/>
  <c r="L832" i="11"/>
  <c r="R832" i="11"/>
  <c r="O832" i="11" s="1"/>
  <c r="L833" i="11"/>
  <c r="R833" i="11"/>
  <c r="O833" i="11" s="1"/>
  <c r="L835" i="11"/>
  <c r="R835" i="11"/>
  <c r="O835" i="11" s="1"/>
  <c r="L836" i="11"/>
  <c r="R836" i="11"/>
  <c r="O836" i="11" s="1"/>
  <c r="L837" i="11"/>
  <c r="R837" i="11"/>
  <c r="O837" i="11" s="1"/>
  <c r="L839" i="11"/>
  <c r="R839" i="11"/>
  <c r="O839" i="11" s="1"/>
  <c r="L840" i="11"/>
  <c r="R840" i="11"/>
  <c r="O840" i="11" s="1"/>
  <c r="L841" i="11"/>
  <c r="R841" i="11"/>
  <c r="O841" i="11" s="1"/>
  <c r="L843" i="11"/>
  <c r="R843" i="11"/>
  <c r="O843" i="11" s="1"/>
  <c r="L844" i="11"/>
  <c r="R844" i="11"/>
  <c r="O844" i="11" s="1"/>
  <c r="L845" i="11"/>
  <c r="R845" i="11"/>
  <c r="O845" i="11" s="1"/>
  <c r="L847" i="11"/>
  <c r="R847" i="11"/>
  <c r="O847" i="11" s="1"/>
  <c r="L848" i="11"/>
  <c r="R848" i="11"/>
  <c r="O848" i="11" s="1"/>
  <c r="L849" i="11"/>
  <c r="R849" i="11"/>
  <c r="O849" i="11" s="1"/>
  <c r="L851" i="11"/>
  <c r="R851" i="11"/>
  <c r="O851" i="11" s="1"/>
  <c r="L852" i="11"/>
  <c r="R852" i="11"/>
  <c r="O852" i="11" s="1"/>
  <c r="L853" i="11"/>
  <c r="R853" i="11"/>
  <c r="O853" i="11" s="1"/>
  <c r="L855" i="11"/>
  <c r="R855" i="11"/>
  <c r="O855" i="11" s="1"/>
  <c r="L856" i="11"/>
  <c r="R856" i="11"/>
  <c r="O856" i="11" s="1"/>
  <c r="L857" i="11"/>
  <c r="R857" i="11"/>
  <c r="O857" i="11" s="1"/>
  <c r="L859" i="11"/>
  <c r="R859" i="11"/>
  <c r="O859" i="11" s="1"/>
  <c r="L860" i="11"/>
  <c r="R860" i="11"/>
  <c r="O860" i="11" s="1"/>
  <c r="L861" i="11"/>
  <c r="R861" i="11"/>
  <c r="O861" i="11" s="1"/>
  <c r="L863" i="11"/>
  <c r="R863" i="11"/>
  <c r="O863" i="11" s="1"/>
  <c r="L864" i="11"/>
  <c r="R864" i="11"/>
  <c r="O864" i="11" s="1"/>
  <c r="L865" i="11"/>
  <c r="R865" i="11"/>
  <c r="O865" i="11" s="1"/>
  <c r="L867" i="11"/>
  <c r="R867" i="11"/>
  <c r="O867" i="11" s="1"/>
  <c r="L868" i="11"/>
  <c r="R868" i="11"/>
  <c r="O868" i="11" s="1"/>
  <c r="L869" i="11"/>
  <c r="R869" i="11"/>
  <c r="O869" i="11" s="1"/>
  <c r="L871" i="11"/>
  <c r="R871" i="11"/>
  <c r="O871" i="11" s="1"/>
  <c r="L872" i="11"/>
  <c r="R872" i="11"/>
  <c r="O872" i="11" s="1"/>
  <c r="L873" i="11"/>
  <c r="R873" i="11"/>
  <c r="O873" i="11" s="1"/>
  <c r="L875" i="11"/>
  <c r="R875" i="11"/>
  <c r="O875" i="11" s="1"/>
  <c r="L876" i="11"/>
  <c r="R876" i="11"/>
  <c r="O876" i="11" s="1"/>
  <c r="L877" i="11"/>
  <c r="R877" i="11"/>
  <c r="O877" i="11" s="1"/>
  <c r="L879" i="11"/>
  <c r="R879" i="11"/>
  <c r="O879" i="11" s="1"/>
  <c r="L880" i="11"/>
  <c r="R880" i="11"/>
  <c r="O880" i="11" s="1"/>
  <c r="L881" i="11"/>
  <c r="R881" i="11"/>
  <c r="O881" i="11" s="1"/>
  <c r="L883" i="11"/>
  <c r="R883" i="11"/>
  <c r="O883" i="11" s="1"/>
  <c r="L884" i="11"/>
  <c r="R884" i="11"/>
  <c r="O884" i="11" s="1"/>
  <c r="L885" i="11"/>
  <c r="R885" i="11"/>
  <c r="O885" i="11" s="1"/>
  <c r="L887" i="11"/>
  <c r="R887" i="11"/>
  <c r="O887" i="11" s="1"/>
  <c r="L888" i="11"/>
  <c r="R888" i="11"/>
  <c r="O888" i="11" s="1"/>
  <c r="L889" i="11"/>
  <c r="R889" i="11"/>
  <c r="O889" i="11" s="1"/>
  <c r="L891" i="11"/>
  <c r="R891" i="11"/>
  <c r="O891" i="11" s="1"/>
  <c r="L892" i="11"/>
  <c r="R892" i="11"/>
  <c r="O892" i="11" s="1"/>
  <c r="L893" i="11"/>
  <c r="R893" i="11"/>
  <c r="O893" i="11" s="1"/>
  <c r="L895" i="11"/>
  <c r="R895" i="11"/>
  <c r="O895" i="11" s="1"/>
  <c r="L896" i="11"/>
  <c r="R896" i="11"/>
  <c r="O896" i="11" s="1"/>
  <c r="L897" i="11"/>
  <c r="R897" i="11"/>
  <c r="O897" i="11" s="1"/>
  <c r="L899" i="11"/>
  <c r="R899" i="11"/>
  <c r="O899" i="11" s="1"/>
  <c r="L900" i="11"/>
  <c r="R900" i="11"/>
  <c r="O900" i="11" s="1"/>
  <c r="L901" i="11"/>
  <c r="R901" i="11"/>
  <c r="O901" i="11" s="1"/>
  <c r="L903" i="11"/>
  <c r="R903" i="11"/>
  <c r="O903" i="11" s="1"/>
  <c r="L904" i="11"/>
  <c r="R904" i="11"/>
  <c r="O904" i="11" s="1"/>
  <c r="L905" i="11"/>
  <c r="R905" i="11"/>
  <c r="O905" i="11" s="1"/>
  <c r="L907" i="11"/>
  <c r="R907" i="11"/>
  <c r="O907" i="11" s="1"/>
  <c r="L908" i="11"/>
  <c r="R908" i="11"/>
  <c r="O908" i="11" s="1"/>
  <c r="L909" i="11"/>
  <c r="R909" i="11"/>
  <c r="O909" i="11" s="1"/>
  <c r="L911" i="11"/>
  <c r="R911" i="11"/>
  <c r="O911" i="11" s="1"/>
  <c r="L912" i="11"/>
  <c r="R912" i="11"/>
  <c r="O912" i="11" s="1"/>
  <c r="L913" i="11"/>
  <c r="R913" i="11"/>
  <c r="O913" i="11" s="1"/>
  <c r="L915" i="11"/>
  <c r="R915" i="11"/>
  <c r="O915" i="11" s="1"/>
  <c r="L916" i="11"/>
  <c r="R916" i="11"/>
  <c r="O916" i="11" s="1"/>
  <c r="L917" i="11"/>
  <c r="R917" i="11"/>
  <c r="O917" i="11" s="1"/>
  <c r="L919" i="11"/>
  <c r="R919" i="11"/>
  <c r="O919" i="11" s="1"/>
  <c r="L920" i="11"/>
  <c r="R920" i="11"/>
  <c r="O920" i="11" s="1"/>
  <c r="L921" i="11"/>
  <c r="R921" i="11"/>
  <c r="O921" i="11" s="1"/>
  <c r="L923" i="11"/>
  <c r="R923" i="11"/>
  <c r="O923" i="11" s="1"/>
  <c r="L924" i="11"/>
  <c r="R924" i="11"/>
  <c r="O924" i="11" s="1"/>
  <c r="L925" i="11"/>
  <c r="R925" i="11"/>
  <c r="O925" i="11" s="1"/>
  <c r="L927" i="11"/>
  <c r="R927" i="11"/>
  <c r="O927" i="11" s="1"/>
  <c r="L928" i="11"/>
  <c r="R928" i="11"/>
  <c r="O928" i="11" s="1"/>
  <c r="L929" i="11"/>
  <c r="R929" i="11"/>
  <c r="O929" i="11" s="1"/>
  <c r="L931" i="11"/>
  <c r="R931" i="11"/>
  <c r="O931" i="11" s="1"/>
  <c r="L932" i="11"/>
  <c r="R932" i="11"/>
  <c r="O932" i="11" s="1"/>
  <c r="L933" i="11"/>
  <c r="R933" i="11"/>
  <c r="O933" i="11" s="1"/>
  <c r="L935" i="11"/>
  <c r="R935" i="11"/>
  <c r="O935" i="11" s="1"/>
  <c r="L936" i="11"/>
  <c r="R936" i="11"/>
  <c r="O936" i="11" s="1"/>
  <c r="L937" i="11"/>
  <c r="R937" i="11"/>
  <c r="O937" i="11" s="1"/>
  <c r="L939" i="11"/>
  <c r="R939" i="11"/>
  <c r="O939" i="11" s="1"/>
  <c r="L940" i="11"/>
  <c r="R940" i="11"/>
  <c r="O940" i="11" s="1"/>
  <c r="L941" i="11"/>
  <c r="R941" i="11"/>
  <c r="O941" i="11" s="1"/>
  <c r="L943" i="11"/>
  <c r="R943" i="11"/>
  <c r="O943" i="11" s="1"/>
  <c r="L944" i="11"/>
  <c r="R944" i="11"/>
  <c r="O944" i="11" s="1"/>
  <c r="L945" i="11"/>
  <c r="R945" i="11"/>
  <c r="O945" i="11" s="1"/>
  <c r="L947" i="11"/>
  <c r="R947" i="11"/>
  <c r="O947" i="11" s="1"/>
  <c r="L948" i="11"/>
  <c r="R948" i="11"/>
  <c r="O948" i="11" s="1"/>
  <c r="L949" i="11"/>
  <c r="R949" i="11"/>
  <c r="O949" i="11" s="1"/>
  <c r="L951" i="11"/>
  <c r="R951" i="11"/>
  <c r="O951" i="11" s="1"/>
  <c r="L952" i="11"/>
  <c r="R952" i="11"/>
  <c r="O952" i="11" s="1"/>
  <c r="L953" i="11"/>
  <c r="R953" i="11"/>
  <c r="O953" i="11" s="1"/>
  <c r="L955" i="11"/>
  <c r="R955" i="11"/>
  <c r="O955" i="11" s="1"/>
  <c r="L956" i="11"/>
  <c r="R956" i="11"/>
  <c r="O956" i="11" s="1"/>
  <c r="L957" i="11"/>
  <c r="R957" i="11"/>
  <c r="O957" i="11" s="1"/>
  <c r="L959" i="11"/>
  <c r="R959" i="11"/>
  <c r="O959" i="11" s="1"/>
  <c r="L960" i="11"/>
  <c r="R960" i="11"/>
  <c r="O960" i="11" s="1"/>
  <c r="L961" i="11"/>
  <c r="R961" i="11"/>
  <c r="O961" i="11" s="1"/>
  <c r="L963" i="11"/>
  <c r="R963" i="11"/>
  <c r="O963" i="11" s="1"/>
  <c r="L964" i="11"/>
  <c r="R964" i="11"/>
  <c r="O964" i="11" s="1"/>
  <c r="L965" i="11"/>
  <c r="R965" i="11"/>
  <c r="O965" i="11" s="1"/>
  <c r="L967" i="11"/>
  <c r="R967" i="11"/>
  <c r="O967" i="11" s="1"/>
  <c r="L968" i="11"/>
  <c r="R968" i="11"/>
  <c r="O968" i="11" s="1"/>
  <c r="L969" i="11"/>
  <c r="R969" i="11"/>
  <c r="O969" i="11" s="1"/>
  <c r="L971" i="11"/>
  <c r="R971" i="11"/>
  <c r="O971" i="11" s="1"/>
  <c r="L972" i="11"/>
  <c r="R972" i="11"/>
  <c r="O972" i="11" s="1"/>
  <c r="L973" i="11"/>
  <c r="R973" i="11"/>
  <c r="O973" i="11" s="1"/>
  <c r="L975" i="11"/>
  <c r="R975" i="11"/>
  <c r="O975" i="11" s="1"/>
  <c r="L976" i="11"/>
  <c r="R976" i="11"/>
  <c r="O976" i="11" s="1"/>
  <c r="L977" i="11"/>
  <c r="R977" i="11"/>
  <c r="O977" i="11" s="1"/>
  <c r="L979" i="11"/>
  <c r="R979" i="11"/>
  <c r="O979" i="11" s="1"/>
  <c r="L980" i="11"/>
  <c r="R980" i="11"/>
  <c r="O980" i="11" s="1"/>
  <c r="L981" i="11"/>
  <c r="R981" i="11"/>
  <c r="O981" i="11" s="1"/>
  <c r="L983" i="11"/>
  <c r="R983" i="11"/>
  <c r="O983" i="11" s="1"/>
  <c r="L984" i="11"/>
  <c r="R984" i="11"/>
  <c r="O984" i="11" s="1"/>
  <c r="L985" i="11"/>
  <c r="R985" i="11"/>
  <c r="O985" i="11" s="1"/>
  <c r="L987" i="11"/>
  <c r="R987" i="11"/>
  <c r="O987" i="11" s="1"/>
  <c r="L988" i="11"/>
  <c r="R988" i="11"/>
  <c r="O988" i="11" s="1"/>
  <c r="L989" i="11"/>
  <c r="R989" i="11"/>
  <c r="O989" i="11" s="1"/>
  <c r="L991" i="11"/>
  <c r="R991" i="11"/>
  <c r="O991" i="11" s="1"/>
  <c r="L992" i="11"/>
  <c r="R992" i="11"/>
  <c r="O992" i="11" s="1"/>
  <c r="L993" i="11"/>
  <c r="R993" i="11"/>
  <c r="O993" i="11" s="1"/>
  <c r="L995" i="11"/>
  <c r="R995" i="11"/>
  <c r="O995" i="11" s="1"/>
  <c r="L996" i="11"/>
  <c r="R996" i="11"/>
  <c r="O996" i="11" s="1"/>
  <c r="L997" i="11"/>
  <c r="R997" i="11"/>
  <c r="O997" i="11" s="1"/>
  <c r="L999" i="11"/>
  <c r="R999" i="11"/>
  <c r="O999" i="11" s="1"/>
  <c r="L1000" i="11"/>
  <c r="R1000" i="11"/>
  <c r="O1000" i="11" s="1"/>
  <c r="L1001" i="11"/>
  <c r="R1001" i="11"/>
  <c r="O1001" i="11" s="1"/>
  <c r="L1003" i="11"/>
  <c r="R1003" i="11"/>
  <c r="O1003" i="11" s="1"/>
  <c r="L1004" i="11"/>
  <c r="R1004" i="11"/>
  <c r="O1004" i="11" s="1"/>
  <c r="L1005" i="11"/>
  <c r="R1005" i="11"/>
  <c r="O1005" i="11" s="1"/>
  <c r="L1007" i="11"/>
  <c r="R1007" i="11"/>
  <c r="O1007" i="11" s="1"/>
  <c r="L1008" i="11"/>
  <c r="R1008" i="11"/>
  <c r="O1008" i="11" s="1"/>
  <c r="L1009" i="11"/>
  <c r="R1009" i="11"/>
  <c r="O1009" i="11" s="1"/>
  <c r="L1011" i="11"/>
  <c r="R1011" i="11"/>
  <c r="O1011" i="11" s="1"/>
  <c r="L1012" i="11"/>
  <c r="R1012" i="11"/>
  <c r="O1012" i="11" s="1"/>
  <c r="L1013" i="11"/>
  <c r="R1013" i="11"/>
  <c r="O1013" i="11" s="1"/>
  <c r="L1015" i="11"/>
  <c r="R1015" i="11"/>
  <c r="O1015" i="11" s="1"/>
  <c r="L1016" i="11"/>
  <c r="R1016" i="11"/>
  <c r="O1016" i="11" s="1"/>
  <c r="L1017" i="11"/>
  <c r="R1017" i="11"/>
  <c r="O1017" i="11" s="1"/>
  <c r="L1019" i="11"/>
  <c r="R1019" i="11"/>
  <c r="O1019" i="11" s="1"/>
  <c r="L1020" i="11"/>
  <c r="R1020" i="11"/>
  <c r="O1020" i="11" s="1"/>
  <c r="L1021" i="11"/>
  <c r="R1021" i="11"/>
  <c r="O1021" i="11" s="1"/>
  <c r="L1023" i="11"/>
  <c r="R1023" i="11"/>
  <c r="O1023" i="11" s="1"/>
  <c r="L1024" i="11"/>
  <c r="R1024" i="11"/>
  <c r="O1024" i="11" s="1"/>
  <c r="L1025" i="11"/>
  <c r="R1025" i="11"/>
  <c r="O1025" i="11" s="1"/>
  <c r="L1027" i="11"/>
  <c r="R1027" i="11"/>
  <c r="O1027" i="11" s="1"/>
  <c r="L1028" i="11"/>
  <c r="R1028" i="11"/>
  <c r="O1028" i="11" s="1"/>
  <c r="L1029" i="11"/>
  <c r="R1029" i="11"/>
  <c r="O1029" i="11" s="1"/>
  <c r="L1031" i="11"/>
  <c r="R1031" i="11"/>
  <c r="O1031" i="11" s="1"/>
  <c r="L1032" i="11"/>
  <c r="R1032" i="11"/>
  <c r="O1032" i="11" s="1"/>
  <c r="L1033" i="11"/>
  <c r="R1033" i="11"/>
  <c r="O1033" i="11" s="1"/>
  <c r="L1035" i="11"/>
  <c r="R1035" i="11"/>
  <c r="O1035" i="11" s="1"/>
  <c r="L1036" i="11"/>
  <c r="R1036" i="11"/>
  <c r="O1036" i="11" s="1"/>
  <c r="L1037" i="11"/>
  <c r="R1037" i="11"/>
  <c r="O1037" i="11" s="1"/>
  <c r="L1039" i="11"/>
  <c r="R1039" i="11"/>
  <c r="O1039" i="11" s="1"/>
  <c r="L1040" i="11"/>
  <c r="R1040" i="11"/>
  <c r="O1040" i="11" s="1"/>
  <c r="L1041" i="11"/>
  <c r="R1041" i="11"/>
  <c r="O1041" i="11" s="1"/>
  <c r="L1043" i="11"/>
  <c r="R1043" i="11"/>
  <c r="O1043" i="11" s="1"/>
  <c r="L1044" i="11"/>
  <c r="R1044" i="11"/>
  <c r="O1044" i="11" s="1"/>
  <c r="L1045" i="11"/>
  <c r="R1045" i="11"/>
  <c r="O1045" i="11" s="1"/>
  <c r="L1047" i="11"/>
  <c r="R1047" i="11"/>
  <c r="O1047" i="11" s="1"/>
  <c r="L1048" i="11"/>
  <c r="R1048" i="11"/>
  <c r="O1048" i="11" s="1"/>
  <c r="L1049" i="11"/>
  <c r="R1049" i="11"/>
  <c r="O1049" i="11" s="1"/>
  <c r="L1051" i="11"/>
  <c r="R1051" i="11"/>
  <c r="O1051" i="11" s="1"/>
  <c r="L1052" i="11"/>
  <c r="R1052" i="11"/>
  <c r="O1052" i="11" s="1"/>
  <c r="L1053" i="11"/>
  <c r="R1053" i="11"/>
  <c r="O1053" i="11" s="1"/>
  <c r="L1055" i="11"/>
  <c r="R1055" i="11"/>
  <c r="O1055" i="11" s="1"/>
  <c r="L1056" i="11"/>
  <c r="R1056" i="11"/>
  <c r="O1056" i="11" s="1"/>
  <c r="L1057" i="11"/>
  <c r="R1057" i="11"/>
  <c r="O1057" i="11" s="1"/>
  <c r="L1059" i="11"/>
  <c r="R1059" i="11"/>
  <c r="O1059" i="11" s="1"/>
  <c r="L1060" i="11"/>
  <c r="R1060" i="11"/>
  <c r="O1060" i="11" s="1"/>
  <c r="L1061" i="11"/>
  <c r="R1061" i="11"/>
  <c r="O1061" i="11" s="1"/>
  <c r="L1063" i="11"/>
  <c r="R1063" i="11"/>
  <c r="O1063" i="11" s="1"/>
  <c r="L1064" i="11"/>
  <c r="R1064" i="11"/>
  <c r="O1064" i="11" s="1"/>
  <c r="L1065" i="11"/>
  <c r="R1065" i="11"/>
  <c r="O1065" i="11" s="1"/>
  <c r="L1067" i="11"/>
  <c r="R1067" i="11"/>
  <c r="O1067" i="11" s="1"/>
  <c r="L1068" i="11"/>
  <c r="R1068" i="11"/>
  <c r="O1068" i="11" s="1"/>
  <c r="L1069" i="11"/>
  <c r="R1069" i="11"/>
  <c r="O1069" i="11" s="1"/>
  <c r="L1071" i="11"/>
  <c r="R1071" i="11"/>
  <c r="O1071" i="11" s="1"/>
  <c r="L1072" i="11"/>
  <c r="R1072" i="11"/>
  <c r="O1072" i="11" s="1"/>
  <c r="L1073" i="11"/>
  <c r="R1073" i="11"/>
  <c r="O1073" i="11" s="1"/>
  <c r="L1075" i="11"/>
  <c r="R1075" i="11"/>
  <c r="O1075" i="11" s="1"/>
  <c r="L1076" i="11"/>
  <c r="R1076" i="11"/>
  <c r="O1076" i="11" s="1"/>
  <c r="L1077" i="11"/>
  <c r="R1077" i="11"/>
  <c r="O1077" i="11" s="1"/>
  <c r="L1079" i="11"/>
  <c r="R1079" i="11"/>
  <c r="O1079" i="11" s="1"/>
  <c r="L1080" i="11"/>
  <c r="R1080" i="11"/>
  <c r="O1080" i="11" s="1"/>
  <c r="L1081" i="11"/>
  <c r="R1081" i="11"/>
  <c r="O1081" i="11" s="1"/>
  <c r="L1083" i="11"/>
  <c r="R1083" i="11"/>
  <c r="O1083" i="11" s="1"/>
  <c r="L1084" i="11"/>
  <c r="R1084" i="11"/>
  <c r="O1084" i="11" s="1"/>
  <c r="L1085" i="11"/>
  <c r="R1085" i="11"/>
  <c r="O1085" i="11" s="1"/>
  <c r="L1087" i="11"/>
  <c r="R1087" i="11"/>
  <c r="O1087" i="11" s="1"/>
  <c r="L1088" i="11"/>
  <c r="R1088" i="11"/>
  <c r="O1088" i="11" s="1"/>
  <c r="L1089" i="11"/>
  <c r="R1089" i="11"/>
  <c r="O1089" i="11" s="1"/>
  <c r="L1091" i="11"/>
  <c r="R1091" i="11"/>
  <c r="O1091" i="11" s="1"/>
  <c r="L1092" i="11"/>
  <c r="R1092" i="11"/>
  <c r="O1092" i="11" s="1"/>
  <c r="L1093" i="11"/>
  <c r="R1093" i="11"/>
  <c r="O1093" i="11" s="1"/>
  <c r="L1095" i="11"/>
  <c r="R1095" i="11"/>
  <c r="O1095" i="11" s="1"/>
  <c r="L1096" i="11"/>
  <c r="R1096" i="11"/>
  <c r="O1096" i="11" s="1"/>
  <c r="L1097" i="11"/>
  <c r="R1097" i="11"/>
  <c r="O1097" i="11" s="1"/>
  <c r="L1099" i="11"/>
  <c r="R1099" i="11"/>
  <c r="O1099" i="11" s="1"/>
  <c r="L1100" i="11"/>
  <c r="R1100" i="11"/>
  <c r="O1100" i="11" s="1"/>
  <c r="L1101" i="11"/>
  <c r="R1101" i="11"/>
  <c r="O1101" i="11" s="1"/>
  <c r="L1103" i="11"/>
  <c r="R1103" i="11"/>
  <c r="O1103" i="11" s="1"/>
  <c r="L1104" i="11"/>
  <c r="R1104" i="11"/>
  <c r="O1104" i="11" s="1"/>
  <c r="L1105" i="11"/>
  <c r="R1105" i="11"/>
  <c r="O1105" i="11" s="1"/>
  <c r="L1107" i="11"/>
  <c r="R1107" i="11"/>
  <c r="O1107" i="11" s="1"/>
  <c r="L1108" i="11"/>
  <c r="R1108" i="11"/>
  <c r="O1108" i="11" s="1"/>
  <c r="L1109" i="11"/>
  <c r="R1109" i="11"/>
  <c r="O1109" i="11" s="1"/>
  <c r="L1111" i="11"/>
  <c r="R1111" i="11"/>
  <c r="O1111" i="11" s="1"/>
  <c r="L1112" i="11"/>
  <c r="R1112" i="11"/>
  <c r="O1112" i="11" s="1"/>
  <c r="L1113" i="11"/>
  <c r="R1113" i="11"/>
  <c r="O1113" i="11" s="1"/>
  <c r="L1115" i="11"/>
  <c r="R1115" i="11"/>
  <c r="O1115" i="11" s="1"/>
  <c r="L1116" i="11"/>
  <c r="R1116" i="11"/>
  <c r="O1116" i="11" s="1"/>
  <c r="L1117" i="11"/>
  <c r="R1117" i="11"/>
  <c r="O1117" i="11" s="1"/>
  <c r="L1119" i="11"/>
  <c r="R1119" i="11"/>
  <c r="O1119" i="11" s="1"/>
  <c r="L1120" i="11"/>
  <c r="R1120" i="11"/>
  <c r="O1120" i="11" s="1"/>
  <c r="L1121" i="11"/>
  <c r="R1121" i="11"/>
  <c r="O1121" i="11" s="1"/>
  <c r="L1123" i="11"/>
  <c r="R1123" i="11"/>
  <c r="O1123" i="11" s="1"/>
  <c r="L1124" i="11"/>
  <c r="R1124" i="11"/>
  <c r="O1124" i="11" s="1"/>
  <c r="L1125" i="11"/>
  <c r="R1125" i="11"/>
  <c r="O1125" i="11" s="1"/>
  <c r="L1127" i="11"/>
  <c r="R1127" i="11"/>
  <c r="O1127" i="11" s="1"/>
  <c r="L1128" i="11"/>
  <c r="R1128" i="11"/>
  <c r="O1128" i="11" s="1"/>
  <c r="L1129" i="11"/>
  <c r="R1129" i="11"/>
  <c r="O1129" i="11" s="1"/>
  <c r="L1131" i="11"/>
  <c r="R1131" i="11"/>
  <c r="O1131" i="11" s="1"/>
  <c r="L1132" i="11"/>
  <c r="R1132" i="11"/>
  <c r="O1132" i="11" s="1"/>
  <c r="L1133" i="11"/>
  <c r="R1133" i="11"/>
  <c r="O1133" i="11" s="1"/>
  <c r="L1135" i="11"/>
  <c r="R1135" i="11"/>
  <c r="O1135" i="11" s="1"/>
  <c r="L1136" i="11"/>
  <c r="R1136" i="11"/>
  <c r="O1136" i="11" s="1"/>
  <c r="L1137" i="11"/>
  <c r="R1137" i="11"/>
  <c r="O1137" i="11" s="1"/>
  <c r="L1139" i="11"/>
  <c r="R1139" i="11"/>
  <c r="O1139" i="11" s="1"/>
  <c r="L1140" i="11"/>
  <c r="R1140" i="11"/>
  <c r="O1140" i="11" s="1"/>
  <c r="L1141" i="11"/>
  <c r="R1141" i="11"/>
  <c r="O1141" i="11" s="1"/>
  <c r="L1143" i="11"/>
  <c r="R1143" i="11"/>
  <c r="O1143" i="11" s="1"/>
  <c r="L1144" i="11"/>
  <c r="R1144" i="11"/>
  <c r="O1144" i="11" s="1"/>
  <c r="L1145" i="11"/>
  <c r="R1145" i="11"/>
  <c r="O1145" i="11" s="1"/>
  <c r="L1147" i="11"/>
  <c r="R1147" i="11"/>
  <c r="O1147" i="11" s="1"/>
  <c r="L1148" i="11"/>
  <c r="R1148" i="11"/>
  <c r="O1148" i="11" s="1"/>
  <c r="L1149" i="11"/>
  <c r="R1149" i="11"/>
  <c r="O1149" i="11" s="1"/>
  <c r="L1151" i="11"/>
  <c r="R1151" i="11"/>
  <c r="O1151" i="11" s="1"/>
  <c r="L1152" i="11"/>
  <c r="R1152" i="11"/>
  <c r="O1152" i="11" s="1"/>
  <c r="L1153" i="11"/>
  <c r="R1153" i="11"/>
  <c r="O1153" i="11" s="1"/>
  <c r="L1155" i="11"/>
  <c r="R1155" i="11"/>
  <c r="O1155" i="11" s="1"/>
  <c r="L1156" i="11"/>
  <c r="R1156" i="11"/>
  <c r="O1156" i="11" s="1"/>
  <c r="L1157" i="11"/>
  <c r="R1157" i="11"/>
  <c r="O1157" i="11" s="1"/>
  <c r="L1159" i="11"/>
  <c r="R1159" i="11"/>
  <c r="O1159" i="11" s="1"/>
  <c r="O730" i="8"/>
  <c r="C730" i="11" s="1"/>
  <c r="M730" i="11" s="1"/>
  <c r="O726" i="8"/>
  <c r="C726" i="11" s="1"/>
  <c r="M726" i="11" s="1"/>
  <c r="O722" i="8"/>
  <c r="C722" i="11" s="1"/>
  <c r="M722" i="11" s="1"/>
  <c r="O718" i="8"/>
  <c r="C718" i="11" s="1"/>
  <c r="M718" i="11" s="1"/>
  <c r="O714" i="8"/>
  <c r="C714" i="11" s="1"/>
  <c r="M714" i="11" s="1"/>
  <c r="O710" i="8"/>
  <c r="C710" i="11" s="1"/>
  <c r="M710" i="11" s="1"/>
  <c r="O706" i="8"/>
  <c r="C706" i="11" s="1"/>
  <c r="M706" i="11" s="1"/>
  <c r="O702" i="8"/>
  <c r="C702" i="11" s="1"/>
  <c r="M702" i="11" s="1"/>
  <c r="O698" i="8"/>
  <c r="C698" i="11" s="1"/>
  <c r="M698" i="11" s="1"/>
  <c r="O694" i="8"/>
  <c r="C694" i="11" s="1"/>
  <c r="M694" i="11" s="1"/>
  <c r="O690" i="8"/>
  <c r="C690" i="11" s="1"/>
  <c r="M690" i="11" s="1"/>
  <c r="O686" i="8"/>
  <c r="C686" i="11" s="1"/>
  <c r="M686" i="11" s="1"/>
  <c r="O682" i="8"/>
  <c r="C682" i="11" s="1"/>
  <c r="M682" i="11" s="1"/>
  <c r="O678" i="8"/>
  <c r="C678" i="11" s="1"/>
  <c r="M678" i="11" s="1"/>
  <c r="O674" i="8"/>
  <c r="C674" i="11" s="1"/>
  <c r="M674" i="11" s="1"/>
  <c r="O670" i="8"/>
  <c r="C670" i="11" s="1"/>
  <c r="M670" i="11" s="1"/>
  <c r="O666" i="8"/>
  <c r="C666" i="11" s="1"/>
  <c r="M666" i="11" s="1"/>
  <c r="O662" i="8"/>
  <c r="C662" i="11" s="1"/>
  <c r="M662" i="11" s="1"/>
  <c r="O658" i="8"/>
  <c r="C658" i="11" s="1"/>
  <c r="M658" i="11" s="1"/>
  <c r="O654" i="8"/>
  <c r="C654" i="11" s="1"/>
  <c r="M654" i="11" s="1"/>
  <c r="O650" i="8"/>
  <c r="C650" i="11" s="1"/>
  <c r="M650" i="11" s="1"/>
  <c r="O646" i="8"/>
  <c r="C646" i="11" s="1"/>
  <c r="M646" i="11" s="1"/>
  <c r="O642" i="8"/>
  <c r="C642" i="11" s="1"/>
  <c r="M642" i="11" s="1"/>
  <c r="O638" i="8"/>
  <c r="C638" i="11" s="1"/>
  <c r="M638" i="11" s="1"/>
  <c r="O634" i="8"/>
  <c r="C634" i="11" s="1"/>
  <c r="M634" i="11" s="1"/>
  <c r="O630" i="8"/>
  <c r="C630" i="11" s="1"/>
  <c r="M630" i="11" s="1"/>
  <c r="O626" i="8"/>
  <c r="C626" i="11" s="1"/>
  <c r="M626" i="11" s="1"/>
  <c r="O622" i="8"/>
  <c r="C622" i="11" s="1"/>
  <c r="M622" i="11" s="1"/>
  <c r="O618" i="8"/>
  <c r="C618" i="11" s="1"/>
  <c r="M618" i="11" s="1"/>
  <c r="O614" i="8"/>
  <c r="C614" i="11" s="1"/>
  <c r="M614" i="11" s="1"/>
  <c r="O610" i="8"/>
  <c r="C610" i="11" s="1"/>
  <c r="M610" i="11" s="1"/>
  <c r="O606" i="8"/>
  <c r="C606" i="11" s="1"/>
  <c r="M606" i="11" s="1"/>
  <c r="O602" i="8"/>
  <c r="C602" i="11" s="1"/>
  <c r="M602" i="11" s="1"/>
  <c r="O598" i="8"/>
  <c r="C598" i="11" s="1"/>
  <c r="M598" i="11" s="1"/>
  <c r="O594" i="8"/>
  <c r="C594" i="11" s="1"/>
  <c r="M594" i="11" s="1"/>
  <c r="O590" i="8"/>
  <c r="C590" i="11" s="1"/>
  <c r="M590" i="11" s="1"/>
  <c r="O586" i="8"/>
  <c r="C586" i="11" s="1"/>
  <c r="M586" i="11" s="1"/>
  <c r="O582" i="8"/>
  <c r="C582" i="11" s="1"/>
  <c r="M582" i="11" s="1"/>
  <c r="O578" i="8"/>
  <c r="C578" i="11" s="1"/>
  <c r="M578" i="11" s="1"/>
  <c r="O574" i="8"/>
  <c r="C574" i="11" s="1"/>
  <c r="M574" i="11" s="1"/>
  <c r="O570" i="8"/>
  <c r="C570" i="11" s="1"/>
  <c r="M570" i="11" s="1"/>
  <c r="O566" i="8"/>
  <c r="C566" i="11" s="1"/>
  <c r="M566" i="11" s="1"/>
  <c r="O562" i="8"/>
  <c r="C562" i="11" s="1"/>
  <c r="M562" i="11" s="1"/>
  <c r="O558" i="8"/>
  <c r="C558" i="11" s="1"/>
  <c r="M558" i="11" s="1"/>
  <c r="O554" i="8"/>
  <c r="C554" i="11" s="1"/>
  <c r="M554" i="11" s="1"/>
  <c r="O550" i="8"/>
  <c r="C550" i="11" s="1"/>
  <c r="M550" i="11" s="1"/>
  <c r="O546" i="8"/>
  <c r="C546" i="11" s="1"/>
  <c r="M546" i="11" s="1"/>
  <c r="O542" i="8"/>
  <c r="C542" i="11" s="1"/>
  <c r="M542" i="11" s="1"/>
  <c r="O538" i="8"/>
  <c r="C538" i="11" s="1"/>
  <c r="M538" i="11" s="1"/>
  <c r="O534" i="8"/>
  <c r="C534" i="11" s="1"/>
  <c r="M534" i="11" s="1"/>
  <c r="O530" i="8"/>
  <c r="C530" i="11" s="1"/>
  <c r="M530" i="11" s="1"/>
  <c r="O526" i="8"/>
  <c r="C526" i="11" s="1"/>
  <c r="M526" i="11" s="1"/>
  <c r="O522" i="8"/>
  <c r="C522" i="11" s="1"/>
  <c r="M522" i="11" s="1"/>
  <c r="O518" i="8"/>
  <c r="C518" i="11" s="1"/>
  <c r="M518" i="11" s="1"/>
  <c r="O514" i="8"/>
  <c r="C514" i="11" s="1"/>
  <c r="M514" i="11" s="1"/>
  <c r="O510" i="8"/>
  <c r="C510" i="11" s="1"/>
  <c r="M510" i="11" s="1"/>
  <c r="O506" i="8"/>
  <c r="C506" i="11" s="1"/>
  <c r="M506" i="11" s="1"/>
  <c r="O502" i="8"/>
  <c r="C502" i="11" s="1"/>
  <c r="M502" i="11" s="1"/>
  <c r="O498" i="8"/>
  <c r="C498" i="11" s="1"/>
  <c r="M498" i="11" s="1"/>
  <c r="O494" i="8"/>
  <c r="C494" i="11" s="1"/>
  <c r="M494" i="11" s="1"/>
  <c r="O490" i="8"/>
  <c r="C490" i="11" s="1"/>
  <c r="M490" i="11" s="1"/>
  <c r="O486" i="8"/>
  <c r="C486" i="11" s="1"/>
  <c r="M486" i="11" s="1"/>
  <c r="O482" i="8"/>
  <c r="C482" i="11" s="1"/>
  <c r="M482" i="11" s="1"/>
  <c r="O478" i="8"/>
  <c r="C478" i="11" s="1"/>
  <c r="M478" i="11" s="1"/>
  <c r="O474" i="8"/>
  <c r="C474" i="11" s="1"/>
  <c r="M474" i="11" s="1"/>
  <c r="O470" i="8"/>
  <c r="C470" i="11" s="1"/>
  <c r="M470" i="11" s="1"/>
  <c r="O466" i="8"/>
  <c r="C466" i="11" s="1"/>
  <c r="M466" i="11" s="1"/>
  <c r="O462" i="8"/>
  <c r="C462" i="11" s="1"/>
  <c r="M462" i="11" s="1"/>
  <c r="O458" i="8"/>
  <c r="C458" i="11" s="1"/>
  <c r="M458" i="11" s="1"/>
  <c r="O454" i="8"/>
  <c r="C454" i="11" s="1"/>
  <c r="M454" i="11" s="1"/>
  <c r="O450" i="8"/>
  <c r="C450" i="11" s="1"/>
  <c r="M450" i="11" s="1"/>
  <c r="O446" i="8"/>
  <c r="C446" i="11" s="1"/>
  <c r="M446" i="11" s="1"/>
  <c r="O442" i="8"/>
  <c r="C442" i="11" s="1"/>
  <c r="M442" i="11" s="1"/>
  <c r="O438" i="8"/>
  <c r="C438" i="11" s="1"/>
  <c r="M438" i="11" s="1"/>
  <c r="O434" i="8"/>
  <c r="C434" i="11" s="1"/>
  <c r="M434" i="11" s="1"/>
  <c r="O430" i="8"/>
  <c r="C430" i="11" s="1"/>
  <c r="M430" i="11" s="1"/>
  <c r="O426" i="8"/>
  <c r="C426" i="11" s="1"/>
  <c r="M426" i="11" s="1"/>
  <c r="O422" i="8"/>
  <c r="C422" i="11" s="1"/>
  <c r="M422" i="11" s="1"/>
  <c r="O418" i="8"/>
  <c r="C418" i="11" s="1"/>
  <c r="M418" i="11" s="1"/>
  <c r="O414" i="8"/>
  <c r="C414" i="11" s="1"/>
  <c r="M414" i="11" s="1"/>
  <c r="O410" i="8"/>
  <c r="C410" i="11" s="1"/>
  <c r="M410" i="11" s="1"/>
  <c r="O406" i="8"/>
  <c r="C406" i="11" s="1"/>
  <c r="M406" i="11" s="1"/>
  <c r="O402" i="8"/>
  <c r="C402" i="11" s="1"/>
  <c r="M402" i="11" s="1"/>
  <c r="O398" i="8"/>
  <c r="C398" i="11" s="1"/>
  <c r="M398" i="11" s="1"/>
  <c r="O394" i="8"/>
  <c r="C394" i="11" s="1"/>
  <c r="M394" i="11" s="1"/>
  <c r="O390" i="8"/>
  <c r="C390" i="11" s="1"/>
  <c r="M390" i="11" s="1"/>
  <c r="O386" i="8"/>
  <c r="C386" i="11" s="1"/>
  <c r="M386" i="11" s="1"/>
  <c r="O382" i="8"/>
  <c r="C382" i="11" s="1"/>
  <c r="M382" i="11" s="1"/>
  <c r="O378" i="8"/>
  <c r="C378" i="11" s="1"/>
  <c r="M378" i="11" s="1"/>
  <c r="O374" i="8"/>
  <c r="C374" i="11" s="1"/>
  <c r="M374" i="11" s="1"/>
  <c r="O370" i="8"/>
  <c r="C370" i="11" s="1"/>
  <c r="M370" i="11" s="1"/>
  <c r="O366" i="8"/>
  <c r="C366" i="11" s="1"/>
  <c r="M366" i="11" s="1"/>
  <c r="O362" i="8"/>
  <c r="C362" i="11" s="1"/>
  <c r="M362" i="11" s="1"/>
  <c r="O358" i="8"/>
  <c r="C358" i="11" s="1"/>
  <c r="M358" i="11" s="1"/>
  <c r="O354" i="8"/>
  <c r="C354" i="11" s="1"/>
  <c r="M354" i="11" s="1"/>
  <c r="O350" i="8"/>
  <c r="C350" i="11" s="1"/>
  <c r="M350" i="11" s="1"/>
  <c r="O346" i="8"/>
  <c r="C346" i="11" s="1"/>
  <c r="M346" i="11" s="1"/>
  <c r="O342" i="8"/>
  <c r="C342" i="11" s="1"/>
  <c r="M342" i="11" s="1"/>
  <c r="O338" i="8"/>
  <c r="C338" i="11" s="1"/>
  <c r="M338" i="11" s="1"/>
  <c r="O334" i="8"/>
  <c r="C334" i="11" s="1"/>
  <c r="M334" i="11" s="1"/>
  <c r="O330" i="8"/>
  <c r="C330" i="11" s="1"/>
  <c r="M330" i="11" s="1"/>
  <c r="O326" i="8"/>
  <c r="C326" i="11" s="1"/>
  <c r="M326" i="11" s="1"/>
  <c r="O322" i="8"/>
  <c r="C322" i="11" s="1"/>
  <c r="M322" i="11" s="1"/>
  <c r="O318" i="8"/>
  <c r="C318" i="11" s="1"/>
  <c r="M318" i="11" s="1"/>
  <c r="O314" i="8"/>
  <c r="C314" i="11" s="1"/>
  <c r="M314" i="11" s="1"/>
  <c r="O310" i="8"/>
  <c r="C310" i="11" s="1"/>
  <c r="M310" i="11" s="1"/>
  <c r="O306" i="8"/>
  <c r="C306" i="11" s="1"/>
  <c r="M306" i="11" s="1"/>
  <c r="O302" i="8"/>
  <c r="C302" i="11" s="1"/>
  <c r="M302" i="11" s="1"/>
  <c r="O298" i="8"/>
  <c r="C298" i="11" s="1"/>
  <c r="M298" i="11" s="1"/>
  <c r="O294" i="8"/>
  <c r="C294" i="11" s="1"/>
  <c r="M294" i="11" s="1"/>
  <c r="O290" i="8"/>
  <c r="C290" i="11" s="1"/>
  <c r="M290" i="11" s="1"/>
  <c r="O286" i="8"/>
  <c r="C286" i="11" s="1"/>
  <c r="M286" i="11" s="1"/>
  <c r="O282" i="8"/>
  <c r="C282" i="11" s="1"/>
  <c r="M282" i="11" s="1"/>
  <c r="O278" i="8"/>
  <c r="C278" i="11" s="1"/>
  <c r="M278" i="11" s="1"/>
  <c r="O274" i="8"/>
  <c r="C274" i="11" s="1"/>
  <c r="M274" i="11" s="1"/>
  <c r="O270" i="8"/>
  <c r="C270" i="11" s="1"/>
  <c r="M270" i="11" s="1"/>
  <c r="O266" i="8"/>
  <c r="C266" i="11" s="1"/>
  <c r="M266" i="11" s="1"/>
  <c r="O262" i="8"/>
  <c r="C262" i="11" s="1"/>
  <c r="M262" i="11" s="1"/>
  <c r="O258" i="8"/>
  <c r="C258" i="11" s="1"/>
  <c r="M258" i="11" s="1"/>
  <c r="O254" i="8"/>
  <c r="C254" i="11" s="1"/>
  <c r="M254" i="11" s="1"/>
  <c r="O250" i="8"/>
  <c r="C250" i="11" s="1"/>
  <c r="M250" i="11" s="1"/>
  <c r="O246" i="8"/>
  <c r="C246" i="11" s="1"/>
  <c r="M246" i="11" s="1"/>
  <c r="O242" i="8"/>
  <c r="C242" i="11" s="1"/>
  <c r="M242" i="11" s="1"/>
  <c r="O238" i="8"/>
  <c r="C238" i="11" s="1"/>
  <c r="M238" i="11" s="1"/>
  <c r="O234" i="8"/>
  <c r="C234" i="11" s="1"/>
  <c r="M234" i="11" s="1"/>
  <c r="O230" i="8"/>
  <c r="C230" i="11" s="1"/>
  <c r="M230" i="11" s="1"/>
  <c r="O226" i="8"/>
  <c r="C226" i="11" s="1"/>
  <c r="M226" i="11" s="1"/>
  <c r="O222" i="8"/>
  <c r="C222" i="11" s="1"/>
  <c r="M222" i="11" s="1"/>
  <c r="O218" i="8"/>
  <c r="C218" i="11" s="1"/>
  <c r="M218" i="11" s="1"/>
  <c r="O214" i="8"/>
  <c r="C214" i="11" s="1"/>
  <c r="M214" i="11" s="1"/>
  <c r="O210" i="8"/>
  <c r="C210" i="11" s="1"/>
  <c r="M210" i="11" s="1"/>
  <c r="O206" i="8"/>
  <c r="C206" i="11" s="1"/>
  <c r="M206" i="11" s="1"/>
  <c r="O202" i="8"/>
  <c r="C202" i="11" s="1"/>
  <c r="M202" i="11" s="1"/>
  <c r="O198" i="8"/>
  <c r="C198" i="11" s="1"/>
  <c r="M198" i="11" s="1"/>
  <c r="O194" i="8"/>
  <c r="C194" i="11" s="1"/>
  <c r="M194" i="11" s="1"/>
  <c r="O190" i="8"/>
  <c r="C190" i="11" s="1"/>
  <c r="M190" i="11" s="1"/>
  <c r="O186" i="8"/>
  <c r="C186" i="11" s="1"/>
  <c r="M186" i="11" s="1"/>
  <c r="O182" i="8"/>
  <c r="C182" i="11" s="1"/>
  <c r="M182" i="11" s="1"/>
  <c r="O178" i="8"/>
  <c r="C178" i="11" s="1"/>
  <c r="M178" i="11" s="1"/>
  <c r="O174" i="8"/>
  <c r="C174" i="11" s="1"/>
  <c r="M174" i="11" s="1"/>
  <c r="O170" i="8"/>
  <c r="C170" i="11" s="1"/>
  <c r="M170" i="11" s="1"/>
  <c r="O166" i="8"/>
  <c r="C166" i="11" s="1"/>
  <c r="M166" i="11" s="1"/>
  <c r="O162" i="8"/>
  <c r="C162" i="11" s="1"/>
  <c r="M162" i="11" s="1"/>
  <c r="O158" i="8"/>
  <c r="C158" i="11" s="1"/>
  <c r="M158" i="11" s="1"/>
  <c r="O154" i="8"/>
  <c r="C154" i="11" s="1"/>
  <c r="M154" i="11" s="1"/>
  <c r="O150" i="8"/>
  <c r="C150" i="11" s="1"/>
  <c r="M150" i="11" s="1"/>
  <c r="O146" i="8"/>
  <c r="C146" i="11" s="1"/>
  <c r="M146" i="11" s="1"/>
  <c r="O142" i="8"/>
  <c r="C142" i="11" s="1"/>
  <c r="M142" i="11" s="1"/>
  <c r="O138" i="8"/>
  <c r="C138" i="11" s="1"/>
  <c r="M138" i="11" s="1"/>
  <c r="O134" i="8"/>
  <c r="C134" i="11" s="1"/>
  <c r="M134" i="11" s="1"/>
  <c r="O130" i="8"/>
  <c r="C130" i="11" s="1"/>
  <c r="M130" i="11" s="1"/>
  <c r="O126" i="8"/>
  <c r="C126" i="11" s="1"/>
  <c r="M126" i="11" s="1"/>
  <c r="O122" i="8"/>
  <c r="C122" i="11" s="1"/>
  <c r="M122" i="11" s="1"/>
  <c r="O118" i="8"/>
  <c r="C118" i="11" s="1"/>
  <c r="M118" i="11" s="1"/>
  <c r="O114" i="8"/>
  <c r="C114" i="11" s="1"/>
  <c r="M114" i="11" s="1"/>
  <c r="O110" i="8"/>
  <c r="C110" i="11" s="1"/>
  <c r="M110" i="11" s="1"/>
  <c r="O106" i="8"/>
  <c r="C106" i="11" s="1"/>
  <c r="M106" i="11" s="1"/>
  <c r="O102" i="8"/>
  <c r="C102" i="11" s="1"/>
  <c r="M102" i="11" s="1"/>
  <c r="O98" i="8"/>
  <c r="C98" i="11" s="1"/>
  <c r="M98" i="11" s="1"/>
  <c r="O94" i="8"/>
  <c r="C94" i="11" s="1"/>
  <c r="M94" i="11" s="1"/>
  <c r="O90" i="8"/>
  <c r="C90" i="11" s="1"/>
  <c r="M90" i="11" s="1"/>
  <c r="O86" i="8"/>
  <c r="C86" i="11" s="1"/>
  <c r="M86" i="11" s="1"/>
  <c r="O82" i="8"/>
  <c r="C82" i="11" s="1"/>
  <c r="M82" i="11" s="1"/>
  <c r="O78" i="8"/>
  <c r="C78" i="11" s="1"/>
  <c r="M78" i="11" s="1"/>
  <c r="O74" i="8"/>
  <c r="C74" i="11" s="1"/>
  <c r="M74" i="11" s="1"/>
  <c r="O70" i="8"/>
  <c r="C70" i="11" s="1"/>
  <c r="M70" i="11" s="1"/>
  <c r="O66" i="8"/>
  <c r="C66" i="11" s="1"/>
  <c r="M66" i="11" s="1"/>
  <c r="O62" i="8"/>
  <c r="C62" i="11" s="1"/>
  <c r="M62" i="11" s="1"/>
  <c r="O58" i="8"/>
  <c r="C58" i="11" s="1"/>
  <c r="M58" i="11" s="1"/>
  <c r="O54" i="8"/>
  <c r="C54" i="11" s="1"/>
  <c r="M54" i="11" s="1"/>
  <c r="O50" i="8"/>
  <c r="C50" i="11" s="1"/>
  <c r="M50" i="11" s="1"/>
  <c r="O46" i="8"/>
  <c r="C46" i="11" s="1"/>
  <c r="M46" i="11" s="1"/>
  <c r="O42" i="8"/>
  <c r="C42" i="11" s="1"/>
  <c r="M42" i="11" s="1"/>
  <c r="O38" i="8"/>
  <c r="C38" i="11" s="1"/>
  <c r="M38" i="11" s="1"/>
  <c r="O34" i="8"/>
  <c r="C34" i="11" s="1"/>
  <c r="M34" i="11" s="1"/>
  <c r="O30" i="8"/>
  <c r="C30" i="11" s="1"/>
  <c r="M30" i="11" s="1"/>
  <c r="O26" i="8"/>
  <c r="C26" i="11" s="1"/>
  <c r="M26" i="11" s="1"/>
  <c r="O22" i="8"/>
  <c r="C22" i="11" s="1"/>
  <c r="M22" i="11" s="1"/>
  <c r="O18" i="8"/>
  <c r="C18" i="11" s="1"/>
  <c r="M18" i="11" s="1"/>
  <c r="O14" i="8"/>
  <c r="C14" i="11" s="1"/>
  <c r="M14" i="11" s="1"/>
  <c r="O10" i="8"/>
  <c r="C10" i="11" s="1"/>
  <c r="M10" i="11" s="1"/>
  <c r="O6" i="8"/>
  <c r="C6" i="11" s="1"/>
  <c r="M6" i="11" s="1"/>
  <c r="N1210" i="8"/>
  <c r="B1210" i="11" s="1"/>
  <c r="N1206" i="8"/>
  <c r="B1206" i="11" s="1"/>
  <c r="N1202" i="8"/>
  <c r="B1202" i="11" s="1"/>
  <c r="N1198" i="8"/>
  <c r="B1198" i="11" s="1"/>
  <c r="N1194" i="8"/>
  <c r="B1194" i="11" s="1"/>
  <c r="N1190" i="8"/>
  <c r="B1190" i="11" s="1"/>
  <c r="N1186" i="8"/>
  <c r="B1186" i="11" s="1"/>
  <c r="N1182" i="8"/>
  <c r="B1182" i="11" s="1"/>
  <c r="N1178" i="8"/>
  <c r="B1178" i="11" s="1"/>
  <c r="N1174" i="8"/>
  <c r="B1174" i="11" s="1"/>
  <c r="N1170" i="8"/>
  <c r="B1170" i="11" s="1"/>
  <c r="N1166" i="8"/>
  <c r="B1166" i="11" s="1"/>
  <c r="N1162" i="8"/>
  <c r="B1162" i="11" s="1"/>
  <c r="N1158" i="8"/>
  <c r="B1158" i="11" s="1"/>
  <c r="N1154" i="8"/>
  <c r="B1154" i="11" s="1"/>
  <c r="N1150" i="8"/>
  <c r="B1150" i="11" s="1"/>
  <c r="N1146" i="8"/>
  <c r="B1146" i="11" s="1"/>
  <c r="N1142" i="8"/>
  <c r="B1142" i="11" s="1"/>
  <c r="N1138" i="8"/>
  <c r="B1138" i="11" s="1"/>
  <c r="N1134" i="8"/>
  <c r="B1134" i="11" s="1"/>
  <c r="N1130" i="8"/>
  <c r="B1130" i="11" s="1"/>
  <c r="N1126" i="8"/>
  <c r="B1126" i="11" s="1"/>
  <c r="N1122" i="8"/>
  <c r="B1122" i="11" s="1"/>
  <c r="N1118" i="8"/>
  <c r="B1118" i="11" s="1"/>
  <c r="N1114" i="8"/>
  <c r="B1114" i="11" s="1"/>
  <c r="N1110" i="8"/>
  <c r="B1110" i="11" s="1"/>
  <c r="N1106" i="8"/>
  <c r="B1106" i="11" s="1"/>
  <c r="N1102" i="8"/>
  <c r="B1102" i="11" s="1"/>
  <c r="N1098" i="8"/>
  <c r="B1098" i="11" s="1"/>
  <c r="N1094" i="8"/>
  <c r="B1094" i="11" s="1"/>
  <c r="N1090" i="8"/>
  <c r="B1090" i="11" s="1"/>
  <c r="N1086" i="8"/>
  <c r="B1086" i="11" s="1"/>
  <c r="N1082" i="8"/>
  <c r="B1082" i="11" s="1"/>
  <c r="N1078" i="8"/>
  <c r="B1078" i="11" s="1"/>
  <c r="N1074" i="8"/>
  <c r="B1074" i="11" s="1"/>
  <c r="N1070" i="8"/>
  <c r="B1070" i="11" s="1"/>
  <c r="N1066" i="8"/>
  <c r="B1066" i="11" s="1"/>
  <c r="N1062" i="8"/>
  <c r="B1062" i="11" s="1"/>
  <c r="N1058" i="8"/>
  <c r="B1058" i="11" s="1"/>
  <c r="N1054" i="8"/>
  <c r="B1054" i="11" s="1"/>
  <c r="N1050" i="8"/>
  <c r="B1050" i="11" s="1"/>
  <c r="N1046" i="8"/>
  <c r="B1046" i="11" s="1"/>
  <c r="N1042" i="8"/>
  <c r="B1042" i="11" s="1"/>
  <c r="N1038" i="8"/>
  <c r="B1038" i="11" s="1"/>
  <c r="N1034" i="8"/>
  <c r="B1034" i="11" s="1"/>
  <c r="N1030" i="8"/>
  <c r="B1030" i="11" s="1"/>
  <c r="N1026" i="8"/>
  <c r="B1026" i="11" s="1"/>
  <c r="N1022" i="8"/>
  <c r="B1022" i="11" s="1"/>
  <c r="N1018" i="8"/>
  <c r="B1018" i="11" s="1"/>
  <c r="N1014" i="8"/>
  <c r="B1014" i="11" s="1"/>
  <c r="N1010" i="8"/>
  <c r="B1010" i="11" s="1"/>
  <c r="N1006" i="8"/>
  <c r="B1006" i="11" s="1"/>
  <c r="N1002" i="8"/>
  <c r="B1002" i="11" s="1"/>
  <c r="N998" i="8"/>
  <c r="B998" i="11" s="1"/>
  <c r="N994" i="8"/>
  <c r="B994" i="11" s="1"/>
  <c r="N990" i="8"/>
  <c r="B990" i="11" s="1"/>
  <c r="N986" i="8"/>
  <c r="B986" i="11" s="1"/>
  <c r="N982" i="8"/>
  <c r="B982" i="11" s="1"/>
  <c r="N978" i="8"/>
  <c r="B978" i="11" s="1"/>
  <c r="N974" i="8"/>
  <c r="B974" i="11" s="1"/>
  <c r="N970" i="8"/>
  <c r="B970" i="11" s="1"/>
  <c r="N966" i="8"/>
  <c r="B966" i="11" s="1"/>
  <c r="N962" i="8"/>
  <c r="B962" i="11" s="1"/>
  <c r="N958" i="8"/>
  <c r="B958" i="11" s="1"/>
  <c r="N954" i="8"/>
  <c r="B954" i="11" s="1"/>
  <c r="N950" i="8"/>
  <c r="B950" i="11" s="1"/>
  <c r="N946" i="8"/>
  <c r="B946" i="11" s="1"/>
  <c r="N942" i="8"/>
  <c r="B942" i="11" s="1"/>
  <c r="N938" i="8"/>
  <c r="B938" i="11" s="1"/>
  <c r="N934" i="8"/>
  <c r="B934" i="11" s="1"/>
  <c r="N930" i="8"/>
  <c r="B930" i="11" s="1"/>
  <c r="N926" i="8"/>
  <c r="B926" i="11" s="1"/>
  <c r="N922" i="8"/>
  <c r="B922" i="11" s="1"/>
  <c r="N918" i="8"/>
  <c r="B918" i="11" s="1"/>
  <c r="N914" i="8"/>
  <c r="B914" i="11" s="1"/>
  <c r="N910" i="8"/>
  <c r="B910" i="11" s="1"/>
  <c r="N906" i="8"/>
  <c r="B906" i="11" s="1"/>
  <c r="N902" i="8"/>
  <c r="B902" i="11" s="1"/>
  <c r="N898" i="8"/>
  <c r="B898" i="11" s="1"/>
  <c r="N894" i="8"/>
  <c r="B894" i="11" s="1"/>
  <c r="N890" i="8"/>
  <c r="B890" i="11" s="1"/>
  <c r="N886" i="8"/>
  <c r="B886" i="11" s="1"/>
  <c r="N882" i="8"/>
  <c r="B882" i="11" s="1"/>
  <c r="N878" i="8"/>
  <c r="B878" i="11" s="1"/>
  <c r="N874" i="8"/>
  <c r="B874" i="11" s="1"/>
  <c r="N870" i="8"/>
  <c r="B870" i="11" s="1"/>
  <c r="N866" i="8"/>
  <c r="B866" i="11" s="1"/>
  <c r="N862" i="8"/>
  <c r="B862" i="11" s="1"/>
  <c r="N858" i="8"/>
  <c r="B858" i="11" s="1"/>
  <c r="N854" i="8"/>
  <c r="B854" i="11" s="1"/>
  <c r="N850" i="8"/>
  <c r="B850" i="11" s="1"/>
  <c r="N846" i="8"/>
  <c r="B846" i="11" s="1"/>
  <c r="N842" i="8"/>
  <c r="B842" i="11" s="1"/>
  <c r="N838" i="8"/>
  <c r="B838" i="11" s="1"/>
  <c r="N834" i="8"/>
  <c r="B834" i="11" s="1"/>
  <c r="N830" i="8"/>
  <c r="B830" i="11" s="1"/>
  <c r="N826" i="8"/>
  <c r="B826" i="11" s="1"/>
  <c r="N822" i="8"/>
  <c r="B822" i="11" s="1"/>
  <c r="N818" i="8"/>
  <c r="B818" i="11" s="1"/>
  <c r="N814" i="8"/>
  <c r="B814" i="11" s="1"/>
  <c r="N810" i="8"/>
  <c r="B810" i="11" s="1"/>
  <c r="N806" i="8"/>
  <c r="B806" i="11" s="1"/>
  <c r="N802" i="8"/>
  <c r="B802" i="11" s="1"/>
  <c r="N798" i="8"/>
  <c r="B798" i="11" s="1"/>
  <c r="N794" i="8"/>
  <c r="B794" i="11" s="1"/>
  <c r="N790" i="8"/>
  <c r="B790" i="11" s="1"/>
  <c r="N786" i="8"/>
  <c r="B786" i="11" s="1"/>
  <c r="N782" i="8"/>
  <c r="B782" i="11" s="1"/>
  <c r="N778" i="8"/>
  <c r="B778" i="11" s="1"/>
  <c r="N774" i="8"/>
  <c r="B774" i="11" s="1"/>
  <c r="N770" i="8"/>
  <c r="B770" i="11" s="1"/>
  <c r="N766" i="8"/>
  <c r="B766" i="11" s="1"/>
  <c r="N762" i="8"/>
  <c r="B762" i="11" s="1"/>
  <c r="N758" i="8"/>
  <c r="B758" i="11" s="1"/>
  <c r="N754" i="8"/>
  <c r="B754" i="11" s="1"/>
  <c r="N750" i="8"/>
  <c r="B750" i="11" s="1"/>
  <c r="N746" i="8"/>
  <c r="B746" i="11" s="1"/>
  <c r="N742" i="8"/>
  <c r="B742" i="11" s="1"/>
  <c r="N738" i="8"/>
  <c r="B738" i="11" s="1"/>
  <c r="N734" i="8"/>
  <c r="B734" i="11" s="1"/>
  <c r="N730" i="8"/>
  <c r="B730" i="11" s="1"/>
  <c r="N726" i="8"/>
  <c r="B726" i="11" s="1"/>
  <c r="N722" i="8"/>
  <c r="B722" i="11" s="1"/>
  <c r="N718" i="8"/>
  <c r="B718" i="11" s="1"/>
  <c r="N714" i="8"/>
  <c r="B714" i="11" s="1"/>
  <c r="N710" i="8"/>
  <c r="B710" i="11" s="1"/>
  <c r="N706" i="8"/>
  <c r="B706" i="11" s="1"/>
  <c r="N702" i="8"/>
  <c r="B702" i="11" s="1"/>
  <c r="N698" i="8"/>
  <c r="B698" i="11" s="1"/>
  <c r="N694" i="8"/>
  <c r="B694" i="11" s="1"/>
  <c r="N690" i="8"/>
  <c r="B690" i="11" s="1"/>
  <c r="N686" i="8"/>
  <c r="B686" i="11" s="1"/>
  <c r="N682" i="8"/>
  <c r="B682" i="11" s="1"/>
  <c r="N678" i="8"/>
  <c r="B678" i="11" s="1"/>
  <c r="N674" i="8"/>
  <c r="B674" i="11" s="1"/>
  <c r="N670" i="8"/>
  <c r="B670" i="11" s="1"/>
  <c r="N666" i="8"/>
  <c r="B666" i="11" s="1"/>
  <c r="N662" i="8"/>
  <c r="B662" i="11" s="1"/>
  <c r="N658" i="8"/>
  <c r="B658" i="11" s="1"/>
  <c r="N654" i="8"/>
  <c r="B654" i="11" s="1"/>
  <c r="N650" i="8"/>
  <c r="B650" i="11" s="1"/>
  <c r="N646" i="8"/>
  <c r="B646" i="11" s="1"/>
  <c r="N642" i="8"/>
  <c r="B642" i="11" s="1"/>
  <c r="N638" i="8"/>
  <c r="B638" i="11" s="1"/>
  <c r="N634" i="8"/>
  <c r="B634" i="11" s="1"/>
  <c r="N630" i="8"/>
  <c r="B630" i="11" s="1"/>
  <c r="N626" i="8"/>
  <c r="B626" i="11" s="1"/>
  <c r="N622" i="8"/>
  <c r="B622" i="11" s="1"/>
  <c r="N618" i="8"/>
  <c r="B618" i="11" s="1"/>
  <c r="N614" i="8"/>
  <c r="B614" i="11" s="1"/>
  <c r="N610" i="8"/>
  <c r="B610" i="11" s="1"/>
  <c r="N606" i="8"/>
  <c r="B606" i="11" s="1"/>
  <c r="N602" i="8"/>
  <c r="B602" i="11" s="1"/>
  <c r="N598" i="8"/>
  <c r="B598" i="11" s="1"/>
  <c r="N594" i="8"/>
  <c r="B594" i="11" s="1"/>
  <c r="N590" i="8"/>
  <c r="B590" i="11" s="1"/>
  <c r="N586" i="8"/>
  <c r="B586" i="11" s="1"/>
  <c r="N582" i="8"/>
  <c r="B582" i="11" s="1"/>
  <c r="N578" i="8"/>
  <c r="B578" i="11" s="1"/>
  <c r="N574" i="8"/>
  <c r="B574" i="11" s="1"/>
  <c r="N570" i="8"/>
  <c r="B570" i="11" s="1"/>
  <c r="N566" i="8"/>
  <c r="B566" i="11" s="1"/>
  <c r="N562" i="8"/>
  <c r="B562" i="11" s="1"/>
  <c r="N558" i="8"/>
  <c r="B558" i="11" s="1"/>
  <c r="N554" i="8"/>
  <c r="B554" i="11" s="1"/>
  <c r="N550" i="8"/>
  <c r="B550" i="11" s="1"/>
  <c r="N546" i="8"/>
  <c r="B546" i="11" s="1"/>
  <c r="N542" i="8"/>
  <c r="B542" i="11" s="1"/>
  <c r="N538" i="8"/>
  <c r="B538" i="11" s="1"/>
  <c r="N534" i="8"/>
  <c r="B534" i="11" s="1"/>
  <c r="N530" i="8"/>
  <c r="B530" i="11" s="1"/>
  <c r="N526" i="8"/>
  <c r="B526" i="11" s="1"/>
  <c r="N522" i="8"/>
  <c r="B522" i="11" s="1"/>
  <c r="N518" i="8"/>
  <c r="B518" i="11" s="1"/>
  <c r="N514" i="8"/>
  <c r="B514" i="11" s="1"/>
  <c r="N510" i="8"/>
  <c r="B510" i="11" s="1"/>
  <c r="N506" i="8"/>
  <c r="B506" i="11" s="1"/>
  <c r="N502" i="8"/>
  <c r="B502" i="11" s="1"/>
  <c r="N498" i="8"/>
  <c r="B498" i="11" s="1"/>
  <c r="N494" i="8"/>
  <c r="B494" i="11" s="1"/>
  <c r="N490" i="8"/>
  <c r="B490" i="11" s="1"/>
  <c r="N486" i="8"/>
  <c r="B486" i="11" s="1"/>
  <c r="N482" i="8"/>
  <c r="B482" i="11" s="1"/>
  <c r="N478" i="8"/>
  <c r="B478" i="11" s="1"/>
  <c r="N474" i="8"/>
  <c r="B474" i="11" s="1"/>
  <c r="N470" i="8"/>
  <c r="B470" i="11" s="1"/>
  <c r="N466" i="8"/>
  <c r="B466" i="11" s="1"/>
  <c r="N462" i="8"/>
  <c r="B462" i="11" s="1"/>
  <c r="N458" i="8"/>
  <c r="B458" i="11" s="1"/>
  <c r="N454" i="8"/>
  <c r="B454" i="11" s="1"/>
  <c r="N450" i="8"/>
  <c r="B450" i="11" s="1"/>
  <c r="N446" i="8"/>
  <c r="B446" i="11" s="1"/>
  <c r="N442" i="8"/>
  <c r="B442" i="11" s="1"/>
  <c r="N438" i="8"/>
  <c r="B438" i="11" s="1"/>
  <c r="N434" i="8"/>
  <c r="B434" i="11" s="1"/>
  <c r="N430" i="8"/>
  <c r="B430" i="11" s="1"/>
  <c r="N426" i="8"/>
  <c r="B426" i="11" s="1"/>
  <c r="N422" i="8"/>
  <c r="B422" i="11" s="1"/>
  <c r="N418" i="8"/>
  <c r="B418" i="11" s="1"/>
  <c r="N414" i="8"/>
  <c r="B414" i="11" s="1"/>
  <c r="N410" i="8"/>
  <c r="B410" i="11" s="1"/>
  <c r="N406" i="8"/>
  <c r="B406" i="11" s="1"/>
  <c r="N402" i="8"/>
  <c r="B402" i="11" s="1"/>
  <c r="N398" i="8"/>
  <c r="B398" i="11" s="1"/>
  <c r="N394" i="8"/>
  <c r="B394" i="11" s="1"/>
  <c r="N390" i="8"/>
  <c r="B390" i="11" s="1"/>
  <c r="N386" i="8"/>
  <c r="B386" i="11" s="1"/>
  <c r="N382" i="8"/>
  <c r="B382" i="11" s="1"/>
  <c r="N378" i="8"/>
  <c r="B378" i="11" s="1"/>
  <c r="N374" i="8"/>
  <c r="B374" i="11" s="1"/>
  <c r="N370" i="8"/>
  <c r="B370" i="11" s="1"/>
  <c r="N366" i="8"/>
  <c r="B366" i="11" s="1"/>
  <c r="N362" i="8"/>
  <c r="B362" i="11" s="1"/>
  <c r="N358" i="8"/>
  <c r="B358" i="11" s="1"/>
  <c r="N354" i="8"/>
  <c r="B354" i="11" s="1"/>
  <c r="N350" i="8"/>
  <c r="B350" i="11" s="1"/>
  <c r="N346" i="8"/>
  <c r="B346" i="11" s="1"/>
  <c r="N342" i="8"/>
  <c r="B342" i="11" s="1"/>
  <c r="N338" i="8"/>
  <c r="B338" i="11" s="1"/>
  <c r="N334" i="8"/>
  <c r="B334" i="11" s="1"/>
  <c r="N330" i="8"/>
  <c r="B330" i="11" s="1"/>
  <c r="N326" i="8"/>
  <c r="B326" i="11" s="1"/>
  <c r="N322" i="8"/>
  <c r="B322" i="11" s="1"/>
  <c r="N318" i="8"/>
  <c r="B318" i="11" s="1"/>
  <c r="N314" i="8"/>
  <c r="B314" i="11" s="1"/>
  <c r="N310" i="8"/>
  <c r="B310" i="11" s="1"/>
  <c r="N306" i="8"/>
  <c r="B306" i="11" s="1"/>
  <c r="N302" i="8"/>
  <c r="B302" i="11" s="1"/>
  <c r="N298" i="8"/>
  <c r="B298" i="11" s="1"/>
  <c r="N294" i="8"/>
  <c r="B294" i="11" s="1"/>
  <c r="N290" i="8"/>
  <c r="B290" i="11" s="1"/>
  <c r="N286" i="8"/>
  <c r="B286" i="11" s="1"/>
  <c r="N282" i="8"/>
  <c r="B282" i="11" s="1"/>
  <c r="N278" i="8"/>
  <c r="B278" i="11" s="1"/>
  <c r="N274" i="8"/>
  <c r="B274" i="11" s="1"/>
  <c r="N270" i="8"/>
  <c r="B270" i="11" s="1"/>
  <c r="N266" i="8"/>
  <c r="B266" i="11" s="1"/>
  <c r="N262" i="8"/>
  <c r="B262" i="11" s="1"/>
  <c r="N258" i="8"/>
  <c r="B258" i="11" s="1"/>
  <c r="N254" i="8"/>
  <c r="B254" i="11" s="1"/>
  <c r="N250" i="8"/>
  <c r="B250" i="11" s="1"/>
  <c r="N246" i="8"/>
  <c r="B246" i="11" s="1"/>
  <c r="N242" i="8"/>
  <c r="B242" i="11" s="1"/>
  <c r="N238" i="8"/>
  <c r="B238" i="11" s="1"/>
  <c r="N234" i="8"/>
  <c r="B234" i="11" s="1"/>
  <c r="N230" i="8"/>
  <c r="B230" i="11" s="1"/>
  <c r="N226" i="8"/>
  <c r="B226" i="11" s="1"/>
  <c r="N222" i="8"/>
  <c r="B222" i="11" s="1"/>
  <c r="N218" i="8"/>
  <c r="B218" i="11" s="1"/>
  <c r="N214" i="8"/>
  <c r="B214" i="11" s="1"/>
  <c r="N210" i="8"/>
  <c r="B210" i="11" s="1"/>
  <c r="N206" i="8"/>
  <c r="B206" i="11" s="1"/>
  <c r="N202" i="8"/>
  <c r="B202" i="11" s="1"/>
  <c r="N198" i="8"/>
  <c r="B198" i="11" s="1"/>
  <c r="N194" i="8"/>
  <c r="B194" i="11" s="1"/>
  <c r="N190" i="8"/>
  <c r="B190" i="11" s="1"/>
  <c r="N186" i="8"/>
  <c r="B186" i="11" s="1"/>
  <c r="N182" i="8"/>
  <c r="B182" i="11" s="1"/>
  <c r="N178" i="8"/>
  <c r="B178" i="11" s="1"/>
  <c r="N174" i="8"/>
  <c r="B174" i="11" s="1"/>
  <c r="N170" i="8"/>
  <c r="B170" i="11" s="1"/>
  <c r="N166" i="8"/>
  <c r="B166" i="11" s="1"/>
  <c r="N162" i="8"/>
  <c r="B162" i="11" s="1"/>
  <c r="N158" i="8"/>
  <c r="B158" i="11" s="1"/>
  <c r="N154" i="8"/>
  <c r="B154" i="11" s="1"/>
  <c r="N150" i="8"/>
  <c r="B150" i="11" s="1"/>
  <c r="N146" i="8"/>
  <c r="B146" i="11" s="1"/>
  <c r="N142" i="8"/>
  <c r="B142" i="11" s="1"/>
  <c r="N138" i="8"/>
  <c r="B138" i="11" s="1"/>
  <c r="N134" i="8"/>
  <c r="B134" i="11" s="1"/>
  <c r="N130" i="8"/>
  <c r="B130" i="11" s="1"/>
  <c r="N126" i="8"/>
  <c r="B126" i="11" s="1"/>
  <c r="N122" i="8"/>
  <c r="B122" i="11" s="1"/>
  <c r="N118" i="8"/>
  <c r="B118" i="11" s="1"/>
  <c r="N114" i="8"/>
  <c r="B114" i="11" s="1"/>
  <c r="N110" i="8"/>
  <c r="B110" i="11" s="1"/>
  <c r="N106" i="8"/>
  <c r="B106" i="11" s="1"/>
  <c r="N102" i="8"/>
  <c r="B102" i="11" s="1"/>
  <c r="N98" i="8"/>
  <c r="B98" i="11" s="1"/>
  <c r="N94" i="8"/>
  <c r="B94" i="11" s="1"/>
  <c r="N90" i="8"/>
  <c r="B90" i="11" s="1"/>
  <c r="N86" i="8"/>
  <c r="B86" i="11" s="1"/>
  <c r="N82" i="8"/>
  <c r="B82" i="11" s="1"/>
  <c r="N78" i="8"/>
  <c r="B78" i="11" s="1"/>
  <c r="N74" i="8"/>
  <c r="B74" i="11" s="1"/>
  <c r="N70" i="8"/>
  <c r="B70" i="11" s="1"/>
  <c r="N66" i="8"/>
  <c r="B66" i="11" s="1"/>
  <c r="N62" i="8"/>
  <c r="B62" i="11" s="1"/>
  <c r="N58" i="8"/>
  <c r="B58" i="11" s="1"/>
  <c r="N54" i="8"/>
  <c r="B54" i="11" s="1"/>
  <c r="N50" i="8"/>
  <c r="B50" i="11" s="1"/>
  <c r="N46" i="8"/>
  <c r="B46" i="11" s="1"/>
  <c r="N42" i="8"/>
  <c r="B42" i="11" s="1"/>
  <c r="N38" i="8"/>
  <c r="B38" i="11" s="1"/>
  <c r="N34" i="8"/>
  <c r="B34" i="11" s="1"/>
  <c r="N30" i="8"/>
  <c r="B30" i="11" s="1"/>
  <c r="N26" i="8"/>
  <c r="B26" i="11" s="1"/>
  <c r="N22" i="8"/>
  <c r="B22" i="11" s="1"/>
  <c r="N18" i="8"/>
  <c r="B18" i="11" s="1"/>
  <c r="N14" i="8"/>
  <c r="B14" i="11" s="1"/>
  <c r="N10" i="8"/>
  <c r="B10" i="11" s="1"/>
  <c r="N6" i="8"/>
  <c r="B6" i="11" s="1"/>
  <c r="O3" i="8"/>
  <c r="C3" i="11" s="1"/>
  <c r="C2" i="1"/>
  <c r="D2" i="1"/>
  <c r="U19" i="20" l="1"/>
  <c r="H19" i="20" s="1"/>
  <c r="H18" i="20"/>
  <c r="K14" i="20"/>
  <c r="X15" i="20"/>
  <c r="K15" i="20" s="1"/>
  <c r="Y14" i="20"/>
  <c r="G41" i="3"/>
  <c r="G9" i="7"/>
  <c r="H30" i="3"/>
  <c r="Z10" i="20"/>
  <c r="H31" i="3"/>
  <c r="L10" i="20"/>
  <c r="Y11" i="20"/>
  <c r="L11" i="20" s="1"/>
  <c r="F88" i="3"/>
  <c r="F115" i="3"/>
  <c r="G53" i="3"/>
  <c r="G119" i="3" s="1"/>
  <c r="G85" i="3"/>
  <c r="H53" i="3"/>
  <c r="H119" i="3" s="1"/>
  <c r="H85" i="3"/>
  <c r="E129" i="3"/>
  <c r="E133" i="3" s="1"/>
  <c r="F155" i="3"/>
  <c r="E61" i="3"/>
  <c r="E65" i="3" s="1"/>
  <c r="H157" i="3"/>
  <c r="H158" i="3" s="1"/>
  <c r="H108" i="3" s="1"/>
  <c r="G158" i="3"/>
  <c r="G108" i="3" s="1"/>
  <c r="F11" i="7"/>
  <c r="F23" i="7" s="1"/>
  <c r="F42" i="3"/>
  <c r="F43" i="3" s="1"/>
  <c r="L1160" i="11"/>
  <c r="R1160" i="11"/>
  <c r="O1160" i="11" s="1"/>
  <c r="L1161" i="11"/>
  <c r="R1161" i="11"/>
  <c r="O1161" i="11" s="1"/>
  <c r="L1163" i="11"/>
  <c r="R1163" i="11"/>
  <c r="O1163" i="11" s="1"/>
  <c r="L1164" i="11"/>
  <c r="R1164" i="11"/>
  <c r="O1164" i="11" s="1"/>
  <c r="L1165" i="11"/>
  <c r="R1165" i="11"/>
  <c r="O1165" i="11" s="1"/>
  <c r="L1167" i="11"/>
  <c r="R1167" i="11"/>
  <c r="O1167" i="11" s="1"/>
  <c r="L1168" i="11"/>
  <c r="R1168" i="11"/>
  <c r="O1168" i="11" s="1"/>
  <c r="L1169" i="11"/>
  <c r="R1169" i="11"/>
  <c r="O1169" i="11" s="1"/>
  <c r="L1171" i="11"/>
  <c r="R1171" i="11"/>
  <c r="O1171" i="11" s="1"/>
  <c r="L1172" i="11"/>
  <c r="R1172" i="11"/>
  <c r="O1172" i="11" s="1"/>
  <c r="L1173" i="11"/>
  <c r="R1173" i="11"/>
  <c r="O1173" i="11" s="1"/>
  <c r="L1175" i="11"/>
  <c r="R1175" i="11"/>
  <c r="O1175" i="11" s="1"/>
  <c r="L1176" i="11"/>
  <c r="R1176" i="11"/>
  <c r="O1176" i="11" s="1"/>
  <c r="L1177" i="11"/>
  <c r="R1177" i="11"/>
  <c r="O1177" i="11" s="1"/>
  <c r="L1179" i="11"/>
  <c r="R1179" i="11"/>
  <c r="O1179" i="11" s="1"/>
  <c r="L1180" i="11"/>
  <c r="R1180" i="11"/>
  <c r="O1180" i="11" s="1"/>
  <c r="L1181" i="11"/>
  <c r="R1181" i="11"/>
  <c r="O1181" i="11" s="1"/>
  <c r="L1183" i="11"/>
  <c r="R1183" i="11"/>
  <c r="O1183" i="11" s="1"/>
  <c r="L1184" i="11"/>
  <c r="R1184" i="11"/>
  <c r="O1184" i="11" s="1"/>
  <c r="L1185" i="11"/>
  <c r="R1185" i="11"/>
  <c r="O1185" i="11" s="1"/>
  <c r="L1187" i="11"/>
  <c r="R1187" i="11"/>
  <c r="O1187" i="11" s="1"/>
  <c r="L1188" i="11"/>
  <c r="R1188" i="11"/>
  <c r="O1188" i="11" s="1"/>
  <c r="L1189" i="11"/>
  <c r="R1189" i="11"/>
  <c r="O1189" i="11" s="1"/>
  <c r="L1191" i="11"/>
  <c r="R1191" i="11"/>
  <c r="O1191" i="11" s="1"/>
  <c r="L1192" i="11"/>
  <c r="R1192" i="11"/>
  <c r="O1192" i="11" s="1"/>
  <c r="L1193" i="11"/>
  <c r="R1193" i="11"/>
  <c r="O1193" i="11" s="1"/>
  <c r="L1195" i="11"/>
  <c r="R1195" i="11"/>
  <c r="O1195" i="11" s="1"/>
  <c r="L1196" i="11"/>
  <c r="R1196" i="11"/>
  <c r="O1196" i="11" s="1"/>
  <c r="L1197" i="11"/>
  <c r="R1197" i="11"/>
  <c r="O1197" i="11" s="1"/>
  <c r="L1199" i="11"/>
  <c r="R1199" i="11"/>
  <c r="O1199" i="11" s="1"/>
  <c r="L1200" i="11"/>
  <c r="R1200" i="11"/>
  <c r="O1200" i="11" s="1"/>
  <c r="L1201" i="11"/>
  <c r="R1201" i="11"/>
  <c r="O1201" i="11" s="1"/>
  <c r="L1203" i="11"/>
  <c r="R1203" i="11"/>
  <c r="O1203" i="11" s="1"/>
  <c r="L1204" i="11"/>
  <c r="R1204" i="11"/>
  <c r="O1204" i="11" s="1"/>
  <c r="L1205" i="11"/>
  <c r="R1205" i="11"/>
  <c r="O1205" i="11" s="1"/>
  <c r="L1207" i="11"/>
  <c r="R1207" i="11"/>
  <c r="O1207" i="11" s="1"/>
  <c r="L1208" i="11"/>
  <c r="R1208" i="11"/>
  <c r="O1208" i="11" s="1"/>
  <c r="L1209" i="11"/>
  <c r="R1209" i="11"/>
  <c r="O1209" i="11" s="1"/>
  <c r="L1211" i="11"/>
  <c r="R1211" i="11"/>
  <c r="O1211" i="11" s="1"/>
  <c r="L1212" i="11"/>
  <c r="R1212" i="11"/>
  <c r="O1212" i="11" s="1"/>
  <c r="L1213" i="11"/>
  <c r="R1213" i="11"/>
  <c r="O1213" i="11" s="1"/>
  <c r="L4" i="11"/>
  <c r="R4" i="11"/>
  <c r="O4" i="11" s="1"/>
  <c r="H54" i="3"/>
  <c r="H120" i="3" s="1"/>
  <c r="L1210" i="11"/>
  <c r="R1210" i="11"/>
  <c r="O1210" i="11" s="1"/>
  <c r="L1206" i="11"/>
  <c r="R1206" i="11"/>
  <c r="O1206" i="11" s="1"/>
  <c r="L1202" i="11"/>
  <c r="R1202" i="11"/>
  <c r="O1202" i="11" s="1"/>
  <c r="L1198" i="11"/>
  <c r="R1198" i="11"/>
  <c r="O1198" i="11" s="1"/>
  <c r="L1194" i="11"/>
  <c r="R1194" i="11"/>
  <c r="O1194" i="11" s="1"/>
  <c r="L1190" i="11"/>
  <c r="R1190" i="11"/>
  <c r="O1190" i="11" s="1"/>
  <c r="L1186" i="11"/>
  <c r="R1186" i="11"/>
  <c r="O1186" i="11" s="1"/>
  <c r="L1182" i="11"/>
  <c r="R1182" i="11"/>
  <c r="O1182" i="11" s="1"/>
  <c r="L1178" i="11"/>
  <c r="R1178" i="11"/>
  <c r="O1178" i="11" s="1"/>
  <c r="L1174" i="11"/>
  <c r="R1174" i="11"/>
  <c r="O1174" i="11" s="1"/>
  <c r="L1170" i="11"/>
  <c r="R1170" i="11"/>
  <c r="O1170" i="11" s="1"/>
  <c r="L1166" i="11"/>
  <c r="R1166" i="11"/>
  <c r="O1166" i="11" s="1"/>
  <c r="L1162" i="11"/>
  <c r="R1162" i="11"/>
  <c r="O1162" i="11" s="1"/>
  <c r="L1158" i="11"/>
  <c r="R1158" i="11"/>
  <c r="O1158" i="11" s="1"/>
  <c r="L1154" i="11"/>
  <c r="R1154" i="11"/>
  <c r="O1154" i="11" s="1"/>
  <c r="L1150" i="11"/>
  <c r="R1150" i="11"/>
  <c r="O1150" i="11" s="1"/>
  <c r="L1146" i="11"/>
  <c r="R1146" i="11"/>
  <c r="O1146" i="11" s="1"/>
  <c r="L1142" i="11"/>
  <c r="R1142" i="11"/>
  <c r="O1142" i="11" s="1"/>
  <c r="L1138" i="11"/>
  <c r="R1138" i="11"/>
  <c r="O1138" i="11" s="1"/>
  <c r="L1134" i="11"/>
  <c r="R1134" i="11"/>
  <c r="O1134" i="11" s="1"/>
  <c r="L1130" i="11"/>
  <c r="R1130" i="11"/>
  <c r="O1130" i="11" s="1"/>
  <c r="L1126" i="11"/>
  <c r="R1126" i="11"/>
  <c r="O1126" i="11" s="1"/>
  <c r="L1122" i="11"/>
  <c r="R1122" i="11"/>
  <c r="O1122" i="11" s="1"/>
  <c r="L1118" i="11"/>
  <c r="R1118" i="11"/>
  <c r="O1118" i="11" s="1"/>
  <c r="L1114" i="11"/>
  <c r="R1114" i="11"/>
  <c r="O1114" i="11" s="1"/>
  <c r="L1110" i="11"/>
  <c r="R1110" i="11"/>
  <c r="O1110" i="11" s="1"/>
  <c r="L1106" i="11"/>
  <c r="R1106" i="11"/>
  <c r="O1106" i="11" s="1"/>
  <c r="L1102" i="11"/>
  <c r="R1102" i="11"/>
  <c r="O1102" i="11" s="1"/>
  <c r="L1098" i="11"/>
  <c r="R1098" i="11"/>
  <c r="O1098" i="11" s="1"/>
  <c r="L1094" i="11"/>
  <c r="R1094" i="11"/>
  <c r="O1094" i="11" s="1"/>
  <c r="L1090" i="11"/>
  <c r="R1090" i="11"/>
  <c r="O1090" i="11" s="1"/>
  <c r="L1086" i="11"/>
  <c r="R1086" i="11"/>
  <c r="O1086" i="11" s="1"/>
  <c r="L1082" i="11"/>
  <c r="R1082" i="11"/>
  <c r="O1082" i="11" s="1"/>
  <c r="L1078" i="11"/>
  <c r="R1078" i="11"/>
  <c r="O1078" i="11" s="1"/>
  <c r="L1074" i="11"/>
  <c r="R1074" i="11"/>
  <c r="O1074" i="11" s="1"/>
  <c r="L1070" i="11"/>
  <c r="R1070" i="11"/>
  <c r="O1070" i="11" s="1"/>
  <c r="L1066" i="11"/>
  <c r="R1066" i="11"/>
  <c r="O1066" i="11" s="1"/>
  <c r="L1062" i="11"/>
  <c r="R1062" i="11"/>
  <c r="O1062" i="11" s="1"/>
  <c r="L1058" i="11"/>
  <c r="R1058" i="11"/>
  <c r="O1058" i="11" s="1"/>
  <c r="L1054" i="11"/>
  <c r="R1054" i="11"/>
  <c r="O1054" i="11" s="1"/>
  <c r="L1050" i="11"/>
  <c r="R1050" i="11"/>
  <c r="O1050" i="11" s="1"/>
  <c r="L1046" i="11"/>
  <c r="R1046" i="11"/>
  <c r="O1046" i="11" s="1"/>
  <c r="L1042" i="11"/>
  <c r="R1042" i="11"/>
  <c r="O1042" i="11" s="1"/>
  <c r="L1038" i="11"/>
  <c r="R1038" i="11"/>
  <c r="O1038" i="11" s="1"/>
  <c r="L1034" i="11"/>
  <c r="R1034" i="11"/>
  <c r="O1034" i="11" s="1"/>
  <c r="L1030" i="11"/>
  <c r="R1030" i="11"/>
  <c r="O1030" i="11" s="1"/>
  <c r="L1026" i="11"/>
  <c r="R1026" i="11"/>
  <c r="O1026" i="11" s="1"/>
  <c r="L1022" i="11"/>
  <c r="R1022" i="11"/>
  <c r="O1022" i="11" s="1"/>
  <c r="L1018" i="11"/>
  <c r="R1018" i="11"/>
  <c r="O1018" i="11" s="1"/>
  <c r="L1014" i="11"/>
  <c r="R1014" i="11"/>
  <c r="O1014" i="11" s="1"/>
  <c r="L1010" i="11"/>
  <c r="R1010" i="11"/>
  <c r="O1010" i="11" s="1"/>
  <c r="L1006" i="11"/>
  <c r="R1006" i="11"/>
  <c r="O1006" i="11" s="1"/>
  <c r="L1002" i="11"/>
  <c r="R1002" i="11"/>
  <c r="O1002" i="11" s="1"/>
  <c r="L998" i="11"/>
  <c r="R998" i="11"/>
  <c r="O998" i="11" s="1"/>
  <c r="L994" i="11"/>
  <c r="R994" i="11"/>
  <c r="O994" i="11" s="1"/>
  <c r="L990" i="11"/>
  <c r="R990" i="11"/>
  <c r="O990" i="11" s="1"/>
  <c r="L986" i="11"/>
  <c r="R986" i="11"/>
  <c r="O986" i="11" s="1"/>
  <c r="L982" i="11"/>
  <c r="R982" i="11"/>
  <c r="O982" i="11" s="1"/>
  <c r="L978" i="11"/>
  <c r="R978" i="11"/>
  <c r="O978" i="11" s="1"/>
  <c r="L974" i="11"/>
  <c r="R974" i="11"/>
  <c r="O974" i="11" s="1"/>
  <c r="L970" i="11"/>
  <c r="R970" i="11"/>
  <c r="O970" i="11" s="1"/>
  <c r="L966" i="11"/>
  <c r="R966" i="11"/>
  <c r="O966" i="11" s="1"/>
  <c r="L962" i="11"/>
  <c r="R962" i="11"/>
  <c r="O962" i="11" s="1"/>
  <c r="L958" i="11"/>
  <c r="R958" i="11"/>
  <c r="O958" i="11" s="1"/>
  <c r="L954" i="11"/>
  <c r="R954" i="11"/>
  <c r="O954" i="11" s="1"/>
  <c r="L950" i="11"/>
  <c r="R950" i="11"/>
  <c r="O950" i="11" s="1"/>
  <c r="L946" i="11"/>
  <c r="R946" i="11"/>
  <c r="O946" i="11" s="1"/>
  <c r="L942" i="11"/>
  <c r="R942" i="11"/>
  <c r="O942" i="11" s="1"/>
  <c r="L938" i="11"/>
  <c r="R938" i="11"/>
  <c r="O938" i="11" s="1"/>
  <c r="L934" i="11"/>
  <c r="R934" i="11"/>
  <c r="O934" i="11" s="1"/>
  <c r="L930" i="11"/>
  <c r="R930" i="11"/>
  <c r="O930" i="11" s="1"/>
  <c r="L926" i="11"/>
  <c r="R926" i="11"/>
  <c r="O926" i="11" s="1"/>
  <c r="L922" i="11"/>
  <c r="R922" i="11"/>
  <c r="O922" i="11" s="1"/>
  <c r="L918" i="11"/>
  <c r="R918" i="11"/>
  <c r="O918" i="11" s="1"/>
  <c r="L914" i="11"/>
  <c r="R914" i="11"/>
  <c r="O914" i="11" s="1"/>
  <c r="L910" i="11"/>
  <c r="R910" i="11"/>
  <c r="O910" i="11" s="1"/>
  <c r="L906" i="11"/>
  <c r="R906" i="11"/>
  <c r="O906" i="11" s="1"/>
  <c r="L902" i="11"/>
  <c r="R902" i="11"/>
  <c r="O902" i="11" s="1"/>
  <c r="L898" i="11"/>
  <c r="R898" i="11"/>
  <c r="O898" i="11" s="1"/>
  <c r="L894" i="11"/>
  <c r="R894" i="11"/>
  <c r="O894" i="11" s="1"/>
  <c r="L890" i="11"/>
  <c r="R890" i="11"/>
  <c r="O890" i="11" s="1"/>
  <c r="L886" i="11"/>
  <c r="R886" i="11"/>
  <c r="O886" i="11" s="1"/>
  <c r="L882" i="11"/>
  <c r="R882" i="11"/>
  <c r="O882" i="11" s="1"/>
  <c r="L878" i="11"/>
  <c r="R878" i="11"/>
  <c r="O878" i="11" s="1"/>
  <c r="L874" i="11"/>
  <c r="R874" i="11"/>
  <c r="O874" i="11" s="1"/>
  <c r="L870" i="11"/>
  <c r="R870" i="11"/>
  <c r="O870" i="11" s="1"/>
  <c r="L866" i="11"/>
  <c r="R866" i="11"/>
  <c r="O866" i="11" s="1"/>
  <c r="L862" i="11"/>
  <c r="R862" i="11"/>
  <c r="O862" i="11" s="1"/>
  <c r="L858" i="11"/>
  <c r="R858" i="11"/>
  <c r="O858" i="11" s="1"/>
  <c r="L854" i="11"/>
  <c r="R854" i="11"/>
  <c r="O854" i="11" s="1"/>
  <c r="L850" i="11"/>
  <c r="R850" i="11"/>
  <c r="O850" i="11" s="1"/>
  <c r="L846" i="11"/>
  <c r="R846" i="11"/>
  <c r="O846" i="11" s="1"/>
  <c r="L842" i="11"/>
  <c r="R842" i="11"/>
  <c r="O842" i="11" s="1"/>
  <c r="L838" i="11"/>
  <c r="R838" i="11"/>
  <c r="O838" i="11" s="1"/>
  <c r="L834" i="11"/>
  <c r="R834" i="11"/>
  <c r="O834" i="11" s="1"/>
  <c r="L830" i="11"/>
  <c r="R830" i="11"/>
  <c r="O830" i="11" s="1"/>
  <c r="L826" i="11"/>
  <c r="R826" i="11"/>
  <c r="O826" i="11" s="1"/>
  <c r="L822" i="11"/>
  <c r="R822" i="11"/>
  <c r="O822" i="11" s="1"/>
  <c r="L818" i="11"/>
  <c r="R818" i="11"/>
  <c r="O818" i="11" s="1"/>
  <c r="L814" i="11"/>
  <c r="R814" i="11"/>
  <c r="O814" i="11" s="1"/>
  <c r="L810" i="11"/>
  <c r="R810" i="11"/>
  <c r="O810" i="11" s="1"/>
  <c r="L806" i="11"/>
  <c r="R806" i="11"/>
  <c r="O806" i="11" s="1"/>
  <c r="L802" i="11"/>
  <c r="R802" i="11"/>
  <c r="O802" i="11" s="1"/>
  <c r="L798" i="11"/>
  <c r="R798" i="11"/>
  <c r="O798" i="11" s="1"/>
  <c r="L794" i="11"/>
  <c r="R794" i="11"/>
  <c r="O794" i="11" s="1"/>
  <c r="L790" i="11"/>
  <c r="R790" i="11"/>
  <c r="O790" i="11" s="1"/>
  <c r="L786" i="11"/>
  <c r="R786" i="11"/>
  <c r="O786" i="11" s="1"/>
  <c r="L782" i="11"/>
  <c r="R782" i="11"/>
  <c r="O782" i="11" s="1"/>
  <c r="L778" i="11"/>
  <c r="R778" i="11"/>
  <c r="O778" i="11" s="1"/>
  <c r="L774" i="11"/>
  <c r="R774" i="11"/>
  <c r="O774" i="11" s="1"/>
  <c r="L770" i="11"/>
  <c r="R770" i="11"/>
  <c r="O770" i="11" s="1"/>
  <c r="L766" i="11"/>
  <c r="R766" i="11"/>
  <c r="O766" i="11" s="1"/>
  <c r="L762" i="11"/>
  <c r="R762" i="11"/>
  <c r="O762" i="11" s="1"/>
  <c r="L758" i="11"/>
  <c r="R758" i="11"/>
  <c r="O758" i="11" s="1"/>
  <c r="L754" i="11"/>
  <c r="R754" i="11"/>
  <c r="O754" i="11" s="1"/>
  <c r="L750" i="11"/>
  <c r="R750" i="11"/>
  <c r="O750" i="11" s="1"/>
  <c r="L746" i="11"/>
  <c r="R746" i="11"/>
  <c r="O746" i="11" s="1"/>
  <c r="L742" i="11"/>
  <c r="R742" i="11"/>
  <c r="O742" i="11" s="1"/>
  <c r="L738" i="11"/>
  <c r="R738" i="11"/>
  <c r="O738" i="11" s="1"/>
  <c r="L734" i="11"/>
  <c r="R734" i="11"/>
  <c r="O734" i="11" s="1"/>
  <c r="L730" i="11"/>
  <c r="R730" i="11"/>
  <c r="O730" i="11" s="1"/>
  <c r="L726" i="11"/>
  <c r="R726" i="11"/>
  <c r="O726" i="11" s="1"/>
  <c r="L722" i="11"/>
  <c r="R722" i="11"/>
  <c r="O722" i="11" s="1"/>
  <c r="L718" i="11"/>
  <c r="R718" i="11"/>
  <c r="O718" i="11" s="1"/>
  <c r="L714" i="11"/>
  <c r="R714" i="11"/>
  <c r="O714" i="11" s="1"/>
  <c r="L710" i="11"/>
  <c r="R710" i="11"/>
  <c r="O710" i="11" s="1"/>
  <c r="L706" i="11"/>
  <c r="R706" i="11"/>
  <c r="O706" i="11" s="1"/>
  <c r="L702" i="11"/>
  <c r="R702" i="11"/>
  <c r="O702" i="11" s="1"/>
  <c r="L698" i="11"/>
  <c r="R698" i="11"/>
  <c r="O698" i="11" s="1"/>
  <c r="L694" i="11"/>
  <c r="R694" i="11"/>
  <c r="O694" i="11" s="1"/>
  <c r="L690" i="11"/>
  <c r="R690" i="11"/>
  <c r="O690" i="11" s="1"/>
  <c r="L686" i="11"/>
  <c r="R686" i="11"/>
  <c r="O686" i="11" s="1"/>
  <c r="L682" i="11"/>
  <c r="R682" i="11"/>
  <c r="O682" i="11" s="1"/>
  <c r="L678" i="11"/>
  <c r="R678" i="11"/>
  <c r="O678" i="11" s="1"/>
  <c r="L674" i="11"/>
  <c r="R674" i="11"/>
  <c r="O674" i="11" s="1"/>
  <c r="L670" i="11"/>
  <c r="R670" i="11"/>
  <c r="O670" i="11" s="1"/>
  <c r="L666" i="11"/>
  <c r="R666" i="11"/>
  <c r="O666" i="11" s="1"/>
  <c r="L662" i="11"/>
  <c r="R662" i="11"/>
  <c r="O662" i="11" s="1"/>
  <c r="L658" i="11"/>
  <c r="R658" i="11"/>
  <c r="O658" i="11" s="1"/>
  <c r="L654" i="11"/>
  <c r="R654" i="11"/>
  <c r="O654" i="11" s="1"/>
  <c r="L650" i="11"/>
  <c r="R650" i="11"/>
  <c r="O650" i="11" s="1"/>
  <c r="L646" i="11"/>
  <c r="R646" i="11"/>
  <c r="O646" i="11" s="1"/>
  <c r="L642" i="11"/>
  <c r="R642" i="11"/>
  <c r="O642" i="11" s="1"/>
  <c r="L638" i="11"/>
  <c r="R638" i="11"/>
  <c r="O638" i="11" s="1"/>
  <c r="L634" i="11"/>
  <c r="R634" i="11"/>
  <c r="O634" i="11" s="1"/>
  <c r="L630" i="11"/>
  <c r="R630" i="11"/>
  <c r="O630" i="11" s="1"/>
  <c r="L626" i="11"/>
  <c r="R626" i="11"/>
  <c r="O626" i="11" s="1"/>
  <c r="L622" i="11"/>
  <c r="R622" i="11"/>
  <c r="O622" i="11" s="1"/>
  <c r="L618" i="11"/>
  <c r="R618" i="11"/>
  <c r="O618" i="11" s="1"/>
  <c r="L614" i="11"/>
  <c r="R614" i="11"/>
  <c r="O614" i="11" s="1"/>
  <c r="L610" i="11"/>
  <c r="R610" i="11"/>
  <c r="O610" i="11" s="1"/>
  <c r="L606" i="11"/>
  <c r="R606" i="11"/>
  <c r="O606" i="11" s="1"/>
  <c r="L602" i="11"/>
  <c r="R602" i="11"/>
  <c r="O602" i="11" s="1"/>
  <c r="L598" i="11"/>
  <c r="R598" i="11"/>
  <c r="O598" i="11" s="1"/>
  <c r="L594" i="11"/>
  <c r="R594" i="11"/>
  <c r="O594" i="11" s="1"/>
  <c r="L590" i="11"/>
  <c r="R590" i="11"/>
  <c r="O590" i="11" s="1"/>
  <c r="L586" i="11"/>
  <c r="R586" i="11"/>
  <c r="O586" i="11" s="1"/>
  <c r="L582" i="11"/>
  <c r="R582" i="11"/>
  <c r="O582" i="11" s="1"/>
  <c r="L578" i="11"/>
  <c r="R578" i="11"/>
  <c r="O578" i="11" s="1"/>
  <c r="L574" i="11"/>
  <c r="R574" i="11"/>
  <c r="O574" i="11" s="1"/>
  <c r="L570" i="11"/>
  <c r="R570" i="11"/>
  <c r="O570" i="11" s="1"/>
  <c r="L566" i="11"/>
  <c r="R566" i="11"/>
  <c r="O566" i="11" s="1"/>
  <c r="L562" i="11"/>
  <c r="R562" i="11"/>
  <c r="O562" i="11" s="1"/>
  <c r="L558" i="11"/>
  <c r="R558" i="11"/>
  <c r="O558" i="11" s="1"/>
  <c r="L554" i="11"/>
  <c r="R554" i="11"/>
  <c r="O554" i="11" s="1"/>
  <c r="L550" i="11"/>
  <c r="R550" i="11"/>
  <c r="O550" i="11" s="1"/>
  <c r="L546" i="11"/>
  <c r="R546" i="11"/>
  <c r="O546" i="11" s="1"/>
  <c r="L542" i="11"/>
  <c r="R542" i="11"/>
  <c r="O542" i="11" s="1"/>
  <c r="L538" i="11"/>
  <c r="R538" i="11"/>
  <c r="O538" i="11" s="1"/>
  <c r="L534" i="11"/>
  <c r="R534" i="11"/>
  <c r="O534" i="11" s="1"/>
  <c r="L530" i="11"/>
  <c r="R530" i="11"/>
  <c r="O530" i="11" s="1"/>
  <c r="L526" i="11"/>
  <c r="R526" i="11"/>
  <c r="O526" i="11" s="1"/>
  <c r="L522" i="11"/>
  <c r="R522" i="11"/>
  <c r="O522" i="11" s="1"/>
  <c r="L518" i="11"/>
  <c r="R518" i="11"/>
  <c r="O518" i="11" s="1"/>
  <c r="L514" i="11"/>
  <c r="R514" i="11"/>
  <c r="O514" i="11" s="1"/>
  <c r="L510" i="11"/>
  <c r="R510" i="11"/>
  <c r="O510" i="11" s="1"/>
  <c r="L506" i="11"/>
  <c r="R506" i="11"/>
  <c r="O506" i="11" s="1"/>
  <c r="L502" i="11"/>
  <c r="R502" i="11"/>
  <c r="O502" i="11" s="1"/>
  <c r="L498" i="11"/>
  <c r="R498" i="11"/>
  <c r="O498" i="11" s="1"/>
  <c r="L494" i="11"/>
  <c r="R494" i="11"/>
  <c r="O494" i="11" s="1"/>
  <c r="L490" i="11"/>
  <c r="R490" i="11"/>
  <c r="O490" i="11" s="1"/>
  <c r="L486" i="11"/>
  <c r="R486" i="11"/>
  <c r="O486" i="11" s="1"/>
  <c r="L482" i="11"/>
  <c r="R482" i="11"/>
  <c r="O482" i="11" s="1"/>
  <c r="L478" i="11"/>
  <c r="R478" i="11"/>
  <c r="O478" i="11" s="1"/>
  <c r="L474" i="11"/>
  <c r="R474" i="11"/>
  <c r="O474" i="11" s="1"/>
  <c r="L470" i="11"/>
  <c r="R470" i="11"/>
  <c r="O470" i="11" s="1"/>
  <c r="L466" i="11"/>
  <c r="R466" i="11"/>
  <c r="O466" i="11" s="1"/>
  <c r="L462" i="11"/>
  <c r="R462" i="11"/>
  <c r="O462" i="11" s="1"/>
  <c r="L458" i="11"/>
  <c r="R458" i="11"/>
  <c r="O458" i="11" s="1"/>
  <c r="L454" i="11"/>
  <c r="R454" i="11"/>
  <c r="O454" i="11" s="1"/>
  <c r="L450" i="11"/>
  <c r="R450" i="11"/>
  <c r="O450" i="11" s="1"/>
  <c r="L446" i="11"/>
  <c r="R446" i="11"/>
  <c r="O446" i="11" s="1"/>
  <c r="L442" i="11"/>
  <c r="R442" i="11"/>
  <c r="O442" i="11" s="1"/>
  <c r="L438" i="11"/>
  <c r="R438" i="11"/>
  <c r="O438" i="11" s="1"/>
  <c r="L434" i="11"/>
  <c r="R434" i="11"/>
  <c r="O434" i="11" s="1"/>
  <c r="L430" i="11"/>
  <c r="R430" i="11"/>
  <c r="O430" i="11" s="1"/>
  <c r="L426" i="11"/>
  <c r="R426" i="11"/>
  <c r="O426" i="11" s="1"/>
  <c r="L422" i="11"/>
  <c r="R422" i="11"/>
  <c r="O422" i="11" s="1"/>
  <c r="L418" i="11"/>
  <c r="R418" i="11"/>
  <c r="O418" i="11" s="1"/>
  <c r="L414" i="11"/>
  <c r="R414" i="11"/>
  <c r="O414" i="11" s="1"/>
  <c r="L410" i="11"/>
  <c r="R410" i="11"/>
  <c r="O410" i="11" s="1"/>
  <c r="L406" i="11"/>
  <c r="R406" i="11"/>
  <c r="O406" i="11" s="1"/>
  <c r="L402" i="11"/>
  <c r="R402" i="11"/>
  <c r="O402" i="11" s="1"/>
  <c r="L398" i="11"/>
  <c r="R398" i="11"/>
  <c r="O398" i="11" s="1"/>
  <c r="L394" i="11"/>
  <c r="R394" i="11"/>
  <c r="O394" i="11" s="1"/>
  <c r="L390" i="11"/>
  <c r="R390" i="11"/>
  <c r="O390" i="11" s="1"/>
  <c r="L386" i="11"/>
  <c r="R386" i="11"/>
  <c r="O386" i="11" s="1"/>
  <c r="L382" i="11"/>
  <c r="R382" i="11"/>
  <c r="O382" i="11" s="1"/>
  <c r="L378" i="11"/>
  <c r="R378" i="11"/>
  <c r="O378" i="11" s="1"/>
  <c r="L374" i="11"/>
  <c r="R374" i="11"/>
  <c r="O374" i="11" s="1"/>
  <c r="L370" i="11"/>
  <c r="R370" i="11"/>
  <c r="O370" i="11" s="1"/>
  <c r="L366" i="11"/>
  <c r="R366" i="11"/>
  <c r="O366" i="11" s="1"/>
  <c r="L362" i="11"/>
  <c r="R362" i="11"/>
  <c r="O362" i="11" s="1"/>
  <c r="L358" i="11"/>
  <c r="R358" i="11"/>
  <c r="O358" i="11" s="1"/>
  <c r="L354" i="11"/>
  <c r="R354" i="11"/>
  <c r="O354" i="11" s="1"/>
  <c r="L350" i="11"/>
  <c r="R350" i="11"/>
  <c r="O350" i="11" s="1"/>
  <c r="L346" i="11"/>
  <c r="R346" i="11"/>
  <c r="O346" i="11" s="1"/>
  <c r="L342" i="11"/>
  <c r="R342" i="11"/>
  <c r="O342" i="11" s="1"/>
  <c r="L338" i="11"/>
  <c r="R338" i="11"/>
  <c r="O338" i="11" s="1"/>
  <c r="L334" i="11"/>
  <c r="R334" i="11"/>
  <c r="O334" i="11" s="1"/>
  <c r="L330" i="11"/>
  <c r="R330" i="11"/>
  <c r="O330" i="11" s="1"/>
  <c r="L326" i="11"/>
  <c r="R326" i="11"/>
  <c r="O326" i="11" s="1"/>
  <c r="L322" i="11"/>
  <c r="R322" i="11"/>
  <c r="O322" i="11" s="1"/>
  <c r="L318" i="11"/>
  <c r="R318" i="11"/>
  <c r="O318" i="11" s="1"/>
  <c r="L314" i="11"/>
  <c r="R314" i="11"/>
  <c r="O314" i="11" s="1"/>
  <c r="L310" i="11"/>
  <c r="R310" i="11"/>
  <c r="O310" i="11" s="1"/>
  <c r="L306" i="11"/>
  <c r="R306" i="11"/>
  <c r="O306" i="11" s="1"/>
  <c r="L302" i="11"/>
  <c r="R302" i="11"/>
  <c r="O302" i="11" s="1"/>
  <c r="L298" i="11"/>
  <c r="R298" i="11"/>
  <c r="O298" i="11" s="1"/>
  <c r="L294" i="11"/>
  <c r="R294" i="11"/>
  <c r="O294" i="11" s="1"/>
  <c r="L290" i="11"/>
  <c r="R290" i="11"/>
  <c r="O290" i="11" s="1"/>
  <c r="L286" i="11"/>
  <c r="R286" i="11"/>
  <c r="O286" i="11" s="1"/>
  <c r="L282" i="11"/>
  <c r="R282" i="11"/>
  <c r="O282" i="11" s="1"/>
  <c r="L278" i="11"/>
  <c r="R278" i="11"/>
  <c r="O278" i="11" s="1"/>
  <c r="L274" i="11"/>
  <c r="R274" i="11"/>
  <c r="O274" i="11" s="1"/>
  <c r="L270" i="11"/>
  <c r="R270" i="11"/>
  <c r="O270" i="11" s="1"/>
  <c r="L266" i="11"/>
  <c r="R266" i="11"/>
  <c r="O266" i="11" s="1"/>
  <c r="L262" i="11"/>
  <c r="R262" i="11"/>
  <c r="O262" i="11" s="1"/>
  <c r="L258" i="11"/>
  <c r="R258" i="11"/>
  <c r="O258" i="11" s="1"/>
  <c r="L254" i="11"/>
  <c r="R254" i="11"/>
  <c r="O254" i="11" s="1"/>
  <c r="L250" i="11"/>
  <c r="R250" i="11"/>
  <c r="O250" i="11" s="1"/>
  <c r="L246" i="11"/>
  <c r="R246" i="11"/>
  <c r="O246" i="11" s="1"/>
  <c r="L242" i="11"/>
  <c r="R242" i="11"/>
  <c r="O242" i="11" s="1"/>
  <c r="L238" i="11"/>
  <c r="R238" i="11"/>
  <c r="O238" i="11" s="1"/>
  <c r="L234" i="11"/>
  <c r="R234" i="11"/>
  <c r="O234" i="11" s="1"/>
  <c r="L230" i="11"/>
  <c r="R230" i="11"/>
  <c r="O230" i="11" s="1"/>
  <c r="L226" i="11"/>
  <c r="R226" i="11"/>
  <c r="O226" i="11" s="1"/>
  <c r="L222" i="11"/>
  <c r="R222" i="11"/>
  <c r="O222" i="11" s="1"/>
  <c r="L218" i="11"/>
  <c r="R218" i="11"/>
  <c r="O218" i="11" s="1"/>
  <c r="L214" i="11"/>
  <c r="R214" i="11"/>
  <c r="O214" i="11" s="1"/>
  <c r="L210" i="11"/>
  <c r="R210" i="11"/>
  <c r="O210" i="11" s="1"/>
  <c r="L206" i="11"/>
  <c r="R206" i="11"/>
  <c r="O206" i="11" s="1"/>
  <c r="L202" i="11"/>
  <c r="R202" i="11"/>
  <c r="O202" i="11" s="1"/>
  <c r="L198" i="11"/>
  <c r="R198" i="11"/>
  <c r="O198" i="11" s="1"/>
  <c r="L194" i="11"/>
  <c r="R194" i="11"/>
  <c r="O194" i="11" s="1"/>
  <c r="L190" i="11"/>
  <c r="R190" i="11"/>
  <c r="O190" i="11" s="1"/>
  <c r="L186" i="11"/>
  <c r="R186" i="11"/>
  <c r="O186" i="11" s="1"/>
  <c r="L182" i="11"/>
  <c r="R182" i="11"/>
  <c r="O182" i="11" s="1"/>
  <c r="L178" i="11"/>
  <c r="R178" i="11"/>
  <c r="O178" i="11" s="1"/>
  <c r="L174" i="11"/>
  <c r="R174" i="11"/>
  <c r="O174" i="11" s="1"/>
  <c r="L170" i="11"/>
  <c r="R170" i="11"/>
  <c r="O170" i="11" s="1"/>
  <c r="L166" i="11"/>
  <c r="R166" i="11"/>
  <c r="O166" i="11" s="1"/>
  <c r="L162" i="11"/>
  <c r="R162" i="11"/>
  <c r="O162" i="11" s="1"/>
  <c r="L158" i="11"/>
  <c r="R158" i="11"/>
  <c r="O158" i="11" s="1"/>
  <c r="L154" i="11"/>
  <c r="R154" i="11"/>
  <c r="O154" i="11" s="1"/>
  <c r="L150" i="11"/>
  <c r="R150" i="11"/>
  <c r="O150" i="11" s="1"/>
  <c r="L146" i="11"/>
  <c r="R146" i="11"/>
  <c r="O146" i="11" s="1"/>
  <c r="L142" i="11"/>
  <c r="R142" i="11"/>
  <c r="O142" i="11" s="1"/>
  <c r="L138" i="11"/>
  <c r="R138" i="11"/>
  <c r="O138" i="11" s="1"/>
  <c r="L134" i="11"/>
  <c r="R134" i="11"/>
  <c r="O134" i="11" s="1"/>
  <c r="L130" i="11"/>
  <c r="R130" i="11"/>
  <c r="O130" i="11" s="1"/>
  <c r="L126" i="11"/>
  <c r="R126" i="11"/>
  <c r="O126" i="11" s="1"/>
  <c r="L122" i="11"/>
  <c r="R122" i="11"/>
  <c r="O122" i="11" s="1"/>
  <c r="L118" i="11"/>
  <c r="R118" i="11"/>
  <c r="O118" i="11" s="1"/>
  <c r="L114" i="11"/>
  <c r="R114" i="11"/>
  <c r="O114" i="11" s="1"/>
  <c r="L110" i="11"/>
  <c r="R110" i="11"/>
  <c r="O110" i="11" s="1"/>
  <c r="L106" i="11"/>
  <c r="R106" i="11"/>
  <c r="O106" i="11" s="1"/>
  <c r="L102" i="11"/>
  <c r="R102" i="11"/>
  <c r="O102" i="11" s="1"/>
  <c r="L98" i="11"/>
  <c r="R98" i="11"/>
  <c r="O98" i="11" s="1"/>
  <c r="L94" i="11"/>
  <c r="R94" i="11"/>
  <c r="O94" i="11" s="1"/>
  <c r="L90" i="11"/>
  <c r="R90" i="11"/>
  <c r="O90" i="11" s="1"/>
  <c r="L86" i="11"/>
  <c r="R86" i="11"/>
  <c r="O86" i="11" s="1"/>
  <c r="L82" i="11"/>
  <c r="R82" i="11"/>
  <c r="O82" i="11" s="1"/>
  <c r="L78" i="11"/>
  <c r="R78" i="11"/>
  <c r="O78" i="11" s="1"/>
  <c r="L74" i="11"/>
  <c r="R74" i="11"/>
  <c r="O74" i="11" s="1"/>
  <c r="L70" i="11"/>
  <c r="R70" i="11"/>
  <c r="O70" i="11" s="1"/>
  <c r="L66" i="11"/>
  <c r="R66" i="11"/>
  <c r="O66" i="11" s="1"/>
  <c r="L62" i="11"/>
  <c r="R62" i="11"/>
  <c r="O62" i="11" s="1"/>
  <c r="L58" i="11"/>
  <c r="R58" i="11"/>
  <c r="O58" i="11" s="1"/>
  <c r="L54" i="11"/>
  <c r="R54" i="11"/>
  <c r="O54" i="11" s="1"/>
  <c r="L50" i="11"/>
  <c r="R50" i="11"/>
  <c r="O50" i="11" s="1"/>
  <c r="L46" i="11"/>
  <c r="R46" i="11"/>
  <c r="O46" i="11" s="1"/>
  <c r="L42" i="11"/>
  <c r="R42" i="11"/>
  <c r="O42" i="11" s="1"/>
  <c r="L38" i="11"/>
  <c r="R38" i="11"/>
  <c r="O38" i="11" s="1"/>
  <c r="L34" i="11"/>
  <c r="R34" i="11"/>
  <c r="O34" i="11" s="1"/>
  <c r="L30" i="11"/>
  <c r="R30" i="11"/>
  <c r="O30" i="11" s="1"/>
  <c r="L26" i="11"/>
  <c r="R26" i="11"/>
  <c r="O26" i="11" s="1"/>
  <c r="L22" i="11"/>
  <c r="R22" i="11"/>
  <c r="O22" i="11" s="1"/>
  <c r="L18" i="11"/>
  <c r="R18" i="11"/>
  <c r="O18" i="11" s="1"/>
  <c r="L14" i="11"/>
  <c r="R14" i="11"/>
  <c r="O14" i="11" s="1"/>
  <c r="L10" i="11"/>
  <c r="R10" i="11"/>
  <c r="O10" i="11" s="1"/>
  <c r="L6" i="11"/>
  <c r="R6" i="11"/>
  <c r="O6" i="11" s="1"/>
  <c r="A3" i="3"/>
  <c r="A2" i="7" s="1"/>
  <c r="B2" i="20"/>
  <c r="B125" i="3"/>
  <c r="B143" i="3" s="1"/>
  <c r="B145" i="3" s="1"/>
  <c r="B55" i="3" s="1"/>
  <c r="Y15" i="20" l="1"/>
  <c r="L15" i="20" s="1"/>
  <c r="L14" i="20"/>
  <c r="M10" i="20"/>
  <c r="Z11" i="20"/>
  <c r="M11" i="20" s="1"/>
  <c r="G88" i="3"/>
  <c r="G115" i="3"/>
  <c r="H88" i="3"/>
  <c r="H115" i="3"/>
  <c r="H11" i="7"/>
  <c r="H23" i="7" s="1"/>
  <c r="H42" i="3"/>
  <c r="G11" i="7"/>
  <c r="G23" i="7" s="1"/>
  <c r="G42" i="3"/>
  <c r="G43" i="3" s="1"/>
  <c r="H32" i="3"/>
  <c r="B58" i="3"/>
  <c r="C144" i="3"/>
  <c r="B67" i="3"/>
  <c r="B14" i="7"/>
  <c r="Z14" i="20" l="1"/>
  <c r="H9" i="7"/>
  <c r="H41" i="3"/>
  <c r="H43" i="3" s="1"/>
  <c r="B26" i="7"/>
  <c r="B15" i="7"/>
  <c r="B76" i="7" s="1"/>
  <c r="Z15" i="20" l="1"/>
  <c r="M15" i="20" s="1"/>
  <c r="M14" i="20"/>
  <c r="C138" i="3"/>
  <c r="C140" i="3" s="1"/>
  <c r="C143" i="3" s="1"/>
  <c r="C145" i="3" s="1"/>
  <c r="C55" i="3" s="1"/>
  <c r="B164" i="3"/>
  <c r="B94" i="3"/>
  <c r="B96" i="3" s="1"/>
  <c r="B98" i="3" s="1"/>
  <c r="F159" i="3"/>
  <c r="C58" i="3" l="1"/>
  <c r="D144" i="3"/>
  <c r="B169" i="3"/>
  <c r="B45" i="7" s="1"/>
  <c r="B65" i="7" s="1"/>
  <c r="B34" i="7"/>
  <c r="B27" i="7"/>
  <c r="B28" i="7" s="1"/>
  <c r="B103" i="7" s="1"/>
  <c r="C27" i="7"/>
  <c r="B172" i="3"/>
  <c r="B173" i="3" s="1"/>
  <c r="D169" i="3"/>
  <c r="F61" i="3"/>
  <c r="F65" i="3" s="1"/>
  <c r="G155" i="3"/>
  <c r="G159" i="3" s="1"/>
  <c r="F129" i="3"/>
  <c r="F133" i="3" s="1"/>
  <c r="C67" i="3" l="1"/>
  <c r="C98" i="3" s="1"/>
  <c r="C14" i="7"/>
  <c r="B36" i="7"/>
  <c r="D172" i="3"/>
  <c r="E169" i="3"/>
  <c r="H155" i="3"/>
  <c r="H159" i="3" s="1"/>
  <c r="G129" i="3"/>
  <c r="G133" i="3" s="1"/>
  <c r="G61" i="3"/>
  <c r="G65" i="3" s="1"/>
  <c r="C26" i="7" l="1"/>
  <c r="C28" i="7" s="1"/>
  <c r="C103" i="7" s="1"/>
  <c r="C15" i="7"/>
  <c r="C76" i="7" s="1"/>
  <c r="B39" i="7"/>
  <c r="B64" i="7" s="1"/>
  <c r="B38" i="7"/>
  <c r="B66" i="7" s="1"/>
  <c r="B68" i="7" s="1"/>
  <c r="B77" i="7" s="1"/>
  <c r="E172" i="3"/>
  <c r="F169" i="3"/>
  <c r="D33" i="3"/>
  <c r="D34" i="3" s="1"/>
  <c r="D173" i="3"/>
  <c r="H61" i="3"/>
  <c r="H65" i="3" s="1"/>
  <c r="H129" i="3"/>
  <c r="H133" i="3" s="1"/>
  <c r="B104" i="7" l="1"/>
  <c r="B105" i="7" s="1"/>
  <c r="B92" i="7"/>
  <c r="C77" i="7"/>
  <c r="B78" i="7"/>
  <c r="D35" i="3"/>
  <c r="D36" i="3" s="1"/>
  <c r="D37" i="3" s="1"/>
  <c r="D38" i="3" s="1"/>
  <c r="D21" i="7" s="1"/>
  <c r="G169" i="3"/>
  <c r="F172" i="3"/>
  <c r="E33" i="3"/>
  <c r="E34" i="3" s="1"/>
  <c r="E173" i="3"/>
  <c r="C78" i="7" l="1"/>
  <c r="D77" i="7"/>
  <c r="C104" i="7"/>
  <c r="C105" i="7" s="1"/>
  <c r="D76" i="3"/>
  <c r="V18" i="20"/>
  <c r="D106" i="3"/>
  <c r="D111" i="3" s="1"/>
  <c r="D123" i="3" s="1"/>
  <c r="D125" i="3" s="1"/>
  <c r="D143" i="3" s="1"/>
  <c r="D145" i="3" s="1"/>
  <c r="D55" i="3" s="1"/>
  <c r="F33" i="3"/>
  <c r="F34" i="3" s="1"/>
  <c r="F173" i="3"/>
  <c r="H169" i="3"/>
  <c r="H172" i="3" s="1"/>
  <c r="G172" i="3"/>
  <c r="E35" i="3"/>
  <c r="D124" i="3"/>
  <c r="E77" i="7" l="1"/>
  <c r="D104" i="7"/>
  <c r="F35" i="3"/>
  <c r="F36" i="3" s="1"/>
  <c r="F37" i="3" s="1"/>
  <c r="F38" i="3" s="1"/>
  <c r="F21" i="7" s="1"/>
  <c r="E144" i="3"/>
  <c r="D58" i="3"/>
  <c r="V19" i="20"/>
  <c r="I19" i="20" s="1"/>
  <c r="I18" i="20"/>
  <c r="G173" i="3"/>
  <c r="G33" i="3"/>
  <c r="G34" i="3" s="1"/>
  <c r="H173" i="3"/>
  <c r="H33" i="3"/>
  <c r="H34" i="3" s="1"/>
  <c r="E36" i="3"/>
  <c r="E37" i="3" s="1"/>
  <c r="E38" i="3" s="1"/>
  <c r="E21" i="7" s="1"/>
  <c r="D77" i="3"/>
  <c r="D79" i="3" s="1"/>
  <c r="D96" i="3" s="1"/>
  <c r="F77" i="7" l="1"/>
  <c r="E104" i="7"/>
  <c r="D67" i="3"/>
  <c r="D98" i="3" s="1"/>
  <c r="D14" i="7"/>
  <c r="F106" i="3"/>
  <c r="F111" i="3" s="1"/>
  <c r="F123" i="3" s="1"/>
  <c r="X18" i="20"/>
  <c r="E106" i="3"/>
  <c r="E111" i="3" s="1"/>
  <c r="E123" i="3" s="1"/>
  <c r="W18" i="20"/>
  <c r="G35" i="3"/>
  <c r="G36" i="3"/>
  <c r="G37" i="3" s="1"/>
  <c r="G38" i="3" s="1"/>
  <c r="G21" i="7" s="1"/>
  <c r="E124" i="3"/>
  <c r="H35" i="3"/>
  <c r="H36" i="3"/>
  <c r="H37" i="3" s="1"/>
  <c r="H38" i="3" s="1"/>
  <c r="H21" i="7" s="1"/>
  <c r="E76" i="3"/>
  <c r="F124" i="3"/>
  <c r="G77" i="7" l="1"/>
  <c r="F104" i="7"/>
  <c r="D26" i="7"/>
  <c r="D28" i="7" s="1"/>
  <c r="D103" i="7" s="1"/>
  <c r="D105" i="7" s="1"/>
  <c r="D15" i="7"/>
  <c r="D76" i="7" s="1"/>
  <c r="D78" i="7" s="1"/>
  <c r="F76" i="3"/>
  <c r="E77" i="3"/>
  <c r="E79" i="3" s="1"/>
  <c r="E96" i="3" s="1"/>
  <c r="W19" i="20"/>
  <c r="J19" i="20" s="1"/>
  <c r="J18" i="20"/>
  <c r="G106" i="3"/>
  <c r="G111" i="3" s="1"/>
  <c r="G123" i="3" s="1"/>
  <c r="Y18" i="20"/>
  <c r="E125" i="3"/>
  <c r="E143" i="3" s="1"/>
  <c r="E145" i="3" s="1"/>
  <c r="E55" i="3" s="1"/>
  <c r="H106" i="3"/>
  <c r="H111" i="3" s="1"/>
  <c r="H123" i="3" s="1"/>
  <c r="Z18" i="20"/>
  <c r="H124" i="3"/>
  <c r="G124" i="3"/>
  <c r="X19" i="20"/>
  <c r="K19" i="20" s="1"/>
  <c r="K18" i="20"/>
  <c r="F125" i="3"/>
  <c r="F143" i="3" s="1"/>
  <c r="H77" i="7" l="1"/>
  <c r="H104" i="7" s="1"/>
  <c r="G104" i="7"/>
  <c r="H125" i="3"/>
  <c r="H143" i="3" s="1"/>
  <c r="F144" i="3"/>
  <c r="F145" i="3" s="1"/>
  <c r="F55" i="3" s="1"/>
  <c r="E58" i="3"/>
  <c r="L18" i="20"/>
  <c r="Y19" i="20"/>
  <c r="L19" i="20" s="1"/>
  <c r="Z19" i="20"/>
  <c r="M19" i="20" s="1"/>
  <c r="M18" i="20"/>
  <c r="G125" i="3"/>
  <c r="G143" i="3" s="1"/>
  <c r="F77" i="3"/>
  <c r="F79" i="3" s="1"/>
  <c r="F96" i="3" s="1"/>
  <c r="G76" i="3"/>
  <c r="E67" i="3" l="1"/>
  <c r="E98" i="3" s="1"/>
  <c r="E14" i="7"/>
  <c r="F58" i="3"/>
  <c r="G144" i="3"/>
  <c r="G145" i="3" s="1"/>
  <c r="G55" i="3" s="1"/>
  <c r="G77" i="3"/>
  <c r="G79" i="3" s="1"/>
  <c r="G96" i="3" s="1"/>
  <c r="H76" i="3"/>
  <c r="H77" i="3" s="1"/>
  <c r="H79" i="3" s="1"/>
  <c r="H96" i="3" s="1"/>
  <c r="E26" i="7" l="1"/>
  <c r="E28" i="7" s="1"/>
  <c r="E103" i="7" s="1"/>
  <c r="E105" i="7" s="1"/>
  <c r="E15" i="7"/>
  <c r="E76" i="7" s="1"/>
  <c r="E78" i="7" s="1"/>
  <c r="F67" i="3"/>
  <c r="F98" i="3" s="1"/>
  <c r="F14" i="7"/>
  <c r="G58" i="3"/>
  <c r="H144" i="3"/>
  <c r="H145" i="3" s="1"/>
  <c r="F26" i="7" l="1"/>
  <c r="F28" i="7" s="1"/>
  <c r="F103" i="7" s="1"/>
  <c r="F105" i="7" s="1"/>
  <c r="F15" i="7"/>
  <c r="F76" i="7" s="1"/>
  <c r="F78" i="7" s="1"/>
  <c r="H55" i="3"/>
  <c r="H58" i="3" s="1"/>
  <c r="G67" i="3"/>
  <c r="G98" i="3" s="1"/>
  <c r="G14" i="7"/>
  <c r="H67" i="3" l="1"/>
  <c r="H98" i="3" s="1"/>
  <c r="H14" i="7"/>
  <c r="G26" i="7"/>
  <c r="G28" i="7" s="1"/>
  <c r="G103" i="7" s="1"/>
  <c r="G105" i="7" s="1"/>
  <c r="G15" i="7"/>
  <c r="G76" i="7" s="1"/>
  <c r="G78" i="7" s="1"/>
  <c r="H26" i="7" l="1"/>
  <c r="H28" i="7" s="1"/>
  <c r="H103" i="7" s="1"/>
  <c r="H105" i="7" s="1"/>
  <c r="B106" i="7" s="1"/>
  <c r="H15" i="7"/>
  <c r="H76" i="7" s="1"/>
  <c r="H78" i="7" s="1"/>
  <c r="B93" i="7" l="1"/>
  <c r="B95" i="7" s="1"/>
  <c r="B84" i="7"/>
  <c r="B90" i="7" s="1"/>
  <c r="B97" i="7"/>
  <c r="B107" i="7" s="1"/>
  <c r="B108" i="7" s="1"/>
  <c r="B112" i="7" s="1"/>
  <c r="B121" i="7" s="1"/>
</calcChain>
</file>

<file path=xl/sharedStrings.xml><?xml version="1.0" encoding="utf-8"?>
<sst xmlns="http://schemas.openxmlformats.org/spreadsheetml/2006/main" count="1293" uniqueCount="682">
  <si>
    <t>S.No</t>
  </si>
  <si>
    <t>Name</t>
  </si>
  <si>
    <t>Nifty 100 Company Name - Part 1</t>
  </si>
  <si>
    <t>Nifty 100 Company Name - Part 2</t>
  </si>
  <si>
    <t>Abhimanyu Babbar</t>
  </si>
  <si>
    <t>Company Name</t>
  </si>
  <si>
    <t>Industry</t>
  </si>
  <si>
    <t>Symbol</t>
  </si>
  <si>
    <t>Series</t>
  </si>
  <si>
    <t>ISIN Code</t>
  </si>
  <si>
    <t>ABB India Ltd.</t>
  </si>
  <si>
    <t>Capital Goods</t>
  </si>
  <si>
    <t>ABB</t>
  </si>
  <si>
    <t>EQ</t>
  </si>
  <si>
    <t>INE117A01022</t>
  </si>
  <si>
    <t>Adani Energy Solutions Ltd.</t>
  </si>
  <si>
    <t>Power</t>
  </si>
  <si>
    <t>ADANIENSOL</t>
  </si>
  <si>
    <t>INE931S01010</t>
  </si>
  <si>
    <t>Adani Enterprises Ltd.</t>
  </si>
  <si>
    <t>Metals &amp; Mining</t>
  </si>
  <si>
    <t>ADANIENT</t>
  </si>
  <si>
    <t>INE423A01024</t>
  </si>
  <si>
    <t>Adani Green Energy Ltd.</t>
  </si>
  <si>
    <t>ADANIGREEN</t>
  </si>
  <si>
    <t>INE364U01010</t>
  </si>
  <si>
    <t>Adani Ports and Special Economic Zone Ltd.</t>
  </si>
  <si>
    <t>Services</t>
  </si>
  <si>
    <t>ADANIPORTS</t>
  </si>
  <si>
    <t>INE742F01042</t>
  </si>
  <si>
    <t>Adani Power Ltd.</t>
  </si>
  <si>
    <t>ADANIPOWER</t>
  </si>
  <si>
    <t>INE814H01011</t>
  </si>
  <si>
    <t>Adani Total Gas Ltd.</t>
  </si>
  <si>
    <t>Oil Gas &amp; Consumable Fuels</t>
  </si>
  <si>
    <t>ATGL</t>
  </si>
  <si>
    <t>INE399L01023</t>
  </si>
  <si>
    <t>Ambuja Cements Ltd.</t>
  </si>
  <si>
    <t>Construction Materials</t>
  </si>
  <si>
    <t>AMBUJACEM</t>
  </si>
  <si>
    <t>INE079A01024</t>
  </si>
  <si>
    <t>Apollo Hospitals Enterprise Ltd.</t>
  </si>
  <si>
    <t>Healthcare</t>
  </si>
  <si>
    <t>APOLLOHOSP</t>
  </si>
  <si>
    <t>INE437A01024</t>
  </si>
  <si>
    <t>Asian Paints Ltd.</t>
  </si>
  <si>
    <t>Consumer Durables</t>
  </si>
  <si>
    <t>ASIANPAINT</t>
  </si>
  <si>
    <t>INE021A01026</t>
  </si>
  <si>
    <t>Avenue Supermarts Ltd.</t>
  </si>
  <si>
    <t>Consumer Services</t>
  </si>
  <si>
    <t>DMART</t>
  </si>
  <si>
    <t>INE192R01011</t>
  </si>
  <si>
    <t>Axis Bank Ltd.</t>
  </si>
  <si>
    <t>Financial Services</t>
  </si>
  <si>
    <t>AXISBANK</t>
  </si>
  <si>
    <t>INE238A01034</t>
  </si>
  <si>
    <t>Bajaj Auto Ltd.</t>
  </si>
  <si>
    <t>Automobile and Auto Components</t>
  </si>
  <si>
    <t>BAJAJ-AUTO</t>
  </si>
  <si>
    <t>INE917I01010</t>
  </si>
  <si>
    <t>Bajaj Finance Ltd.</t>
  </si>
  <si>
    <t>BAJFINANCE</t>
  </si>
  <si>
    <t>INE296A01024</t>
  </si>
  <si>
    <t>Bajaj Finserv Ltd.</t>
  </si>
  <si>
    <t>BAJAJFINSV</t>
  </si>
  <si>
    <t>INE918I01026</t>
  </si>
  <si>
    <t>Bajaj Holdings &amp; Investment Ltd.</t>
  </si>
  <si>
    <t>BAJAJHLDNG</t>
  </si>
  <si>
    <t>INE118A01012</t>
  </si>
  <si>
    <t>Bank of Baroda</t>
  </si>
  <si>
    <t>BANKBARODA</t>
  </si>
  <si>
    <t>INE028A01039</t>
  </si>
  <si>
    <t>Bharat Electronics Ltd.</t>
  </si>
  <si>
    <t>BEL</t>
  </si>
  <si>
    <t>INE263A01024</t>
  </si>
  <si>
    <t>Bharat Heavy Electricals Ltd.</t>
  </si>
  <si>
    <t>BHEL</t>
  </si>
  <si>
    <t>INE257A01026</t>
  </si>
  <si>
    <t>Bharat Petroleum Corporation Ltd.</t>
  </si>
  <si>
    <t>BPCL</t>
  </si>
  <si>
    <t>INE029A01011</t>
  </si>
  <si>
    <t>Bharti Airtel Ltd.</t>
  </si>
  <si>
    <t>Telecommunication</t>
  </si>
  <si>
    <t>BHARTIARTL</t>
  </si>
  <si>
    <t>INE397D01024</t>
  </si>
  <si>
    <t>Bosch Ltd.</t>
  </si>
  <si>
    <t>BOSCHLTD</t>
  </si>
  <si>
    <t>INE323A01026</t>
  </si>
  <si>
    <t>Britannia Industries Ltd.</t>
  </si>
  <si>
    <t>Fast Moving Consumer Goods</t>
  </si>
  <si>
    <t>BRITANNIA</t>
  </si>
  <si>
    <t>INE216A01030</t>
  </si>
  <si>
    <t>Canara Bank</t>
  </si>
  <si>
    <t>CANBK</t>
  </si>
  <si>
    <t>INE476A01022</t>
  </si>
  <si>
    <t>Cholamandalam Investment and Finance Company Ltd.</t>
  </si>
  <si>
    <t>CHOLAFIN</t>
  </si>
  <si>
    <t>INE121A01024</t>
  </si>
  <si>
    <t>Cipla Ltd.</t>
  </si>
  <si>
    <t>CIPLA</t>
  </si>
  <si>
    <t>INE059A01026</t>
  </si>
  <si>
    <t>Coal India Ltd.</t>
  </si>
  <si>
    <t>COALINDIA</t>
  </si>
  <si>
    <t>INE522F01014</t>
  </si>
  <si>
    <t>DLF Ltd.</t>
  </si>
  <si>
    <t>Realty</t>
  </si>
  <si>
    <t>DLF</t>
  </si>
  <si>
    <t>INE271C01023</t>
  </si>
  <si>
    <t>Dabur India Ltd.</t>
  </si>
  <si>
    <t>DABUR</t>
  </si>
  <si>
    <t>INE016A01026</t>
  </si>
  <si>
    <t>Divi's Laboratories Ltd.</t>
  </si>
  <si>
    <t>DIVISLAB</t>
  </si>
  <si>
    <t>INE361B01024</t>
  </si>
  <si>
    <t>Dr. Reddy's Laboratories Ltd.</t>
  </si>
  <si>
    <t>DRREDDY</t>
  </si>
  <si>
    <t>INE089A01031</t>
  </si>
  <si>
    <t>Eicher Motors Ltd.</t>
  </si>
  <si>
    <t>EICHERMOT</t>
  </si>
  <si>
    <t>INE066A01021</t>
  </si>
  <si>
    <t>GAIL (India) Ltd.</t>
  </si>
  <si>
    <t>GAIL</t>
  </si>
  <si>
    <t>INE129A01019</t>
  </si>
  <si>
    <t>Godrej Consumer Products Ltd.</t>
  </si>
  <si>
    <t>GODREJCP</t>
  </si>
  <si>
    <t>INE102D01028</t>
  </si>
  <si>
    <t>Grasim Industries Ltd.</t>
  </si>
  <si>
    <t>GRASIM</t>
  </si>
  <si>
    <t>INE047A01021</t>
  </si>
  <si>
    <t>HCL Technologies Ltd.</t>
  </si>
  <si>
    <t>Information Technology</t>
  </si>
  <si>
    <t>HCLTECH</t>
  </si>
  <si>
    <t>INE860A01027</t>
  </si>
  <si>
    <t>HDFC Bank Ltd.</t>
  </si>
  <si>
    <t>HDFCBANK</t>
  </si>
  <si>
    <t>INE040A01034</t>
  </si>
  <si>
    <t>HDFC Life Insurance Company Ltd.</t>
  </si>
  <si>
    <t>HDFCLIFE</t>
  </si>
  <si>
    <t>INE795G01014</t>
  </si>
  <si>
    <t>Havells India Ltd.</t>
  </si>
  <si>
    <t>HAVELLS</t>
  </si>
  <si>
    <t>INE176B01034</t>
  </si>
  <si>
    <t>Hero MotoCorp Ltd.</t>
  </si>
  <si>
    <t>HEROMOTOCO</t>
  </si>
  <si>
    <t>INE158A01026</t>
  </si>
  <si>
    <t>Hindalco Industries Ltd.</t>
  </si>
  <si>
    <t>HINDALCO</t>
  </si>
  <si>
    <t>INE038A01020</t>
  </si>
  <si>
    <t>Hindustan Aeronautics Ltd.</t>
  </si>
  <si>
    <t>HAL</t>
  </si>
  <si>
    <t>INE066F01020</t>
  </si>
  <si>
    <t>Hindustan Unilever Ltd.</t>
  </si>
  <si>
    <t>HINDUNILVR</t>
  </si>
  <si>
    <t>INE030A01027</t>
  </si>
  <si>
    <t>ICICI Bank Ltd.</t>
  </si>
  <si>
    <t>ICICIBANK</t>
  </si>
  <si>
    <t>INE090A01021</t>
  </si>
  <si>
    <t>ICICI Lombard General Insurance Company Ltd.</t>
  </si>
  <si>
    <t>ICICIGI</t>
  </si>
  <si>
    <t>INE765G01017</t>
  </si>
  <si>
    <t>ICICI Prudential Life Insurance Company Ltd.</t>
  </si>
  <si>
    <t>ICICIPRULI</t>
  </si>
  <si>
    <t>INE726G01019</t>
  </si>
  <si>
    <t>ITC Ltd.</t>
  </si>
  <si>
    <t>ITC</t>
  </si>
  <si>
    <t>INE154A01025</t>
  </si>
  <si>
    <t>Indian Oil Corporation Ltd.</t>
  </si>
  <si>
    <t>IOC</t>
  </si>
  <si>
    <t>INE242A01010</t>
  </si>
  <si>
    <t>Indian Railway Catering And Tourism Corporation Ltd.</t>
  </si>
  <si>
    <t>IRCTC</t>
  </si>
  <si>
    <t>INE335Y01020</t>
  </si>
  <si>
    <t>Indian Railway Finance Corporation Ltd.</t>
  </si>
  <si>
    <t>IRFC</t>
  </si>
  <si>
    <t>INE053F01010</t>
  </si>
  <si>
    <t>IndusInd Bank Ltd.</t>
  </si>
  <si>
    <t>INDUSINDBK</t>
  </si>
  <si>
    <t>INE095A01012</t>
  </si>
  <si>
    <t>Info Edge (India) Ltd.</t>
  </si>
  <si>
    <t>NAUKRI</t>
  </si>
  <si>
    <t>INE663F01024</t>
  </si>
  <si>
    <t>Infosys Ltd.</t>
  </si>
  <si>
    <t>INFY</t>
  </si>
  <si>
    <t>INE009A01021</t>
  </si>
  <si>
    <t>InterGlobe Aviation Ltd.</t>
  </si>
  <si>
    <t>INDIGO</t>
  </si>
  <si>
    <t>INE646L01027</t>
  </si>
  <si>
    <t>JSW Energy Ltd.</t>
  </si>
  <si>
    <t>JSWENERGY</t>
  </si>
  <si>
    <t>INE121E01018</t>
  </si>
  <si>
    <t>JSW Steel Ltd.</t>
  </si>
  <si>
    <t>JSWSTEEL</t>
  </si>
  <si>
    <t>INE019A01038</t>
  </si>
  <si>
    <t>Jindal Steel &amp; Power Ltd.</t>
  </si>
  <si>
    <t>JINDALSTEL</t>
  </si>
  <si>
    <t>INE749A01030</t>
  </si>
  <si>
    <t>Jio Financial Services Ltd.</t>
  </si>
  <si>
    <t>JIOFIN</t>
  </si>
  <si>
    <t>INE758E01017</t>
  </si>
  <si>
    <t>Kotak Mahindra Bank Ltd.</t>
  </si>
  <si>
    <t>KOTAKBANK</t>
  </si>
  <si>
    <t>INE237A01028</t>
  </si>
  <si>
    <t>LTIMindtree Ltd.</t>
  </si>
  <si>
    <t>LTIM</t>
  </si>
  <si>
    <t>INE214T01019</t>
  </si>
  <si>
    <t>Larsen &amp; Toubro Ltd.</t>
  </si>
  <si>
    <t>Construction</t>
  </si>
  <si>
    <t>LT</t>
  </si>
  <si>
    <t>INE018A01030</t>
  </si>
  <si>
    <t>Life Insurance Corporation of India</t>
  </si>
  <si>
    <t>LICI</t>
  </si>
  <si>
    <t>INE0J1Y01017</t>
  </si>
  <si>
    <t>Macrotech Developers Ltd.</t>
  </si>
  <si>
    <t>LODHA</t>
  </si>
  <si>
    <t>INE670K01029</t>
  </si>
  <si>
    <t>Mahindra &amp; Mahindra Ltd.</t>
  </si>
  <si>
    <t>M&amp;M</t>
  </si>
  <si>
    <t>INE101A01026</t>
  </si>
  <si>
    <t>Maruti Suzuki India Ltd.</t>
  </si>
  <si>
    <t>MARUTI</t>
  </si>
  <si>
    <t>INE585B01010</t>
  </si>
  <si>
    <t>NHPC Ltd.</t>
  </si>
  <si>
    <t>NHPC</t>
  </si>
  <si>
    <t>INE848E01016</t>
  </si>
  <si>
    <t>NTPC Ltd.</t>
  </si>
  <si>
    <t>NTPC</t>
  </si>
  <si>
    <t>INE733E01010</t>
  </si>
  <si>
    <t>Nestle India Ltd.</t>
  </si>
  <si>
    <t>NESTLEIND</t>
  </si>
  <si>
    <t>INE239A01024</t>
  </si>
  <si>
    <t>Oil &amp; Natural Gas Corporation Ltd.</t>
  </si>
  <si>
    <t>ONGC</t>
  </si>
  <si>
    <t>INE213A01029</t>
  </si>
  <si>
    <t>Pidilite Industries Ltd.</t>
  </si>
  <si>
    <t>Chemicals</t>
  </si>
  <si>
    <t>PIDILITIND</t>
  </si>
  <si>
    <t>INE318A01026</t>
  </si>
  <si>
    <t>Power Finance Corporation Ltd.</t>
  </si>
  <si>
    <t>PFC</t>
  </si>
  <si>
    <t>INE134E01011</t>
  </si>
  <si>
    <t>Power Grid Corporation of India Ltd.</t>
  </si>
  <si>
    <t>POWERGRID</t>
  </si>
  <si>
    <t>INE752E01010</t>
  </si>
  <si>
    <t>Punjab National Bank</t>
  </si>
  <si>
    <t>PNB</t>
  </si>
  <si>
    <t>INE160A01022</t>
  </si>
  <si>
    <t>REC Ltd.</t>
  </si>
  <si>
    <t>RECLTD</t>
  </si>
  <si>
    <t>INE020B01018</t>
  </si>
  <si>
    <t>Reliance Industries Ltd.</t>
  </si>
  <si>
    <t>RELIANCE</t>
  </si>
  <si>
    <t>INE002A01018</t>
  </si>
  <si>
    <t>SBI Life Insurance Company Ltd.</t>
  </si>
  <si>
    <t>SBILIFE</t>
  </si>
  <si>
    <t>INE123W01016</t>
  </si>
  <si>
    <t>Samvardhana Motherson International Ltd.</t>
  </si>
  <si>
    <t>MOTHERSON</t>
  </si>
  <si>
    <t>INE775A01035</t>
  </si>
  <si>
    <t>Shree Cement Ltd.</t>
  </si>
  <si>
    <t>SHREECEM</t>
  </si>
  <si>
    <t>INE070A01015</t>
  </si>
  <si>
    <t>Shriram Finance Ltd.</t>
  </si>
  <si>
    <t>SHRIRAMFIN</t>
  </si>
  <si>
    <t>INE721A01047</t>
  </si>
  <si>
    <t>Siemens Ltd.</t>
  </si>
  <si>
    <t>SIEMENS</t>
  </si>
  <si>
    <t>INE003A01024</t>
  </si>
  <si>
    <t>State Bank of India</t>
  </si>
  <si>
    <t>SBIN</t>
  </si>
  <si>
    <t>INE062A01020</t>
  </si>
  <si>
    <t>Sun Pharmaceutical Industries Ltd.</t>
  </si>
  <si>
    <t>SUNPHARMA</t>
  </si>
  <si>
    <t>INE044A01036</t>
  </si>
  <si>
    <t>TVS Motor Company Ltd.</t>
  </si>
  <si>
    <t>TVSMOTOR</t>
  </si>
  <si>
    <t>INE494B01023</t>
  </si>
  <si>
    <t>Tata Consultancy Services Ltd.</t>
  </si>
  <si>
    <t>TCS</t>
  </si>
  <si>
    <t>INE467B01029</t>
  </si>
  <si>
    <t>Tata Consumer Products Ltd.</t>
  </si>
  <si>
    <t>TATACONSUM</t>
  </si>
  <si>
    <t>INE192A01025</t>
  </si>
  <si>
    <t>Tata Motors Ltd.</t>
  </si>
  <si>
    <t>TATAMOTORS</t>
  </si>
  <si>
    <t>INE155A01022</t>
  </si>
  <si>
    <t>Tata Power Co. Ltd.</t>
  </si>
  <si>
    <t>TATAPOWER</t>
  </si>
  <si>
    <t>INE245A01021</t>
  </si>
  <si>
    <t>Tata Steel Ltd.</t>
  </si>
  <si>
    <t>TATASTEEL</t>
  </si>
  <si>
    <t>INE081A01020</t>
  </si>
  <si>
    <t>Tech Mahindra Ltd.</t>
  </si>
  <si>
    <t>TECHM</t>
  </si>
  <si>
    <t>INE669C01036</t>
  </si>
  <si>
    <t>Titan Company Ltd.</t>
  </si>
  <si>
    <t>TITAN</t>
  </si>
  <si>
    <t>INE280A01028</t>
  </si>
  <si>
    <t>Torrent Pharmaceuticals Ltd.</t>
  </si>
  <si>
    <t>TORNTPHARM</t>
  </si>
  <si>
    <t>INE685A01028</t>
  </si>
  <si>
    <t>Trent Ltd.</t>
  </si>
  <si>
    <t>TRENT</t>
  </si>
  <si>
    <t>INE849A01020</t>
  </si>
  <si>
    <t>UltraTech Cement Ltd.</t>
  </si>
  <si>
    <t>ULTRACEMCO</t>
  </si>
  <si>
    <t>INE481G01011</t>
  </si>
  <si>
    <t>Union Bank of India</t>
  </si>
  <si>
    <t>UNIONBANK</t>
  </si>
  <si>
    <t>INE692A01016</t>
  </si>
  <si>
    <t>United Spirits Ltd.</t>
  </si>
  <si>
    <t>UNITDSPR</t>
  </si>
  <si>
    <t>INE854D01024</t>
  </si>
  <si>
    <t>Varun Beverages Ltd.</t>
  </si>
  <si>
    <t>VBL</t>
  </si>
  <si>
    <t>INE200M01039</t>
  </si>
  <si>
    <t>Vedanta Ltd.</t>
  </si>
  <si>
    <t>VEDL</t>
  </si>
  <si>
    <t>INE205A01025</t>
  </si>
  <si>
    <t>Wipro Ltd.</t>
  </si>
  <si>
    <t>WIPRO</t>
  </si>
  <si>
    <t>INE075A01022</t>
  </si>
  <si>
    <t>Zomato Ltd.</t>
  </si>
  <si>
    <t>ZOMATO</t>
  </si>
  <si>
    <t>INE758T01015</t>
  </si>
  <si>
    <t>Zydus Lifesciences Ltd.</t>
  </si>
  <si>
    <t>ZYDUSLIFE</t>
  </si>
  <si>
    <t>INE010B01027</t>
  </si>
  <si>
    <t>B</t>
  </si>
  <si>
    <t>Topic</t>
  </si>
  <si>
    <t>Tab Link</t>
  </si>
  <si>
    <t>Nifty 100 List</t>
  </si>
  <si>
    <t>Tab - Colour</t>
  </si>
  <si>
    <t>General tabs</t>
  </si>
  <si>
    <t>DCF - Part 1</t>
  </si>
  <si>
    <t>CAPM - Part 2</t>
  </si>
  <si>
    <t>Part 1A - DCF (1.1, 1.2, 1.3 and 1.4)</t>
  </si>
  <si>
    <t>Part 1B - DCF (1.5, 1.6, 1.7 and 1.8)</t>
  </si>
  <si>
    <t>1. Part 1B - DCF</t>
  </si>
  <si>
    <t>Part 2 - CAPM - 2.4</t>
  </si>
  <si>
    <t>Part 2 - CAPM - 2.5</t>
  </si>
  <si>
    <t>Part 2 - CAPM 2.4</t>
  </si>
  <si>
    <t>Part 2 - CAPM 2.5</t>
  </si>
  <si>
    <t>DATE</t>
  </si>
  <si>
    <t>India 3-Month Bond Yield Historical Data (Investing.Com)
(Risk Free Rate - Rf)</t>
  </si>
  <si>
    <t>Nifty 500 Last 5 Years Equity Share Price (NSE)
(Market Return - Rm)</t>
  </si>
  <si>
    <t>Oil &amp; Natural Gas Corporation Ltd. Last 5 Years Equity Share Price (NSE)
(Stock Return - Rs)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</si>
  <si>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</si>
  <si>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</si>
  <si>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</si>
  <si>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</si>
  <si>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</si>
  <si>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</si>
  <si>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</si>
  <si>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</si>
  <si>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</si>
  <si>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</si>
  <si>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</si>
  <si>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</si>
  <si>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</si>
  <si>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</si>
  <si>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</si>
  <si>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</si>
  <si>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</si>
  <si>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</si>
  <si>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</si>
  <si>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</si>
  <si>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</si>
  <si>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</si>
  <si>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</si>
  <si>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</si>
  <si>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DAILY RETURNS (%)
(2.2)</t>
  </si>
  <si>
    <t>DATE
(2.1)</t>
  </si>
  <si>
    <t>CLOSE
(2.1)</t>
  </si>
  <si>
    <t>Identification of the Dependent and Independent Variable - Referenced to Part 2 - CAPM 2.3</t>
  </si>
  <si>
    <t>BOND YIELD 
ANNUALIZED (%)
(2.1)</t>
  </si>
  <si>
    <t>BOND YIELD
DAILY (%)
(2.2)</t>
  </si>
  <si>
    <t>Part 2 - CAPM - 2.1, 2.2, 2.3</t>
  </si>
  <si>
    <t>Part 2 - CAPM 2.1, 2.2 and 2.3</t>
  </si>
  <si>
    <t>Colour Code</t>
  </si>
  <si>
    <t>XX</t>
  </si>
  <si>
    <t>CAPM Model Generation</t>
  </si>
  <si>
    <t>Beta from Formula (B)</t>
  </si>
  <si>
    <t>Beta from Regression (B)</t>
  </si>
  <si>
    <t>CAPM Model
Cost of Equity 
(Ke) = Rf + B*(Rm-Rf)+ARM
NIFTY 500 Ke</t>
  </si>
  <si>
    <t>CAPM Model
Cost of Equity 
(Ke) = Rf + B*(Rs-Rf)+ARM
ONGC Ke</t>
  </si>
  <si>
    <t>Regression run on ONGC Limited and NIFTY 500</t>
  </si>
  <si>
    <t>1. Part 1A - DCF</t>
  </si>
  <si>
    <t>What does it indicate?</t>
  </si>
  <si>
    <t>INCOME</t>
  </si>
  <si>
    <t>Consolidated Profit &amp; Loss account</t>
  </si>
  <si>
    <t>12 mths</t>
  </si>
  <si>
    <t>Revenue From Operations [Gross]</t>
  </si>
  <si>
    <t>Other Operating Revenues</t>
  </si>
  <si>
    <t>Total Operating Revenues</t>
  </si>
  <si>
    <t>Other Income</t>
  </si>
  <si>
    <t>Total Revenue</t>
  </si>
  <si>
    <t>Minority Interest</t>
  </si>
  <si>
    <t>Share Of Profit/Loss Of Associates</t>
  </si>
  <si>
    <t>OTHER ADDITIONAL INFORMATION</t>
  </si>
  <si>
    <t>EARNINGS PER SHARE</t>
  </si>
  <si>
    <t>Basic EPS (Rs.)</t>
  </si>
  <si>
    <t>Diluted EPS (Rs.)</t>
  </si>
  <si>
    <t>DIVIDEND AND DIVIDEND PERCENTAGE</t>
  </si>
  <si>
    <t>Equity Share Dividend</t>
  </si>
  <si>
    <t>Tax On Dividend</t>
  </si>
  <si>
    <t>in Rs. Cr.</t>
  </si>
  <si>
    <t>ITC Consolidated Profit and Loss Account</t>
  </si>
  <si>
    <t xml:space="preserve"> </t>
  </si>
  <si>
    <t>EQUITIES AND LIABILITIES</t>
  </si>
  <si>
    <t>SHAREHOLDER'S FUNDS</t>
  </si>
  <si>
    <t>Total Share Capital</t>
  </si>
  <si>
    <t>Total Reserves and Surplus</t>
  </si>
  <si>
    <t>Total Shareholders Funds</t>
  </si>
  <si>
    <t>NON-CURRENT LIABILITIES</t>
  </si>
  <si>
    <t>Long Term Borrowings</t>
  </si>
  <si>
    <t>Other Long Term Liabilities</t>
  </si>
  <si>
    <t>Long Term Provisions</t>
  </si>
  <si>
    <t>Total Non-Current Liabilities</t>
  </si>
  <si>
    <t>CURRENT LIABILITIES</t>
  </si>
  <si>
    <t>Short Term Borrowings</t>
  </si>
  <si>
    <t>Trade Payables</t>
  </si>
  <si>
    <t>Other Current Liabilities</t>
  </si>
  <si>
    <t>Short Term Provisions</t>
  </si>
  <si>
    <t>Total Current Liabilities</t>
  </si>
  <si>
    <t>Total Capital And Liabilities</t>
  </si>
  <si>
    <t>ASSETS</t>
  </si>
  <si>
    <t>NON-CURRENT ASSETS</t>
  </si>
  <si>
    <t>Fixed Assets</t>
  </si>
  <si>
    <t>Non-Current Investments</t>
  </si>
  <si>
    <t>Long Term Loans And Advances</t>
  </si>
  <si>
    <t>Other Non-Current Assets</t>
  </si>
  <si>
    <t>Total Non-Current Assets</t>
  </si>
  <si>
    <t>CURRENT ASSETS</t>
  </si>
  <si>
    <t>Current Investments</t>
  </si>
  <si>
    <t>Inventories</t>
  </si>
  <si>
    <t>Trade Receivables</t>
  </si>
  <si>
    <t>Cash And Cash Equivalents</t>
  </si>
  <si>
    <t>Short Term Loans And Advances</t>
  </si>
  <si>
    <t>Total Current Assets</t>
  </si>
  <si>
    <t>Total Assets</t>
  </si>
  <si>
    <t>CONTINGENT LIABILITIES, COMMITMENTS</t>
  </si>
  <si>
    <t>Contingent Liabilities</t>
  </si>
  <si>
    <t>BONUS DETAILS</t>
  </si>
  <si>
    <t>Bonus Equity Share Capital</t>
  </si>
  <si>
    <t>NON-CURRENT INVESTMENTS</t>
  </si>
  <si>
    <t>Non-Current Investments Quoted Market Value</t>
  </si>
  <si>
    <t>Non-Current Investments Unquoted Book Value</t>
  </si>
  <si>
    <t>CURRENT INVESTMENTS</t>
  </si>
  <si>
    <t>Current Investments Quoted Market Value</t>
  </si>
  <si>
    <t>Current Investments Unquoted Book Value</t>
  </si>
  <si>
    <t>ITC Consolidated Balance Sheet</t>
  </si>
  <si>
    <t>Solution of the Assignment.</t>
  </si>
  <si>
    <t>This Financial Modeling project consists of two parts:</t>
  </si>
  <si>
    <t>Fundamental analysis and intrinsic value estimation using the Discounted Cash Flow (DCF) model.</t>
  </si>
  <si>
    <t>Includes financial statement building, assumptions, projections, WACC, terminal value, and final valuation to determine if the stock is undervalued or overvalued.</t>
  </si>
  <si>
    <t>Capital Asset Pricing Model (CAPM) to calculate expected stock returns.</t>
  </si>
  <si>
    <t>Involves downloading daily prices, calculating returns, running a regression, and deriving the CAPM equation.</t>
  </si>
  <si>
    <t>Read Me Section</t>
  </si>
  <si>
    <t>1) DCF Valuation (ITC Limited):</t>
  </si>
  <si>
    <t>2) CAPM Modeling (ONGC Limited):</t>
  </si>
  <si>
    <t>Projected Data - Calculated</t>
  </si>
  <si>
    <t>Sub - Headers</t>
  </si>
  <si>
    <t>Manual Input</t>
  </si>
  <si>
    <t>ITC Limited Income Statement</t>
  </si>
  <si>
    <t>ITC Limited Balance Sheet</t>
  </si>
  <si>
    <t>Net Revenue</t>
  </si>
  <si>
    <t>Contribution</t>
  </si>
  <si>
    <t>Less:</t>
  </si>
  <si>
    <t>Less: Fixed Costs</t>
  </si>
  <si>
    <t>Less: Variable Costs</t>
  </si>
  <si>
    <t>EBIT</t>
  </si>
  <si>
    <t>Less: Interest Cost</t>
  </si>
  <si>
    <t>EBT</t>
  </si>
  <si>
    <t>Consolidated EAT After MI And Associates</t>
  </si>
  <si>
    <t>FINANCIAL STATEMENTS</t>
  </si>
  <si>
    <t>Historical</t>
  </si>
  <si>
    <t>Projected</t>
  </si>
  <si>
    <t>X</t>
  </si>
  <si>
    <t>Notes</t>
  </si>
  <si>
    <t>Consolidated Balance Sheet</t>
  </si>
  <si>
    <t>(₹) in Crores</t>
  </si>
  <si>
    <t>INCOME STATEMENT ASSUMPTIONS</t>
  </si>
  <si>
    <t>BALANCE SHEET ASSUMPTIONS</t>
  </si>
  <si>
    <t>Revenue Growth %</t>
  </si>
  <si>
    <t>Variable Costs as a % of Sales</t>
  </si>
  <si>
    <t>Tax Expense %</t>
  </si>
  <si>
    <t>AR Days</t>
  </si>
  <si>
    <t>Inventory Days</t>
  </si>
  <si>
    <t>AP Days</t>
  </si>
  <si>
    <t>Revenue</t>
  </si>
  <si>
    <t>Operating Income (EBIT)</t>
  </si>
  <si>
    <t>EBITDA</t>
  </si>
  <si>
    <t>(Less): Tax Expense</t>
  </si>
  <si>
    <t>(Less): Finance Costs</t>
  </si>
  <si>
    <t>(Less): Fixed Costs</t>
  </si>
  <si>
    <t>(Less): Variable Costs</t>
  </si>
  <si>
    <t>1.2. ASSUMPTIONS</t>
  </si>
  <si>
    <t>1.1. THREE FINANCIAL STATEMENTS</t>
  </si>
  <si>
    <t>1.4. DEVELOP 5 YEAR FORECASTS</t>
  </si>
  <si>
    <t>1.1. FINANCIAL STATEMENTS</t>
  </si>
  <si>
    <t>Less: Tax Expenses</t>
  </si>
  <si>
    <t>Less: Extraordinary Items</t>
  </si>
  <si>
    <t>EAT After Extraordinary Items</t>
  </si>
  <si>
    <t>EAT before Extraordinary items</t>
  </si>
  <si>
    <t>Average of last 9 years, rounding the number.</t>
  </si>
  <si>
    <t>Variable Cost % of Sales</t>
  </si>
  <si>
    <t>Fixed Cost % of Sales</t>
  </si>
  <si>
    <t>Tax Expense % of EBT</t>
  </si>
  <si>
    <t>From Assumptions.</t>
  </si>
  <si>
    <t>Fixed Costs as a % of Sales</t>
  </si>
  <si>
    <t>Extraordinary Items as % of EAT before Extraordinary items</t>
  </si>
  <si>
    <t>Extraordinary Items as % of EAT before Extraordinary Items</t>
  </si>
  <si>
    <t>From Debt schedule.</t>
  </si>
  <si>
    <t>Other Current Assets</t>
  </si>
  <si>
    <t>Current Investments Growth</t>
  </si>
  <si>
    <t>Revenue Growth Rate (%)</t>
  </si>
  <si>
    <t>Current Investments Growth Rate (%)</t>
  </si>
  <si>
    <t>From Historical figures.</t>
  </si>
  <si>
    <t>TOTAL ASSETS</t>
  </si>
  <si>
    <t>From PPE schedule.</t>
  </si>
  <si>
    <t>TOTAL CAPITAL AND LIABILTIES</t>
  </si>
  <si>
    <t xml:space="preserve">From the Cash flow statement below. </t>
  </si>
  <si>
    <t>From the Debt schedule below.</t>
  </si>
  <si>
    <t>Average of last 9 years.</t>
  </si>
  <si>
    <t>Average of last 2 years.</t>
  </si>
  <si>
    <t>Net Income</t>
  </si>
  <si>
    <t>Changes in Net Working Capital</t>
  </si>
  <si>
    <t xml:space="preserve">Add: </t>
  </si>
  <si>
    <t>CHECK (ASSETS - (CAPITAL + LIABILITIES))</t>
  </si>
  <si>
    <t>Cash Flow from Operations Before Taxes</t>
  </si>
  <si>
    <t>Net Cash Flows Before Working Capital Changes</t>
  </si>
  <si>
    <t>Net Income Before Tax</t>
  </si>
  <si>
    <t>Less: Tax</t>
  </si>
  <si>
    <t>From Income Statement.</t>
  </si>
  <si>
    <t>From Balance Sheet above - Current Liabilities.</t>
  </si>
  <si>
    <t>From Balance Sheet above - Current Assets.</t>
  </si>
  <si>
    <t>A. Cashflow from Operating Activities</t>
  </si>
  <si>
    <t>Add: Non Cash Expenses:</t>
  </si>
  <si>
    <t>Total Shareholders Funds Including Minority Interest</t>
  </si>
  <si>
    <t>EQUITIES</t>
  </si>
  <si>
    <t>LIABILITIES</t>
  </si>
  <si>
    <t>(Purchases)/Sale of Fixed Assets</t>
  </si>
  <si>
    <t>(Purchases)/Sale of Non-Current Investments</t>
  </si>
  <si>
    <t>(Purchases)/Sale of Other Non-Current Assets</t>
  </si>
  <si>
    <t>(Purchases)/Sale of Long Term Loans and Advances</t>
  </si>
  <si>
    <t>C. Cashflow from Financing Activities</t>
  </si>
  <si>
    <t>Net Cash Flow Generated/(Used) from Investing Activities</t>
  </si>
  <si>
    <t>Net Cash Flow Generated/(Used) from Operating Activities</t>
  </si>
  <si>
    <t>Increase/(Decrease) in Long Term Provisions</t>
  </si>
  <si>
    <t>Increase/(Decrease) in Short Term Provisions</t>
  </si>
  <si>
    <t>B. Cashflow from Investing Activities</t>
  </si>
  <si>
    <t>Issue of Share Capital</t>
  </si>
  <si>
    <t>Increase/(Decrease) in Other Non-Current Liabilities</t>
  </si>
  <si>
    <t>Increase/(Decrease) in Long Term Borrowings</t>
  </si>
  <si>
    <t>Net Cash Flow Generated/(Used) from Financing Activities</t>
  </si>
  <si>
    <t>Net Change in Cash and Cash Equivalents (A+B+C)</t>
  </si>
  <si>
    <t>Add: Opening Balance of Cash and Cash Equivalents</t>
  </si>
  <si>
    <t>Closing Balance of Cash and Cash Equivalents</t>
  </si>
  <si>
    <t>Summary Outputs</t>
  </si>
  <si>
    <t>SUMMARY VALUES</t>
  </si>
  <si>
    <t>Trend</t>
  </si>
  <si>
    <t>Income Statement Items</t>
  </si>
  <si>
    <t>Sales</t>
  </si>
  <si>
    <t>(₹)</t>
  </si>
  <si>
    <t xml:space="preserve">   Growth</t>
  </si>
  <si>
    <t>(%)</t>
  </si>
  <si>
    <t>Operating Profit</t>
  </si>
  <si>
    <t>Part 1 - Summary</t>
  </si>
  <si>
    <t>1. Part 1 - Summary</t>
  </si>
  <si>
    <t>PPE SCHEDULE</t>
  </si>
  <si>
    <t>Beginning Balance of PPE</t>
  </si>
  <si>
    <t>Depreciation % of Sales</t>
  </si>
  <si>
    <t>Depreciation Expense</t>
  </si>
  <si>
    <t>Add: Depreciation Expenses</t>
  </si>
  <si>
    <t>Depreciation</t>
  </si>
  <si>
    <t>Ending Balance of PPE</t>
  </si>
  <si>
    <t>DEBT SCHEDULE</t>
  </si>
  <si>
    <t>1.3. SCHEDULES</t>
  </si>
  <si>
    <t>1.1.C. CASH FLOW STATEMENT</t>
  </si>
  <si>
    <t>1.1.B. BALANCE SHEET</t>
  </si>
  <si>
    <t>1.1.A. INCOME STATEMENT</t>
  </si>
  <si>
    <t>Current Portion of Long Term Debt</t>
  </si>
  <si>
    <t>Average of last 2 years</t>
  </si>
  <si>
    <t>CAPEX</t>
  </si>
  <si>
    <t>Interest Rate</t>
  </si>
  <si>
    <t>Interest Rate on Long Term Debt</t>
  </si>
  <si>
    <t>From Balance Sheet.</t>
  </si>
  <si>
    <t xml:space="preserve">Calculated using PY Balance and CY Profit. </t>
  </si>
  <si>
    <t>Calculated by using the assumption of the depreciation rate.</t>
  </si>
  <si>
    <t>Balancing Figure from the difference between Accounting Equation.</t>
  </si>
  <si>
    <t>Interest Expense on Long Term Debt</t>
  </si>
  <si>
    <t>Total Interest Expense or Finance Cost</t>
  </si>
  <si>
    <t>From Balance sheet.</t>
  </si>
  <si>
    <t>Discounted Cash Flow</t>
  </si>
  <si>
    <t>EBIT * (1-Tax Rate)</t>
  </si>
  <si>
    <t>Add:</t>
  </si>
  <si>
    <t>Non-Cash Expenses</t>
  </si>
  <si>
    <t>Net Increase/(Decrease) in Working Capital</t>
  </si>
  <si>
    <t>From the Income Statement.</t>
  </si>
  <si>
    <t>From the Cash Flow Statement.</t>
  </si>
  <si>
    <t>From the PPE schedule.</t>
  </si>
  <si>
    <t>From the Balance Sheet.</t>
  </si>
  <si>
    <t>Computation of Free Cash Flow to Equity (FCFE)</t>
  </si>
  <si>
    <t>Profit After Tax (PAT)</t>
  </si>
  <si>
    <t>From FCFF computation.</t>
  </si>
  <si>
    <t>Net Increase/(Decrease) in Debt</t>
  </si>
  <si>
    <t>Computation of Free Cash Flow to Firm (FCFF)</t>
  </si>
  <si>
    <t>Free Cash Flow to Firm (FCFF)</t>
  </si>
  <si>
    <t>Free Cash Flow to Equity (FCFE)</t>
  </si>
  <si>
    <t xml:space="preserve">From the Debt schedule. </t>
  </si>
  <si>
    <t>Cost of Debt (Kd)</t>
  </si>
  <si>
    <t>From Debt Schedule.</t>
  </si>
  <si>
    <t>Computation of Cost of Debt (Kd)</t>
  </si>
  <si>
    <t>Computation of Weightage of Debt and Equity</t>
  </si>
  <si>
    <t>Debt</t>
  </si>
  <si>
    <t>Equity</t>
  </si>
  <si>
    <t>Total Firm Value</t>
  </si>
  <si>
    <t>Weightage of Debt (Wd)</t>
  </si>
  <si>
    <t>Weightage of Equity (We)</t>
  </si>
  <si>
    <t>Computation of Beta</t>
  </si>
  <si>
    <t>ITC Limited Beta Value</t>
  </si>
  <si>
    <t>Computation of Cost of Equity (Ke)</t>
  </si>
  <si>
    <t>Risk Free Rate (Rf)</t>
  </si>
  <si>
    <t>Market Rate of Return (Rm)</t>
  </si>
  <si>
    <t>Beta (B)</t>
  </si>
  <si>
    <t>Cost of Equity (Ke) = Rf + B*(Rm-Rf)</t>
  </si>
  <si>
    <t>Cost of Equity (Ke)</t>
  </si>
  <si>
    <t>1.5. Compute Weighted Average Cost of Capital(WACC)</t>
  </si>
  <si>
    <t xml:space="preserve">From the computation above. </t>
  </si>
  <si>
    <t>Weighted Average Cost of Capital:</t>
  </si>
  <si>
    <t>Tax Rate (T) (%)</t>
  </si>
  <si>
    <t>From the Assumption section.</t>
  </si>
  <si>
    <t>WACC = (Ke*We)+ ((Kd*(1-T))*Wd))</t>
  </si>
  <si>
    <t>1.6. Compute the Terminal Value</t>
  </si>
  <si>
    <t>FCFF</t>
  </si>
  <si>
    <t>WACC (%)</t>
  </si>
  <si>
    <t>Discounted FCFF</t>
  </si>
  <si>
    <t>Discount FCFF at WACC assuming 2023 is the CY</t>
  </si>
  <si>
    <t>Constant Growth Rate (%)</t>
  </si>
  <si>
    <t>Stage 1 of Valuation</t>
  </si>
  <si>
    <t>From the computation above.</t>
  </si>
  <si>
    <t xml:space="preserve">From the computation above, taking 2023 into consideration only. </t>
  </si>
  <si>
    <t>WACC (%) (2023)</t>
  </si>
  <si>
    <t>Stage 2 of Valuation</t>
  </si>
  <si>
    <t>FCFFt (FCFF at end of the tenure)</t>
  </si>
  <si>
    <t>Stage 1 Value: Total FCFF at Discounted Value</t>
  </si>
  <si>
    <t>1.7. Intrinsic Value of the Stock</t>
  </si>
  <si>
    <t>Stage 2 of Valuation = FCFFt*(1+g)/(WACC-g)</t>
  </si>
  <si>
    <t>Terminal Value = Stage 1 of Valuation + Stage 2 of Valuation</t>
  </si>
  <si>
    <t>Intrinsic Value of ITC Limited</t>
  </si>
  <si>
    <t>Comments on observations noted:</t>
  </si>
  <si>
    <t>FCFE</t>
  </si>
  <si>
    <t>WACC%</t>
  </si>
  <si>
    <t>Discounted FCFE</t>
  </si>
  <si>
    <t>Terminal Value</t>
  </si>
  <si>
    <t>Total FCFE at Discounted Value</t>
  </si>
  <si>
    <t>Total Intrinsic Value</t>
  </si>
  <si>
    <t>Intrinsic Value of ITC Limited = Intrinsic Value / Number of Outstanding Shares</t>
  </si>
  <si>
    <t>Number of Outstanding shares of ITC Limited</t>
  </si>
  <si>
    <t>Obtained from NSE website, converted in units of Crore.</t>
  </si>
  <si>
    <t>Currently hovering between 6.98% and 7.19%, hence assumption of 7%.</t>
  </si>
  <si>
    <r>
      <rPr>
        <b/>
        <sz val="10"/>
        <rFont val="Times New Roman"/>
        <family val="1"/>
      </rPr>
      <t xml:space="preserve">Computed from the website below: </t>
    </r>
    <r>
      <rPr>
        <b/>
        <u/>
        <sz val="10"/>
        <color theme="10"/>
        <rFont val="Times New Roman"/>
        <family val="1"/>
      </rPr>
      <t xml:space="preserve">
</t>
    </r>
    <r>
      <rPr>
        <b/>
        <sz val="10"/>
        <rFont val="Times New Roman"/>
        <family val="1"/>
      </rPr>
      <t>1. 2023 and 2024:</t>
    </r>
    <r>
      <rPr>
        <b/>
        <u/>
        <sz val="10"/>
        <color theme="10"/>
        <rFont val="Times New Roman"/>
        <family val="1"/>
      </rPr>
      <t xml:space="preserve"> https://www.bajajbroking.in/stock/itc-ltd-share-price
</t>
    </r>
    <r>
      <rPr>
        <b/>
        <sz val="10"/>
        <rFont val="Times New Roman"/>
        <family val="1"/>
      </rPr>
      <t>2. 2025:</t>
    </r>
    <r>
      <rPr>
        <b/>
        <u/>
        <sz val="10"/>
        <color theme="10"/>
        <rFont val="Times New Roman"/>
        <family val="1"/>
      </rPr>
      <t xml:space="preserve"> https://economictimes.indiatimes.com/markets/stocks/stock-liveblog/itc-share-price-today-live-updates-07-mar-2025/liveblog/118772951.cms?from=mdr</t>
    </r>
  </si>
  <si>
    <t>EAT Before Extraordinary Items</t>
  </si>
  <si>
    <t>Less: Excise/Service Tax/Other Levies</t>
  </si>
  <si>
    <r>
      <t xml:space="preserve">Computed from the website below: 
</t>
    </r>
    <r>
      <rPr>
        <b/>
        <u/>
        <sz val="10"/>
        <color rgb="FF0070C0"/>
        <rFont val="Times New Roman"/>
        <family val="1"/>
      </rPr>
      <t>https://niftyindices.com/Index_Dashboard/Index_Dashboard_DEC2023.pdf</t>
    </r>
  </si>
  <si>
    <t>A 6% terminal growth rate for ITC Limited reflects India's expected long-term GDP growth and inflation rates, ensuring a realistic and sustainable projection.</t>
  </si>
  <si>
    <t>Ke</t>
  </si>
  <si>
    <t>Rf</t>
  </si>
  <si>
    <t>Rm-Rf</t>
  </si>
  <si>
    <t>Arm</t>
  </si>
  <si>
    <t>2.5. CAPM Equation (Ke) = Rf + B*(Rm-Rf)+ARm
NIFTY 500 Ke</t>
  </si>
  <si>
    <t>DCF - Headers</t>
  </si>
  <si>
    <t>General Headers</t>
  </si>
  <si>
    <t>1.8. Comments on the Intrinsic Value of the Stock</t>
  </si>
  <si>
    <t>Current Market Price of ITC Limited as on 10/03/2023</t>
  </si>
  <si>
    <t>Closing Price of ITC Limited from NSE website dated 10/03/2023.</t>
  </si>
  <si>
    <t>Based on the current market price, ITC Limited's stock is heavily overpriced. The current market value exceeds the intrinsic value by ₹313.58, making it approximately 5.21 times higher than its intrinsic value.</t>
  </si>
  <si>
    <r>
      <rPr>
        <b/>
        <sz val="11"/>
        <color theme="1"/>
        <rFont val="Times New Roman"/>
        <family val="1"/>
      </rPr>
      <t>2) Dependent Variable (DV):</t>
    </r>
    <r>
      <rPr>
        <sz val="11"/>
        <color theme="1"/>
        <rFont val="Times New Roman"/>
        <family val="1"/>
      </rPr>
      <t xml:space="preserve"> Daily Return of Stock (ONGC) - Daily Risk Free Rate (3 Month India Bond Yield).</t>
    </r>
  </si>
  <si>
    <r>
      <rPr>
        <b/>
        <sz val="11"/>
        <color theme="1"/>
        <rFont val="Times New Roman"/>
        <family val="1"/>
      </rPr>
      <t>1) Independent Variable (IV):</t>
    </r>
    <r>
      <rPr>
        <sz val="11"/>
        <color theme="1"/>
        <rFont val="Times New Roman"/>
        <family val="1"/>
      </rPr>
      <t xml:space="preserve"> Market Return (NIFTY 500 Daily Return) - Daily Risk Free Rate (3 Month India Bond Yield).</t>
    </r>
  </si>
  <si>
    <t>RM-RF (%)
(IV)
(2.3)</t>
  </si>
  <si>
    <t>RS-RF (%)
(DV)
(2.3)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</si>
</sst>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64" formatCode="0.00000%"/>
    <numFmt numFmtId="165" formatCode="0.000000%"/>
    <numFmt numFmtId="166" formatCode="0\A"/>
    <numFmt numFmtId="167" formatCode="_ * #,##0.000000_ ;_ * \-#,##0.000000_ ;_ * &quot;-&quot;??_ ;_ @_ "/>
    <numFmt numFmtId="168" formatCode="0.00%;\(0.00%\)"/>
  </numFmts>
  <fonts count="3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u/>
      <sz val="10"/>
      <color theme="10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i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10"/>
      <color theme="0"/>
      <name val="Times New Roman"/>
      <family val="1"/>
    </font>
    <font>
      <b/>
      <sz val="10"/>
      <color rgb="FFFF0000"/>
      <name val="Times New Roman"/>
      <family val="1"/>
    </font>
    <font>
      <b/>
      <sz val="10"/>
      <color theme="4"/>
      <name val="Times New Roman"/>
      <family val="1"/>
    </font>
    <font>
      <b/>
      <sz val="14"/>
      <color theme="4"/>
      <name val="Times New Roman"/>
      <family val="1"/>
    </font>
    <font>
      <b/>
      <sz val="10"/>
      <color rgb="FF0070C0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b/>
      <sz val="12"/>
      <name val="Times New Roman"/>
      <family val="1"/>
    </font>
    <font>
      <b/>
      <i/>
      <sz val="14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  <font>
      <b/>
      <u/>
      <sz val="10"/>
      <name val="Times New Roman"/>
      <family val="1"/>
    </font>
    <font>
      <sz val="8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8"/>
      <color theme="1"/>
      <name val="Times New Roman"/>
      <family val="1"/>
    </font>
    <font>
      <b/>
      <sz val="18"/>
      <color theme="4"/>
      <name val="Times New Roman"/>
      <family val="1"/>
    </font>
    <font>
      <b/>
      <u/>
      <sz val="10"/>
      <color rgb="FF0070C0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F6C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2F6C"/>
      </left>
      <right/>
      <top style="thin">
        <color rgb="FF002F6C"/>
      </top>
      <bottom/>
      <diagonal/>
    </border>
    <border>
      <left/>
      <right/>
      <top style="thin">
        <color rgb="FF002F6C"/>
      </top>
      <bottom/>
      <diagonal/>
    </border>
    <border>
      <left/>
      <right style="thin">
        <color rgb="FF002F6C"/>
      </right>
      <top style="thin">
        <color rgb="FF002F6C"/>
      </top>
      <bottom/>
      <diagonal/>
    </border>
    <border>
      <left style="thin">
        <color rgb="FF002F6C"/>
      </left>
      <right/>
      <top/>
      <bottom/>
      <diagonal/>
    </border>
    <border>
      <left/>
      <right style="thin">
        <color rgb="FF002F6C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8" fillId="0" borderId="0"/>
  </cellStyleXfs>
  <cellXfs count="26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5" fillId="4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7" borderId="1" xfId="0" applyFont="1" applyFill="1" applyBorder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3" fillId="0" borderId="1" xfId="1" quotePrefix="1" applyFont="1" applyBorder="1" applyAlignment="1">
      <alignment horizontal="left"/>
    </xf>
    <xf numFmtId="43" fontId="1" fillId="0" borderId="1" xfId="2" applyFont="1" applyBorder="1"/>
    <xf numFmtId="43" fontId="1" fillId="0" borderId="1" xfId="2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0" fontId="1" fillId="0" borderId="1" xfId="3" applyNumberFormat="1" applyFont="1" applyBorder="1"/>
    <xf numFmtId="0" fontId="7" fillId="0" borderId="0" xfId="0" applyFont="1"/>
    <xf numFmtId="0" fontId="1" fillId="0" borderId="5" xfId="0" applyFont="1" applyBorder="1"/>
    <xf numFmtId="0" fontId="1" fillId="0" borderId="14" xfId="0" applyFont="1" applyBorder="1"/>
    <xf numFmtId="0" fontId="0" fillId="0" borderId="5" xfId="0" applyBorder="1"/>
    <xf numFmtId="0" fontId="1" fillId="0" borderId="7" xfId="0" applyFont="1" applyBorder="1"/>
    <xf numFmtId="0" fontId="1" fillId="0" borderId="0" xfId="0" applyFont="1" applyAlignment="1">
      <alignment vertical="center"/>
    </xf>
    <xf numFmtId="43" fontId="7" fillId="5" borderId="1" xfId="2" applyFont="1" applyFill="1" applyBorder="1"/>
    <xf numFmtId="164" fontId="7" fillId="5" borderId="1" xfId="3" applyNumberFormat="1" applyFont="1" applyFill="1" applyBorder="1"/>
    <xf numFmtId="165" fontId="7" fillId="5" borderId="1" xfId="3" applyNumberFormat="1" applyFont="1" applyFill="1" applyBorder="1" applyAlignment="1">
      <alignment horizontal="center"/>
    </xf>
    <xf numFmtId="0" fontId="8" fillId="5" borderId="6" xfId="0" applyFont="1" applyFill="1" applyBorder="1" applyAlignment="1">
      <alignment vertical="center"/>
    </xf>
    <xf numFmtId="0" fontId="8" fillId="5" borderId="10" xfId="0" applyFont="1" applyFill="1" applyBorder="1"/>
    <xf numFmtId="0" fontId="8" fillId="5" borderId="4" xfId="0" applyFont="1" applyFill="1" applyBorder="1"/>
    <xf numFmtId="0" fontId="8" fillId="5" borderId="7" xfId="0" applyFont="1" applyFill="1" applyBorder="1" applyAlignment="1">
      <alignment vertical="center"/>
    </xf>
    <xf numFmtId="0" fontId="8" fillId="5" borderId="8" xfId="0" applyFont="1" applyFill="1" applyBorder="1" applyAlignment="1">
      <alignment vertical="center"/>
    </xf>
    <xf numFmtId="0" fontId="8" fillId="5" borderId="9" xfId="0" applyFont="1" applyFill="1" applyBorder="1" applyAlignment="1">
      <alignment vertical="center"/>
    </xf>
    <xf numFmtId="15" fontId="7" fillId="4" borderId="1" xfId="0" applyNumberFormat="1" applyFont="1" applyFill="1" applyBorder="1" applyAlignment="1">
      <alignment horizontal="center" vertical="center"/>
    </xf>
    <xf numFmtId="15" fontId="7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1" fillId="9" borderId="1" xfId="0" applyFont="1" applyFill="1" applyBorder="1"/>
    <xf numFmtId="0" fontId="7" fillId="5" borderId="1" xfId="0" applyFont="1" applyFill="1" applyBorder="1" applyAlignment="1">
      <alignment vertical="center"/>
    </xf>
    <xf numFmtId="165" fontId="7" fillId="5" borderId="1" xfId="0" applyNumberFormat="1" applyFont="1" applyFill="1" applyBorder="1"/>
    <xf numFmtId="164" fontId="1" fillId="0" borderId="1" xfId="3" applyNumberFormat="1" applyFont="1" applyFill="1" applyBorder="1"/>
    <xf numFmtId="165" fontId="1" fillId="0" borderId="1" xfId="3" applyNumberFormat="1" applyFont="1" applyFill="1" applyBorder="1" applyAlignment="1">
      <alignment horizontal="center"/>
    </xf>
    <xf numFmtId="0" fontId="0" fillId="0" borderId="14" xfId="0" applyBorder="1"/>
    <xf numFmtId="0" fontId="1" fillId="8" borderId="14" xfId="0" applyFont="1" applyFill="1" applyBorder="1"/>
    <xf numFmtId="0" fontId="7" fillId="8" borderId="5" xfId="0" applyFont="1" applyFill="1" applyBorder="1" applyAlignment="1">
      <alignment vertical="center" wrapText="1"/>
    </xf>
    <xf numFmtId="0" fontId="7" fillId="10" borderId="5" xfId="0" applyFont="1" applyFill="1" applyBorder="1" applyAlignment="1">
      <alignment vertical="center" wrapText="1"/>
    </xf>
    <xf numFmtId="17" fontId="7" fillId="10" borderId="14" xfId="0" applyNumberFormat="1" applyFont="1" applyFill="1" applyBorder="1" applyAlignment="1">
      <alignment horizontal="right" vertical="center" wrapText="1"/>
    </xf>
    <xf numFmtId="0" fontId="1" fillId="10" borderId="5" xfId="0" applyFont="1" applyFill="1" applyBorder="1" applyAlignment="1">
      <alignment vertical="center" wrapText="1"/>
    </xf>
    <xf numFmtId="0" fontId="1" fillId="10" borderId="14" xfId="0" applyFont="1" applyFill="1" applyBorder="1" applyAlignment="1">
      <alignment horizontal="right" vertical="center" wrapText="1"/>
    </xf>
    <xf numFmtId="0" fontId="1" fillId="10" borderId="7" xfId="0" applyFont="1" applyFill="1" applyBorder="1" applyAlignment="1">
      <alignment vertical="center" wrapText="1"/>
    </xf>
    <xf numFmtId="0" fontId="7" fillId="8" borderId="14" xfId="0" applyFont="1" applyFill="1" applyBorder="1" applyAlignment="1">
      <alignment vertical="center" wrapText="1"/>
    </xf>
    <xf numFmtId="0" fontId="7" fillId="0" borderId="5" xfId="0" applyFont="1" applyBorder="1"/>
    <xf numFmtId="0" fontId="7" fillId="8" borderId="5" xfId="0" applyFont="1" applyFill="1" applyBorder="1"/>
    <xf numFmtId="43" fontId="7" fillId="10" borderId="14" xfId="2" applyFont="1" applyFill="1" applyBorder="1"/>
    <xf numFmtId="43" fontId="1" fillId="10" borderId="14" xfId="2" applyFont="1" applyFill="1" applyBorder="1"/>
    <xf numFmtId="43" fontId="7" fillId="10" borderId="14" xfId="2" applyFont="1" applyFill="1" applyBorder="1" applyAlignment="1">
      <alignment horizontal="right" vertical="center" wrapText="1"/>
    </xf>
    <xf numFmtId="43" fontId="7" fillId="8" borderId="14" xfId="2" applyFont="1" applyFill="1" applyBorder="1" applyAlignment="1">
      <alignment horizontal="right" vertical="center" wrapText="1"/>
    </xf>
    <xf numFmtId="43" fontId="1" fillId="10" borderId="14" xfId="2" applyFont="1" applyFill="1" applyBorder="1" applyAlignment="1">
      <alignment vertical="center"/>
    </xf>
    <xf numFmtId="43" fontId="1" fillId="10" borderId="8" xfId="2" applyFont="1" applyFill="1" applyBorder="1" applyAlignment="1">
      <alignment horizontal="right" vertical="center" wrapText="1"/>
    </xf>
    <xf numFmtId="43" fontId="1" fillId="10" borderId="8" xfId="2" applyFont="1" applyFill="1" applyBorder="1"/>
    <xf numFmtId="43" fontId="1" fillId="10" borderId="9" xfId="2" applyFont="1" applyFill="1" applyBorder="1"/>
    <xf numFmtId="0" fontId="7" fillId="8" borderId="14" xfId="0" applyFont="1" applyFill="1" applyBorder="1"/>
    <xf numFmtId="43" fontId="7" fillId="10" borderId="0" xfId="2" applyFont="1" applyFill="1" applyBorder="1" applyAlignment="1">
      <alignment horizontal="right" vertical="center" wrapText="1"/>
    </xf>
    <xf numFmtId="43" fontId="7" fillId="10" borderId="0" xfId="2" applyFont="1" applyFill="1" applyBorder="1"/>
    <xf numFmtId="43" fontId="1" fillId="10" borderId="0" xfId="2" applyFont="1" applyFill="1" applyBorder="1" applyAlignment="1">
      <alignment horizontal="right" vertical="center" wrapText="1"/>
    </xf>
    <xf numFmtId="43" fontId="1" fillId="10" borderId="0" xfId="2" applyFont="1" applyFill="1" applyBorder="1"/>
    <xf numFmtId="43" fontId="7" fillId="8" borderId="0" xfId="2" applyFont="1" applyFill="1" applyBorder="1" applyAlignment="1">
      <alignment horizontal="right" vertical="center" wrapText="1"/>
    </xf>
    <xf numFmtId="43" fontId="7" fillId="10" borderId="0" xfId="2" applyFont="1" applyFill="1" applyBorder="1" applyAlignment="1">
      <alignment vertical="center" wrapText="1"/>
    </xf>
    <xf numFmtId="43" fontId="1" fillId="10" borderId="0" xfId="2" applyFont="1" applyFill="1" applyBorder="1" applyAlignment="1">
      <alignment vertical="center"/>
    </xf>
    <xf numFmtId="4" fontId="7" fillId="0" borderId="14" xfId="0" applyNumberFormat="1" applyFont="1" applyBorder="1"/>
    <xf numFmtId="4" fontId="7" fillId="8" borderId="14" xfId="0" applyNumberFormat="1" applyFont="1" applyFill="1" applyBorder="1"/>
    <xf numFmtId="4" fontId="1" fillId="0" borderId="8" xfId="0" applyNumberFormat="1" applyFont="1" applyBorder="1"/>
    <xf numFmtId="4" fontId="1" fillId="0" borderId="14" xfId="0" applyNumberFormat="1" applyFont="1" applyBorder="1"/>
    <xf numFmtId="4" fontId="1" fillId="0" borderId="9" xfId="0" applyNumberFormat="1" applyFont="1" applyBorder="1"/>
    <xf numFmtId="0" fontId="4" fillId="4" borderId="1" xfId="0" applyFont="1" applyFill="1" applyBorder="1" applyAlignment="1">
      <alignment horizontal="center"/>
    </xf>
    <xf numFmtId="0" fontId="13" fillId="11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43" fontId="1" fillId="10" borderId="0" xfId="2" applyFont="1" applyFill="1" applyBorder="1" applyAlignment="1">
      <alignment vertical="center" wrapText="1"/>
    </xf>
    <xf numFmtId="17" fontId="7" fillId="10" borderId="0" xfId="0" applyNumberFormat="1" applyFont="1" applyFill="1" applyAlignment="1">
      <alignment horizontal="right" vertical="center" wrapText="1"/>
    </xf>
    <xf numFmtId="0" fontId="7" fillId="8" borderId="0" xfId="0" applyFont="1" applyFill="1" applyAlignment="1">
      <alignment vertical="center" wrapText="1"/>
    </xf>
    <xf numFmtId="0" fontId="1" fillId="10" borderId="0" xfId="0" applyFont="1" applyFill="1" applyAlignment="1">
      <alignment horizontal="right" vertical="center" wrapText="1"/>
    </xf>
    <xf numFmtId="43" fontId="1" fillId="10" borderId="14" xfId="2" applyFont="1" applyFill="1" applyBorder="1" applyAlignment="1">
      <alignment vertical="center" wrapText="1"/>
    </xf>
    <xf numFmtId="43" fontId="7" fillId="8" borderId="0" xfId="2" applyFont="1" applyFill="1" applyBorder="1" applyAlignment="1">
      <alignment vertical="center" wrapText="1"/>
    </xf>
    <xf numFmtId="43" fontId="7" fillId="8" borderId="14" xfId="2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1" fillId="13" borderId="0" xfId="0" applyFont="1" applyFill="1" applyAlignment="1">
      <alignment vertical="center"/>
    </xf>
    <xf numFmtId="0" fontId="7" fillId="14" borderId="0" xfId="0" applyFont="1" applyFill="1" applyAlignment="1">
      <alignment vertical="center"/>
    </xf>
    <xf numFmtId="0" fontId="5" fillId="0" borderId="20" xfId="0" applyFont="1" applyBorder="1" applyAlignment="1">
      <alignment vertical="center"/>
    </xf>
    <xf numFmtId="0" fontId="16" fillId="0" borderId="21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7" fillId="13" borderId="23" xfId="0" applyFont="1" applyFill="1" applyBorder="1" applyAlignment="1">
      <alignment vertical="center"/>
    </xf>
    <xf numFmtId="0" fontId="7" fillId="14" borderId="23" xfId="0" applyFont="1" applyFill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15" borderId="22" xfId="0" applyFont="1" applyFill="1" applyBorder="1" applyAlignment="1">
      <alignment vertical="center"/>
    </xf>
    <xf numFmtId="0" fontId="1" fillId="15" borderId="19" xfId="0" applyFont="1" applyFill="1" applyBorder="1" applyAlignment="1">
      <alignment vertical="center"/>
    </xf>
    <xf numFmtId="0" fontId="15" fillId="12" borderId="24" xfId="0" applyFont="1" applyFill="1" applyBorder="1" applyAlignment="1">
      <alignment horizontal="center" vertical="center"/>
    </xf>
    <xf numFmtId="0" fontId="13" fillId="11" borderId="24" xfId="0" applyFont="1" applyFill="1" applyBorder="1" applyAlignment="1">
      <alignment horizontal="center" vertical="center"/>
    </xf>
    <xf numFmtId="0" fontId="13" fillId="11" borderId="25" xfId="0" applyFont="1" applyFill="1" applyBorder="1" applyAlignment="1">
      <alignment horizontal="center" vertical="center"/>
    </xf>
    <xf numFmtId="0" fontId="7" fillId="0" borderId="23" xfId="0" applyFont="1" applyBorder="1" applyAlignment="1">
      <alignment vertical="center"/>
    </xf>
    <xf numFmtId="0" fontId="5" fillId="4" borderId="24" xfId="0" applyFont="1" applyFill="1" applyBorder="1" applyAlignment="1">
      <alignment vertical="center"/>
    </xf>
    <xf numFmtId="0" fontId="5" fillId="4" borderId="25" xfId="0" applyFont="1" applyFill="1" applyBorder="1" applyAlignment="1">
      <alignment vertical="center"/>
    </xf>
    <xf numFmtId="10" fontId="1" fillId="0" borderId="0" xfId="3" applyNumberFormat="1" applyFont="1" applyBorder="1" applyAlignment="1">
      <alignment vertical="center"/>
    </xf>
    <xf numFmtId="43" fontId="1" fillId="0" borderId="0" xfId="0" applyNumberFormat="1" applyFont="1" applyAlignment="1">
      <alignment vertical="center"/>
    </xf>
    <xf numFmtId="43" fontId="1" fillId="10" borderId="14" xfId="2" applyFont="1" applyFill="1" applyBorder="1" applyAlignment="1">
      <alignment horizontal="right" vertical="center" wrapText="1"/>
    </xf>
    <xf numFmtId="10" fontId="1" fillId="0" borderId="0" xfId="3" applyNumberFormat="1" applyFont="1"/>
    <xf numFmtId="10" fontId="1" fillId="0" borderId="0" xfId="0" applyNumberFormat="1" applyFont="1" applyAlignment="1">
      <alignment vertical="center"/>
    </xf>
    <xf numFmtId="0" fontId="7" fillId="0" borderId="1" xfId="0" applyFont="1" applyBorder="1"/>
    <xf numFmtId="10" fontId="14" fillId="0" borderId="1" xfId="3" applyNumberFormat="1" applyFont="1" applyBorder="1"/>
    <xf numFmtId="10" fontId="17" fillId="12" borderId="0" xfId="0" applyNumberFormat="1" applyFont="1" applyFill="1" applyAlignment="1">
      <alignment vertical="center"/>
    </xf>
    <xf numFmtId="43" fontId="1" fillId="0" borderId="0" xfId="2" applyFont="1" applyBorder="1" applyAlignment="1">
      <alignment vertical="center"/>
    </xf>
    <xf numFmtId="0" fontId="7" fillId="0" borderId="4" xfId="0" applyFont="1" applyBorder="1"/>
    <xf numFmtId="0" fontId="1" fillId="8" borderId="0" xfId="0" applyFont="1" applyFill="1"/>
    <xf numFmtId="4" fontId="1" fillId="0" borderId="0" xfId="0" applyNumberFormat="1" applyFont="1"/>
    <xf numFmtId="4" fontId="7" fillId="0" borderId="0" xfId="0" applyNumberFormat="1" applyFont="1"/>
    <xf numFmtId="4" fontId="7" fillId="8" borderId="0" xfId="0" applyNumberFormat="1" applyFont="1" applyFill="1"/>
    <xf numFmtId="0" fontId="7" fillId="8" borderId="0" xfId="0" applyFont="1" applyFill="1"/>
    <xf numFmtId="43" fontId="7" fillId="0" borderId="0" xfId="2" applyFont="1" applyBorder="1" applyAlignment="1">
      <alignment vertical="center"/>
    </xf>
    <xf numFmtId="43" fontId="1" fillId="0" borderId="0" xfId="2" applyFont="1" applyFill="1" applyBorder="1" applyAlignment="1">
      <alignment vertical="center"/>
    </xf>
    <xf numFmtId="43" fontId="1" fillId="0" borderId="18" xfId="2" applyFont="1" applyBorder="1" applyAlignment="1">
      <alignment vertical="center"/>
    </xf>
    <xf numFmtId="43" fontId="1" fillId="14" borderId="0" xfId="2" applyFont="1" applyFill="1" applyBorder="1" applyAlignment="1">
      <alignment vertical="center"/>
    </xf>
    <xf numFmtId="0" fontId="7" fillId="0" borderId="20" xfId="0" applyFont="1" applyBorder="1" applyAlignment="1">
      <alignment vertical="center"/>
    </xf>
    <xf numFmtId="43" fontId="7" fillId="0" borderId="16" xfId="2" applyFont="1" applyBorder="1" applyAlignment="1">
      <alignment vertical="center"/>
    </xf>
    <xf numFmtId="43" fontId="7" fillId="0" borderId="17" xfId="2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43" fontId="7" fillId="0" borderId="18" xfId="2" applyFont="1" applyBorder="1" applyAlignment="1">
      <alignment vertical="center"/>
    </xf>
    <xf numFmtId="43" fontId="7" fillId="0" borderId="19" xfId="2" applyFont="1" applyBorder="1" applyAlignment="1">
      <alignment vertical="center"/>
    </xf>
    <xf numFmtId="43" fontId="1" fillId="0" borderId="19" xfId="2" applyFont="1" applyBorder="1" applyAlignment="1">
      <alignment vertical="center"/>
    </xf>
    <xf numFmtId="43" fontId="1" fillId="0" borderId="18" xfId="2" applyFont="1" applyFill="1" applyBorder="1" applyAlignment="1">
      <alignment vertical="center"/>
    </xf>
    <xf numFmtId="43" fontId="1" fillId="0" borderId="19" xfId="2" applyFont="1" applyFill="1" applyBorder="1" applyAlignment="1">
      <alignment vertical="center"/>
    </xf>
    <xf numFmtId="0" fontId="7" fillId="4" borderId="23" xfId="0" applyFont="1" applyFill="1" applyBorder="1" applyAlignment="1">
      <alignment vertical="center"/>
    </xf>
    <xf numFmtId="43" fontId="1" fillId="4" borderId="0" xfId="2" applyFont="1" applyFill="1" applyBorder="1" applyAlignment="1">
      <alignment vertical="center"/>
    </xf>
    <xf numFmtId="0" fontId="5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1" fillId="0" borderId="18" xfId="0" applyFont="1" applyBorder="1"/>
    <xf numFmtId="0" fontId="19" fillId="0" borderId="0" xfId="4" applyFont="1" applyAlignment="1">
      <alignment horizontal="centerContinuous"/>
    </xf>
    <xf numFmtId="0" fontId="20" fillId="0" borderId="0" xfId="4" applyFont="1" applyAlignment="1">
      <alignment horizontal="centerContinuous"/>
    </xf>
    <xf numFmtId="0" fontId="21" fillId="0" borderId="0" xfId="4" applyFont="1" applyAlignment="1">
      <alignment horizontal="centerContinuous"/>
    </xf>
    <xf numFmtId="0" fontId="22" fillId="0" borderId="0" xfId="4" applyFont="1"/>
    <xf numFmtId="0" fontId="22" fillId="16" borderId="26" xfId="4" applyFont="1" applyFill="1" applyBorder="1" applyAlignment="1">
      <alignment vertical="center"/>
    </xf>
    <xf numFmtId="0" fontId="22" fillId="16" borderId="27" xfId="4" applyFont="1" applyFill="1" applyBorder="1" applyAlignment="1">
      <alignment vertical="center"/>
    </xf>
    <xf numFmtId="0" fontId="23" fillId="16" borderId="27" xfId="4" applyFont="1" applyFill="1" applyBorder="1" applyAlignment="1">
      <alignment vertical="center"/>
    </xf>
    <xf numFmtId="0" fontId="23" fillId="16" borderId="28" xfId="4" applyFont="1" applyFill="1" applyBorder="1" applyAlignment="1">
      <alignment vertical="center"/>
    </xf>
    <xf numFmtId="0" fontId="22" fillId="0" borderId="11" xfId="4" applyFont="1" applyBorder="1" applyAlignment="1">
      <alignment vertical="center"/>
    </xf>
    <xf numFmtId="0" fontId="22" fillId="0" borderId="12" xfId="4" applyFont="1" applyBorder="1" applyAlignment="1">
      <alignment vertical="center"/>
    </xf>
    <xf numFmtId="0" fontId="22" fillId="0" borderId="13" xfId="4" applyFont="1" applyBorder="1" applyAlignment="1">
      <alignment vertical="center"/>
    </xf>
    <xf numFmtId="0" fontId="22" fillId="16" borderId="29" xfId="4" applyFont="1" applyFill="1" applyBorder="1" applyAlignment="1">
      <alignment vertical="center"/>
    </xf>
    <xf numFmtId="0" fontId="13" fillId="16" borderId="0" xfId="4" applyFont="1" applyFill="1" applyAlignment="1">
      <alignment vertical="center"/>
    </xf>
    <xf numFmtId="0" fontId="22" fillId="16" borderId="0" xfId="4" applyFont="1" applyFill="1" applyAlignment="1">
      <alignment vertical="center"/>
    </xf>
    <xf numFmtId="0" fontId="13" fillId="16" borderId="0" xfId="4" applyFont="1" applyFill="1" applyAlignment="1">
      <alignment horizontal="center" vertical="center"/>
    </xf>
    <xf numFmtId="0" fontId="13" fillId="16" borderId="0" xfId="0" applyFont="1" applyFill="1" applyAlignment="1">
      <alignment horizontal="center" vertical="center"/>
    </xf>
    <xf numFmtId="0" fontId="23" fillId="16" borderId="30" xfId="4" applyFont="1" applyFill="1" applyBorder="1" applyAlignment="1">
      <alignment vertical="center"/>
    </xf>
    <xf numFmtId="0" fontId="22" fillId="0" borderId="5" xfId="4" applyFont="1" applyBorder="1" applyAlignment="1">
      <alignment vertical="center"/>
    </xf>
    <xf numFmtId="0" fontId="22" fillId="0" borderId="8" xfId="4" applyFont="1" applyBorder="1" applyAlignment="1">
      <alignment vertical="center"/>
    </xf>
    <xf numFmtId="0" fontId="19" fillId="0" borderId="8" xfId="0" applyFont="1" applyBorder="1" applyAlignment="1">
      <alignment horizontal="center" vertical="center"/>
    </xf>
    <xf numFmtId="0" fontId="22" fillId="0" borderId="14" xfId="4" applyFont="1" applyBorder="1" applyAlignment="1">
      <alignment vertical="center"/>
    </xf>
    <xf numFmtId="0" fontId="22" fillId="0" borderId="5" xfId="4" applyFont="1" applyBorder="1"/>
    <xf numFmtId="166" fontId="24" fillId="0" borderId="0" xfId="0" applyNumberFormat="1" applyFont="1"/>
    <xf numFmtId="0" fontId="22" fillId="0" borderId="14" xfId="4" applyFont="1" applyBorder="1"/>
    <xf numFmtId="0" fontId="1" fillId="17" borderId="0" xfId="0" applyFont="1" applyFill="1"/>
    <xf numFmtId="43" fontId="11" fillId="0" borderId="0" xfId="2" applyFont="1"/>
    <xf numFmtId="0" fontId="25" fillId="0" borderId="0" xfId="4" applyFont="1"/>
    <xf numFmtId="43" fontId="22" fillId="0" borderId="0" xfId="2" applyFont="1" applyFill="1" applyBorder="1"/>
    <xf numFmtId="10" fontId="11" fillId="0" borderId="0" xfId="3" applyNumberFormat="1" applyFont="1" applyAlignment="1">
      <alignment horizontal="center"/>
    </xf>
    <xf numFmtId="0" fontId="26" fillId="0" borderId="0" xfId="4" applyFont="1"/>
    <xf numFmtId="0" fontId="27" fillId="0" borderId="0" xfId="4" applyFont="1"/>
    <xf numFmtId="10" fontId="26" fillId="0" borderId="0" xfId="3" applyNumberFormat="1" applyFont="1" applyAlignment="1">
      <alignment horizontal="center"/>
    </xf>
    <xf numFmtId="0" fontId="11" fillId="0" borderId="0" xfId="0" applyFont="1"/>
    <xf numFmtId="0" fontId="22" fillId="0" borderId="7" xfId="4" applyFont="1" applyBorder="1"/>
    <xf numFmtId="0" fontId="22" fillId="0" borderId="8" xfId="4" applyFont="1" applyBorder="1"/>
    <xf numFmtId="0" fontId="22" fillId="0" borderId="9" xfId="4" applyFont="1" applyBorder="1"/>
    <xf numFmtId="10" fontId="1" fillId="0" borderId="0" xfId="2" applyNumberFormat="1" applyFont="1" applyBorder="1" applyAlignment="1">
      <alignment vertical="center"/>
    </xf>
    <xf numFmtId="43" fontId="17" fillId="12" borderId="18" xfId="2" applyFont="1" applyFill="1" applyBorder="1" applyAlignment="1">
      <alignment vertical="center"/>
    </xf>
    <xf numFmtId="167" fontId="1" fillId="0" borderId="0" xfId="2" applyNumberFormat="1" applyFont="1" applyBorder="1" applyAlignment="1">
      <alignment vertical="center"/>
    </xf>
    <xf numFmtId="43" fontId="17" fillId="12" borderId="0" xfId="2" applyFont="1" applyFill="1" applyBorder="1" applyAlignment="1">
      <alignment vertical="center"/>
    </xf>
    <xf numFmtId="0" fontId="10" fillId="4" borderId="15" xfId="0" applyFont="1" applyFill="1" applyBorder="1" applyAlignment="1">
      <alignment vertical="center"/>
    </xf>
    <xf numFmtId="0" fontId="10" fillId="4" borderId="24" xfId="0" applyFont="1" applyFill="1" applyBorder="1" applyAlignment="1">
      <alignment vertical="center"/>
    </xf>
    <xf numFmtId="168" fontId="26" fillId="0" borderId="0" xfId="0" applyNumberFormat="1" applyFont="1" applyAlignment="1">
      <alignment horizontal="center"/>
    </xf>
    <xf numFmtId="10" fontId="26" fillId="0" borderId="0" xfId="0" applyNumberFormat="1" applyFont="1" applyAlignment="1">
      <alignment horizontal="center"/>
    </xf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" fillId="14" borderId="0" xfId="0" applyFont="1" applyFill="1" applyAlignment="1">
      <alignment vertical="center"/>
    </xf>
    <xf numFmtId="43" fontId="7" fillId="0" borderId="0" xfId="0" applyNumberFormat="1" applyFont="1" applyAlignment="1">
      <alignment vertical="center"/>
    </xf>
    <xf numFmtId="43" fontId="1" fillId="0" borderId="18" xfId="0" applyNumberFormat="1" applyFont="1" applyBorder="1" applyAlignment="1">
      <alignment vertical="center"/>
    </xf>
    <xf numFmtId="43" fontId="1" fillId="0" borderId="19" xfId="0" applyNumberFormat="1" applyFont="1" applyBorder="1" applyAlignment="1">
      <alignment vertical="center"/>
    </xf>
    <xf numFmtId="10" fontId="7" fillId="0" borderId="0" xfId="3" applyNumberFormat="1" applyFont="1" applyBorder="1" applyAlignment="1">
      <alignment vertical="center"/>
    </xf>
    <xf numFmtId="10" fontId="7" fillId="0" borderId="0" xfId="0" applyNumberFormat="1" applyFont="1" applyAlignment="1">
      <alignment vertical="center"/>
    </xf>
    <xf numFmtId="0" fontId="1" fillId="0" borderId="18" xfId="0" applyFont="1" applyBorder="1" applyAlignment="1">
      <alignment vertical="center"/>
    </xf>
    <xf numFmtId="0" fontId="3" fillId="15" borderId="22" xfId="1" applyFont="1" applyFill="1" applyBorder="1" applyAlignment="1">
      <alignment vertical="center" wrapText="1"/>
    </xf>
    <xf numFmtId="0" fontId="17" fillId="12" borderId="0" xfId="0" applyFont="1" applyFill="1" applyAlignment="1">
      <alignment vertical="center"/>
    </xf>
    <xf numFmtId="10" fontId="1" fillId="0" borderId="18" xfId="3" applyNumberFormat="1" applyFont="1" applyBorder="1" applyAlignment="1">
      <alignment vertical="center"/>
    </xf>
    <xf numFmtId="10" fontId="1" fillId="0" borderId="18" xfId="0" applyNumberFormat="1" applyFont="1" applyBorder="1" applyAlignment="1">
      <alignment vertical="center"/>
    </xf>
    <xf numFmtId="0" fontId="7" fillId="5" borderId="23" xfId="0" applyFont="1" applyFill="1" applyBorder="1" applyAlignment="1">
      <alignment vertical="center"/>
    </xf>
    <xf numFmtId="43" fontId="7" fillId="5" borderId="0" xfId="0" applyNumberFormat="1" applyFont="1" applyFill="1" applyAlignment="1">
      <alignment vertical="center"/>
    </xf>
    <xf numFmtId="10" fontId="7" fillId="5" borderId="0" xfId="0" applyNumberFormat="1" applyFont="1" applyFill="1" applyAlignment="1">
      <alignment vertical="center"/>
    </xf>
    <xf numFmtId="9" fontId="17" fillId="12" borderId="0" xfId="0" applyNumberFormat="1" applyFont="1" applyFill="1" applyAlignment="1">
      <alignment vertical="center"/>
    </xf>
    <xf numFmtId="2" fontId="17" fillId="12" borderId="0" xfId="0" applyNumberFormat="1" applyFont="1" applyFill="1" applyAlignment="1">
      <alignment vertical="center"/>
    </xf>
    <xf numFmtId="43" fontId="7" fillId="5" borderId="0" xfId="2" applyFont="1" applyFill="1" applyBorder="1" applyAlignment="1">
      <alignment vertical="center"/>
    </xf>
    <xf numFmtId="0" fontId="28" fillId="0" borderId="20" xfId="0" applyFont="1" applyBorder="1" applyAlignment="1">
      <alignment vertical="center"/>
    </xf>
    <xf numFmtId="0" fontId="29" fillId="0" borderId="21" xfId="0" applyFont="1" applyBorder="1" applyAlignment="1">
      <alignment vertical="center"/>
    </xf>
    <xf numFmtId="0" fontId="17" fillId="12" borderId="1" xfId="0" applyFont="1" applyFill="1" applyBorder="1" applyAlignment="1">
      <alignment horizontal="center"/>
    </xf>
    <xf numFmtId="0" fontId="1" fillId="15" borderId="22" xfId="0" applyFont="1" applyFill="1" applyBorder="1" applyAlignment="1">
      <alignment vertical="center" wrapText="1"/>
    </xf>
    <xf numFmtId="164" fontId="7" fillId="5" borderId="1" xfId="0" applyNumberFormat="1" applyFont="1" applyFill="1" applyBorder="1"/>
    <xf numFmtId="0" fontId="7" fillId="5" borderId="1" xfId="0" applyFont="1" applyFill="1" applyBorder="1"/>
    <xf numFmtId="9" fontId="7" fillId="5" borderId="1" xfId="0" applyNumberFormat="1" applyFont="1" applyFill="1" applyBorder="1"/>
    <xf numFmtId="0" fontId="7" fillId="4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/>
    </xf>
    <xf numFmtId="0" fontId="19" fillId="5" borderId="23" xfId="0" applyFont="1" applyFill="1" applyBorder="1" applyAlignment="1">
      <alignment vertical="center"/>
    </xf>
    <xf numFmtId="43" fontId="19" fillId="5" borderId="0" xfId="2" applyFont="1" applyFill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10" fontId="1" fillId="0" borderId="11" xfId="3" applyNumberFormat="1" applyFont="1" applyFill="1" applyBorder="1" applyAlignment="1">
      <alignment vertical="center"/>
    </xf>
    <xf numFmtId="10" fontId="1" fillId="0" borderId="12" xfId="3" applyNumberFormat="1" applyFont="1" applyFill="1" applyBorder="1" applyAlignment="1">
      <alignment vertical="center"/>
    </xf>
    <xf numFmtId="10" fontId="1" fillId="0" borderId="13" xfId="3" applyNumberFormat="1" applyFont="1" applyFill="1" applyBorder="1" applyAlignment="1">
      <alignment vertical="center"/>
    </xf>
    <xf numFmtId="10" fontId="1" fillId="0" borderId="5" xfId="3" applyNumberFormat="1" applyFont="1" applyFill="1" applyBorder="1" applyAlignment="1">
      <alignment vertical="center"/>
    </xf>
    <xf numFmtId="10" fontId="1" fillId="0" borderId="0" xfId="3" applyNumberFormat="1" applyFont="1" applyFill="1" applyBorder="1" applyAlignment="1">
      <alignment vertical="center"/>
    </xf>
    <xf numFmtId="10" fontId="1" fillId="0" borderId="14" xfId="3" applyNumberFormat="1" applyFont="1" applyFill="1" applyBorder="1" applyAlignment="1">
      <alignment vertical="center"/>
    </xf>
    <xf numFmtId="10" fontId="1" fillId="0" borderId="31" xfId="3" applyNumberFormat="1" applyFont="1" applyFill="1" applyBorder="1" applyAlignment="1">
      <alignment vertical="center"/>
    </xf>
    <xf numFmtId="10" fontId="1" fillId="0" borderId="18" xfId="3" applyNumberFormat="1" applyFont="1" applyFill="1" applyBorder="1" applyAlignment="1">
      <alignment vertical="center"/>
    </xf>
    <xf numFmtId="10" fontId="1" fillId="0" borderId="32" xfId="3" applyNumberFormat="1" applyFont="1" applyFill="1" applyBorder="1" applyAlignment="1">
      <alignment vertical="center"/>
    </xf>
    <xf numFmtId="10" fontId="7" fillId="0" borderId="7" xfId="0" applyNumberFormat="1" applyFont="1" applyBorder="1" applyAlignment="1">
      <alignment vertical="center"/>
    </xf>
    <xf numFmtId="10" fontId="7" fillId="0" borderId="8" xfId="0" applyNumberFormat="1" applyFont="1" applyBorder="1" applyAlignment="1">
      <alignment vertical="center"/>
    </xf>
    <xf numFmtId="10" fontId="7" fillId="0" borderId="9" xfId="0" applyNumberFormat="1" applyFont="1" applyBorder="1" applyAlignment="1">
      <alignment vertical="center"/>
    </xf>
    <xf numFmtId="9" fontId="17" fillId="0" borderId="0" xfId="0" applyNumberFormat="1" applyFont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34" xfId="0" applyFont="1" applyBorder="1" applyAlignment="1">
      <alignment vertical="center"/>
    </xf>
    <xf numFmtId="0" fontId="11" fillId="0" borderId="35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" fillId="0" borderId="36" xfId="0" applyFont="1" applyBorder="1" applyAlignment="1">
      <alignment vertical="center"/>
    </xf>
    <xf numFmtId="0" fontId="11" fillId="0" borderId="33" xfId="0" applyFont="1" applyBorder="1" applyAlignment="1">
      <alignment horizontal="center" vertical="center"/>
    </xf>
    <xf numFmtId="0" fontId="1" fillId="0" borderId="36" xfId="0" applyFont="1" applyBorder="1" applyAlignment="1">
      <alignment vertical="center" wrapText="1"/>
    </xf>
    <xf numFmtId="0" fontId="1" fillId="4" borderId="18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7" fillId="15" borderId="17" xfId="0" applyFont="1" applyFill="1" applyBorder="1" applyAlignment="1">
      <alignment horizontal="center" vertical="center"/>
    </xf>
    <xf numFmtId="0" fontId="7" fillId="15" borderId="19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left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7" fillId="8" borderId="14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37" xfId="0" applyFont="1" applyFill="1" applyBorder="1" applyAlignment="1">
      <alignment horizontal="center" vertical="center"/>
    </xf>
    <xf numFmtId="0" fontId="5" fillId="4" borderId="38" xfId="0" applyFont="1" applyFill="1" applyBorder="1" applyAlignment="1">
      <alignment horizontal="center" vertical="center"/>
    </xf>
    <xf numFmtId="0" fontId="5" fillId="4" borderId="39" xfId="0" applyFont="1" applyFill="1" applyBorder="1" applyAlignment="1">
      <alignment horizontal="center" vertical="center"/>
    </xf>
    <xf numFmtId="15" fontId="5" fillId="4" borderId="6" xfId="0" applyNumberFormat="1" applyFont="1" applyFill="1" applyBorder="1" applyAlignment="1">
      <alignment horizontal="center" vertical="center"/>
    </xf>
    <xf numFmtId="15" fontId="5" fillId="4" borderId="10" xfId="0" applyNumberFormat="1" applyFont="1" applyFill="1" applyBorder="1" applyAlignment="1">
      <alignment horizontal="center" vertical="center"/>
    </xf>
    <xf numFmtId="15" fontId="5" fillId="4" borderId="4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</cellXfs>
  <cellStyles count="5">
    <cellStyle name="Comma" xfId="2" builtinId="3"/>
    <cellStyle name="Hyperlink" xfId="1" builtinId="8"/>
    <cellStyle name="Normal" xfId="0" builtinId="0"/>
    <cellStyle name="Normal_DrydenNewDCF3" xfId="4" xr:uid="{2CF7E450-7BBB-49B1-9302-B02E0517EE7D}"/>
    <cellStyle name="Percent" xfId="3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7CEA9B34-51C5-4B6D-B267-2D6E84670EC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76200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5114C5-C879-4AC6-A686-D60812FA2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42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5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91B551-B2A9-4FDC-B7F7-223203618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0506E0-6BD4-4D07-AE34-12E806E36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42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76200</xdr:colOff>
      <xdr:row>0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B3A643-FBF7-4760-8D0E-9D8EC2DFC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economictimes.indiatimes.com/markets/stocks/stock-liveblog/itc-share-price-today-live-updates-07-mar-2025/liveblog/118772951.cms?from=md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2E83A-353B-422B-8D74-D2AFB938F623}">
  <sheetPr>
    <tabColor rgb="FF00B050"/>
  </sheetPr>
  <dimension ref="A1:D2"/>
  <sheetViews>
    <sheetView showGridLines="0" tabSelected="1" zoomScale="154" workbookViewId="0">
      <selection activeCell="C6" sqref="C6"/>
    </sheetView>
  </sheetViews>
  <sheetFormatPr defaultColWidth="8.73046875" defaultRowHeight="13.15" x14ac:dyDescent="0.45"/>
  <cols>
    <col min="1" max="1" width="5.19921875" style="4" bestFit="1" customWidth="1"/>
    <col min="2" max="2" width="15.06640625" style="4" bestFit="1" customWidth="1"/>
    <col min="3" max="4" width="32.73046875" style="4" bestFit="1" customWidth="1"/>
    <col min="5" max="16384" width="8.73046875" style="4"/>
  </cols>
  <sheetData>
    <row r="1" spans="1:4" ht="15" x14ac:dyDescent="0.45">
      <c r="A1" s="78" t="s">
        <v>0</v>
      </c>
      <c r="B1" s="78" t="s">
        <v>1</v>
      </c>
      <c r="C1" s="78" t="s">
        <v>2</v>
      </c>
      <c r="D1" s="78" t="s">
        <v>3</v>
      </c>
    </row>
    <row r="2" spans="1:4" x14ac:dyDescent="0.45">
      <c r="A2" s="5">
        <v>1</v>
      </c>
      <c r="B2" s="6" t="s">
        <v>4</v>
      </c>
      <c r="C2" s="214" t="str">
        <f>'Nifty 100 List'!A48</f>
        <v>ITC Ltd.</v>
      </c>
      <c r="D2" s="214" t="str">
        <f>'Nifty 100 List'!A70</f>
        <v>Oil &amp; Natural Gas Corporation Ltd.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D8378-48E5-421B-BDAE-195D8EA3E294}">
  <sheetPr>
    <tabColor rgb="FF00B050"/>
  </sheetPr>
  <dimension ref="A1:H26"/>
  <sheetViews>
    <sheetView showGridLines="0" zoomScale="90" workbookViewId="0">
      <selection activeCell="J14" sqref="J14"/>
    </sheetView>
  </sheetViews>
  <sheetFormatPr defaultColWidth="8.73046875" defaultRowHeight="13.15" x14ac:dyDescent="0.4"/>
  <cols>
    <col min="1" max="1" width="26.19921875" style="3" customWidth="1"/>
    <col min="2" max="2" width="23" style="3" customWidth="1"/>
    <col min="3" max="16384" width="8.73046875" style="3"/>
  </cols>
  <sheetData>
    <row r="1" spans="1:8" ht="17.25" x14ac:dyDescent="0.45">
      <c r="A1" s="238" t="s">
        <v>458</v>
      </c>
      <c r="B1" s="238"/>
      <c r="C1" s="238"/>
      <c r="D1" s="238"/>
      <c r="E1" s="238"/>
      <c r="F1" s="238"/>
      <c r="G1" s="238"/>
      <c r="H1" s="238"/>
    </row>
    <row r="2" spans="1:8" x14ac:dyDescent="0.4">
      <c r="A2" s="1" t="s">
        <v>453</v>
      </c>
      <c r="B2" s="1"/>
      <c r="C2" s="1"/>
      <c r="D2" s="1"/>
      <c r="E2" s="1"/>
      <c r="F2" s="1"/>
      <c r="G2" s="1"/>
      <c r="H2" s="1"/>
    </row>
    <row r="3" spans="1:8" x14ac:dyDescent="0.4">
      <c r="A3" s="1"/>
      <c r="B3" s="1"/>
      <c r="C3" s="1"/>
      <c r="D3" s="1"/>
      <c r="E3" s="1"/>
      <c r="F3" s="1"/>
      <c r="G3" s="1"/>
      <c r="H3" s="1"/>
    </row>
    <row r="4" spans="1:8" x14ac:dyDescent="0.4">
      <c r="A4" s="18" t="s">
        <v>459</v>
      </c>
      <c r="B4" s="1"/>
      <c r="C4" s="1"/>
      <c r="D4" s="1"/>
      <c r="E4" s="1"/>
      <c r="F4" s="1"/>
      <c r="G4" s="1"/>
      <c r="H4" s="1"/>
    </row>
    <row r="5" spans="1:8" x14ac:dyDescent="0.4">
      <c r="A5" s="1" t="s">
        <v>454</v>
      </c>
      <c r="B5" s="1"/>
      <c r="C5" s="1"/>
      <c r="D5" s="1"/>
      <c r="E5" s="1"/>
      <c r="F5" s="1"/>
      <c r="G5" s="1"/>
      <c r="H5" s="1"/>
    </row>
    <row r="6" spans="1:8" x14ac:dyDescent="0.4">
      <c r="A6" s="239" t="s">
        <v>455</v>
      </c>
      <c r="B6" s="239"/>
      <c r="C6" s="239"/>
      <c r="D6" s="239"/>
      <c r="E6" s="239"/>
      <c r="F6" s="239"/>
      <c r="G6" s="239"/>
      <c r="H6" s="239"/>
    </row>
    <row r="7" spans="1:8" x14ac:dyDescent="0.4">
      <c r="A7" s="239"/>
      <c r="B7" s="239"/>
      <c r="C7" s="239"/>
      <c r="D7" s="239"/>
      <c r="E7" s="239"/>
      <c r="F7" s="239"/>
      <c r="G7" s="239"/>
      <c r="H7" s="239"/>
    </row>
    <row r="8" spans="1:8" x14ac:dyDescent="0.4">
      <c r="A8" s="1"/>
      <c r="B8" s="1"/>
      <c r="C8" s="1"/>
      <c r="D8" s="1"/>
      <c r="E8" s="1"/>
      <c r="F8" s="1"/>
      <c r="G8" s="1"/>
      <c r="H8" s="1"/>
    </row>
    <row r="9" spans="1:8" x14ac:dyDescent="0.4">
      <c r="A9" s="18" t="s">
        <v>460</v>
      </c>
      <c r="B9" s="1"/>
      <c r="C9" s="1"/>
      <c r="D9" s="1"/>
      <c r="E9" s="1"/>
      <c r="F9" s="1"/>
      <c r="G9" s="1"/>
      <c r="H9" s="1"/>
    </row>
    <row r="10" spans="1:8" x14ac:dyDescent="0.4">
      <c r="A10" s="1" t="s">
        <v>456</v>
      </c>
      <c r="B10" s="1"/>
      <c r="C10" s="1"/>
      <c r="D10" s="1"/>
      <c r="E10" s="1"/>
      <c r="F10" s="1"/>
      <c r="G10" s="1"/>
      <c r="H10" s="1"/>
    </row>
    <row r="11" spans="1:8" x14ac:dyDescent="0.4">
      <c r="A11" s="1" t="s">
        <v>457</v>
      </c>
      <c r="B11" s="1"/>
      <c r="C11" s="1"/>
      <c r="D11" s="1"/>
      <c r="E11" s="1"/>
      <c r="F11" s="1"/>
      <c r="G11" s="1"/>
      <c r="H11" s="1"/>
    </row>
    <row r="12" spans="1:8" x14ac:dyDescent="0.4">
      <c r="A12" s="1"/>
      <c r="B12" s="1"/>
      <c r="C12" s="1"/>
      <c r="D12" s="1"/>
      <c r="E12" s="1"/>
      <c r="F12" s="1"/>
      <c r="G12" s="1"/>
      <c r="H12" s="1"/>
    </row>
    <row r="13" spans="1:8" x14ac:dyDescent="0.4">
      <c r="A13" s="1"/>
      <c r="B13" s="1"/>
      <c r="C13" s="1"/>
      <c r="D13" s="1"/>
      <c r="E13" s="1"/>
      <c r="F13" s="1"/>
      <c r="G13" s="1"/>
      <c r="H13" s="1"/>
    </row>
    <row r="14" spans="1:8" ht="15" x14ac:dyDescent="0.4">
      <c r="A14" s="75" t="s">
        <v>332</v>
      </c>
      <c r="B14" s="75" t="s">
        <v>388</v>
      </c>
      <c r="C14" s="1"/>
      <c r="D14" s="1"/>
      <c r="E14" s="1"/>
      <c r="F14" s="1"/>
      <c r="G14" s="1"/>
      <c r="H14" s="1"/>
    </row>
    <row r="15" spans="1:8" x14ac:dyDescent="0.4">
      <c r="A15" s="38"/>
      <c r="B15" s="11" t="s">
        <v>333</v>
      </c>
      <c r="C15" s="1"/>
      <c r="D15" s="1"/>
      <c r="E15" s="1"/>
      <c r="F15" s="1"/>
      <c r="G15" s="1"/>
      <c r="H15" s="1"/>
    </row>
    <row r="16" spans="1:8" x14ac:dyDescent="0.4">
      <c r="A16" s="9"/>
      <c r="B16" s="11" t="s">
        <v>334</v>
      </c>
      <c r="C16" s="1"/>
      <c r="D16" s="1"/>
      <c r="E16" s="1"/>
      <c r="F16" s="1"/>
      <c r="G16" s="1"/>
      <c r="H16" s="1"/>
    </row>
    <row r="17" spans="1:8" x14ac:dyDescent="0.4">
      <c r="A17" s="10"/>
      <c r="B17" s="11" t="s">
        <v>335</v>
      </c>
      <c r="C17" s="1"/>
      <c r="D17" s="1"/>
      <c r="E17" s="1"/>
      <c r="F17" s="1"/>
      <c r="G17" s="1"/>
      <c r="H17" s="1"/>
    </row>
    <row r="18" spans="1:8" x14ac:dyDescent="0.4">
      <c r="A18" s="1"/>
      <c r="B18" s="1"/>
      <c r="C18" s="1"/>
      <c r="D18" s="1"/>
      <c r="E18" s="1"/>
      <c r="F18" s="1"/>
      <c r="G18" s="1"/>
      <c r="H18" s="1"/>
    </row>
    <row r="19" spans="1:8" ht="15" x14ac:dyDescent="0.4">
      <c r="A19" s="75" t="s">
        <v>379</v>
      </c>
      <c r="B19" s="75" t="s">
        <v>388</v>
      </c>
      <c r="C19" s="1"/>
      <c r="D19" s="1"/>
      <c r="E19" s="1"/>
      <c r="F19" s="1"/>
      <c r="G19" s="1"/>
      <c r="H19" s="1"/>
    </row>
    <row r="20" spans="1:8" x14ac:dyDescent="0.4">
      <c r="A20" s="36" t="s">
        <v>380</v>
      </c>
      <c r="B20" s="11" t="s">
        <v>452</v>
      </c>
      <c r="C20" s="1"/>
      <c r="D20" s="1"/>
      <c r="E20" s="1"/>
      <c r="F20" s="1"/>
      <c r="G20" s="1"/>
      <c r="H20" s="1"/>
    </row>
    <row r="21" spans="1:8" x14ac:dyDescent="0.4">
      <c r="A21" s="76" t="s">
        <v>380</v>
      </c>
      <c r="B21" s="11" t="s">
        <v>461</v>
      </c>
      <c r="C21" s="1"/>
      <c r="D21" s="1"/>
      <c r="E21" s="1"/>
      <c r="F21" s="1"/>
      <c r="G21" s="1"/>
      <c r="H21" s="1"/>
    </row>
    <row r="22" spans="1:8" x14ac:dyDescent="0.4">
      <c r="A22" s="37" t="s">
        <v>380</v>
      </c>
      <c r="B22" s="11" t="s">
        <v>673</v>
      </c>
      <c r="C22" s="1"/>
      <c r="D22" s="1"/>
      <c r="E22" s="1"/>
      <c r="F22" s="1"/>
      <c r="G22" s="1"/>
      <c r="H22" s="1"/>
    </row>
    <row r="23" spans="1:8" x14ac:dyDescent="0.4">
      <c r="A23" s="211"/>
      <c r="B23" s="11" t="s">
        <v>672</v>
      </c>
      <c r="C23" s="1"/>
      <c r="D23" s="1"/>
      <c r="E23" s="1"/>
      <c r="F23" s="1"/>
      <c r="G23" s="1"/>
      <c r="H23" s="1"/>
    </row>
    <row r="24" spans="1:8" x14ac:dyDescent="0.4">
      <c r="A24" s="77"/>
      <c r="B24" s="11" t="s">
        <v>462</v>
      </c>
      <c r="C24" s="1"/>
      <c r="D24" s="1"/>
      <c r="E24" s="1"/>
      <c r="F24" s="1"/>
      <c r="G24" s="1"/>
      <c r="H24" s="1"/>
    </row>
    <row r="25" spans="1:8" x14ac:dyDescent="0.4">
      <c r="A25" s="205" t="s">
        <v>463</v>
      </c>
      <c r="B25" s="11" t="s">
        <v>463</v>
      </c>
      <c r="C25" s="1"/>
      <c r="D25" s="1"/>
      <c r="E25" s="1"/>
      <c r="F25" s="1"/>
      <c r="G25" s="1"/>
      <c r="H25" s="1"/>
    </row>
    <row r="26" spans="1:8" x14ac:dyDescent="0.4">
      <c r="A26" s="1"/>
      <c r="B26" s="1"/>
      <c r="C26" s="1"/>
      <c r="D26" s="1"/>
      <c r="E26" s="1"/>
      <c r="F26" s="1"/>
      <c r="G26" s="1"/>
      <c r="H26" s="1"/>
    </row>
  </sheetData>
  <mergeCells count="2">
    <mergeCell ref="A1:H1"/>
    <mergeCell ref="A6:H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3C838-0884-4134-8922-A2772880EA9D}">
  <sheetPr>
    <tabColor rgb="FF00B050"/>
  </sheetPr>
  <dimension ref="A1:C10"/>
  <sheetViews>
    <sheetView showGridLines="0" zoomScale="200" workbookViewId="0">
      <pane ySplit="1" topLeftCell="A2" activePane="bottomLeft" state="frozen"/>
      <selection pane="bottomLeft" activeCell="C9" sqref="C9"/>
    </sheetView>
  </sheetViews>
  <sheetFormatPr defaultColWidth="8.73046875" defaultRowHeight="13.15" x14ac:dyDescent="0.4"/>
  <cols>
    <col min="1" max="1" width="8.73046875" style="3"/>
    <col min="2" max="2" width="28.06640625" style="3" bestFit="1" customWidth="1"/>
    <col min="3" max="3" width="29.06640625" style="3" customWidth="1"/>
    <col min="4" max="16384" width="8.73046875" style="3"/>
  </cols>
  <sheetData>
    <row r="1" spans="1:3" ht="17.25" x14ac:dyDescent="0.45">
      <c r="A1" s="7" t="s">
        <v>0</v>
      </c>
      <c r="B1" s="7" t="s">
        <v>329</v>
      </c>
      <c r="C1" s="7" t="s">
        <v>330</v>
      </c>
    </row>
    <row r="2" spans="1:3" x14ac:dyDescent="0.4">
      <c r="A2" s="2">
        <v>1</v>
      </c>
      <c r="B2" s="11" t="s">
        <v>331</v>
      </c>
      <c r="C2" s="13" t="s">
        <v>331</v>
      </c>
    </row>
    <row r="3" spans="1:3" x14ac:dyDescent="0.4">
      <c r="A3" s="2">
        <v>2</v>
      </c>
      <c r="B3" s="11" t="s">
        <v>568</v>
      </c>
      <c r="C3" s="13" t="s">
        <v>569</v>
      </c>
    </row>
    <row r="4" spans="1:3" x14ac:dyDescent="0.4">
      <c r="A4" s="2">
        <v>3</v>
      </c>
      <c r="B4" s="11" t="s">
        <v>336</v>
      </c>
      <c r="C4" s="13" t="s">
        <v>387</v>
      </c>
    </row>
    <row r="5" spans="1:3" x14ac:dyDescent="0.4">
      <c r="A5" s="2">
        <v>4</v>
      </c>
      <c r="B5" s="11" t="s">
        <v>337</v>
      </c>
      <c r="C5" s="13" t="s">
        <v>338</v>
      </c>
    </row>
    <row r="6" spans="1:3" x14ac:dyDescent="0.4">
      <c r="A6" s="2">
        <v>5</v>
      </c>
      <c r="B6" s="11" t="s">
        <v>464</v>
      </c>
      <c r="C6" s="13" t="s">
        <v>464</v>
      </c>
    </row>
    <row r="7" spans="1:3" ht="14" customHeight="1" x14ac:dyDescent="0.4">
      <c r="A7" s="2">
        <v>6</v>
      </c>
      <c r="B7" s="11" t="s">
        <v>465</v>
      </c>
      <c r="C7" s="13" t="s">
        <v>465</v>
      </c>
    </row>
    <row r="8" spans="1:3" x14ac:dyDescent="0.4">
      <c r="A8" s="2">
        <v>7</v>
      </c>
      <c r="B8" s="11" t="s">
        <v>377</v>
      </c>
      <c r="C8" s="13" t="s">
        <v>378</v>
      </c>
    </row>
    <row r="9" spans="1:3" x14ac:dyDescent="0.4">
      <c r="A9" s="2">
        <v>8</v>
      </c>
      <c r="B9" s="11" t="s">
        <v>339</v>
      </c>
      <c r="C9" s="13" t="s">
        <v>341</v>
      </c>
    </row>
    <row r="10" spans="1:3" x14ac:dyDescent="0.4">
      <c r="A10" s="2">
        <v>9</v>
      </c>
      <c r="B10" s="11" t="s">
        <v>340</v>
      </c>
      <c r="C10" s="13" t="s">
        <v>342</v>
      </c>
    </row>
  </sheetData>
  <hyperlinks>
    <hyperlink ref="C2" location="'Nifty 100 List'!A1" display="Nifty 100 List" xr:uid="{B7518859-21D4-4CDA-8A34-AE3D15AFD29A}"/>
    <hyperlink ref="C4" location="'1. Part 1A - DCF'!A1" display="1. Part 1A - DCF" xr:uid="{0FB887D4-A830-47C8-B40F-0D8404E9BBBD}"/>
    <hyperlink ref="C5" location="'1. Part 1B - DCF'!A1" display="1. Part 1B - DCF" xr:uid="{2101F462-F7FA-4E35-873A-F9790FBD5E73}"/>
    <hyperlink ref="C8" location="'Part 2 - CAPM 2.1, 2.2 and 2.3'!A1" display="Part 2 - CAPM 2.1, 2.2 and 2.3" xr:uid="{A55FCF2D-3D1B-469E-94EF-7D68381D7B2B}"/>
    <hyperlink ref="C9" location="'Part 2 - CAPM - 2.4'!A1" display="Part 2 - CAPM 2.4" xr:uid="{F6EE1A23-4A4A-4DEB-B425-A6734F0C7724}"/>
    <hyperlink ref="C10" location="'Part 2 - CAPM 2.5'!A1" display="'Part 2 - CAPM 2.5" xr:uid="{D3AAF68A-C181-448D-819D-DB5E26B33D90}"/>
    <hyperlink ref="C6" location="'ITC Limited Income Statement'!A1" display="ITC Limited Income Statement" xr:uid="{3BEC98F1-B2A7-4277-8D96-C7C8DA477A5D}"/>
    <hyperlink ref="C7" location="'ITC Limited Balance Sheet'!A1" display="ITC Limited Balance Sheet" xr:uid="{E8003B54-55A9-46F4-AB86-D5AB4FF924C1}"/>
    <hyperlink ref="C3" location="'1. Part 1 - Summary'!A1" display="'1. Part 1 - Summary" xr:uid="{A67DF385-19D9-4C39-A04A-204E092B951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0769A-B556-4DAC-8F32-10DE7C0CAAD0}">
  <sheetPr>
    <tabColor rgb="FF00B050"/>
  </sheetPr>
  <dimension ref="A1:E101"/>
  <sheetViews>
    <sheetView showGridLines="0" zoomScale="112" zoomScaleNormal="175" workbookViewId="0">
      <pane ySplit="1" topLeftCell="A2" activePane="bottomLeft" state="frozen"/>
      <selection pane="bottomLeft" activeCell="F10" sqref="F10"/>
    </sheetView>
  </sheetViews>
  <sheetFormatPr defaultColWidth="8.73046875" defaultRowHeight="13.15" x14ac:dyDescent="0.4"/>
  <cols>
    <col min="1" max="1" width="41.33203125" style="3" bestFit="1" customWidth="1"/>
    <col min="2" max="2" width="25.796875" style="3" bestFit="1" customWidth="1"/>
    <col min="3" max="3" width="13.73046875" style="3" bestFit="1" customWidth="1"/>
    <col min="4" max="4" width="12" style="3" bestFit="1" customWidth="1"/>
    <col min="5" max="5" width="16.9296875" style="3" bestFit="1" customWidth="1"/>
    <col min="6" max="16384" width="8.73046875" style="3"/>
  </cols>
  <sheetData>
    <row r="1" spans="1:5" ht="17.25" x14ac:dyDescent="0.45">
      <c r="A1" s="8" t="s">
        <v>5</v>
      </c>
      <c r="B1" s="8" t="s">
        <v>6</v>
      </c>
      <c r="C1" s="8" t="s">
        <v>7</v>
      </c>
      <c r="D1" s="8" t="s">
        <v>8</v>
      </c>
      <c r="E1" s="8" t="s">
        <v>9</v>
      </c>
    </row>
    <row r="2" spans="1:5" x14ac:dyDescent="0.4">
      <c r="A2" s="12" t="s">
        <v>10</v>
      </c>
      <c r="B2" s="12" t="s">
        <v>11</v>
      </c>
      <c r="C2" s="12" t="s">
        <v>12</v>
      </c>
      <c r="D2" s="12" t="s">
        <v>13</v>
      </c>
      <c r="E2" s="12" t="s">
        <v>14</v>
      </c>
    </row>
    <row r="3" spans="1:5" x14ac:dyDescent="0.4">
      <c r="A3" s="12" t="s">
        <v>15</v>
      </c>
      <c r="B3" s="12" t="s">
        <v>16</v>
      </c>
      <c r="C3" s="12" t="s">
        <v>17</v>
      </c>
      <c r="D3" s="12" t="s">
        <v>13</v>
      </c>
      <c r="E3" s="12" t="s">
        <v>18</v>
      </c>
    </row>
    <row r="4" spans="1:5" x14ac:dyDescent="0.4">
      <c r="A4" s="12" t="s">
        <v>19</v>
      </c>
      <c r="B4" s="12" t="s">
        <v>20</v>
      </c>
      <c r="C4" s="12" t="s">
        <v>21</v>
      </c>
      <c r="D4" s="12" t="s">
        <v>13</v>
      </c>
      <c r="E4" s="12" t="s">
        <v>22</v>
      </c>
    </row>
    <row r="5" spans="1:5" x14ac:dyDescent="0.4">
      <c r="A5" s="12" t="s">
        <v>23</v>
      </c>
      <c r="B5" s="12" t="s">
        <v>16</v>
      </c>
      <c r="C5" s="12" t="s">
        <v>24</v>
      </c>
      <c r="D5" s="12" t="s">
        <v>13</v>
      </c>
      <c r="E5" s="12" t="s">
        <v>25</v>
      </c>
    </row>
    <row r="6" spans="1:5" x14ac:dyDescent="0.4">
      <c r="A6" s="12" t="s">
        <v>26</v>
      </c>
      <c r="B6" s="12" t="s">
        <v>27</v>
      </c>
      <c r="C6" s="12" t="s">
        <v>28</v>
      </c>
      <c r="D6" s="12" t="s">
        <v>13</v>
      </c>
      <c r="E6" s="12" t="s">
        <v>29</v>
      </c>
    </row>
    <row r="7" spans="1:5" x14ac:dyDescent="0.4">
      <c r="A7" s="12" t="s">
        <v>30</v>
      </c>
      <c r="B7" s="12" t="s">
        <v>16</v>
      </c>
      <c r="C7" s="12" t="s">
        <v>31</v>
      </c>
      <c r="D7" s="12" t="s">
        <v>13</v>
      </c>
      <c r="E7" s="12" t="s">
        <v>32</v>
      </c>
    </row>
    <row r="8" spans="1:5" x14ac:dyDescent="0.4">
      <c r="A8" s="12" t="s">
        <v>33</v>
      </c>
      <c r="B8" s="12" t="s">
        <v>34</v>
      </c>
      <c r="C8" s="12" t="s">
        <v>35</v>
      </c>
      <c r="D8" s="12" t="s">
        <v>13</v>
      </c>
      <c r="E8" s="12" t="s">
        <v>36</v>
      </c>
    </row>
    <row r="9" spans="1:5" x14ac:dyDescent="0.4">
      <c r="A9" s="12" t="s">
        <v>37</v>
      </c>
      <c r="B9" s="12" t="s">
        <v>38</v>
      </c>
      <c r="C9" s="12" t="s">
        <v>39</v>
      </c>
      <c r="D9" s="12" t="s">
        <v>13</v>
      </c>
      <c r="E9" s="12" t="s">
        <v>40</v>
      </c>
    </row>
    <row r="10" spans="1:5" x14ac:dyDescent="0.4">
      <c r="A10" s="12" t="s">
        <v>41</v>
      </c>
      <c r="B10" s="12" t="s">
        <v>42</v>
      </c>
      <c r="C10" s="12" t="s">
        <v>43</v>
      </c>
      <c r="D10" s="12" t="s">
        <v>13</v>
      </c>
      <c r="E10" s="12" t="s">
        <v>44</v>
      </c>
    </row>
    <row r="11" spans="1:5" x14ac:dyDescent="0.4">
      <c r="A11" s="12" t="s">
        <v>45</v>
      </c>
      <c r="B11" s="12" t="s">
        <v>46</v>
      </c>
      <c r="C11" s="12" t="s">
        <v>47</v>
      </c>
      <c r="D11" s="12" t="s">
        <v>13</v>
      </c>
      <c r="E11" s="12" t="s">
        <v>48</v>
      </c>
    </row>
    <row r="12" spans="1:5" x14ac:dyDescent="0.4">
      <c r="A12" s="12" t="s">
        <v>49</v>
      </c>
      <c r="B12" s="12" t="s">
        <v>50</v>
      </c>
      <c r="C12" s="12" t="s">
        <v>51</v>
      </c>
      <c r="D12" s="12" t="s">
        <v>13</v>
      </c>
      <c r="E12" s="12" t="s">
        <v>52</v>
      </c>
    </row>
    <row r="13" spans="1:5" x14ac:dyDescent="0.4">
      <c r="A13" s="12" t="s">
        <v>53</v>
      </c>
      <c r="B13" s="12" t="s">
        <v>54</v>
      </c>
      <c r="C13" s="12" t="s">
        <v>55</v>
      </c>
      <c r="D13" s="12" t="s">
        <v>13</v>
      </c>
      <c r="E13" s="12" t="s">
        <v>56</v>
      </c>
    </row>
    <row r="14" spans="1:5" x14ac:dyDescent="0.4">
      <c r="A14" s="12" t="s">
        <v>57</v>
      </c>
      <c r="B14" s="12" t="s">
        <v>58</v>
      </c>
      <c r="C14" s="12" t="s">
        <v>59</v>
      </c>
      <c r="D14" s="12" t="s">
        <v>13</v>
      </c>
      <c r="E14" s="12" t="s">
        <v>60</v>
      </c>
    </row>
    <row r="15" spans="1:5" x14ac:dyDescent="0.4">
      <c r="A15" s="12" t="s">
        <v>61</v>
      </c>
      <c r="B15" s="12" t="s">
        <v>54</v>
      </c>
      <c r="C15" s="12" t="s">
        <v>62</v>
      </c>
      <c r="D15" s="12" t="s">
        <v>13</v>
      </c>
      <c r="E15" s="12" t="s">
        <v>63</v>
      </c>
    </row>
    <row r="16" spans="1:5" x14ac:dyDescent="0.4">
      <c r="A16" s="12" t="s">
        <v>64</v>
      </c>
      <c r="B16" s="12" t="s">
        <v>54</v>
      </c>
      <c r="C16" s="12" t="s">
        <v>65</v>
      </c>
      <c r="D16" s="12" t="s">
        <v>13</v>
      </c>
      <c r="E16" s="12" t="s">
        <v>66</v>
      </c>
    </row>
    <row r="17" spans="1:5" x14ac:dyDescent="0.4">
      <c r="A17" s="12" t="s">
        <v>67</v>
      </c>
      <c r="B17" s="12" t="s">
        <v>54</v>
      </c>
      <c r="C17" s="12" t="s">
        <v>68</v>
      </c>
      <c r="D17" s="12" t="s">
        <v>13</v>
      </c>
      <c r="E17" s="12" t="s">
        <v>69</v>
      </c>
    </row>
    <row r="18" spans="1:5" x14ac:dyDescent="0.4">
      <c r="A18" s="12" t="s">
        <v>70</v>
      </c>
      <c r="B18" s="12" t="s">
        <v>54</v>
      </c>
      <c r="C18" s="12" t="s">
        <v>71</v>
      </c>
      <c r="D18" s="12" t="s">
        <v>13</v>
      </c>
      <c r="E18" s="12" t="s">
        <v>72</v>
      </c>
    </row>
    <row r="19" spans="1:5" x14ac:dyDescent="0.4">
      <c r="A19" s="12" t="s">
        <v>73</v>
      </c>
      <c r="B19" s="12" t="s">
        <v>11</v>
      </c>
      <c r="C19" s="12" t="s">
        <v>74</v>
      </c>
      <c r="D19" s="12" t="s">
        <v>13</v>
      </c>
      <c r="E19" s="12" t="s">
        <v>75</v>
      </c>
    </row>
    <row r="20" spans="1:5" x14ac:dyDescent="0.4">
      <c r="A20" s="12" t="s">
        <v>76</v>
      </c>
      <c r="B20" s="12" t="s">
        <v>11</v>
      </c>
      <c r="C20" s="12" t="s">
        <v>77</v>
      </c>
      <c r="D20" s="12" t="s">
        <v>13</v>
      </c>
      <c r="E20" s="12" t="s">
        <v>78</v>
      </c>
    </row>
    <row r="21" spans="1:5" x14ac:dyDescent="0.4">
      <c r="A21" s="12" t="s">
        <v>79</v>
      </c>
      <c r="B21" s="12" t="s">
        <v>34</v>
      </c>
      <c r="C21" s="12" t="s">
        <v>80</v>
      </c>
      <c r="D21" s="12" t="s">
        <v>13</v>
      </c>
      <c r="E21" s="12" t="s">
        <v>81</v>
      </c>
    </row>
    <row r="22" spans="1:5" x14ac:dyDescent="0.4">
      <c r="A22" s="12" t="s">
        <v>82</v>
      </c>
      <c r="B22" s="12" t="s">
        <v>83</v>
      </c>
      <c r="C22" s="12" t="s">
        <v>84</v>
      </c>
      <c r="D22" s="12" t="s">
        <v>13</v>
      </c>
      <c r="E22" s="12" t="s">
        <v>85</v>
      </c>
    </row>
    <row r="23" spans="1:5" x14ac:dyDescent="0.4">
      <c r="A23" s="12" t="s">
        <v>86</v>
      </c>
      <c r="B23" s="12" t="s">
        <v>58</v>
      </c>
      <c r="C23" s="12" t="s">
        <v>87</v>
      </c>
      <c r="D23" s="12" t="s">
        <v>13</v>
      </c>
      <c r="E23" s="12" t="s">
        <v>88</v>
      </c>
    </row>
    <row r="24" spans="1:5" x14ac:dyDescent="0.4">
      <c r="A24" s="12" t="s">
        <v>89</v>
      </c>
      <c r="B24" s="12" t="s">
        <v>90</v>
      </c>
      <c r="C24" s="12" t="s">
        <v>91</v>
      </c>
      <c r="D24" s="12" t="s">
        <v>13</v>
      </c>
      <c r="E24" s="12" t="s">
        <v>92</v>
      </c>
    </row>
    <row r="25" spans="1:5" x14ac:dyDescent="0.4">
      <c r="A25" s="12" t="s">
        <v>93</v>
      </c>
      <c r="B25" s="12" t="s">
        <v>54</v>
      </c>
      <c r="C25" s="12" t="s">
        <v>94</v>
      </c>
      <c r="D25" s="12" t="s">
        <v>13</v>
      </c>
      <c r="E25" s="12" t="s">
        <v>95</v>
      </c>
    </row>
    <row r="26" spans="1:5" x14ac:dyDescent="0.4">
      <c r="A26" s="12" t="s">
        <v>96</v>
      </c>
      <c r="B26" s="12" t="s">
        <v>54</v>
      </c>
      <c r="C26" s="12" t="s">
        <v>97</v>
      </c>
      <c r="D26" s="12" t="s">
        <v>13</v>
      </c>
      <c r="E26" s="12" t="s">
        <v>98</v>
      </c>
    </row>
    <row r="27" spans="1:5" x14ac:dyDescent="0.4">
      <c r="A27" s="12" t="s">
        <v>99</v>
      </c>
      <c r="B27" s="12" t="s">
        <v>42</v>
      </c>
      <c r="C27" s="12" t="s">
        <v>100</v>
      </c>
      <c r="D27" s="12" t="s">
        <v>13</v>
      </c>
      <c r="E27" s="12" t="s">
        <v>101</v>
      </c>
    </row>
    <row r="28" spans="1:5" x14ac:dyDescent="0.4">
      <c r="A28" s="12" t="s">
        <v>102</v>
      </c>
      <c r="B28" s="12" t="s">
        <v>34</v>
      </c>
      <c r="C28" s="12" t="s">
        <v>103</v>
      </c>
      <c r="D28" s="12" t="s">
        <v>13</v>
      </c>
      <c r="E28" s="12" t="s">
        <v>104</v>
      </c>
    </row>
    <row r="29" spans="1:5" x14ac:dyDescent="0.4">
      <c r="A29" s="12" t="s">
        <v>105</v>
      </c>
      <c r="B29" s="12" t="s">
        <v>106</v>
      </c>
      <c r="C29" s="12" t="s">
        <v>107</v>
      </c>
      <c r="D29" s="12" t="s">
        <v>13</v>
      </c>
      <c r="E29" s="12" t="s">
        <v>108</v>
      </c>
    </row>
    <row r="30" spans="1:5" x14ac:dyDescent="0.4">
      <c r="A30" s="12" t="s">
        <v>109</v>
      </c>
      <c r="B30" s="12" t="s">
        <v>90</v>
      </c>
      <c r="C30" s="12" t="s">
        <v>110</v>
      </c>
      <c r="D30" s="12" t="s">
        <v>13</v>
      </c>
      <c r="E30" s="12" t="s">
        <v>111</v>
      </c>
    </row>
    <row r="31" spans="1:5" x14ac:dyDescent="0.4">
      <c r="A31" s="12" t="s">
        <v>112</v>
      </c>
      <c r="B31" s="12" t="s">
        <v>42</v>
      </c>
      <c r="C31" s="12" t="s">
        <v>113</v>
      </c>
      <c r="D31" s="12" t="s">
        <v>13</v>
      </c>
      <c r="E31" s="12" t="s">
        <v>114</v>
      </c>
    </row>
    <row r="32" spans="1:5" x14ac:dyDescent="0.4">
      <c r="A32" s="12" t="s">
        <v>115</v>
      </c>
      <c r="B32" s="12" t="s">
        <v>42</v>
      </c>
      <c r="C32" s="12" t="s">
        <v>116</v>
      </c>
      <c r="D32" s="12" t="s">
        <v>13</v>
      </c>
      <c r="E32" s="12" t="s">
        <v>117</v>
      </c>
    </row>
    <row r="33" spans="1:5" x14ac:dyDescent="0.4">
      <c r="A33" s="12" t="s">
        <v>118</v>
      </c>
      <c r="B33" s="12" t="s">
        <v>58</v>
      </c>
      <c r="C33" s="12" t="s">
        <v>119</v>
      </c>
      <c r="D33" s="12" t="s">
        <v>13</v>
      </c>
      <c r="E33" s="12" t="s">
        <v>120</v>
      </c>
    </row>
    <row r="34" spans="1:5" x14ac:dyDescent="0.4">
      <c r="A34" s="12" t="s">
        <v>121</v>
      </c>
      <c r="B34" s="12" t="s">
        <v>34</v>
      </c>
      <c r="C34" s="12" t="s">
        <v>122</v>
      </c>
      <c r="D34" s="12" t="s">
        <v>13</v>
      </c>
      <c r="E34" s="12" t="s">
        <v>123</v>
      </c>
    </row>
    <row r="35" spans="1:5" x14ac:dyDescent="0.4">
      <c r="A35" s="12" t="s">
        <v>124</v>
      </c>
      <c r="B35" s="12" t="s">
        <v>90</v>
      </c>
      <c r="C35" s="12" t="s">
        <v>125</v>
      </c>
      <c r="D35" s="12" t="s">
        <v>13</v>
      </c>
      <c r="E35" s="12" t="s">
        <v>126</v>
      </c>
    </row>
    <row r="36" spans="1:5" x14ac:dyDescent="0.4">
      <c r="A36" s="12" t="s">
        <v>127</v>
      </c>
      <c r="B36" s="12" t="s">
        <v>38</v>
      </c>
      <c r="C36" s="12" t="s">
        <v>128</v>
      </c>
      <c r="D36" s="12" t="s">
        <v>13</v>
      </c>
      <c r="E36" s="12" t="s">
        <v>129</v>
      </c>
    </row>
    <row r="37" spans="1:5" x14ac:dyDescent="0.4">
      <c r="A37" s="12" t="s">
        <v>130</v>
      </c>
      <c r="B37" s="12" t="s">
        <v>131</v>
      </c>
      <c r="C37" s="12" t="s">
        <v>132</v>
      </c>
      <c r="D37" s="12" t="s">
        <v>13</v>
      </c>
      <c r="E37" s="12" t="s">
        <v>133</v>
      </c>
    </row>
    <row r="38" spans="1:5" x14ac:dyDescent="0.4">
      <c r="A38" s="12" t="s">
        <v>134</v>
      </c>
      <c r="B38" s="12" t="s">
        <v>54</v>
      </c>
      <c r="C38" s="12" t="s">
        <v>135</v>
      </c>
      <c r="D38" s="12" t="s">
        <v>13</v>
      </c>
      <c r="E38" s="12" t="s">
        <v>136</v>
      </c>
    </row>
    <row r="39" spans="1:5" x14ac:dyDescent="0.4">
      <c r="A39" s="12" t="s">
        <v>137</v>
      </c>
      <c r="B39" s="12" t="s">
        <v>54</v>
      </c>
      <c r="C39" s="12" t="s">
        <v>138</v>
      </c>
      <c r="D39" s="12" t="s">
        <v>13</v>
      </c>
      <c r="E39" s="12" t="s">
        <v>139</v>
      </c>
    </row>
    <row r="40" spans="1:5" x14ac:dyDescent="0.4">
      <c r="A40" s="12" t="s">
        <v>140</v>
      </c>
      <c r="B40" s="12" t="s">
        <v>46</v>
      </c>
      <c r="C40" s="12" t="s">
        <v>141</v>
      </c>
      <c r="D40" s="12" t="s">
        <v>13</v>
      </c>
      <c r="E40" s="12" t="s">
        <v>142</v>
      </c>
    </row>
    <row r="41" spans="1:5" x14ac:dyDescent="0.4">
      <c r="A41" s="12" t="s">
        <v>143</v>
      </c>
      <c r="B41" s="12" t="s">
        <v>58</v>
      </c>
      <c r="C41" s="12" t="s">
        <v>144</v>
      </c>
      <c r="D41" s="12" t="s">
        <v>13</v>
      </c>
      <c r="E41" s="12" t="s">
        <v>145</v>
      </c>
    </row>
    <row r="42" spans="1:5" x14ac:dyDescent="0.4">
      <c r="A42" s="12" t="s">
        <v>146</v>
      </c>
      <c r="B42" s="12" t="s">
        <v>20</v>
      </c>
      <c r="C42" s="12" t="s">
        <v>147</v>
      </c>
      <c r="D42" s="12" t="s">
        <v>13</v>
      </c>
      <c r="E42" s="12" t="s">
        <v>148</v>
      </c>
    </row>
    <row r="43" spans="1:5" x14ac:dyDescent="0.4">
      <c r="A43" s="12" t="s">
        <v>149</v>
      </c>
      <c r="B43" s="12" t="s">
        <v>11</v>
      </c>
      <c r="C43" s="12" t="s">
        <v>150</v>
      </c>
      <c r="D43" s="12" t="s">
        <v>13</v>
      </c>
      <c r="E43" s="12" t="s">
        <v>151</v>
      </c>
    </row>
    <row r="44" spans="1:5" x14ac:dyDescent="0.4">
      <c r="A44" s="12" t="s">
        <v>152</v>
      </c>
      <c r="B44" s="12" t="s">
        <v>90</v>
      </c>
      <c r="C44" s="12" t="s">
        <v>153</v>
      </c>
      <c r="D44" s="12" t="s">
        <v>13</v>
      </c>
      <c r="E44" s="12" t="s">
        <v>154</v>
      </c>
    </row>
    <row r="45" spans="1:5" x14ac:dyDescent="0.4">
      <c r="A45" s="12" t="s">
        <v>155</v>
      </c>
      <c r="B45" s="12" t="s">
        <v>54</v>
      </c>
      <c r="C45" s="12" t="s">
        <v>156</v>
      </c>
      <c r="D45" s="12" t="s">
        <v>13</v>
      </c>
      <c r="E45" s="12" t="s">
        <v>157</v>
      </c>
    </row>
    <row r="46" spans="1:5" x14ac:dyDescent="0.4">
      <c r="A46" s="12" t="s">
        <v>158</v>
      </c>
      <c r="B46" s="12" t="s">
        <v>54</v>
      </c>
      <c r="C46" s="12" t="s">
        <v>159</v>
      </c>
      <c r="D46" s="12" t="s">
        <v>13</v>
      </c>
      <c r="E46" s="12" t="s">
        <v>160</v>
      </c>
    </row>
    <row r="47" spans="1:5" x14ac:dyDescent="0.4">
      <c r="A47" s="12" t="s">
        <v>161</v>
      </c>
      <c r="B47" s="12" t="s">
        <v>54</v>
      </c>
      <c r="C47" s="12" t="s">
        <v>162</v>
      </c>
      <c r="D47" s="12" t="s">
        <v>13</v>
      </c>
      <c r="E47" s="12" t="s">
        <v>163</v>
      </c>
    </row>
    <row r="48" spans="1:5" x14ac:dyDescent="0.4">
      <c r="A48" s="12" t="s">
        <v>164</v>
      </c>
      <c r="B48" s="12" t="s">
        <v>90</v>
      </c>
      <c r="C48" s="12" t="s">
        <v>165</v>
      </c>
      <c r="D48" s="12" t="s">
        <v>13</v>
      </c>
      <c r="E48" s="12" t="s">
        <v>166</v>
      </c>
    </row>
    <row r="49" spans="1:5" x14ac:dyDescent="0.4">
      <c r="A49" s="12" t="s">
        <v>167</v>
      </c>
      <c r="B49" s="12" t="s">
        <v>34</v>
      </c>
      <c r="C49" s="12" t="s">
        <v>168</v>
      </c>
      <c r="D49" s="12" t="s">
        <v>13</v>
      </c>
      <c r="E49" s="12" t="s">
        <v>169</v>
      </c>
    </row>
    <row r="50" spans="1:5" x14ac:dyDescent="0.4">
      <c r="A50" s="12" t="s">
        <v>170</v>
      </c>
      <c r="B50" s="12" t="s">
        <v>50</v>
      </c>
      <c r="C50" s="12" t="s">
        <v>171</v>
      </c>
      <c r="D50" s="12" t="s">
        <v>13</v>
      </c>
      <c r="E50" s="12" t="s">
        <v>172</v>
      </c>
    </row>
    <row r="51" spans="1:5" x14ac:dyDescent="0.4">
      <c r="A51" s="12" t="s">
        <v>173</v>
      </c>
      <c r="B51" s="12" t="s">
        <v>54</v>
      </c>
      <c r="C51" s="12" t="s">
        <v>174</v>
      </c>
      <c r="D51" s="12" t="s">
        <v>13</v>
      </c>
      <c r="E51" s="12" t="s">
        <v>175</v>
      </c>
    </row>
    <row r="52" spans="1:5" x14ac:dyDescent="0.4">
      <c r="A52" s="12" t="s">
        <v>176</v>
      </c>
      <c r="B52" s="12" t="s">
        <v>54</v>
      </c>
      <c r="C52" s="12" t="s">
        <v>177</v>
      </c>
      <c r="D52" s="12" t="s">
        <v>13</v>
      </c>
      <c r="E52" s="12" t="s">
        <v>178</v>
      </c>
    </row>
    <row r="53" spans="1:5" x14ac:dyDescent="0.4">
      <c r="A53" s="12" t="s">
        <v>179</v>
      </c>
      <c r="B53" s="12" t="s">
        <v>50</v>
      </c>
      <c r="C53" s="12" t="s">
        <v>180</v>
      </c>
      <c r="D53" s="12" t="s">
        <v>13</v>
      </c>
      <c r="E53" s="12" t="s">
        <v>181</v>
      </c>
    </row>
    <row r="54" spans="1:5" x14ac:dyDescent="0.4">
      <c r="A54" s="12" t="s">
        <v>182</v>
      </c>
      <c r="B54" s="12" t="s">
        <v>131</v>
      </c>
      <c r="C54" s="12" t="s">
        <v>183</v>
      </c>
      <c r="D54" s="12" t="s">
        <v>13</v>
      </c>
      <c r="E54" s="12" t="s">
        <v>184</v>
      </c>
    </row>
    <row r="55" spans="1:5" x14ac:dyDescent="0.4">
      <c r="A55" s="12" t="s">
        <v>185</v>
      </c>
      <c r="B55" s="12" t="s">
        <v>27</v>
      </c>
      <c r="C55" s="12" t="s">
        <v>186</v>
      </c>
      <c r="D55" s="12" t="s">
        <v>13</v>
      </c>
      <c r="E55" s="12" t="s">
        <v>187</v>
      </c>
    </row>
    <row r="56" spans="1:5" x14ac:dyDescent="0.4">
      <c r="A56" s="12" t="s">
        <v>188</v>
      </c>
      <c r="B56" s="12" t="s">
        <v>16</v>
      </c>
      <c r="C56" s="12" t="s">
        <v>189</v>
      </c>
      <c r="D56" s="12" t="s">
        <v>13</v>
      </c>
      <c r="E56" s="12" t="s">
        <v>190</v>
      </c>
    </row>
    <row r="57" spans="1:5" x14ac:dyDescent="0.4">
      <c r="A57" s="12" t="s">
        <v>191</v>
      </c>
      <c r="B57" s="12" t="s">
        <v>20</v>
      </c>
      <c r="C57" s="12" t="s">
        <v>192</v>
      </c>
      <c r="D57" s="12" t="s">
        <v>13</v>
      </c>
      <c r="E57" s="12" t="s">
        <v>193</v>
      </c>
    </row>
    <row r="58" spans="1:5" x14ac:dyDescent="0.4">
      <c r="A58" s="12" t="s">
        <v>194</v>
      </c>
      <c r="B58" s="12" t="s">
        <v>20</v>
      </c>
      <c r="C58" s="12" t="s">
        <v>195</v>
      </c>
      <c r="D58" s="12" t="s">
        <v>13</v>
      </c>
      <c r="E58" s="12" t="s">
        <v>196</v>
      </c>
    </row>
    <row r="59" spans="1:5" x14ac:dyDescent="0.4">
      <c r="A59" s="12" t="s">
        <v>197</v>
      </c>
      <c r="B59" s="12" t="s">
        <v>54</v>
      </c>
      <c r="C59" s="12" t="s">
        <v>198</v>
      </c>
      <c r="D59" s="12" t="s">
        <v>13</v>
      </c>
      <c r="E59" s="12" t="s">
        <v>199</v>
      </c>
    </row>
    <row r="60" spans="1:5" x14ac:dyDescent="0.4">
      <c r="A60" s="12" t="s">
        <v>200</v>
      </c>
      <c r="B60" s="12" t="s">
        <v>54</v>
      </c>
      <c r="C60" s="12" t="s">
        <v>201</v>
      </c>
      <c r="D60" s="12" t="s">
        <v>13</v>
      </c>
      <c r="E60" s="12" t="s">
        <v>202</v>
      </c>
    </row>
    <row r="61" spans="1:5" x14ac:dyDescent="0.4">
      <c r="A61" s="12" t="s">
        <v>203</v>
      </c>
      <c r="B61" s="12" t="s">
        <v>131</v>
      </c>
      <c r="C61" s="12" t="s">
        <v>204</v>
      </c>
      <c r="D61" s="12" t="s">
        <v>13</v>
      </c>
      <c r="E61" s="12" t="s">
        <v>205</v>
      </c>
    </row>
    <row r="62" spans="1:5" x14ac:dyDescent="0.4">
      <c r="A62" s="12" t="s">
        <v>206</v>
      </c>
      <c r="B62" s="12" t="s">
        <v>207</v>
      </c>
      <c r="C62" s="12" t="s">
        <v>208</v>
      </c>
      <c r="D62" s="12" t="s">
        <v>13</v>
      </c>
      <c r="E62" s="12" t="s">
        <v>209</v>
      </c>
    </row>
    <row r="63" spans="1:5" x14ac:dyDescent="0.4">
      <c r="A63" s="12" t="s">
        <v>210</v>
      </c>
      <c r="B63" s="12" t="s">
        <v>54</v>
      </c>
      <c r="C63" s="12" t="s">
        <v>211</v>
      </c>
      <c r="D63" s="12" t="s">
        <v>13</v>
      </c>
      <c r="E63" s="12" t="s">
        <v>212</v>
      </c>
    </row>
    <row r="64" spans="1:5" x14ac:dyDescent="0.4">
      <c r="A64" s="12" t="s">
        <v>213</v>
      </c>
      <c r="B64" s="12" t="s">
        <v>106</v>
      </c>
      <c r="C64" s="12" t="s">
        <v>214</v>
      </c>
      <c r="D64" s="12" t="s">
        <v>13</v>
      </c>
      <c r="E64" s="12" t="s">
        <v>215</v>
      </c>
    </row>
    <row r="65" spans="1:5" x14ac:dyDescent="0.4">
      <c r="A65" s="12" t="s">
        <v>216</v>
      </c>
      <c r="B65" s="12" t="s">
        <v>58</v>
      </c>
      <c r="C65" s="12" t="s">
        <v>217</v>
      </c>
      <c r="D65" s="12" t="s">
        <v>13</v>
      </c>
      <c r="E65" s="12" t="s">
        <v>218</v>
      </c>
    </row>
    <row r="66" spans="1:5" x14ac:dyDescent="0.4">
      <c r="A66" s="12" t="s">
        <v>219</v>
      </c>
      <c r="B66" s="12" t="s">
        <v>58</v>
      </c>
      <c r="C66" s="12" t="s">
        <v>220</v>
      </c>
      <c r="D66" s="12" t="s">
        <v>13</v>
      </c>
      <c r="E66" s="12" t="s">
        <v>221</v>
      </c>
    </row>
    <row r="67" spans="1:5" x14ac:dyDescent="0.4">
      <c r="A67" s="12" t="s">
        <v>222</v>
      </c>
      <c r="B67" s="12" t="s">
        <v>16</v>
      </c>
      <c r="C67" s="12" t="s">
        <v>223</v>
      </c>
      <c r="D67" s="12" t="s">
        <v>13</v>
      </c>
      <c r="E67" s="12" t="s">
        <v>224</v>
      </c>
    </row>
    <row r="68" spans="1:5" x14ac:dyDescent="0.4">
      <c r="A68" s="12" t="s">
        <v>225</v>
      </c>
      <c r="B68" s="12" t="s">
        <v>16</v>
      </c>
      <c r="C68" s="12" t="s">
        <v>226</v>
      </c>
      <c r="D68" s="12" t="s">
        <v>13</v>
      </c>
      <c r="E68" s="12" t="s">
        <v>227</v>
      </c>
    </row>
    <row r="69" spans="1:5" x14ac:dyDescent="0.4">
      <c r="A69" s="12" t="s">
        <v>228</v>
      </c>
      <c r="B69" s="12" t="s">
        <v>90</v>
      </c>
      <c r="C69" s="12" t="s">
        <v>229</v>
      </c>
      <c r="D69" s="12" t="s">
        <v>13</v>
      </c>
      <c r="E69" s="12" t="s">
        <v>230</v>
      </c>
    </row>
    <row r="70" spans="1:5" x14ac:dyDescent="0.4">
      <c r="A70" s="12" t="s">
        <v>231</v>
      </c>
      <c r="B70" s="12" t="s">
        <v>34</v>
      </c>
      <c r="C70" s="12" t="s">
        <v>232</v>
      </c>
      <c r="D70" s="12" t="s">
        <v>13</v>
      </c>
      <c r="E70" s="12" t="s">
        <v>233</v>
      </c>
    </row>
    <row r="71" spans="1:5" x14ac:dyDescent="0.4">
      <c r="A71" s="12" t="s">
        <v>234</v>
      </c>
      <c r="B71" s="12" t="s">
        <v>235</v>
      </c>
      <c r="C71" s="12" t="s">
        <v>236</v>
      </c>
      <c r="D71" s="12" t="s">
        <v>13</v>
      </c>
      <c r="E71" s="12" t="s">
        <v>237</v>
      </c>
    </row>
    <row r="72" spans="1:5" x14ac:dyDescent="0.4">
      <c r="A72" s="12" t="s">
        <v>238</v>
      </c>
      <c r="B72" s="12" t="s">
        <v>54</v>
      </c>
      <c r="C72" s="12" t="s">
        <v>239</v>
      </c>
      <c r="D72" s="12" t="s">
        <v>13</v>
      </c>
      <c r="E72" s="12" t="s">
        <v>240</v>
      </c>
    </row>
    <row r="73" spans="1:5" x14ac:dyDescent="0.4">
      <c r="A73" s="12" t="s">
        <v>241</v>
      </c>
      <c r="B73" s="12" t="s">
        <v>16</v>
      </c>
      <c r="C73" s="12" t="s">
        <v>242</v>
      </c>
      <c r="D73" s="12" t="s">
        <v>13</v>
      </c>
      <c r="E73" s="12" t="s">
        <v>243</v>
      </c>
    </row>
    <row r="74" spans="1:5" x14ac:dyDescent="0.4">
      <c r="A74" s="12" t="s">
        <v>244</v>
      </c>
      <c r="B74" s="12" t="s">
        <v>54</v>
      </c>
      <c r="C74" s="12" t="s">
        <v>245</v>
      </c>
      <c r="D74" s="12" t="s">
        <v>13</v>
      </c>
      <c r="E74" s="12" t="s">
        <v>246</v>
      </c>
    </row>
    <row r="75" spans="1:5" x14ac:dyDescent="0.4">
      <c r="A75" s="12" t="s">
        <v>247</v>
      </c>
      <c r="B75" s="12" t="s">
        <v>54</v>
      </c>
      <c r="C75" s="12" t="s">
        <v>248</v>
      </c>
      <c r="D75" s="12" t="s">
        <v>13</v>
      </c>
      <c r="E75" s="12" t="s">
        <v>249</v>
      </c>
    </row>
    <row r="76" spans="1:5" x14ac:dyDescent="0.4">
      <c r="A76" s="12" t="s">
        <v>250</v>
      </c>
      <c r="B76" s="12" t="s">
        <v>34</v>
      </c>
      <c r="C76" s="12" t="s">
        <v>251</v>
      </c>
      <c r="D76" s="12" t="s">
        <v>13</v>
      </c>
      <c r="E76" s="12" t="s">
        <v>252</v>
      </c>
    </row>
    <row r="77" spans="1:5" x14ac:dyDescent="0.4">
      <c r="A77" s="12" t="s">
        <v>253</v>
      </c>
      <c r="B77" s="12" t="s">
        <v>54</v>
      </c>
      <c r="C77" s="12" t="s">
        <v>254</v>
      </c>
      <c r="D77" s="12" t="s">
        <v>13</v>
      </c>
      <c r="E77" s="12" t="s">
        <v>255</v>
      </c>
    </row>
    <row r="78" spans="1:5" x14ac:dyDescent="0.4">
      <c r="A78" s="12" t="s">
        <v>256</v>
      </c>
      <c r="B78" s="12" t="s">
        <v>58</v>
      </c>
      <c r="C78" s="12" t="s">
        <v>257</v>
      </c>
      <c r="D78" s="12" t="s">
        <v>13</v>
      </c>
      <c r="E78" s="12" t="s">
        <v>258</v>
      </c>
    </row>
    <row r="79" spans="1:5" x14ac:dyDescent="0.4">
      <c r="A79" s="12" t="s">
        <v>259</v>
      </c>
      <c r="B79" s="12" t="s">
        <v>38</v>
      </c>
      <c r="C79" s="12" t="s">
        <v>260</v>
      </c>
      <c r="D79" s="12" t="s">
        <v>13</v>
      </c>
      <c r="E79" s="12" t="s">
        <v>261</v>
      </c>
    </row>
    <row r="80" spans="1:5" x14ac:dyDescent="0.4">
      <c r="A80" s="12" t="s">
        <v>262</v>
      </c>
      <c r="B80" s="12" t="s">
        <v>54</v>
      </c>
      <c r="C80" s="12" t="s">
        <v>263</v>
      </c>
      <c r="D80" s="12" t="s">
        <v>13</v>
      </c>
      <c r="E80" s="12" t="s">
        <v>264</v>
      </c>
    </row>
    <row r="81" spans="1:5" x14ac:dyDescent="0.4">
      <c r="A81" s="12" t="s">
        <v>265</v>
      </c>
      <c r="B81" s="12" t="s">
        <v>11</v>
      </c>
      <c r="C81" s="12" t="s">
        <v>266</v>
      </c>
      <c r="D81" s="12" t="s">
        <v>13</v>
      </c>
      <c r="E81" s="12" t="s">
        <v>267</v>
      </c>
    </row>
    <row r="82" spans="1:5" x14ac:dyDescent="0.4">
      <c r="A82" s="12" t="s">
        <v>268</v>
      </c>
      <c r="B82" s="12" t="s">
        <v>54</v>
      </c>
      <c r="C82" s="12" t="s">
        <v>269</v>
      </c>
      <c r="D82" s="12" t="s">
        <v>13</v>
      </c>
      <c r="E82" s="12" t="s">
        <v>270</v>
      </c>
    </row>
    <row r="83" spans="1:5" x14ac:dyDescent="0.4">
      <c r="A83" s="12" t="s">
        <v>271</v>
      </c>
      <c r="B83" s="12" t="s">
        <v>42</v>
      </c>
      <c r="C83" s="12" t="s">
        <v>272</v>
      </c>
      <c r="D83" s="12" t="s">
        <v>13</v>
      </c>
      <c r="E83" s="12" t="s">
        <v>273</v>
      </c>
    </row>
    <row r="84" spans="1:5" x14ac:dyDescent="0.4">
      <c r="A84" s="12" t="s">
        <v>274</v>
      </c>
      <c r="B84" s="12" t="s">
        <v>58</v>
      </c>
      <c r="C84" s="12" t="s">
        <v>275</v>
      </c>
      <c r="D84" s="12" t="s">
        <v>13</v>
      </c>
      <c r="E84" s="12" t="s">
        <v>276</v>
      </c>
    </row>
    <row r="85" spans="1:5" x14ac:dyDescent="0.4">
      <c r="A85" s="12" t="s">
        <v>277</v>
      </c>
      <c r="B85" s="12" t="s">
        <v>131</v>
      </c>
      <c r="C85" s="12" t="s">
        <v>278</v>
      </c>
      <c r="D85" s="12" t="s">
        <v>13</v>
      </c>
      <c r="E85" s="12" t="s">
        <v>279</v>
      </c>
    </row>
    <row r="86" spans="1:5" x14ac:dyDescent="0.4">
      <c r="A86" s="12" t="s">
        <v>280</v>
      </c>
      <c r="B86" s="12" t="s">
        <v>90</v>
      </c>
      <c r="C86" s="12" t="s">
        <v>281</v>
      </c>
      <c r="D86" s="12" t="s">
        <v>13</v>
      </c>
      <c r="E86" s="12" t="s">
        <v>282</v>
      </c>
    </row>
    <row r="87" spans="1:5" x14ac:dyDescent="0.4">
      <c r="A87" s="12" t="s">
        <v>283</v>
      </c>
      <c r="B87" s="12" t="s">
        <v>58</v>
      </c>
      <c r="C87" s="12" t="s">
        <v>284</v>
      </c>
      <c r="D87" s="12" t="s">
        <v>13</v>
      </c>
      <c r="E87" s="12" t="s">
        <v>285</v>
      </c>
    </row>
    <row r="88" spans="1:5" x14ac:dyDescent="0.4">
      <c r="A88" s="12" t="s">
        <v>286</v>
      </c>
      <c r="B88" s="12" t="s">
        <v>16</v>
      </c>
      <c r="C88" s="12" t="s">
        <v>287</v>
      </c>
      <c r="D88" s="12" t="s">
        <v>13</v>
      </c>
      <c r="E88" s="12" t="s">
        <v>288</v>
      </c>
    </row>
    <row r="89" spans="1:5" x14ac:dyDescent="0.4">
      <c r="A89" s="12" t="s">
        <v>289</v>
      </c>
      <c r="B89" s="12" t="s">
        <v>20</v>
      </c>
      <c r="C89" s="12" t="s">
        <v>290</v>
      </c>
      <c r="D89" s="12" t="s">
        <v>13</v>
      </c>
      <c r="E89" s="12" t="s">
        <v>291</v>
      </c>
    </row>
    <row r="90" spans="1:5" x14ac:dyDescent="0.4">
      <c r="A90" s="12" t="s">
        <v>292</v>
      </c>
      <c r="B90" s="12" t="s">
        <v>131</v>
      </c>
      <c r="C90" s="12" t="s">
        <v>293</v>
      </c>
      <c r="D90" s="12" t="s">
        <v>13</v>
      </c>
      <c r="E90" s="12" t="s">
        <v>294</v>
      </c>
    </row>
    <row r="91" spans="1:5" x14ac:dyDescent="0.4">
      <c r="A91" s="12" t="s">
        <v>295</v>
      </c>
      <c r="B91" s="12" t="s">
        <v>46</v>
      </c>
      <c r="C91" s="12" t="s">
        <v>296</v>
      </c>
      <c r="D91" s="12" t="s">
        <v>13</v>
      </c>
      <c r="E91" s="12" t="s">
        <v>297</v>
      </c>
    </row>
    <row r="92" spans="1:5" x14ac:dyDescent="0.4">
      <c r="A92" s="12" t="s">
        <v>298</v>
      </c>
      <c r="B92" s="12" t="s">
        <v>42</v>
      </c>
      <c r="C92" s="12" t="s">
        <v>299</v>
      </c>
      <c r="D92" s="12" t="s">
        <v>13</v>
      </c>
      <c r="E92" s="12" t="s">
        <v>300</v>
      </c>
    </row>
    <row r="93" spans="1:5" x14ac:dyDescent="0.4">
      <c r="A93" s="12" t="s">
        <v>301</v>
      </c>
      <c r="B93" s="12" t="s">
        <v>50</v>
      </c>
      <c r="C93" s="12" t="s">
        <v>302</v>
      </c>
      <c r="D93" s="12" t="s">
        <v>13</v>
      </c>
      <c r="E93" s="12" t="s">
        <v>303</v>
      </c>
    </row>
    <row r="94" spans="1:5" x14ac:dyDescent="0.4">
      <c r="A94" s="12" t="s">
        <v>304</v>
      </c>
      <c r="B94" s="12" t="s">
        <v>38</v>
      </c>
      <c r="C94" s="12" t="s">
        <v>305</v>
      </c>
      <c r="D94" s="12" t="s">
        <v>13</v>
      </c>
      <c r="E94" s="12" t="s">
        <v>306</v>
      </c>
    </row>
    <row r="95" spans="1:5" x14ac:dyDescent="0.4">
      <c r="A95" s="12" t="s">
        <v>307</v>
      </c>
      <c r="B95" s="12" t="s">
        <v>54</v>
      </c>
      <c r="C95" s="12" t="s">
        <v>308</v>
      </c>
      <c r="D95" s="12" t="s">
        <v>13</v>
      </c>
      <c r="E95" s="12" t="s">
        <v>309</v>
      </c>
    </row>
    <row r="96" spans="1:5" x14ac:dyDescent="0.4">
      <c r="A96" s="12" t="s">
        <v>310</v>
      </c>
      <c r="B96" s="12" t="s">
        <v>90</v>
      </c>
      <c r="C96" s="12" t="s">
        <v>311</v>
      </c>
      <c r="D96" s="12" t="s">
        <v>13</v>
      </c>
      <c r="E96" s="12" t="s">
        <v>312</v>
      </c>
    </row>
    <row r="97" spans="1:5" x14ac:dyDescent="0.4">
      <c r="A97" s="12" t="s">
        <v>313</v>
      </c>
      <c r="B97" s="12" t="s">
        <v>90</v>
      </c>
      <c r="C97" s="12" t="s">
        <v>314</v>
      </c>
      <c r="D97" s="12" t="s">
        <v>13</v>
      </c>
      <c r="E97" s="12" t="s">
        <v>315</v>
      </c>
    </row>
    <row r="98" spans="1:5" x14ac:dyDescent="0.4">
      <c r="A98" s="12" t="s">
        <v>316</v>
      </c>
      <c r="B98" s="12" t="s">
        <v>20</v>
      </c>
      <c r="C98" s="12" t="s">
        <v>317</v>
      </c>
      <c r="D98" s="12" t="s">
        <v>13</v>
      </c>
      <c r="E98" s="12" t="s">
        <v>318</v>
      </c>
    </row>
    <row r="99" spans="1:5" x14ac:dyDescent="0.4">
      <c r="A99" s="12" t="s">
        <v>319</v>
      </c>
      <c r="B99" s="12" t="s">
        <v>131</v>
      </c>
      <c r="C99" s="12" t="s">
        <v>320</v>
      </c>
      <c r="D99" s="12" t="s">
        <v>13</v>
      </c>
      <c r="E99" s="12" t="s">
        <v>321</v>
      </c>
    </row>
    <row r="100" spans="1:5" x14ac:dyDescent="0.4">
      <c r="A100" s="12" t="s">
        <v>322</v>
      </c>
      <c r="B100" s="12" t="s">
        <v>50</v>
      </c>
      <c r="C100" s="12" t="s">
        <v>323</v>
      </c>
      <c r="D100" s="12" t="s">
        <v>13</v>
      </c>
      <c r="E100" s="12" t="s">
        <v>324</v>
      </c>
    </row>
    <row r="101" spans="1:5" x14ac:dyDescent="0.4">
      <c r="A101" s="12" t="s">
        <v>325</v>
      </c>
      <c r="B101" s="12" t="s">
        <v>42</v>
      </c>
      <c r="C101" s="12" t="s">
        <v>326</v>
      </c>
      <c r="D101" s="12" t="s">
        <v>13</v>
      </c>
      <c r="E101" s="12" t="s">
        <v>327</v>
      </c>
    </row>
  </sheetData>
  <autoFilter ref="A1:E101" xr:uid="{8E70769A-B556-4DAC-8F32-10DE7C0CAAD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2A548-051E-4321-AE05-4E029F0F91F0}">
  <sheetPr>
    <tabColor theme="4" tint="0.39997558519241921"/>
  </sheetPr>
  <dimension ref="A1:AB24"/>
  <sheetViews>
    <sheetView showGridLines="0" zoomScale="109" zoomScaleNormal="175" workbookViewId="0">
      <selection activeCell="A20" sqref="A20"/>
    </sheetView>
  </sheetViews>
  <sheetFormatPr defaultColWidth="8.73046875" defaultRowHeight="13.15" x14ac:dyDescent="0.4"/>
  <cols>
    <col min="1" max="1" width="2.59765625" style="3" customWidth="1"/>
    <col min="2" max="2" width="5.73046875" style="3" customWidth="1"/>
    <col min="3" max="3" width="23.33203125" style="3" bestFit="1" customWidth="1"/>
    <col min="4" max="4" width="8.53125" style="3" customWidth="1"/>
    <col min="5" max="5" width="14.265625" style="3" customWidth="1"/>
    <col min="6" max="6" width="8.73046875" style="3"/>
    <col min="7" max="12" width="10.53125" style="3" bestFit="1" customWidth="1"/>
    <col min="13" max="13" width="12.19921875" style="3" bestFit="1" customWidth="1"/>
    <col min="14" max="14" width="8.73046875" style="3"/>
    <col min="15" max="15" width="11.73046875" style="3" customWidth="1"/>
    <col min="16" max="16" width="13.06640625" style="3" customWidth="1"/>
    <col min="17" max="17" width="8.73046875" style="3"/>
    <col min="18" max="18" width="13.59765625" style="3" bestFit="1" customWidth="1"/>
    <col min="19" max="19" width="3.33203125" style="3" bestFit="1" customWidth="1"/>
    <col min="20" max="23" width="10.06640625" style="3" bestFit="1" customWidth="1"/>
    <col min="24" max="25" width="10" style="3" bestFit="1" customWidth="1"/>
    <col min="26" max="26" width="11.53125" style="3" bestFit="1" customWidth="1"/>
    <col min="27" max="16384" width="8.73046875" style="3"/>
  </cols>
  <sheetData>
    <row r="1" spans="1:28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7.25" x14ac:dyDescent="0.4">
      <c r="A2" s="1"/>
      <c r="B2" s="137" t="str">
        <f>'Cover Page'!C2:C2</f>
        <v>ITC Ltd.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7.25" x14ac:dyDescent="0.4">
      <c r="A3" s="1"/>
      <c r="B3" s="137" t="s">
        <v>559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2.5499999999999998" customHeight="1" thickBot="1" x14ac:dyDescent="0.45">
      <c r="A4" s="1"/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7.25" x14ac:dyDescent="0.45">
      <c r="A5" s="1"/>
      <c r="B5" s="140" t="str">
        <f>Q5</f>
        <v>SUMMARY VALUES</v>
      </c>
      <c r="C5" s="141"/>
      <c r="D5" s="141"/>
      <c r="E5" s="141"/>
      <c r="F5" s="141"/>
      <c r="G5" s="142"/>
      <c r="H5" s="142"/>
      <c r="I5" s="142"/>
      <c r="J5" s="142"/>
      <c r="K5" s="142"/>
      <c r="L5" s="142"/>
      <c r="M5" s="142"/>
      <c r="N5" s="142"/>
      <c r="O5" s="1"/>
      <c r="P5" s="1"/>
      <c r="Q5" s="140" t="s">
        <v>560</v>
      </c>
      <c r="R5" s="141"/>
      <c r="S5" s="141"/>
      <c r="T5" s="142"/>
      <c r="U5" s="142"/>
      <c r="V5" s="142"/>
      <c r="W5" s="142"/>
      <c r="X5" s="142"/>
      <c r="Y5" s="142"/>
      <c r="Z5" s="142"/>
      <c r="AA5" s="143"/>
      <c r="AB5" s="1"/>
    </row>
    <row r="6" spans="1:28" x14ac:dyDescent="0.4">
      <c r="A6" s="1"/>
      <c r="B6" s="144"/>
      <c r="C6" s="145"/>
      <c r="D6" s="145"/>
      <c r="E6" s="145"/>
      <c r="F6" s="145"/>
      <c r="G6" s="146"/>
      <c r="H6" s="146"/>
      <c r="I6" s="146"/>
      <c r="J6" s="146"/>
      <c r="K6" s="146"/>
      <c r="L6" s="146"/>
      <c r="M6" s="146"/>
      <c r="N6" s="147"/>
      <c r="O6" s="1"/>
      <c r="P6" s="1"/>
      <c r="Q6" s="148"/>
      <c r="R6" s="149"/>
      <c r="S6" s="149"/>
      <c r="T6" s="149"/>
      <c r="U6" s="149"/>
      <c r="V6" s="149"/>
      <c r="W6" s="149"/>
      <c r="X6" s="149"/>
      <c r="Y6" s="149"/>
      <c r="Z6" s="149"/>
      <c r="AA6" s="150"/>
      <c r="AB6" s="1"/>
    </row>
    <row r="7" spans="1:28" x14ac:dyDescent="0.4">
      <c r="A7" s="1"/>
      <c r="B7" s="151"/>
      <c r="C7" s="152"/>
      <c r="D7" s="153"/>
      <c r="E7" s="154" t="s">
        <v>561</v>
      </c>
      <c r="F7" s="153"/>
      <c r="G7" s="155">
        <f>T7</f>
        <v>2023</v>
      </c>
      <c r="H7" s="155">
        <f t="shared" ref="H7:M7" si="0">U7</f>
        <v>2024</v>
      </c>
      <c r="I7" s="155">
        <f t="shared" si="0"/>
        <v>2025</v>
      </c>
      <c r="J7" s="155">
        <f t="shared" si="0"/>
        <v>2026</v>
      </c>
      <c r="K7" s="155">
        <f t="shared" si="0"/>
        <v>2027</v>
      </c>
      <c r="L7" s="155">
        <f t="shared" si="0"/>
        <v>2028</v>
      </c>
      <c r="M7" s="155">
        <f t="shared" si="0"/>
        <v>2029</v>
      </c>
      <c r="N7" s="156"/>
      <c r="O7" s="1"/>
      <c r="P7" s="1"/>
      <c r="Q7" s="157"/>
      <c r="R7" s="158"/>
      <c r="S7" s="158"/>
      <c r="T7" s="159">
        <f>'1. Part 1A - 3FS'!B3</f>
        <v>2023</v>
      </c>
      <c r="U7" s="159">
        <f>'1. Part 1A - 3FS'!C3</f>
        <v>2024</v>
      </c>
      <c r="V7" s="159">
        <f>'1. Part 1A - 3FS'!D3</f>
        <v>2025</v>
      </c>
      <c r="W7" s="159">
        <f>'1. Part 1A - 3FS'!E3</f>
        <v>2026</v>
      </c>
      <c r="X7" s="159">
        <f>'1. Part 1A - 3FS'!F3</f>
        <v>2027</v>
      </c>
      <c r="Y7" s="159">
        <f>'1. Part 1A - 3FS'!G3</f>
        <v>2028</v>
      </c>
      <c r="Z7" s="159">
        <f>'1. Part 1A - 3FS'!H3</f>
        <v>2029</v>
      </c>
      <c r="AA7" s="160"/>
      <c r="AB7" s="1"/>
    </row>
    <row r="8" spans="1:28" x14ac:dyDescent="0.4">
      <c r="A8" s="1"/>
      <c r="B8" s="1"/>
      <c r="C8" s="18" t="s">
        <v>562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61"/>
      <c r="R8" s="143"/>
      <c r="S8" s="143"/>
      <c r="T8" s="162"/>
      <c r="U8" s="162"/>
      <c r="V8" s="162"/>
      <c r="W8" s="162"/>
      <c r="X8" s="162"/>
      <c r="Y8" s="162"/>
      <c r="Z8" s="162"/>
      <c r="AA8" s="163"/>
      <c r="AB8" s="1"/>
    </row>
    <row r="9" spans="1:28" x14ac:dyDescent="0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61"/>
      <c r="R9" s="143"/>
      <c r="S9" s="143"/>
      <c r="T9" s="143"/>
      <c r="U9" s="143"/>
      <c r="V9" s="143"/>
      <c r="W9" s="143"/>
      <c r="X9" s="143"/>
      <c r="Y9" s="143"/>
      <c r="Z9" s="143"/>
      <c r="AA9" s="163"/>
      <c r="AB9" s="1"/>
    </row>
    <row r="10" spans="1:28" x14ac:dyDescent="0.4">
      <c r="A10" s="1"/>
      <c r="B10" s="1"/>
      <c r="C10" s="1" t="str">
        <f>R10</f>
        <v>Sales</v>
      </c>
      <c r="D10" s="1" t="str">
        <f>S10</f>
        <v>(₹)</v>
      </c>
      <c r="E10" s="164"/>
      <c r="F10" s="1"/>
      <c r="G10" s="165">
        <f>T10</f>
        <v>72917.340000000011</v>
      </c>
      <c r="H10" s="165">
        <f t="shared" ref="H10:M11" si="1">U10</f>
        <v>73608.839999999982</v>
      </c>
      <c r="I10" s="165">
        <f t="shared" si="1"/>
        <v>78761.458799999979</v>
      </c>
      <c r="J10" s="165">
        <f t="shared" si="1"/>
        <v>84274.760915999985</v>
      </c>
      <c r="K10" s="165">
        <f t="shared" si="1"/>
        <v>90173.994180119989</v>
      </c>
      <c r="L10" s="165">
        <f t="shared" si="1"/>
        <v>96486.173772728391</v>
      </c>
      <c r="M10" s="165">
        <f t="shared" si="1"/>
        <v>103240.20593681939</v>
      </c>
      <c r="N10" s="1"/>
      <c r="O10" s="1"/>
      <c r="P10" s="1"/>
      <c r="Q10" s="161"/>
      <c r="R10" s="143" t="s">
        <v>563</v>
      </c>
      <c r="S10" s="166" t="s">
        <v>564</v>
      </c>
      <c r="T10" s="167">
        <f>'1. Part 1A - 3FS'!B28</f>
        <v>72917.340000000011</v>
      </c>
      <c r="U10" s="167">
        <f>'1. Part 1A - 3FS'!C28</f>
        <v>73608.839999999982</v>
      </c>
      <c r="V10" s="167">
        <f>'1. Part 1A - 3FS'!D28</f>
        <v>78761.458799999979</v>
      </c>
      <c r="W10" s="167">
        <f>'1. Part 1A - 3FS'!E28</f>
        <v>84274.760915999985</v>
      </c>
      <c r="X10" s="167">
        <f>'1. Part 1A - 3FS'!F28</f>
        <v>90173.994180119989</v>
      </c>
      <c r="Y10" s="167">
        <f>'1. Part 1A - 3FS'!G28</f>
        <v>96486.173772728391</v>
      </c>
      <c r="Z10" s="167">
        <f>'1. Part 1A - 3FS'!H28</f>
        <v>103240.20593681939</v>
      </c>
      <c r="AA10" s="163"/>
      <c r="AB10" s="1"/>
    </row>
    <row r="11" spans="1:28" x14ac:dyDescent="0.4">
      <c r="A11" s="1"/>
      <c r="B11" s="1"/>
      <c r="C11" s="1" t="str">
        <f>R11</f>
        <v xml:space="preserve">   Growth</v>
      </c>
      <c r="D11" s="1" t="str">
        <f>S11</f>
        <v>(%)</v>
      </c>
      <c r="E11" s="18"/>
      <c r="F11" s="1"/>
      <c r="G11" s="168">
        <f>T11</f>
        <v>0.16659456512209386</v>
      </c>
      <c r="H11" s="168">
        <f t="shared" si="1"/>
        <v>9.4833409995478558E-3</v>
      </c>
      <c r="I11" s="168">
        <f t="shared" si="1"/>
        <v>6.9999999999999965E-2</v>
      </c>
      <c r="J11" s="168">
        <f t="shared" si="1"/>
        <v>7.0000000000000104E-2</v>
      </c>
      <c r="K11" s="168">
        <f t="shared" si="1"/>
        <v>7.0000000000000062E-2</v>
      </c>
      <c r="L11" s="168">
        <f t="shared" si="1"/>
        <v>7.0000000000000021E-2</v>
      </c>
      <c r="M11" s="168">
        <f t="shared" si="1"/>
        <v>7.0000000000000104E-2</v>
      </c>
      <c r="N11" s="1"/>
      <c r="O11" s="1"/>
      <c r="P11" s="1"/>
      <c r="Q11" s="161"/>
      <c r="R11" s="169" t="s">
        <v>565</v>
      </c>
      <c r="S11" s="170" t="s">
        <v>566</v>
      </c>
      <c r="T11" s="171">
        <f>('ITC Limited Income Statement'!C13-'ITC Limited Income Statement'!D13)/'ITC Limited Income Statement'!D13</f>
        <v>0.16659456512209386</v>
      </c>
      <c r="U11" s="183">
        <f t="shared" ref="U11:Z11" si="2">(U10-T10)/T10</f>
        <v>9.4833409995478558E-3</v>
      </c>
      <c r="V11" s="183">
        <f t="shared" si="2"/>
        <v>6.9999999999999965E-2</v>
      </c>
      <c r="W11" s="183">
        <f t="shared" si="2"/>
        <v>7.0000000000000104E-2</v>
      </c>
      <c r="X11" s="183">
        <f t="shared" si="2"/>
        <v>7.0000000000000062E-2</v>
      </c>
      <c r="Y11" s="183">
        <f t="shared" si="2"/>
        <v>7.0000000000000021E-2</v>
      </c>
      <c r="Z11" s="183">
        <f t="shared" si="2"/>
        <v>7.0000000000000104E-2</v>
      </c>
      <c r="AA11" s="163"/>
      <c r="AB11" s="1"/>
    </row>
    <row r="12" spans="1:28" x14ac:dyDescent="0.4">
      <c r="A12" s="1"/>
      <c r="B12" s="1"/>
      <c r="C12" s="1"/>
      <c r="D12" s="1"/>
      <c r="E12" s="1"/>
      <c r="F12" s="1"/>
      <c r="G12" s="172"/>
      <c r="H12" s="172"/>
      <c r="I12" s="172"/>
      <c r="J12" s="172"/>
      <c r="K12" s="172"/>
      <c r="L12" s="172"/>
      <c r="M12" s="172"/>
      <c r="N12" s="1"/>
      <c r="O12" s="1"/>
      <c r="P12" s="1"/>
      <c r="Q12" s="161"/>
      <c r="R12" s="143"/>
      <c r="S12" s="143"/>
      <c r="T12" s="143"/>
      <c r="U12" s="143"/>
      <c r="V12" s="143"/>
      <c r="W12" s="143"/>
      <c r="X12" s="143"/>
      <c r="Y12" s="143"/>
      <c r="Z12" s="143"/>
      <c r="AA12" s="163"/>
      <c r="AB12" s="1"/>
    </row>
    <row r="13" spans="1:28" x14ac:dyDescent="0.4">
      <c r="A13" s="1"/>
      <c r="B13" s="1"/>
      <c r="C13" s="1"/>
      <c r="D13" s="1"/>
      <c r="E13" s="1"/>
      <c r="F13" s="1"/>
      <c r="G13" s="172"/>
      <c r="H13" s="172"/>
      <c r="I13" s="172"/>
      <c r="J13" s="172"/>
      <c r="K13" s="172"/>
      <c r="L13" s="172"/>
      <c r="M13" s="172"/>
      <c r="N13" s="1"/>
      <c r="O13" s="1"/>
      <c r="P13" s="1"/>
      <c r="Q13" s="161"/>
      <c r="R13" s="143"/>
      <c r="S13" s="143"/>
      <c r="T13" s="143"/>
      <c r="U13" s="143"/>
      <c r="V13" s="143"/>
      <c r="W13" s="143"/>
      <c r="X13" s="143"/>
      <c r="Y13" s="143"/>
      <c r="Z13" s="143"/>
      <c r="AA13" s="163"/>
      <c r="AB13" s="1"/>
    </row>
    <row r="14" spans="1:28" x14ac:dyDescent="0.4">
      <c r="A14" s="1"/>
      <c r="B14" s="1"/>
      <c r="C14" s="1" t="str">
        <f t="shared" ref="C14:D19" si="3">R14</f>
        <v>Operating Profit</v>
      </c>
      <c r="D14" s="1" t="str">
        <f t="shared" si="3"/>
        <v>(₹)</v>
      </c>
      <c r="E14" s="1"/>
      <c r="F14" s="1"/>
      <c r="G14" s="165">
        <f>T14</f>
        <v>25836.410000000007</v>
      </c>
      <c r="H14" s="165">
        <f t="shared" ref="H14:M15" si="4">U14</f>
        <v>27165.799999999974</v>
      </c>
      <c r="I14" s="165">
        <f t="shared" si="4"/>
        <v>28354.125167999988</v>
      </c>
      <c r="J14" s="165">
        <f t="shared" si="4"/>
        <v>30338.913929759994</v>
      </c>
      <c r="K14" s="165">
        <f t="shared" si="4"/>
        <v>32462.637904843192</v>
      </c>
      <c r="L14" s="165">
        <f t="shared" si="4"/>
        <v>34735.022558182216</v>
      </c>
      <c r="M14" s="165">
        <f t="shared" si="4"/>
        <v>37166.474137254976</v>
      </c>
      <c r="N14" s="1"/>
      <c r="O14" s="1"/>
      <c r="P14" s="1"/>
      <c r="Q14" s="161"/>
      <c r="R14" s="143" t="s">
        <v>567</v>
      </c>
      <c r="S14" s="166" t="s">
        <v>564</v>
      </c>
      <c r="T14" s="167">
        <f>'1. Part 1A - 3FS'!B32</f>
        <v>25836.410000000007</v>
      </c>
      <c r="U14" s="167">
        <f>'1. Part 1A - 3FS'!C32</f>
        <v>27165.799999999974</v>
      </c>
      <c r="V14" s="167">
        <f>'1. Part 1A - 3FS'!D32</f>
        <v>28354.125167999988</v>
      </c>
      <c r="W14" s="167">
        <f>'1. Part 1A - 3FS'!E32</f>
        <v>30338.913929759994</v>
      </c>
      <c r="X14" s="167">
        <f>'1. Part 1A - 3FS'!F32</f>
        <v>32462.637904843192</v>
      </c>
      <c r="Y14" s="167">
        <f>'1. Part 1A - 3FS'!G32</f>
        <v>34735.022558182216</v>
      </c>
      <c r="Z14" s="167">
        <f>'1. Part 1A - 3FS'!H32</f>
        <v>37166.474137254976</v>
      </c>
      <c r="AA14" s="163"/>
      <c r="AB14" s="1"/>
    </row>
    <row r="15" spans="1:28" x14ac:dyDescent="0.4">
      <c r="A15" s="1"/>
      <c r="B15" s="1"/>
      <c r="C15" s="1" t="str">
        <f t="shared" si="3"/>
        <v xml:space="preserve">   Growth</v>
      </c>
      <c r="D15" s="1" t="str">
        <f>S15</f>
        <v>(%)</v>
      </c>
      <c r="E15" s="1"/>
      <c r="F15" s="1"/>
      <c r="G15" s="168">
        <f>T15</f>
        <v>0.24438755728518227</v>
      </c>
      <c r="H15" s="168">
        <f t="shared" si="4"/>
        <v>5.1454130043607695E-2</v>
      </c>
      <c r="I15" s="168">
        <f t="shared" si="4"/>
        <v>4.374342621973272E-2</v>
      </c>
      <c r="J15" s="168">
        <f t="shared" si="4"/>
        <v>7.0000000000000256E-2</v>
      </c>
      <c r="K15" s="168">
        <f t="shared" si="4"/>
        <v>6.9999999999999937E-2</v>
      </c>
      <c r="L15" s="168">
        <f t="shared" si="4"/>
        <v>7.0000000000000021E-2</v>
      </c>
      <c r="M15" s="168">
        <f t="shared" si="4"/>
        <v>7.0000000000000145E-2</v>
      </c>
      <c r="N15" s="1"/>
      <c r="O15" s="1"/>
      <c r="P15" s="1"/>
      <c r="Q15" s="161"/>
      <c r="R15" s="169" t="s">
        <v>565</v>
      </c>
      <c r="S15" s="170" t="s">
        <v>566</v>
      </c>
      <c r="T15" s="182">
        <f>('ITC Limited Income Statement'!C17-'ITC Limited Income Statement'!D17)/'ITC Limited Income Statement'!D17</f>
        <v>0.24438755728518227</v>
      </c>
      <c r="U15" s="182">
        <f t="shared" ref="U15:Z15" si="5">(U14-T14)/T14</f>
        <v>5.1454130043607695E-2</v>
      </c>
      <c r="V15" s="182">
        <f t="shared" si="5"/>
        <v>4.374342621973272E-2</v>
      </c>
      <c r="W15" s="182">
        <f t="shared" si="5"/>
        <v>7.0000000000000256E-2</v>
      </c>
      <c r="X15" s="182">
        <f t="shared" si="5"/>
        <v>6.9999999999999937E-2</v>
      </c>
      <c r="Y15" s="182">
        <f t="shared" si="5"/>
        <v>7.0000000000000021E-2</v>
      </c>
      <c r="Z15" s="182">
        <f t="shared" si="5"/>
        <v>7.0000000000000145E-2</v>
      </c>
      <c r="AA15" s="163"/>
      <c r="AB15" s="1"/>
    </row>
    <row r="16" spans="1:28" x14ac:dyDescent="0.4">
      <c r="A16" s="1"/>
      <c r="B16" s="1"/>
      <c r="C16" s="1"/>
      <c r="D16" s="1"/>
      <c r="E16" s="1"/>
      <c r="F16" s="1"/>
      <c r="G16" s="172"/>
      <c r="H16" s="172"/>
      <c r="I16" s="172"/>
      <c r="J16" s="172"/>
      <c r="K16" s="172"/>
      <c r="L16" s="172"/>
      <c r="M16" s="172"/>
      <c r="N16" s="1"/>
      <c r="O16" s="1"/>
      <c r="P16" s="1"/>
      <c r="Q16" s="161"/>
      <c r="R16" s="143"/>
      <c r="S16" s="143"/>
      <c r="T16" s="143"/>
      <c r="U16" s="143"/>
      <c r="V16" s="143"/>
      <c r="W16" s="143"/>
      <c r="X16" s="143"/>
      <c r="Y16" s="143"/>
      <c r="Z16" s="143"/>
      <c r="AA16" s="163"/>
      <c r="AB16" s="1"/>
    </row>
    <row r="17" spans="1:28" x14ac:dyDescent="0.4">
      <c r="A17" s="1"/>
      <c r="B17" s="1"/>
      <c r="C17" s="1"/>
      <c r="D17" s="1"/>
      <c r="E17" s="1"/>
      <c r="F17" s="1"/>
      <c r="G17" s="172"/>
      <c r="H17" s="172"/>
      <c r="I17" s="172"/>
      <c r="J17" s="172"/>
      <c r="K17" s="172"/>
      <c r="L17" s="172"/>
      <c r="M17" s="172"/>
      <c r="N17" s="1"/>
      <c r="O17" s="1"/>
      <c r="P17" s="1"/>
      <c r="Q17" s="161"/>
      <c r="R17" s="143"/>
      <c r="S17" s="143"/>
      <c r="T17" s="143"/>
      <c r="U17" s="143"/>
      <c r="V17" s="143"/>
      <c r="W17" s="143"/>
      <c r="X17" s="143"/>
      <c r="Y17" s="143"/>
      <c r="Z17" s="143"/>
      <c r="AA17" s="163"/>
      <c r="AB17" s="1"/>
    </row>
    <row r="18" spans="1:28" x14ac:dyDescent="0.4">
      <c r="A18" s="1"/>
      <c r="B18" s="1"/>
      <c r="C18" s="1" t="str">
        <f t="shared" si="3"/>
        <v>Net Income</v>
      </c>
      <c r="D18" s="1"/>
      <c r="E18" s="1"/>
      <c r="F18" s="1"/>
      <c r="G18" s="165">
        <f t="shared" ref="G18:M19" si="6">T18</f>
        <v>19045.920000000009</v>
      </c>
      <c r="H18" s="165">
        <f t="shared" si="6"/>
        <v>20473.919999999973</v>
      </c>
      <c r="I18" s="165">
        <f t="shared" si="6"/>
        <v>19388.223748481534</v>
      </c>
      <c r="J18" s="165">
        <f t="shared" si="6"/>
        <v>20750.493674546622</v>
      </c>
      <c r="K18" s="165">
        <f t="shared" si="6"/>
        <v>22208.073156951417</v>
      </c>
      <c r="L18" s="165">
        <f t="shared" si="6"/>
        <v>23767.633864639713</v>
      </c>
      <c r="M18" s="165">
        <f t="shared" si="6"/>
        <v>25436.314483381349</v>
      </c>
      <c r="N18" s="1"/>
      <c r="O18" s="1"/>
      <c r="P18" s="1"/>
      <c r="Q18" s="161"/>
      <c r="R18" s="143" t="s">
        <v>526</v>
      </c>
      <c r="S18" s="166" t="s">
        <v>564</v>
      </c>
      <c r="T18" s="167">
        <f>'1. Part 1A - 3FS'!B38</f>
        <v>19045.920000000009</v>
      </c>
      <c r="U18" s="167">
        <f>'1. Part 1A - 3FS'!C38</f>
        <v>20473.919999999973</v>
      </c>
      <c r="V18" s="167">
        <f>'1. Part 1A - 3FS'!D38</f>
        <v>19388.223748481534</v>
      </c>
      <c r="W18" s="167">
        <f>'1. Part 1A - 3FS'!E38</f>
        <v>20750.493674546622</v>
      </c>
      <c r="X18" s="167">
        <f>'1. Part 1A - 3FS'!F38</f>
        <v>22208.073156951417</v>
      </c>
      <c r="Y18" s="167">
        <f>'1. Part 1A - 3FS'!G38</f>
        <v>23767.633864639713</v>
      </c>
      <c r="Z18" s="167">
        <f>'1. Part 1A - 3FS'!H38</f>
        <v>25436.314483381349</v>
      </c>
      <c r="AA18" s="163"/>
      <c r="AB18" s="1"/>
    </row>
    <row r="19" spans="1:28" x14ac:dyDescent="0.4">
      <c r="A19" s="1"/>
      <c r="B19" s="1"/>
      <c r="C19" s="1" t="str">
        <f t="shared" si="3"/>
        <v xml:space="preserve">   Growth</v>
      </c>
      <c r="D19" s="1" t="str">
        <f t="shared" si="3"/>
        <v>(%)</v>
      </c>
      <c r="E19" s="1"/>
      <c r="F19" s="1"/>
      <c r="G19" s="168">
        <f t="shared" si="6"/>
        <v>0.24951419240473821</v>
      </c>
      <c r="H19" s="168">
        <f t="shared" si="6"/>
        <v>7.4976687920560572E-2</v>
      </c>
      <c r="I19" s="168">
        <f t="shared" si="6"/>
        <v>-5.3028255044390134E-2</v>
      </c>
      <c r="J19" s="168">
        <f t="shared" si="6"/>
        <v>7.0262750406507951E-2</v>
      </c>
      <c r="K19" s="168">
        <f t="shared" si="6"/>
        <v>7.0243123140377145E-2</v>
      </c>
      <c r="L19" s="168">
        <f t="shared" si="6"/>
        <v>7.0224944625604871E-2</v>
      </c>
      <c r="M19" s="168">
        <f t="shared" si="6"/>
        <v>7.0208108566676294E-2</v>
      </c>
      <c r="N19" s="1"/>
      <c r="O19" s="1"/>
      <c r="P19" s="1"/>
      <c r="Q19" s="161"/>
      <c r="R19" s="169" t="s">
        <v>565</v>
      </c>
      <c r="S19" s="170" t="s">
        <v>566</v>
      </c>
      <c r="T19" s="182">
        <f>('ITC Limited Income Statement'!C24-'ITC Limited Income Statement'!D24)/'ITC Limited Income Statement'!D24</f>
        <v>0.24951419240473821</v>
      </c>
      <c r="U19" s="182">
        <f t="shared" ref="U19:Z19" si="7">(U18-T18)/T18</f>
        <v>7.4976687920560572E-2</v>
      </c>
      <c r="V19" s="182">
        <f t="shared" si="7"/>
        <v>-5.3028255044390134E-2</v>
      </c>
      <c r="W19" s="182">
        <f t="shared" si="7"/>
        <v>7.0262750406507951E-2</v>
      </c>
      <c r="X19" s="182">
        <f t="shared" si="7"/>
        <v>7.0243123140377145E-2</v>
      </c>
      <c r="Y19" s="182">
        <f t="shared" si="7"/>
        <v>7.0224944625604871E-2</v>
      </c>
      <c r="Z19" s="182">
        <f t="shared" si="7"/>
        <v>7.0208108566676294E-2</v>
      </c>
      <c r="AA19" s="163"/>
      <c r="AB19" s="1"/>
    </row>
    <row r="20" spans="1:28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73"/>
      <c r="R20" s="174"/>
      <c r="S20" s="174"/>
      <c r="T20" s="174"/>
      <c r="U20" s="174"/>
      <c r="V20" s="174"/>
      <c r="W20" s="174"/>
      <c r="X20" s="174"/>
      <c r="Y20" s="174"/>
      <c r="Z20" s="174"/>
      <c r="AA20" s="175"/>
      <c r="AB20" s="1"/>
    </row>
    <row r="21" spans="1:28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s="164" customFormat="1" x14ac:dyDescent="0.4"/>
    <row r="23" spans="1:28" s="164" customFormat="1" x14ac:dyDescent="0.4"/>
    <row r="24" spans="1:28" s="164" customFormat="1" x14ac:dyDescent="0.4"/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494BBCB3-8ED1-4A65-AA93-9123ED4075C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 Part 1 - Summary'!G19:M19</xm:f>
              <xm:sqref>E19</xm:sqref>
            </x14:sparkline>
          </x14:sparklines>
        </x14:sparklineGroup>
        <x14:sparklineGroup displayEmptyCellsAs="gap" xr2:uid="{7FFD146E-949F-47C8-94E0-181167926D2E}">
          <x14:colorSeries rgb="FF0070C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 Part 1 - Summary'!G15:M15</xm:f>
              <xm:sqref>E15</xm:sqref>
            </x14:sparkline>
          </x14:sparklines>
        </x14:sparklineGroup>
        <x14:sparklineGroup displayEmptyCellsAs="gap" xr2:uid="{8EA501C6-97A0-4B39-BC11-EC32DBBD1624}">
          <x14:colorSeries rgb="FF0070C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'1. Part 1 - Summary'!G11:M11</xm:f>
              <xm:sqref>E11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9F79-91DE-4A78-A973-9FBBACBA6FA7}">
  <sheetPr>
    <tabColor theme="4" tint="0.39997558519241921"/>
  </sheetPr>
  <dimension ref="A1:J175"/>
  <sheetViews>
    <sheetView showGridLines="0" zoomScale="76" workbookViewId="0">
      <pane ySplit="4" topLeftCell="A5" activePane="bottomLeft" state="frozen"/>
      <selection pane="bottomLeft" activeCell="M20" sqref="L20:M20"/>
    </sheetView>
  </sheetViews>
  <sheetFormatPr defaultColWidth="8.73046875" defaultRowHeight="13.15" x14ac:dyDescent="0.45"/>
  <cols>
    <col min="1" max="1" width="55.796875" style="23" bestFit="1" customWidth="1"/>
    <col min="2" max="2" width="11.33203125" style="23" customWidth="1"/>
    <col min="3" max="3" width="10.265625" style="23" bestFit="1" customWidth="1"/>
    <col min="4" max="5" width="11.19921875" style="23" bestFit="1" customWidth="1"/>
    <col min="6" max="8" width="11.73046875" style="23" bestFit="1" customWidth="1"/>
    <col min="9" max="9" width="7.06640625" style="23" customWidth="1"/>
    <col min="10" max="10" width="50.73046875" style="23" bestFit="1" customWidth="1"/>
    <col min="11" max="16384" width="8.73046875" style="23"/>
  </cols>
  <sheetData>
    <row r="1" spans="1:10" ht="20.25" thickBot="1" x14ac:dyDescent="0.5">
      <c r="A1" s="180" t="s">
        <v>498</v>
      </c>
      <c r="B1" s="181" t="s">
        <v>499</v>
      </c>
      <c r="C1" s="105"/>
      <c r="D1" s="105"/>
      <c r="E1" s="105"/>
      <c r="F1" s="105"/>
      <c r="G1" s="105"/>
      <c r="H1" s="105"/>
      <c r="I1" s="105"/>
      <c r="J1" s="106"/>
    </row>
    <row r="2" spans="1:10" ht="17.649999999999999" thickBot="1" x14ac:dyDescent="0.5">
      <c r="A2" s="92" t="s">
        <v>475</v>
      </c>
      <c r="B2" s="184" t="s">
        <v>476</v>
      </c>
      <c r="C2" s="184" t="s">
        <v>476</v>
      </c>
      <c r="D2" s="184" t="s">
        <v>477</v>
      </c>
      <c r="E2" s="184" t="s">
        <v>477</v>
      </c>
      <c r="F2" s="184" t="s">
        <v>477</v>
      </c>
      <c r="G2" s="184" t="s">
        <v>477</v>
      </c>
      <c r="H2" s="185" t="s">
        <v>477</v>
      </c>
      <c r="I2" s="87"/>
      <c r="J2" s="240" t="s">
        <v>479</v>
      </c>
    </row>
    <row r="3" spans="1:10" ht="17.649999999999999" thickBot="1" x14ac:dyDescent="0.5">
      <c r="A3" s="93" t="str">
        <f>'Cover Page'!C2</f>
        <v>ITC Ltd.</v>
      </c>
      <c r="B3" s="101">
        <v>2023</v>
      </c>
      <c r="C3" s="101">
        <f>B3+1</f>
        <v>2024</v>
      </c>
      <c r="D3" s="102">
        <f t="shared" ref="D3:H3" si="0">C3+1</f>
        <v>2025</v>
      </c>
      <c r="E3" s="102">
        <f t="shared" si="0"/>
        <v>2026</v>
      </c>
      <c r="F3" s="102">
        <f t="shared" si="0"/>
        <v>2027</v>
      </c>
      <c r="G3" s="102">
        <f t="shared" si="0"/>
        <v>2028</v>
      </c>
      <c r="H3" s="103">
        <f t="shared" si="0"/>
        <v>2029</v>
      </c>
      <c r="I3" s="88"/>
      <c r="J3" s="241"/>
    </row>
    <row r="4" spans="1:10" ht="17.25" x14ac:dyDescent="0.45">
      <c r="A4" s="94" t="s">
        <v>481</v>
      </c>
      <c r="I4" s="89" t="s">
        <v>478</v>
      </c>
      <c r="J4" s="99"/>
    </row>
    <row r="5" spans="1:10" ht="17.25" x14ac:dyDescent="0.45">
      <c r="A5" s="94"/>
      <c r="I5" s="89" t="s">
        <v>478</v>
      </c>
      <c r="J5" s="99"/>
    </row>
    <row r="6" spans="1:10" x14ac:dyDescent="0.45">
      <c r="A6" s="96" t="s">
        <v>497</v>
      </c>
      <c r="B6" s="90"/>
      <c r="C6" s="90"/>
      <c r="D6" s="90"/>
      <c r="E6" s="90"/>
      <c r="F6" s="90"/>
      <c r="G6" s="90"/>
      <c r="H6" s="90"/>
      <c r="I6" s="89" t="s">
        <v>478</v>
      </c>
      <c r="J6" s="99"/>
    </row>
    <row r="7" spans="1:10" x14ac:dyDescent="0.45">
      <c r="A7" s="95"/>
      <c r="I7" s="89" t="s">
        <v>478</v>
      </c>
      <c r="J7" s="99"/>
    </row>
    <row r="8" spans="1:10" x14ac:dyDescent="0.45">
      <c r="A8" s="97" t="s">
        <v>482</v>
      </c>
      <c r="B8" s="91"/>
      <c r="C8" s="91"/>
      <c r="D8" s="91"/>
      <c r="E8" s="91"/>
      <c r="F8" s="91"/>
      <c r="G8" s="91"/>
      <c r="H8" s="91"/>
      <c r="I8" s="89" t="s">
        <v>478</v>
      </c>
      <c r="J8" s="99"/>
    </row>
    <row r="9" spans="1:10" x14ac:dyDescent="0.45">
      <c r="A9" s="95" t="s">
        <v>484</v>
      </c>
      <c r="B9" s="107">
        <f>('ITC Limited Income Statement'!C7-'ITC Limited Income Statement'!D7)/'ITC Limited Income Statement'!D7</f>
        <v>0.17345492131245313</v>
      </c>
      <c r="C9" s="107">
        <f>(C28-B28)/B28</f>
        <v>9.4833409995478558E-3</v>
      </c>
      <c r="D9" s="114">
        <f>ROUND(AVERAGE('ITC Limited Income Statement'!M13:U13),2)</f>
        <v>7.0000000000000007E-2</v>
      </c>
      <c r="E9" s="114">
        <f>D9</f>
        <v>7.0000000000000007E-2</v>
      </c>
      <c r="F9" s="114">
        <f t="shared" ref="F9:H9" si="1">E9</f>
        <v>7.0000000000000007E-2</v>
      </c>
      <c r="G9" s="114">
        <f t="shared" si="1"/>
        <v>7.0000000000000007E-2</v>
      </c>
      <c r="H9" s="114">
        <f t="shared" si="1"/>
        <v>7.0000000000000007E-2</v>
      </c>
      <c r="I9" s="89" t="s">
        <v>478</v>
      </c>
      <c r="J9" s="99" t="s">
        <v>505</v>
      </c>
    </row>
    <row r="10" spans="1:10" x14ac:dyDescent="0.45">
      <c r="A10" s="95" t="s">
        <v>485</v>
      </c>
      <c r="B10" s="107">
        <f>B29/B28</f>
        <v>0.39778974383870824</v>
      </c>
      <c r="C10" s="107">
        <f>C29/C28</f>
        <v>0.37016219790992505</v>
      </c>
      <c r="D10" s="111">
        <f>ROUND(AVERAGE('ITC Limited Income Statement'!M14:U14),2)</f>
        <v>0.37</v>
      </c>
      <c r="E10" s="111">
        <f>D10</f>
        <v>0.37</v>
      </c>
      <c r="F10" s="111">
        <f t="shared" ref="F10:H10" si="2">E10</f>
        <v>0.37</v>
      </c>
      <c r="G10" s="111">
        <f t="shared" si="2"/>
        <v>0.37</v>
      </c>
      <c r="H10" s="111">
        <f t="shared" si="2"/>
        <v>0.37</v>
      </c>
      <c r="I10" s="89" t="s">
        <v>478</v>
      </c>
      <c r="J10" s="99" t="s">
        <v>505</v>
      </c>
    </row>
    <row r="11" spans="1:10" x14ac:dyDescent="0.45">
      <c r="A11" s="95" t="s">
        <v>510</v>
      </c>
      <c r="B11" s="107">
        <f>B31/B28</f>
        <v>0.24788561952479338</v>
      </c>
      <c r="C11" s="107">
        <f>C31/C28</f>
        <v>0.26078158547261454</v>
      </c>
      <c r="D11" s="107">
        <f>ROUND(AVERAGE('ITC Limited Income Statement'!M16:U16),2)</f>
        <v>0.27</v>
      </c>
      <c r="E11" s="107">
        <f>D11</f>
        <v>0.27</v>
      </c>
      <c r="F11" s="107">
        <f t="shared" ref="F11:H11" si="3">E11</f>
        <v>0.27</v>
      </c>
      <c r="G11" s="107">
        <f t="shared" si="3"/>
        <v>0.27</v>
      </c>
      <c r="H11" s="107">
        <f t="shared" si="3"/>
        <v>0.27</v>
      </c>
      <c r="I11" s="89" t="s">
        <v>478</v>
      </c>
      <c r="J11" s="99" t="s">
        <v>505</v>
      </c>
    </row>
    <row r="12" spans="1:10" x14ac:dyDescent="0.45">
      <c r="A12" s="95" t="s">
        <v>486</v>
      </c>
      <c r="B12" s="107">
        <f>B35/B34</f>
        <v>0.25032328499545486</v>
      </c>
      <c r="C12" s="107">
        <f>C35/C34</f>
        <v>0.23550055091879418</v>
      </c>
      <c r="D12" s="114">
        <f>ROUND(AVERAGE('ITC Limited Income Statement'!M20:U20),2)</f>
        <v>0.3</v>
      </c>
      <c r="E12" s="114">
        <f>D12</f>
        <v>0.3</v>
      </c>
      <c r="F12" s="114">
        <f t="shared" ref="F12:H12" si="4">E12</f>
        <v>0.3</v>
      </c>
      <c r="G12" s="114">
        <f t="shared" si="4"/>
        <v>0.3</v>
      </c>
      <c r="H12" s="114">
        <f t="shared" si="4"/>
        <v>0.3</v>
      </c>
      <c r="I12" s="89" t="s">
        <v>478</v>
      </c>
      <c r="J12" s="99" t="s">
        <v>505</v>
      </c>
    </row>
    <row r="13" spans="1:10" x14ac:dyDescent="0.45">
      <c r="A13" s="95" t="s">
        <v>512</v>
      </c>
      <c r="B13" s="107">
        <f>B37/B36</f>
        <v>1.2240469579305812E-2</v>
      </c>
      <c r="C13" s="107">
        <f>C37/C36</f>
        <v>1.2776479358345616E-2</v>
      </c>
      <c r="D13" s="111">
        <f>ROUND(AVERAGE('ITC Limited Income Statement'!M24:U24),2)</f>
        <v>0.02</v>
      </c>
      <c r="E13" s="111">
        <f>ROUND(AVERAGE('ITC Limited Income Statement'!N24:V24),2)</f>
        <v>0.02</v>
      </c>
      <c r="F13" s="111">
        <f>ROUND(AVERAGE('ITC Limited Income Statement'!O24:W24),2)</f>
        <v>0.02</v>
      </c>
      <c r="G13" s="111">
        <f>ROUND(AVERAGE('ITC Limited Income Statement'!P24:X24),2)</f>
        <v>0.02</v>
      </c>
      <c r="H13" s="111">
        <f>ROUND(AVERAGE('ITC Limited Income Statement'!Q24:Y24),2)</f>
        <v>0.02</v>
      </c>
      <c r="I13" s="89" t="s">
        <v>478</v>
      </c>
      <c r="J13" s="99"/>
    </row>
    <row r="14" spans="1:10" x14ac:dyDescent="0.45">
      <c r="A14" s="95"/>
      <c r="I14" s="89" t="s">
        <v>478</v>
      </c>
      <c r="J14" s="99"/>
    </row>
    <row r="15" spans="1:10" x14ac:dyDescent="0.45">
      <c r="A15" s="95"/>
      <c r="I15" s="89" t="s">
        <v>478</v>
      </c>
      <c r="J15" s="99"/>
    </row>
    <row r="16" spans="1:10" x14ac:dyDescent="0.45">
      <c r="A16" s="97" t="s">
        <v>483</v>
      </c>
      <c r="B16" s="91"/>
      <c r="C16" s="91"/>
      <c r="D16" s="91"/>
      <c r="E16" s="91"/>
      <c r="F16" s="91"/>
      <c r="G16" s="91"/>
      <c r="H16" s="91"/>
      <c r="I16" s="89" t="s">
        <v>478</v>
      </c>
      <c r="J16" s="99"/>
    </row>
    <row r="17" spans="1:10" x14ac:dyDescent="0.45">
      <c r="A17" s="95" t="s">
        <v>515</v>
      </c>
      <c r="B17" s="107">
        <f>('ITC Limited Balance Sheet'!C35-'ITC Limited Balance Sheet'!D35)/'ITC Limited Balance Sheet'!D35</f>
        <v>0.40512610605759164</v>
      </c>
      <c r="C17" s="107">
        <f>('ITC Limited Balance Sheet'!B35-'ITC Limited Balance Sheet'!C35)/'ITC Limited Balance Sheet'!C35</f>
        <v>-0.24885248298889448</v>
      </c>
      <c r="D17" s="111">
        <f>ROUND(AVERAGE('ITC Limited Balance Sheet'!M35:U35),2)</f>
        <v>0.12</v>
      </c>
      <c r="E17" s="111">
        <f>D17</f>
        <v>0.12</v>
      </c>
      <c r="F17" s="111">
        <f t="shared" ref="F17:H17" si="5">E17</f>
        <v>0.12</v>
      </c>
      <c r="G17" s="111">
        <f t="shared" si="5"/>
        <v>0.12</v>
      </c>
      <c r="H17" s="111">
        <f t="shared" si="5"/>
        <v>0.12</v>
      </c>
      <c r="I17" s="89" t="s">
        <v>478</v>
      </c>
      <c r="J17" s="99" t="s">
        <v>505</v>
      </c>
    </row>
    <row r="18" spans="1:10" x14ac:dyDescent="0.45">
      <c r="A18" s="95" t="s">
        <v>487</v>
      </c>
      <c r="B18" s="108">
        <f>365/(B28/(AVERAGE('ITC Limited Balance Sheet'!C37:D37)))</f>
        <v>13.560529978191742</v>
      </c>
      <c r="C18" s="108">
        <f>365/(C28/(AVERAGE('ITC Limited Balance Sheet'!B37:C37)))</f>
        <v>17.310599854582687</v>
      </c>
      <c r="D18" s="108">
        <f>C18</f>
        <v>17.310599854582687</v>
      </c>
      <c r="E18" s="108">
        <f t="shared" ref="E18:H18" si="6">D18</f>
        <v>17.310599854582687</v>
      </c>
      <c r="F18" s="108">
        <f t="shared" si="6"/>
        <v>17.310599854582687</v>
      </c>
      <c r="G18" s="108">
        <f t="shared" si="6"/>
        <v>17.310599854582687</v>
      </c>
      <c r="H18" s="108">
        <f t="shared" si="6"/>
        <v>17.310599854582687</v>
      </c>
      <c r="I18" s="89" t="s">
        <v>478</v>
      </c>
      <c r="J18" s="99" t="s">
        <v>518</v>
      </c>
    </row>
    <row r="19" spans="1:10" x14ac:dyDescent="0.45">
      <c r="A19" s="95" t="s">
        <v>488</v>
      </c>
      <c r="B19" s="108">
        <f>365/(B29/(AVERAGE('ITC Limited Balance Sheet'!C36:D36)))</f>
        <v>144.00613739955878</v>
      </c>
      <c r="C19" s="108">
        <f>365/(C29/(AVERAGE('ITC Limited Balance Sheet'!B36:C36)))</f>
        <v>175.59978893251821</v>
      </c>
      <c r="D19" s="108">
        <f>C19</f>
        <v>175.59978893251821</v>
      </c>
      <c r="E19" s="108">
        <f t="shared" ref="E19:H19" si="7">D19</f>
        <v>175.59978893251821</v>
      </c>
      <c r="F19" s="108">
        <f t="shared" si="7"/>
        <v>175.59978893251821</v>
      </c>
      <c r="G19" s="108">
        <f t="shared" si="7"/>
        <v>175.59978893251821</v>
      </c>
      <c r="H19" s="108">
        <f t="shared" si="7"/>
        <v>175.59978893251821</v>
      </c>
      <c r="I19" s="89" t="s">
        <v>478</v>
      </c>
      <c r="J19" s="99" t="s">
        <v>518</v>
      </c>
    </row>
    <row r="20" spans="1:10" x14ac:dyDescent="0.45">
      <c r="A20" s="95" t="s">
        <v>489</v>
      </c>
      <c r="B20" s="108">
        <f>365/(B29/(AVERAGE('ITC Limited Balance Sheet'!C20:D20)))</f>
        <v>57.106417964425695</v>
      </c>
      <c r="C20" s="108">
        <f>365/(C29/(AVERAGE('ITC Limited Balance Sheet'!B20:C20)))</f>
        <v>63.341151259156433</v>
      </c>
      <c r="D20" s="108">
        <f>C20</f>
        <v>63.341151259156433</v>
      </c>
      <c r="E20" s="108">
        <f t="shared" ref="E20:H20" si="8">D20</f>
        <v>63.341151259156433</v>
      </c>
      <c r="F20" s="108">
        <f t="shared" si="8"/>
        <v>63.341151259156433</v>
      </c>
      <c r="G20" s="108">
        <f t="shared" si="8"/>
        <v>63.341151259156433</v>
      </c>
      <c r="H20" s="108">
        <f t="shared" si="8"/>
        <v>63.341151259156433</v>
      </c>
      <c r="I20" s="89" t="s">
        <v>478</v>
      </c>
      <c r="J20" s="99" t="s">
        <v>518</v>
      </c>
    </row>
    <row r="21" spans="1:10" x14ac:dyDescent="0.45">
      <c r="A21" s="95"/>
      <c r="B21" s="108"/>
      <c r="C21" s="108"/>
      <c r="D21" s="108"/>
      <c r="E21" s="108"/>
      <c r="F21" s="108"/>
      <c r="G21" s="108"/>
      <c r="H21" s="108"/>
      <c r="I21" s="89" t="s">
        <v>478</v>
      </c>
      <c r="J21" s="99"/>
    </row>
    <row r="22" spans="1:10" x14ac:dyDescent="0.45">
      <c r="A22" s="95"/>
      <c r="B22" s="108"/>
      <c r="C22" s="108"/>
      <c r="D22" s="108"/>
      <c r="E22" s="108"/>
      <c r="F22" s="108"/>
      <c r="G22" s="108"/>
      <c r="H22" s="108"/>
      <c r="I22" s="89" t="s">
        <v>478</v>
      </c>
      <c r="J22" s="99"/>
    </row>
    <row r="23" spans="1:10" x14ac:dyDescent="0.45">
      <c r="A23" s="95"/>
      <c r="I23" s="89" t="s">
        <v>478</v>
      </c>
      <c r="J23" s="99"/>
    </row>
    <row r="24" spans="1:10" x14ac:dyDescent="0.45">
      <c r="A24" s="96" t="s">
        <v>500</v>
      </c>
      <c r="B24" s="90"/>
      <c r="C24" s="90"/>
      <c r="D24" s="90"/>
      <c r="E24" s="90"/>
      <c r="F24" s="90"/>
      <c r="G24" s="90"/>
      <c r="H24" s="90"/>
      <c r="I24" s="89" t="s">
        <v>478</v>
      </c>
      <c r="J24" s="99"/>
    </row>
    <row r="25" spans="1:10" x14ac:dyDescent="0.45">
      <c r="A25" s="95"/>
      <c r="I25" s="89" t="s">
        <v>478</v>
      </c>
      <c r="J25" s="99"/>
    </row>
    <row r="26" spans="1:10" x14ac:dyDescent="0.45">
      <c r="A26" s="97" t="s">
        <v>581</v>
      </c>
      <c r="B26" s="91"/>
      <c r="C26" s="91"/>
      <c r="D26" s="91"/>
      <c r="E26" s="91"/>
      <c r="F26" s="91"/>
      <c r="G26" s="91"/>
      <c r="H26" s="91"/>
      <c r="I26" s="89" t="s">
        <v>478</v>
      </c>
      <c r="J26" s="99"/>
    </row>
    <row r="27" spans="1:10" x14ac:dyDescent="0.45">
      <c r="A27" s="95"/>
      <c r="I27" s="89" t="s">
        <v>478</v>
      </c>
      <c r="J27" s="99"/>
    </row>
    <row r="28" spans="1:10" x14ac:dyDescent="0.45">
      <c r="A28" s="104" t="s">
        <v>490</v>
      </c>
      <c r="B28" s="122">
        <f>'ITC Limited Income Statement'!C13</f>
        <v>72917.340000000011</v>
      </c>
      <c r="C28" s="122">
        <f>'ITC Limited Income Statement'!B13</f>
        <v>73608.839999999982</v>
      </c>
      <c r="D28" s="122">
        <f>C28*(1+D9)</f>
        <v>78761.458799999979</v>
      </c>
      <c r="E28" s="122">
        <f>D28*(1+E9)</f>
        <v>84274.760915999985</v>
      </c>
      <c r="F28" s="122">
        <f>E28*(1+F9)</f>
        <v>90173.994180119989</v>
      </c>
      <c r="G28" s="122">
        <f>F28*(1+G9)</f>
        <v>96486.173772728391</v>
      </c>
      <c r="H28" s="122">
        <f>G28*(1+H9)</f>
        <v>103240.20593681939</v>
      </c>
      <c r="I28" s="89" t="s">
        <v>478</v>
      </c>
      <c r="J28" s="99" t="s">
        <v>509</v>
      </c>
    </row>
    <row r="29" spans="1:10" ht="13.5" thickBot="1" x14ac:dyDescent="0.5">
      <c r="A29" s="98" t="s">
        <v>496</v>
      </c>
      <c r="B29" s="124">
        <f>'ITC Limited Income Statement'!C14</f>
        <v>29005.77</v>
      </c>
      <c r="C29" s="124">
        <f>'ITC Limited Income Statement'!B14</f>
        <v>27247.210000000003</v>
      </c>
      <c r="D29" s="124">
        <f>D10*D28</f>
        <v>29141.739755999992</v>
      </c>
      <c r="E29" s="124">
        <f>E10*E28</f>
        <v>31181.661538919994</v>
      </c>
      <c r="F29" s="124">
        <f>F10*F28</f>
        <v>33364.377846644398</v>
      </c>
      <c r="G29" s="124">
        <f>G10*G28</f>
        <v>35699.884295909505</v>
      </c>
      <c r="H29" s="132">
        <f>H10*H28</f>
        <v>38198.876196623176</v>
      </c>
      <c r="I29" s="89" t="s">
        <v>478</v>
      </c>
      <c r="J29" s="99" t="s">
        <v>509</v>
      </c>
    </row>
    <row r="30" spans="1:10" x14ac:dyDescent="0.45">
      <c r="A30" s="104" t="s">
        <v>467</v>
      </c>
      <c r="B30" s="122">
        <f>B28-B29</f>
        <v>43911.570000000007</v>
      </c>
      <c r="C30" s="122">
        <f t="shared" ref="C30:H30" si="9">C28-C29</f>
        <v>46361.629999999976</v>
      </c>
      <c r="D30" s="122">
        <f t="shared" si="9"/>
        <v>49619.719043999983</v>
      </c>
      <c r="E30" s="122">
        <f t="shared" si="9"/>
        <v>53093.099377079991</v>
      </c>
      <c r="F30" s="122">
        <f t="shared" si="9"/>
        <v>56809.616333475591</v>
      </c>
      <c r="G30" s="122">
        <f t="shared" si="9"/>
        <v>60786.289476818885</v>
      </c>
      <c r="H30" s="122">
        <f t="shared" si="9"/>
        <v>65041.329740196212</v>
      </c>
      <c r="I30" s="89" t="s">
        <v>478</v>
      </c>
      <c r="J30" s="99"/>
    </row>
    <row r="31" spans="1:10" ht="13.5" thickBot="1" x14ac:dyDescent="0.5">
      <c r="A31" s="98" t="s">
        <v>495</v>
      </c>
      <c r="B31" s="124">
        <f>'ITC Limited Income Statement'!C16</f>
        <v>18075.16</v>
      </c>
      <c r="C31" s="124">
        <f>'ITC Limited Income Statement'!B16</f>
        <v>19195.830000000002</v>
      </c>
      <c r="D31" s="124">
        <f>D28*D11</f>
        <v>21265.593875999995</v>
      </c>
      <c r="E31" s="124">
        <f>E28*E11</f>
        <v>22754.185447319996</v>
      </c>
      <c r="F31" s="124">
        <f>F28*F11</f>
        <v>24346.978428632399</v>
      </c>
      <c r="G31" s="124">
        <f>G28*G11</f>
        <v>26051.266918636666</v>
      </c>
      <c r="H31" s="132">
        <f>H28*H11</f>
        <v>27874.855602941236</v>
      </c>
      <c r="I31" s="89" t="s">
        <v>478</v>
      </c>
      <c r="J31" s="99" t="s">
        <v>509</v>
      </c>
    </row>
    <row r="32" spans="1:10" x14ac:dyDescent="0.45">
      <c r="A32" s="104" t="s">
        <v>491</v>
      </c>
      <c r="B32" s="122">
        <f>B30-B31</f>
        <v>25836.410000000007</v>
      </c>
      <c r="C32" s="122">
        <f t="shared" ref="C32:H32" si="10">C30-C31</f>
        <v>27165.799999999974</v>
      </c>
      <c r="D32" s="122">
        <f t="shared" si="10"/>
        <v>28354.125167999988</v>
      </c>
      <c r="E32" s="122">
        <f t="shared" si="10"/>
        <v>30338.913929759994</v>
      </c>
      <c r="F32" s="122">
        <f t="shared" si="10"/>
        <v>32462.637904843192</v>
      </c>
      <c r="G32" s="122">
        <f t="shared" si="10"/>
        <v>34735.022558182216</v>
      </c>
      <c r="H32" s="122">
        <f t="shared" si="10"/>
        <v>37166.474137254976</v>
      </c>
      <c r="I32" s="89" t="s">
        <v>478</v>
      </c>
      <c r="J32" s="99"/>
    </row>
    <row r="33" spans="1:10" ht="13.5" thickBot="1" x14ac:dyDescent="0.5">
      <c r="A33" s="98" t="s">
        <v>494</v>
      </c>
      <c r="B33" s="124">
        <f>'ITC Limited Income Statement'!C18</f>
        <v>116.07000000000001</v>
      </c>
      <c r="C33" s="124">
        <f>'ITC Limited Income Statement'!B18</f>
        <v>38.39</v>
      </c>
      <c r="D33" s="133">
        <f>D172</f>
        <v>91.408333478804764</v>
      </c>
      <c r="E33" s="133">
        <f t="shared" ref="E33:H33" si="11">E172</f>
        <v>90.380876485038144</v>
      </c>
      <c r="F33" s="133">
        <f t="shared" si="11"/>
        <v>89.353419491271509</v>
      </c>
      <c r="G33" s="133">
        <f t="shared" si="11"/>
        <v>88.325962497504875</v>
      </c>
      <c r="H33" s="133">
        <f t="shared" si="11"/>
        <v>87.298505503738241</v>
      </c>
      <c r="I33" s="89" t="s">
        <v>478</v>
      </c>
      <c r="J33" s="99" t="s">
        <v>513</v>
      </c>
    </row>
    <row r="34" spans="1:10" x14ac:dyDescent="0.45">
      <c r="A34" s="104" t="s">
        <v>473</v>
      </c>
      <c r="B34" s="122">
        <f>B32-B33</f>
        <v>25720.340000000007</v>
      </c>
      <c r="C34" s="122">
        <f t="shared" ref="C34:H34" si="12">C32-C33</f>
        <v>27127.409999999974</v>
      </c>
      <c r="D34" s="122">
        <f t="shared" si="12"/>
        <v>28262.716834521183</v>
      </c>
      <c r="E34" s="122">
        <f t="shared" si="12"/>
        <v>30248.533053274958</v>
      </c>
      <c r="F34" s="122">
        <f t="shared" si="12"/>
        <v>32373.28448535192</v>
      </c>
      <c r="G34" s="122">
        <f t="shared" si="12"/>
        <v>34646.696595684713</v>
      </c>
      <c r="H34" s="122">
        <f t="shared" si="12"/>
        <v>37079.175631751241</v>
      </c>
      <c r="I34" s="89" t="s">
        <v>478</v>
      </c>
      <c r="J34" s="99"/>
    </row>
    <row r="35" spans="1:10" ht="13.5" thickBot="1" x14ac:dyDescent="0.5">
      <c r="A35" s="98" t="s">
        <v>493</v>
      </c>
      <c r="B35" s="124">
        <f>'ITC Limited Income Statement'!C20</f>
        <v>6438.4</v>
      </c>
      <c r="C35" s="124">
        <f>'ITC Limited Income Statement'!B20</f>
        <v>6388.52</v>
      </c>
      <c r="D35" s="124">
        <f>D12*D34</f>
        <v>8478.8150503563538</v>
      </c>
      <c r="E35" s="124">
        <f>E12*E34</f>
        <v>9074.5599159824869</v>
      </c>
      <c r="F35" s="124">
        <f>F12*F34</f>
        <v>9711.9853456055753</v>
      </c>
      <c r="G35" s="124">
        <f>G12*G34</f>
        <v>10394.008978705413</v>
      </c>
      <c r="H35" s="132">
        <f>H12*H34</f>
        <v>11123.752689525372</v>
      </c>
      <c r="I35" s="89" t="s">
        <v>478</v>
      </c>
      <c r="J35" s="99" t="s">
        <v>509</v>
      </c>
    </row>
    <row r="36" spans="1:10" x14ac:dyDescent="0.45">
      <c r="A36" s="104" t="s">
        <v>504</v>
      </c>
      <c r="B36" s="122">
        <f>B34-B35</f>
        <v>19281.94000000001</v>
      </c>
      <c r="C36" s="122">
        <f t="shared" ref="C36:H36" si="13">C34-C35</f>
        <v>20738.889999999974</v>
      </c>
      <c r="D36" s="122">
        <f t="shared" si="13"/>
        <v>19783.901784164831</v>
      </c>
      <c r="E36" s="122">
        <f t="shared" si="13"/>
        <v>21173.973137292473</v>
      </c>
      <c r="F36" s="122">
        <f t="shared" si="13"/>
        <v>22661.299139746345</v>
      </c>
      <c r="G36" s="122">
        <f t="shared" si="13"/>
        <v>24252.687616979299</v>
      </c>
      <c r="H36" s="122">
        <f t="shared" si="13"/>
        <v>25955.422942225869</v>
      </c>
      <c r="I36" s="89" t="s">
        <v>478</v>
      </c>
      <c r="J36" s="99"/>
    </row>
    <row r="37" spans="1:10" ht="13.5" thickBot="1" x14ac:dyDescent="0.5">
      <c r="A37" s="98" t="s">
        <v>502</v>
      </c>
      <c r="B37" s="124">
        <f>-SUM('ITC Limited Income Statement'!C22:C23)</f>
        <v>236.02</v>
      </c>
      <c r="C37" s="124">
        <f>-SUM('ITC Limited Income Statement'!B22:B23)</f>
        <v>264.96999999999997</v>
      </c>
      <c r="D37" s="124">
        <f>D36*D13</f>
        <v>395.67803568329663</v>
      </c>
      <c r="E37" s="124">
        <f>E36*E13</f>
        <v>423.47946274584945</v>
      </c>
      <c r="F37" s="124">
        <f>F36*F13</f>
        <v>453.22598279492689</v>
      </c>
      <c r="G37" s="124">
        <f>G36*G13</f>
        <v>485.05375233958603</v>
      </c>
      <c r="H37" s="132">
        <f>H36*H13</f>
        <v>519.10845884451737</v>
      </c>
      <c r="I37" s="89" t="s">
        <v>478</v>
      </c>
      <c r="J37" s="99" t="s">
        <v>509</v>
      </c>
    </row>
    <row r="38" spans="1:10" x14ac:dyDescent="0.45">
      <c r="A38" s="104" t="s">
        <v>503</v>
      </c>
      <c r="B38" s="122">
        <f>B36-B37</f>
        <v>19045.920000000009</v>
      </c>
      <c r="C38" s="122">
        <f t="shared" ref="C38:H38" si="14">C36-C37</f>
        <v>20473.919999999973</v>
      </c>
      <c r="D38" s="122">
        <f t="shared" si="14"/>
        <v>19388.223748481534</v>
      </c>
      <c r="E38" s="122">
        <f t="shared" si="14"/>
        <v>20750.493674546622</v>
      </c>
      <c r="F38" s="122">
        <f t="shared" si="14"/>
        <v>22208.073156951417</v>
      </c>
      <c r="G38" s="122">
        <f t="shared" si="14"/>
        <v>23767.633864639713</v>
      </c>
      <c r="H38" s="122">
        <f t="shared" si="14"/>
        <v>25436.314483381349</v>
      </c>
      <c r="I38" s="89" t="s">
        <v>478</v>
      </c>
      <c r="J38" s="99"/>
    </row>
    <row r="39" spans="1:10" x14ac:dyDescent="0.45">
      <c r="A39" s="95"/>
      <c r="B39" s="115"/>
      <c r="C39" s="115"/>
      <c r="D39" s="115"/>
      <c r="E39" s="115"/>
      <c r="F39" s="115"/>
      <c r="G39" s="115"/>
      <c r="H39" s="115"/>
      <c r="I39" s="89" t="s">
        <v>478</v>
      </c>
      <c r="J39" s="99"/>
    </row>
    <row r="40" spans="1:10" ht="13.5" thickBot="1" x14ac:dyDescent="0.5">
      <c r="A40" s="95"/>
      <c r="B40" s="115"/>
      <c r="C40" s="115"/>
      <c r="D40" s="115"/>
      <c r="E40" s="115"/>
      <c r="F40" s="115"/>
      <c r="G40" s="115"/>
      <c r="H40" s="115"/>
      <c r="I40" s="89" t="s">
        <v>478</v>
      </c>
      <c r="J40" s="99"/>
    </row>
    <row r="41" spans="1:10" x14ac:dyDescent="0.45">
      <c r="A41" s="126" t="s">
        <v>491</v>
      </c>
      <c r="B41" s="127">
        <f t="shared" ref="B41:H41" si="15">B32</f>
        <v>25836.410000000007</v>
      </c>
      <c r="C41" s="127">
        <f t="shared" si="15"/>
        <v>27165.799999999974</v>
      </c>
      <c r="D41" s="127">
        <f t="shared" si="15"/>
        <v>28354.125167999988</v>
      </c>
      <c r="E41" s="127">
        <f t="shared" si="15"/>
        <v>30338.913929759994</v>
      </c>
      <c r="F41" s="127">
        <f t="shared" si="15"/>
        <v>32462.637904843192</v>
      </c>
      <c r="G41" s="127">
        <f t="shared" si="15"/>
        <v>34735.022558182216</v>
      </c>
      <c r="H41" s="128">
        <f t="shared" si="15"/>
        <v>37166.474137254976</v>
      </c>
      <c r="I41" s="89" t="s">
        <v>478</v>
      </c>
      <c r="J41" s="99"/>
    </row>
    <row r="42" spans="1:10" ht="13.5" thickBot="1" x14ac:dyDescent="0.5">
      <c r="A42" s="98" t="s">
        <v>574</v>
      </c>
      <c r="B42" s="133">
        <f>B108</f>
        <v>-5298.23</v>
      </c>
      <c r="C42" s="133">
        <f t="shared" ref="C42:H42" si="16">C108</f>
        <v>-3511.68</v>
      </c>
      <c r="D42" s="133">
        <f t="shared" si="16"/>
        <v>-4740.1828831544581</v>
      </c>
      <c r="E42" s="133">
        <f t="shared" si="16"/>
        <v>-5071.9956849752707</v>
      </c>
      <c r="F42" s="133">
        <f t="shared" si="16"/>
        <v>-5427.0353829235401</v>
      </c>
      <c r="G42" s="133">
        <f t="shared" si="16"/>
        <v>-5806.9278597281873</v>
      </c>
      <c r="H42" s="133">
        <f t="shared" si="16"/>
        <v>-6213.4128099091613</v>
      </c>
      <c r="I42" s="89" t="s">
        <v>478</v>
      </c>
      <c r="J42" s="99" t="s">
        <v>520</v>
      </c>
    </row>
    <row r="43" spans="1:10" ht="13.5" thickBot="1" x14ac:dyDescent="0.5">
      <c r="A43" s="129" t="s">
        <v>492</v>
      </c>
      <c r="B43" s="130">
        <f>B41+B42</f>
        <v>20538.180000000008</v>
      </c>
      <c r="C43" s="130">
        <f t="shared" ref="C43:H43" si="17">C41+C42</f>
        <v>23654.119999999974</v>
      </c>
      <c r="D43" s="130">
        <f t="shared" si="17"/>
        <v>23613.942284845529</v>
      </c>
      <c r="E43" s="130">
        <f t="shared" si="17"/>
        <v>25266.918244784723</v>
      </c>
      <c r="F43" s="130">
        <f t="shared" si="17"/>
        <v>27035.602521919653</v>
      </c>
      <c r="G43" s="130">
        <f t="shared" si="17"/>
        <v>28928.094698454028</v>
      </c>
      <c r="H43" s="131">
        <f t="shared" si="17"/>
        <v>30953.061327345815</v>
      </c>
      <c r="I43" s="89" t="s">
        <v>478</v>
      </c>
      <c r="J43" s="99"/>
    </row>
    <row r="44" spans="1:10" x14ac:dyDescent="0.45">
      <c r="A44" s="95"/>
      <c r="B44" s="115"/>
      <c r="C44" s="115"/>
      <c r="D44" s="115"/>
      <c r="E44" s="115"/>
      <c r="F44" s="115"/>
      <c r="G44" s="115"/>
      <c r="H44" s="115"/>
      <c r="I44" s="89" t="s">
        <v>478</v>
      </c>
      <c r="J44" s="99"/>
    </row>
    <row r="45" spans="1:10" x14ac:dyDescent="0.45">
      <c r="A45" s="95"/>
      <c r="B45" s="115"/>
      <c r="C45" s="115"/>
      <c r="D45" s="115"/>
      <c r="E45" s="115"/>
      <c r="F45" s="115"/>
      <c r="G45" s="115"/>
      <c r="H45" s="115"/>
      <c r="I45" s="89" t="s">
        <v>478</v>
      </c>
      <c r="J45" s="99"/>
    </row>
    <row r="46" spans="1:10" x14ac:dyDescent="0.45">
      <c r="A46" s="95"/>
      <c r="B46" s="115"/>
      <c r="C46" s="115"/>
      <c r="D46" s="115"/>
      <c r="E46" s="115"/>
      <c r="F46" s="115"/>
      <c r="G46" s="115"/>
      <c r="H46" s="115"/>
      <c r="I46" s="89" t="s">
        <v>478</v>
      </c>
      <c r="J46" s="99"/>
    </row>
    <row r="47" spans="1:10" x14ac:dyDescent="0.45">
      <c r="A47" s="97" t="s">
        <v>580</v>
      </c>
      <c r="B47" s="125"/>
      <c r="C47" s="125"/>
      <c r="D47" s="125"/>
      <c r="E47" s="125"/>
      <c r="F47" s="125"/>
      <c r="G47" s="125"/>
      <c r="H47" s="125"/>
      <c r="I47" s="89" t="s">
        <v>478</v>
      </c>
      <c r="J47" s="99"/>
    </row>
    <row r="48" spans="1:10" x14ac:dyDescent="0.45">
      <c r="A48" s="95"/>
      <c r="B48" s="115"/>
      <c r="C48" s="115"/>
      <c r="D48" s="115"/>
      <c r="E48" s="115"/>
      <c r="F48" s="115"/>
      <c r="G48" s="115"/>
      <c r="H48" s="115"/>
      <c r="I48" s="89" t="s">
        <v>478</v>
      </c>
      <c r="J48" s="99"/>
    </row>
    <row r="49" spans="1:10" x14ac:dyDescent="0.45">
      <c r="A49" s="135" t="s">
        <v>426</v>
      </c>
      <c r="B49" s="136"/>
      <c r="C49" s="136"/>
      <c r="D49" s="136"/>
      <c r="E49" s="136"/>
      <c r="F49" s="136"/>
      <c r="G49" s="136"/>
      <c r="H49" s="136"/>
      <c r="I49" s="89" t="s">
        <v>478</v>
      </c>
      <c r="J49" s="99"/>
    </row>
    <row r="50" spans="1:10" x14ac:dyDescent="0.45">
      <c r="A50" s="95"/>
      <c r="B50" s="115"/>
      <c r="C50" s="115"/>
      <c r="D50" s="115"/>
      <c r="E50" s="115"/>
      <c r="F50" s="115"/>
      <c r="G50" s="115"/>
      <c r="H50" s="115"/>
      <c r="I50" s="89" t="s">
        <v>478</v>
      </c>
      <c r="J50" s="99"/>
    </row>
    <row r="51" spans="1:10" x14ac:dyDescent="0.45">
      <c r="A51" s="104" t="str">
        <f>'ITC Limited Balance Sheet'!A34</f>
        <v>CURRENT ASSETS</v>
      </c>
      <c r="B51" s="115"/>
      <c r="C51" s="115"/>
      <c r="D51" s="115"/>
      <c r="E51" s="115"/>
      <c r="F51" s="115"/>
      <c r="G51" s="115"/>
      <c r="H51" s="115"/>
      <c r="I51" s="89" t="s">
        <v>478</v>
      </c>
      <c r="J51" s="99"/>
    </row>
    <row r="52" spans="1:10" x14ac:dyDescent="0.45">
      <c r="A52" s="95" t="str">
        <f>'ITC Limited Balance Sheet'!A35</f>
        <v>Current Investments</v>
      </c>
      <c r="B52" s="115">
        <f>'ITC Limited Balance Sheet'!C35</f>
        <v>17232.86</v>
      </c>
      <c r="C52" s="115">
        <f>'ITC Limited Balance Sheet'!B35</f>
        <v>12944.42</v>
      </c>
      <c r="D52" s="115">
        <f>C52*(1+D17)</f>
        <v>14497.750400000001</v>
      </c>
      <c r="E52" s="115">
        <f>D52*(1+E17)</f>
        <v>16237.480448000002</v>
      </c>
      <c r="F52" s="115">
        <f>E52*(1+F17)</f>
        <v>18185.978101760003</v>
      </c>
      <c r="G52" s="115">
        <f>F52*(1+G17)</f>
        <v>20368.295473971204</v>
      </c>
      <c r="H52" s="115">
        <f>G52*(1+H17)</f>
        <v>22812.490930847751</v>
      </c>
      <c r="I52" s="89" t="s">
        <v>478</v>
      </c>
      <c r="J52" s="99" t="s">
        <v>509</v>
      </c>
    </row>
    <row r="53" spans="1:10" x14ac:dyDescent="0.45">
      <c r="A53" s="95" t="str">
        <f>'ITC Limited Balance Sheet'!A36</f>
        <v>Inventories</v>
      </c>
      <c r="B53" s="115">
        <f>'ITC Limited Balance Sheet'!C36</f>
        <v>11914.13</v>
      </c>
      <c r="C53" s="115">
        <f>'ITC Limited Balance Sheet'!B36</f>
        <v>14302.88</v>
      </c>
      <c r="D53" s="123">
        <f>(D19*D29)/365</f>
        <v>14019.954384328692</v>
      </c>
      <c r="E53" s="123">
        <f>(E19*E29)/365</f>
        <v>15001.351191231703</v>
      </c>
      <c r="F53" s="123">
        <f>(F19*F29)/365</f>
        <v>16051.445774617927</v>
      </c>
      <c r="G53" s="123">
        <f>(G19*G29)/365</f>
        <v>17175.046978841179</v>
      </c>
      <c r="H53" s="123">
        <f>(H19*H29)/365</f>
        <v>18377.300267360064</v>
      </c>
      <c r="I53" s="89" t="s">
        <v>478</v>
      </c>
      <c r="J53" s="99" t="s">
        <v>509</v>
      </c>
    </row>
    <row r="54" spans="1:10" x14ac:dyDescent="0.45">
      <c r="A54" s="95" t="str">
        <f>'ITC Limited Balance Sheet'!A37</f>
        <v>Trade Receivables</v>
      </c>
      <c r="B54" s="115">
        <f>'ITC Limited Balance Sheet'!C37</f>
        <v>2956.17</v>
      </c>
      <c r="C54" s="115">
        <f>'ITC Limited Balance Sheet'!B37</f>
        <v>4025.82</v>
      </c>
      <c r="D54" s="123">
        <f>(D18*D28)/365</f>
        <v>3735.3646499999995</v>
      </c>
      <c r="E54" s="123">
        <f>(E18*E28)/365</f>
        <v>3996.8401755</v>
      </c>
      <c r="F54" s="123">
        <f>(F18*F28)/365</f>
        <v>4276.6189877850002</v>
      </c>
      <c r="G54" s="123">
        <f>(G18*G28)/365</f>
        <v>4575.9823169299507</v>
      </c>
      <c r="H54" s="123">
        <f>(H18*H28)/365</f>
        <v>4896.3010791150473</v>
      </c>
      <c r="I54" s="89" t="s">
        <v>478</v>
      </c>
      <c r="J54" s="99" t="s">
        <v>509</v>
      </c>
    </row>
    <row r="55" spans="1:10" x14ac:dyDescent="0.45">
      <c r="A55" s="95" t="str">
        <f>'ITC Limited Balance Sheet'!A38</f>
        <v>Cash And Cash Equivalents</v>
      </c>
      <c r="B55" s="115">
        <f>B145</f>
        <v>4880.1900000000123</v>
      </c>
      <c r="C55" s="115">
        <f t="shared" ref="C55:H55" si="18">C145</f>
        <v>7217.6799999999885</v>
      </c>
      <c r="D55" s="115">
        <f t="shared" si="18"/>
        <v>28293.580525154088</v>
      </c>
      <c r="E55" s="115">
        <f t="shared" si="18"/>
        <v>48918.618385645008</v>
      </c>
      <c r="F55" s="115">
        <f t="shared" si="18"/>
        <v>70907.767099156845</v>
      </c>
      <c r="G55" s="115">
        <f t="shared" si="18"/>
        <v>94346.026706628167</v>
      </c>
      <c r="H55" s="115">
        <f t="shared" si="18"/>
        <v>119323.09464622881</v>
      </c>
      <c r="I55" s="89" t="s">
        <v>478</v>
      </c>
      <c r="J55" s="99" t="s">
        <v>522</v>
      </c>
    </row>
    <row r="56" spans="1:10" x14ac:dyDescent="0.45">
      <c r="A56" s="95" t="str">
        <f>'ITC Limited Balance Sheet'!A39</f>
        <v>Short Term Loans And Advances</v>
      </c>
      <c r="B56" s="115">
        <f>'ITC Limited Balance Sheet'!C39</f>
        <v>7.12</v>
      </c>
      <c r="C56" s="115">
        <f>'ITC Limited Balance Sheet'!B39</f>
        <v>9.81</v>
      </c>
      <c r="D56" s="123">
        <f>C56</f>
        <v>9.81</v>
      </c>
      <c r="E56" s="123">
        <f t="shared" ref="E56:H56" si="19">D56</f>
        <v>9.81</v>
      </c>
      <c r="F56" s="123">
        <f t="shared" si="19"/>
        <v>9.81</v>
      </c>
      <c r="G56" s="123">
        <f t="shared" si="19"/>
        <v>9.81</v>
      </c>
      <c r="H56" s="123">
        <f t="shared" si="19"/>
        <v>9.81</v>
      </c>
      <c r="I56" s="89" t="s">
        <v>478</v>
      </c>
      <c r="J56" s="99" t="s">
        <v>518</v>
      </c>
    </row>
    <row r="57" spans="1:10" ht="13.5" thickBot="1" x14ac:dyDescent="0.5">
      <c r="A57" s="98" t="str">
        <f>'ITC Limited Balance Sheet'!A40</f>
        <v>Other Current Assets</v>
      </c>
      <c r="B57" s="124">
        <f>'ITC Limited Balance Sheet'!C40</f>
        <v>3460.15</v>
      </c>
      <c r="C57" s="124">
        <f>'ITC Limited Balance Sheet'!B40</f>
        <v>2564.9299999999998</v>
      </c>
      <c r="D57" s="124">
        <f>C57</f>
        <v>2564.9299999999998</v>
      </c>
      <c r="E57" s="124">
        <f t="shared" ref="E57:H57" si="20">D57</f>
        <v>2564.9299999999998</v>
      </c>
      <c r="F57" s="124">
        <f t="shared" si="20"/>
        <v>2564.9299999999998</v>
      </c>
      <c r="G57" s="124">
        <f t="shared" si="20"/>
        <v>2564.9299999999998</v>
      </c>
      <c r="H57" s="132">
        <f t="shared" si="20"/>
        <v>2564.9299999999998</v>
      </c>
      <c r="I57" s="89" t="s">
        <v>478</v>
      </c>
      <c r="J57" s="99" t="s">
        <v>518</v>
      </c>
    </row>
    <row r="58" spans="1:10" x14ac:dyDescent="0.45">
      <c r="A58" s="104" t="str">
        <f>'ITC Limited Balance Sheet'!A41</f>
        <v>Total Current Assets</v>
      </c>
      <c r="B58" s="122">
        <f>SUM(B52:B57)</f>
        <v>40450.62000000001</v>
      </c>
      <c r="C58" s="122">
        <f t="shared" ref="C58:H58" si="21">SUM(C52:C57)</f>
        <v>41065.539999999986</v>
      </c>
      <c r="D58" s="122">
        <f t="shared" si="21"/>
        <v>63121.389959482774</v>
      </c>
      <c r="E58" s="122">
        <f t="shared" si="21"/>
        <v>86729.030200376699</v>
      </c>
      <c r="F58" s="122">
        <f t="shared" si="21"/>
        <v>111996.54996331976</v>
      </c>
      <c r="G58" s="122">
        <f t="shared" si="21"/>
        <v>139040.09147637049</v>
      </c>
      <c r="H58" s="122">
        <f t="shared" si="21"/>
        <v>167983.92692355165</v>
      </c>
      <c r="I58" s="89" t="s">
        <v>478</v>
      </c>
      <c r="J58" s="99"/>
    </row>
    <row r="59" spans="1:10" x14ac:dyDescent="0.45">
      <c r="A59" s="95"/>
      <c r="B59" s="115"/>
      <c r="C59" s="115"/>
      <c r="D59" s="115"/>
      <c r="E59" s="115"/>
      <c r="F59" s="115"/>
      <c r="G59" s="115"/>
      <c r="H59" s="115"/>
      <c r="I59" s="89" t="s">
        <v>478</v>
      </c>
      <c r="J59" s="99"/>
    </row>
    <row r="60" spans="1:10" x14ac:dyDescent="0.45">
      <c r="A60" s="104" t="str">
        <f>'ITC Limited Balance Sheet'!A27</f>
        <v>NON-CURRENT ASSETS</v>
      </c>
      <c r="B60" s="115"/>
      <c r="C60" s="115"/>
      <c r="D60" s="115"/>
      <c r="E60" s="115"/>
      <c r="F60" s="115"/>
      <c r="G60" s="115"/>
      <c r="H60" s="115"/>
      <c r="I60" s="89" t="s">
        <v>478</v>
      </c>
      <c r="J60" s="99"/>
    </row>
    <row r="61" spans="1:10" x14ac:dyDescent="0.45">
      <c r="A61" s="95" t="str">
        <f>'ITC Limited Balance Sheet'!A28</f>
        <v>Fixed Assets</v>
      </c>
      <c r="B61" s="115">
        <f>'ITC Limited Balance Sheet'!C28</f>
        <v>28074.84</v>
      </c>
      <c r="C61" s="115">
        <f>'ITC Limited Balance Sheet'!B28</f>
        <v>29901.27</v>
      </c>
      <c r="D61" s="123">
        <f>D159</f>
        <v>27517.150558422778</v>
      </c>
      <c r="E61" s="123">
        <f t="shared" ref="E61:H61" si="22">E159</f>
        <v>24981.152715935135</v>
      </c>
      <c r="F61" s="123">
        <f t="shared" si="22"/>
        <v>22267.635024473377</v>
      </c>
      <c r="G61" s="123">
        <f t="shared" si="22"/>
        <v>19364.171094609257</v>
      </c>
      <c r="H61" s="123">
        <f t="shared" si="22"/>
        <v>16257.464689654695</v>
      </c>
      <c r="I61" s="89" t="s">
        <v>478</v>
      </c>
      <c r="J61" s="99" t="s">
        <v>520</v>
      </c>
    </row>
    <row r="62" spans="1:10" x14ac:dyDescent="0.45">
      <c r="A62" s="95" t="str">
        <f>'ITC Limited Balance Sheet'!A29</f>
        <v>Non-Current Investments</v>
      </c>
      <c r="B62" s="115">
        <f>'ITC Limited Balance Sheet'!C29</f>
        <v>12182.16</v>
      </c>
      <c r="C62" s="115">
        <f>'ITC Limited Balance Sheet'!B29</f>
        <v>18169.599999999999</v>
      </c>
      <c r="D62" s="115">
        <f>C62</f>
        <v>18169.599999999999</v>
      </c>
      <c r="E62" s="115">
        <f t="shared" ref="E62:H62" si="23">D62</f>
        <v>18169.599999999999</v>
      </c>
      <c r="F62" s="115">
        <f t="shared" si="23"/>
        <v>18169.599999999999</v>
      </c>
      <c r="G62" s="115">
        <f t="shared" si="23"/>
        <v>18169.599999999999</v>
      </c>
      <c r="H62" s="115">
        <f t="shared" si="23"/>
        <v>18169.599999999999</v>
      </c>
      <c r="I62" s="89" t="s">
        <v>478</v>
      </c>
      <c r="J62" s="99" t="s">
        <v>518</v>
      </c>
    </row>
    <row r="63" spans="1:10" x14ac:dyDescent="0.45">
      <c r="A63" s="95" t="str">
        <f>'ITC Limited Balance Sheet'!A30</f>
        <v>Long Term Loans And Advances</v>
      </c>
      <c r="B63" s="115">
        <f>'ITC Limited Balance Sheet'!C30</f>
        <v>5.48</v>
      </c>
      <c r="C63" s="115">
        <f>'ITC Limited Balance Sheet'!B30</f>
        <v>4.05</v>
      </c>
      <c r="D63" s="115">
        <f t="shared" ref="D63:H63" si="24">C63</f>
        <v>4.05</v>
      </c>
      <c r="E63" s="115">
        <f t="shared" si="24"/>
        <v>4.05</v>
      </c>
      <c r="F63" s="115">
        <f t="shared" si="24"/>
        <v>4.05</v>
      </c>
      <c r="G63" s="115">
        <f t="shared" si="24"/>
        <v>4.05</v>
      </c>
      <c r="H63" s="115">
        <f t="shared" si="24"/>
        <v>4.05</v>
      </c>
      <c r="I63" s="89" t="s">
        <v>478</v>
      </c>
      <c r="J63" s="99" t="s">
        <v>518</v>
      </c>
    </row>
    <row r="64" spans="1:10" ht="13.5" thickBot="1" x14ac:dyDescent="0.5">
      <c r="A64" s="98" t="str">
        <f>'ITC Limited Balance Sheet'!A31</f>
        <v>Other Non-Current Assets</v>
      </c>
      <c r="B64" s="124">
        <f>'ITC Limited Balance Sheet'!C31</f>
        <v>5169.88</v>
      </c>
      <c r="C64" s="124">
        <f>'ITC Limited Balance Sheet'!B31</f>
        <v>2685.7000000000003</v>
      </c>
      <c r="D64" s="124">
        <f t="shared" ref="D64:H64" si="25">C64</f>
        <v>2685.7000000000003</v>
      </c>
      <c r="E64" s="124">
        <f t="shared" si="25"/>
        <v>2685.7000000000003</v>
      </c>
      <c r="F64" s="124">
        <f t="shared" si="25"/>
        <v>2685.7000000000003</v>
      </c>
      <c r="G64" s="124">
        <f t="shared" si="25"/>
        <v>2685.7000000000003</v>
      </c>
      <c r="H64" s="132">
        <f t="shared" si="25"/>
        <v>2685.7000000000003</v>
      </c>
      <c r="I64" s="89" t="s">
        <v>478</v>
      </c>
      <c r="J64" s="99" t="s">
        <v>518</v>
      </c>
    </row>
    <row r="65" spans="1:10" x14ac:dyDescent="0.45">
      <c r="A65" s="104" t="str">
        <f>'ITC Limited Balance Sheet'!A32</f>
        <v>Total Non-Current Assets</v>
      </c>
      <c r="B65" s="122">
        <f t="shared" ref="B65:H65" si="26">SUM(B61:B64)</f>
        <v>45432.36</v>
      </c>
      <c r="C65" s="122">
        <f t="shared" si="26"/>
        <v>50760.619999999995</v>
      </c>
      <c r="D65" s="122">
        <f t="shared" si="26"/>
        <v>48376.500558422777</v>
      </c>
      <c r="E65" s="122">
        <f t="shared" si="26"/>
        <v>45840.50271593513</v>
      </c>
      <c r="F65" s="122">
        <f t="shared" si="26"/>
        <v>43126.985024473375</v>
      </c>
      <c r="G65" s="122">
        <f t="shared" si="26"/>
        <v>40223.521094609256</v>
      </c>
      <c r="H65" s="122">
        <f t="shared" si="26"/>
        <v>37116.814689654697</v>
      </c>
      <c r="I65" s="89" t="s">
        <v>478</v>
      </c>
      <c r="J65" s="99"/>
    </row>
    <row r="66" spans="1:10" x14ac:dyDescent="0.45">
      <c r="A66" s="95"/>
      <c r="B66" s="115"/>
      <c r="C66" s="115"/>
      <c r="D66" s="115"/>
      <c r="E66" s="115"/>
      <c r="F66" s="115"/>
      <c r="G66" s="115"/>
      <c r="H66" s="115"/>
      <c r="I66" s="89" t="s">
        <v>478</v>
      </c>
      <c r="J66" s="99"/>
    </row>
    <row r="67" spans="1:10" x14ac:dyDescent="0.45">
      <c r="A67" s="104" t="s">
        <v>519</v>
      </c>
      <c r="B67" s="122">
        <f t="shared" ref="B67:H67" si="27">B58+B65</f>
        <v>85882.98000000001</v>
      </c>
      <c r="C67" s="122">
        <f t="shared" si="27"/>
        <v>91826.159999999974</v>
      </c>
      <c r="D67" s="122">
        <f t="shared" si="27"/>
        <v>111497.89051790556</v>
      </c>
      <c r="E67" s="122">
        <f t="shared" si="27"/>
        <v>132569.53291631181</v>
      </c>
      <c r="F67" s="122">
        <f t="shared" si="27"/>
        <v>155123.53498779313</v>
      </c>
      <c r="G67" s="122">
        <f t="shared" si="27"/>
        <v>179263.61257097975</v>
      </c>
      <c r="H67" s="122">
        <f t="shared" si="27"/>
        <v>205100.74161320634</v>
      </c>
      <c r="I67" s="89" t="s">
        <v>478</v>
      </c>
      <c r="J67" s="99"/>
    </row>
    <row r="68" spans="1:10" x14ac:dyDescent="0.45">
      <c r="A68" s="95"/>
      <c r="B68" s="115"/>
      <c r="C68" s="115"/>
      <c r="D68" s="115"/>
      <c r="E68" s="115"/>
      <c r="F68" s="115"/>
      <c r="G68" s="115"/>
      <c r="H68" s="115"/>
      <c r="I68" s="89" t="s">
        <v>478</v>
      </c>
      <c r="J68" s="99"/>
    </row>
    <row r="69" spans="1:10" x14ac:dyDescent="0.45">
      <c r="A69" s="95"/>
      <c r="B69" s="115"/>
      <c r="C69" s="115"/>
      <c r="D69" s="115"/>
      <c r="E69" s="115"/>
      <c r="F69" s="115"/>
      <c r="G69" s="115"/>
      <c r="H69" s="115"/>
      <c r="I69" s="89" t="s">
        <v>478</v>
      </c>
      <c r="J69" s="99"/>
    </row>
    <row r="70" spans="1:10" x14ac:dyDescent="0.45">
      <c r="A70" s="135" t="str">
        <f>'ITC Limited Balance Sheet'!A5</f>
        <v>EQUITIES AND LIABILITIES</v>
      </c>
      <c r="B70" s="136"/>
      <c r="C70" s="136"/>
      <c r="D70" s="136"/>
      <c r="E70" s="136"/>
      <c r="F70" s="136"/>
      <c r="G70" s="136"/>
      <c r="H70" s="136"/>
      <c r="I70" s="89" t="s">
        <v>478</v>
      </c>
      <c r="J70" s="99"/>
    </row>
    <row r="71" spans="1:10" x14ac:dyDescent="0.45">
      <c r="A71" s="104"/>
      <c r="B71" s="115"/>
      <c r="C71" s="115"/>
      <c r="D71" s="115"/>
      <c r="E71" s="115"/>
      <c r="F71" s="115"/>
      <c r="G71" s="115"/>
      <c r="H71" s="115"/>
      <c r="I71" s="89" t="s">
        <v>478</v>
      </c>
      <c r="J71" s="99"/>
    </row>
    <row r="72" spans="1:10" x14ac:dyDescent="0.45">
      <c r="A72" s="104" t="s">
        <v>540</v>
      </c>
      <c r="B72" s="115"/>
      <c r="C72" s="115"/>
      <c r="D72" s="115"/>
      <c r="E72" s="115"/>
      <c r="F72" s="115"/>
      <c r="G72" s="115"/>
      <c r="H72" s="115"/>
      <c r="I72" s="89" t="s">
        <v>478</v>
      </c>
      <c r="J72" s="99"/>
    </row>
    <row r="73" spans="1:10" x14ac:dyDescent="0.45">
      <c r="A73" s="104"/>
      <c r="B73" s="115"/>
      <c r="C73" s="115"/>
      <c r="D73" s="115"/>
      <c r="E73" s="115"/>
      <c r="F73" s="115"/>
      <c r="G73" s="115"/>
      <c r="H73" s="115"/>
      <c r="I73" s="89" t="s">
        <v>478</v>
      </c>
      <c r="J73" s="99"/>
    </row>
    <row r="74" spans="1:10" x14ac:dyDescent="0.45">
      <c r="A74" s="104" t="str">
        <f>'ITC Limited Balance Sheet'!A6</f>
        <v>SHAREHOLDER'S FUNDS</v>
      </c>
      <c r="B74" s="115"/>
      <c r="C74" s="115"/>
      <c r="D74" s="115"/>
      <c r="E74" s="115"/>
      <c r="F74" s="115"/>
      <c r="G74" s="115"/>
      <c r="H74" s="115"/>
      <c r="I74" s="89" t="s">
        <v>478</v>
      </c>
      <c r="J74" s="99"/>
    </row>
    <row r="75" spans="1:10" x14ac:dyDescent="0.45">
      <c r="A75" s="95" t="str">
        <f>'ITC Limited Balance Sheet'!A7</f>
        <v>Total Share Capital</v>
      </c>
      <c r="B75" s="115">
        <f>'ITC Limited Balance Sheet'!C7</f>
        <v>1242.8</v>
      </c>
      <c r="C75" s="115">
        <f>'ITC Limited Balance Sheet'!B7</f>
        <v>1248.47</v>
      </c>
      <c r="D75" s="115">
        <f>C75</f>
        <v>1248.47</v>
      </c>
      <c r="E75" s="115">
        <f t="shared" ref="E75:H75" si="28">D75</f>
        <v>1248.47</v>
      </c>
      <c r="F75" s="115">
        <f t="shared" si="28"/>
        <v>1248.47</v>
      </c>
      <c r="G75" s="115">
        <f t="shared" si="28"/>
        <v>1248.47</v>
      </c>
      <c r="H75" s="115">
        <f t="shared" si="28"/>
        <v>1248.47</v>
      </c>
      <c r="I75" s="89" t="s">
        <v>478</v>
      </c>
      <c r="J75" s="99" t="s">
        <v>518</v>
      </c>
    </row>
    <row r="76" spans="1:10" ht="13.5" thickBot="1" x14ac:dyDescent="0.5">
      <c r="A76" s="98" t="str">
        <f>'ITC Limited Balance Sheet'!A8</f>
        <v>Total Reserves and Surplus</v>
      </c>
      <c r="B76" s="124">
        <f>'ITC Limited Balance Sheet'!C8</f>
        <v>67912.459999999992</v>
      </c>
      <c r="C76" s="124">
        <f>'ITC Limited Balance Sheet'!B8</f>
        <v>73258.53</v>
      </c>
      <c r="D76" s="133">
        <f>C76+D38</f>
        <v>92646.75374848154</v>
      </c>
      <c r="E76" s="133">
        <f>D76+E38</f>
        <v>113397.24742302817</v>
      </c>
      <c r="F76" s="133">
        <f>E76+F38</f>
        <v>135605.32057997957</v>
      </c>
      <c r="G76" s="133">
        <f>F76+G38</f>
        <v>159372.95444461927</v>
      </c>
      <c r="H76" s="134">
        <f>G76+H38</f>
        <v>184809.26892800062</v>
      </c>
      <c r="I76" s="89" t="s">
        <v>478</v>
      </c>
      <c r="J76" s="99" t="s">
        <v>588</v>
      </c>
    </row>
    <row r="77" spans="1:10" x14ac:dyDescent="0.45">
      <c r="A77" s="104" t="str">
        <f>'ITC Limited Balance Sheet'!A9</f>
        <v>Total Shareholders Funds</v>
      </c>
      <c r="B77" s="122">
        <f>SUM(B75:B76)</f>
        <v>69155.259999999995</v>
      </c>
      <c r="C77" s="122">
        <f>SUM(C75:C76)</f>
        <v>74507</v>
      </c>
      <c r="D77" s="122">
        <f t="shared" ref="D77:H77" si="29">SUM(D75:D76)</f>
        <v>93895.223748481541</v>
      </c>
      <c r="E77" s="122">
        <f t="shared" si="29"/>
        <v>114645.71742302817</v>
      </c>
      <c r="F77" s="122">
        <f t="shared" si="29"/>
        <v>136853.79057997957</v>
      </c>
      <c r="G77" s="122">
        <f t="shared" si="29"/>
        <v>160621.42444461928</v>
      </c>
      <c r="H77" s="122">
        <f t="shared" si="29"/>
        <v>186057.73892800062</v>
      </c>
      <c r="I77" s="89" t="s">
        <v>478</v>
      </c>
      <c r="J77" s="99"/>
    </row>
    <row r="78" spans="1:10" ht="13.5" thickBot="1" x14ac:dyDescent="0.5">
      <c r="A78" s="98" t="str">
        <f>'ITC Limited Balance Sheet'!A10</f>
        <v>Minority Interest</v>
      </c>
      <c r="B78" s="124">
        <f>'ITC Limited Balance Sheet'!C10</f>
        <v>383.53</v>
      </c>
      <c r="C78" s="124">
        <f>'ITC Limited Balance Sheet'!B10</f>
        <v>382.97</v>
      </c>
      <c r="D78" s="124">
        <f>ROUND(AVERAGE('ITC Limited Balance Sheet'!B10:K10),2)</f>
        <v>331.58</v>
      </c>
      <c r="E78" s="124">
        <f>D78</f>
        <v>331.58</v>
      </c>
      <c r="F78" s="124">
        <f t="shared" ref="F78:H78" si="30">E78</f>
        <v>331.58</v>
      </c>
      <c r="G78" s="124">
        <f t="shared" si="30"/>
        <v>331.58</v>
      </c>
      <c r="H78" s="132">
        <f t="shared" si="30"/>
        <v>331.58</v>
      </c>
      <c r="I78" s="89" t="s">
        <v>478</v>
      </c>
      <c r="J78" s="99" t="s">
        <v>505</v>
      </c>
    </row>
    <row r="79" spans="1:10" x14ac:dyDescent="0.45">
      <c r="A79" s="104" t="s">
        <v>539</v>
      </c>
      <c r="B79" s="122">
        <f>B77+B78</f>
        <v>69538.789999999994</v>
      </c>
      <c r="C79" s="122">
        <f t="shared" ref="C79:H79" si="31">C77+C78</f>
        <v>74889.97</v>
      </c>
      <c r="D79" s="122">
        <f t="shared" si="31"/>
        <v>94226.803748481543</v>
      </c>
      <c r="E79" s="122">
        <f t="shared" si="31"/>
        <v>114977.29742302817</v>
      </c>
      <c r="F79" s="122">
        <f t="shared" si="31"/>
        <v>137185.37057997956</v>
      </c>
      <c r="G79" s="122">
        <f t="shared" si="31"/>
        <v>160953.00444461926</v>
      </c>
      <c r="H79" s="122">
        <f t="shared" si="31"/>
        <v>186389.3189280006</v>
      </c>
      <c r="I79" s="89" t="s">
        <v>478</v>
      </c>
      <c r="J79" s="99"/>
    </row>
    <row r="80" spans="1:10" x14ac:dyDescent="0.45">
      <c r="A80" s="104"/>
      <c r="B80" s="115"/>
      <c r="C80" s="115"/>
      <c r="D80" s="115"/>
      <c r="E80" s="115"/>
      <c r="F80" s="115"/>
      <c r="G80" s="115"/>
      <c r="H80" s="115"/>
      <c r="I80" s="89" t="s">
        <v>478</v>
      </c>
      <c r="J80" s="99"/>
    </row>
    <row r="81" spans="1:10" x14ac:dyDescent="0.45">
      <c r="A81" s="104" t="s">
        <v>541</v>
      </c>
      <c r="B81" s="115"/>
      <c r="C81" s="115"/>
      <c r="D81" s="115"/>
      <c r="E81" s="115"/>
      <c r="F81" s="115"/>
      <c r="G81" s="115"/>
      <c r="H81" s="115"/>
      <c r="I81" s="89" t="s">
        <v>478</v>
      </c>
      <c r="J81" s="99"/>
    </row>
    <row r="82" spans="1:10" x14ac:dyDescent="0.45">
      <c r="A82" s="104"/>
      <c r="B82" s="115"/>
      <c r="C82" s="115"/>
      <c r="D82" s="115"/>
      <c r="E82" s="115"/>
      <c r="F82" s="115"/>
      <c r="G82" s="115"/>
      <c r="H82" s="115"/>
      <c r="I82" s="89" t="s">
        <v>478</v>
      </c>
      <c r="J82" s="99"/>
    </row>
    <row r="83" spans="1:10" x14ac:dyDescent="0.45">
      <c r="A83" s="104" t="str">
        <f>'ITC Limited Balance Sheet'!A18</f>
        <v>CURRENT LIABILITIES</v>
      </c>
      <c r="B83" s="115"/>
      <c r="C83" s="115"/>
      <c r="D83" s="115"/>
      <c r="E83" s="115"/>
      <c r="F83" s="115"/>
      <c r="G83" s="115"/>
      <c r="H83" s="115"/>
      <c r="I83" s="89" t="s">
        <v>478</v>
      </c>
      <c r="J83" s="99"/>
    </row>
    <row r="84" spans="1:10" x14ac:dyDescent="0.45">
      <c r="A84" s="95" t="str">
        <f>'ITC Limited Balance Sheet'!A19</f>
        <v>Short Term Borrowings</v>
      </c>
      <c r="B84" s="115">
        <f>'ITC Limited Balance Sheet'!C19</f>
        <v>35.32</v>
      </c>
      <c r="C84" s="115">
        <f>'ITC Limited Balance Sheet'!B19</f>
        <v>9.52</v>
      </c>
      <c r="D84" s="115">
        <f>AVERAGE('ITC Limited Balance Sheet'!B19:K19)</f>
        <v>32.853999999999999</v>
      </c>
      <c r="E84" s="115">
        <f>D84</f>
        <v>32.853999999999999</v>
      </c>
      <c r="F84" s="115">
        <f t="shared" ref="F84:H84" si="32">E84</f>
        <v>32.853999999999999</v>
      </c>
      <c r="G84" s="115">
        <f t="shared" si="32"/>
        <v>32.853999999999999</v>
      </c>
      <c r="H84" s="115">
        <f t="shared" si="32"/>
        <v>32.853999999999999</v>
      </c>
      <c r="I84" s="89" t="s">
        <v>478</v>
      </c>
      <c r="J84" s="99" t="s">
        <v>524</v>
      </c>
    </row>
    <row r="85" spans="1:10" x14ac:dyDescent="0.45">
      <c r="A85" s="95" t="str">
        <f>'ITC Limited Balance Sheet'!A20</f>
        <v>Trade Payables</v>
      </c>
      <c r="B85" s="115">
        <f>'ITC Limited Balance Sheet'!C20</f>
        <v>4658.99</v>
      </c>
      <c r="C85" s="115">
        <f>'ITC Limited Balance Sheet'!B20</f>
        <v>4797.83</v>
      </c>
      <c r="D85" s="115">
        <f>(D20*D29)/365</f>
        <v>5057.1817694240217</v>
      </c>
      <c r="E85" s="115">
        <f>(E20*E29)/365</f>
        <v>5411.1844932837039</v>
      </c>
      <c r="F85" s="115">
        <f>(F20*F29)/365</f>
        <v>5789.967407813564</v>
      </c>
      <c r="G85" s="115">
        <f>(G20*G29)/365</f>
        <v>6195.265126360513</v>
      </c>
      <c r="H85" s="115">
        <f>(H20*H29)/365</f>
        <v>6628.9336852057504</v>
      </c>
      <c r="I85" s="89" t="s">
        <v>478</v>
      </c>
      <c r="J85" s="99" t="s">
        <v>509</v>
      </c>
    </row>
    <row r="86" spans="1:10" x14ac:dyDescent="0.45">
      <c r="A86" s="95" t="str">
        <f>'ITC Limited Balance Sheet'!A21</f>
        <v>Other Current Liabilities</v>
      </c>
      <c r="B86" s="115">
        <f>'ITC Limited Balance Sheet'!C21</f>
        <v>8944.5400000000009</v>
      </c>
      <c r="C86" s="115">
        <f>'ITC Limited Balance Sheet'!B21</f>
        <v>8776.14</v>
      </c>
      <c r="D86" s="115">
        <f>AVERAGE(B86:C86)</f>
        <v>8860.34</v>
      </c>
      <c r="E86" s="115">
        <f>D86</f>
        <v>8860.34</v>
      </c>
      <c r="F86" s="115">
        <f t="shared" ref="F86:H86" si="33">E86</f>
        <v>8860.34</v>
      </c>
      <c r="G86" s="115">
        <f t="shared" si="33"/>
        <v>8860.34</v>
      </c>
      <c r="H86" s="115">
        <f t="shared" si="33"/>
        <v>8860.34</v>
      </c>
      <c r="I86" s="89" t="s">
        <v>478</v>
      </c>
      <c r="J86" s="99" t="s">
        <v>525</v>
      </c>
    </row>
    <row r="87" spans="1:10" ht="13.5" thickBot="1" x14ac:dyDescent="0.5">
      <c r="A87" s="98" t="str">
        <f>'ITC Limited Balance Sheet'!A22</f>
        <v>Short Term Provisions</v>
      </c>
      <c r="B87" s="124">
        <f>'ITC Limited Balance Sheet'!C22</f>
        <v>100.56</v>
      </c>
      <c r="C87" s="124">
        <f>'ITC Limited Balance Sheet'!B22</f>
        <v>106.91</v>
      </c>
      <c r="D87" s="124">
        <f>C87</f>
        <v>106.91</v>
      </c>
      <c r="E87" s="124">
        <f t="shared" ref="E87:H87" si="34">D87</f>
        <v>106.91</v>
      </c>
      <c r="F87" s="124">
        <f t="shared" si="34"/>
        <v>106.91</v>
      </c>
      <c r="G87" s="124">
        <f t="shared" si="34"/>
        <v>106.91</v>
      </c>
      <c r="H87" s="132">
        <f t="shared" si="34"/>
        <v>106.91</v>
      </c>
      <c r="I87" s="89" t="s">
        <v>478</v>
      </c>
      <c r="J87" s="99" t="s">
        <v>518</v>
      </c>
    </row>
    <row r="88" spans="1:10" x14ac:dyDescent="0.45">
      <c r="A88" s="104" t="str">
        <f>'ITC Limited Balance Sheet'!A23</f>
        <v>Total Current Liabilities</v>
      </c>
      <c r="B88" s="122">
        <f>SUM(B84:B87)</f>
        <v>13739.41</v>
      </c>
      <c r="C88" s="122">
        <f t="shared" ref="C88:H88" si="35">SUM(C84:C87)</f>
        <v>13690.4</v>
      </c>
      <c r="D88" s="122">
        <f t="shared" si="35"/>
        <v>14057.285769424023</v>
      </c>
      <c r="E88" s="122">
        <f t="shared" si="35"/>
        <v>14411.288493283704</v>
      </c>
      <c r="F88" s="122">
        <f t="shared" si="35"/>
        <v>14790.071407813564</v>
      </c>
      <c r="G88" s="122">
        <f t="shared" si="35"/>
        <v>15195.369126360514</v>
      </c>
      <c r="H88" s="122">
        <f t="shared" si="35"/>
        <v>15629.037685205751</v>
      </c>
      <c r="I88" s="89" t="s">
        <v>478</v>
      </c>
      <c r="J88" s="99"/>
    </row>
    <row r="89" spans="1:10" x14ac:dyDescent="0.45">
      <c r="A89" s="104"/>
      <c r="B89" s="115"/>
      <c r="C89" s="115"/>
      <c r="D89" s="115"/>
      <c r="E89" s="115"/>
      <c r="F89" s="115"/>
      <c r="G89" s="115"/>
      <c r="H89" s="115"/>
      <c r="I89" s="89" t="s">
        <v>478</v>
      </c>
      <c r="J89" s="99"/>
    </row>
    <row r="90" spans="1:10" x14ac:dyDescent="0.45">
      <c r="A90" s="104" t="str">
        <f>'ITC Limited Balance Sheet'!A12</f>
        <v>NON-CURRENT LIABILITIES</v>
      </c>
      <c r="B90" s="115"/>
      <c r="C90" s="115"/>
      <c r="D90" s="115"/>
      <c r="E90" s="115"/>
      <c r="F90" s="115"/>
      <c r="G90" s="115"/>
      <c r="H90" s="115"/>
      <c r="I90" s="89" t="s">
        <v>478</v>
      </c>
      <c r="J90" s="99"/>
    </row>
    <row r="91" spans="1:10" x14ac:dyDescent="0.45">
      <c r="A91" s="95" t="str">
        <f>'ITC Limited Balance Sheet'!A13</f>
        <v>Other Long Term Liabilities</v>
      </c>
      <c r="B91" s="115">
        <f>'ITC Limited Balance Sheet'!C13</f>
        <v>3.49</v>
      </c>
      <c r="C91" s="115">
        <f>'ITC Limited Balance Sheet'!B13</f>
        <v>1.76</v>
      </c>
      <c r="D91" s="123">
        <f>AVERAGE(B91:C91)</f>
        <v>2.625</v>
      </c>
      <c r="E91" s="123">
        <f>D91</f>
        <v>2.625</v>
      </c>
      <c r="F91" s="123">
        <f t="shared" ref="F91:H91" si="36">E91</f>
        <v>2.625</v>
      </c>
      <c r="G91" s="123">
        <f t="shared" si="36"/>
        <v>2.625</v>
      </c>
      <c r="H91" s="123">
        <f t="shared" si="36"/>
        <v>2.625</v>
      </c>
      <c r="I91" s="89" t="s">
        <v>478</v>
      </c>
      <c r="J91" s="99" t="s">
        <v>583</v>
      </c>
    </row>
    <row r="92" spans="1:10" x14ac:dyDescent="0.45">
      <c r="A92" s="95" t="str">
        <f>'ITC Limited Balance Sheet'!A14</f>
        <v>Long Term Borrowings</v>
      </c>
      <c r="B92" s="115">
        <f>'ITC Limited Balance Sheet'!C14</f>
        <v>2342.08</v>
      </c>
      <c r="C92" s="115">
        <f>'ITC Limited Balance Sheet'!B14</f>
        <v>2955.73</v>
      </c>
      <c r="D92" s="123">
        <f>D164</f>
        <v>2922.8760000000002</v>
      </c>
      <c r="E92" s="123">
        <f t="shared" ref="E92:H92" si="37">E164</f>
        <v>2890.0220000000004</v>
      </c>
      <c r="F92" s="123">
        <f t="shared" si="37"/>
        <v>2857.1680000000006</v>
      </c>
      <c r="G92" s="123">
        <f t="shared" si="37"/>
        <v>2824.3140000000008</v>
      </c>
      <c r="H92" s="123">
        <f t="shared" si="37"/>
        <v>2791.4600000000009</v>
      </c>
      <c r="I92" s="89" t="s">
        <v>478</v>
      </c>
      <c r="J92" s="99" t="s">
        <v>523</v>
      </c>
    </row>
    <row r="93" spans="1:10" ht="13.5" thickBot="1" x14ac:dyDescent="0.5">
      <c r="A93" s="98" t="str">
        <f>'ITC Limited Balance Sheet'!A15</f>
        <v>Long Term Provisions</v>
      </c>
      <c r="B93" s="124">
        <f>'ITC Limited Balance Sheet'!C15</f>
        <v>259.20999999999998</v>
      </c>
      <c r="C93" s="124">
        <f>'ITC Limited Balance Sheet'!B15</f>
        <v>288.3</v>
      </c>
      <c r="D93" s="124">
        <f>C93</f>
        <v>288.3</v>
      </c>
      <c r="E93" s="124">
        <f t="shared" ref="E93:H93" si="38">D93</f>
        <v>288.3</v>
      </c>
      <c r="F93" s="124">
        <f t="shared" si="38"/>
        <v>288.3</v>
      </c>
      <c r="G93" s="124">
        <f t="shared" si="38"/>
        <v>288.3</v>
      </c>
      <c r="H93" s="132">
        <f t="shared" si="38"/>
        <v>288.3</v>
      </c>
      <c r="I93" s="89" t="s">
        <v>478</v>
      </c>
      <c r="J93" s="99" t="s">
        <v>518</v>
      </c>
    </row>
    <row r="94" spans="1:10" x14ac:dyDescent="0.45">
      <c r="A94" s="104" t="str">
        <f>'ITC Limited Balance Sheet'!A16</f>
        <v>Total Non-Current Liabilities</v>
      </c>
      <c r="B94" s="122">
        <f t="shared" ref="B94:H94" si="39">SUM(B91:B93)</f>
        <v>2604.7799999999997</v>
      </c>
      <c r="C94" s="122">
        <f t="shared" si="39"/>
        <v>3245.7900000000004</v>
      </c>
      <c r="D94" s="122">
        <f t="shared" si="39"/>
        <v>3213.8010000000004</v>
      </c>
      <c r="E94" s="122">
        <f t="shared" si="39"/>
        <v>3180.9470000000006</v>
      </c>
      <c r="F94" s="122">
        <f t="shared" si="39"/>
        <v>3148.0930000000008</v>
      </c>
      <c r="G94" s="122">
        <f t="shared" si="39"/>
        <v>3115.2390000000009</v>
      </c>
      <c r="H94" s="122">
        <f t="shared" si="39"/>
        <v>3082.3850000000011</v>
      </c>
      <c r="I94" s="89" t="s">
        <v>478</v>
      </c>
      <c r="J94" s="99"/>
    </row>
    <row r="95" spans="1:10" x14ac:dyDescent="0.45">
      <c r="A95" s="104"/>
      <c r="B95" s="115"/>
      <c r="C95" s="115"/>
      <c r="D95" s="115"/>
      <c r="E95" s="115"/>
      <c r="F95" s="115"/>
      <c r="G95" s="115"/>
      <c r="H95" s="115"/>
      <c r="I95" s="89" t="s">
        <v>478</v>
      </c>
      <c r="J95" s="99"/>
    </row>
    <row r="96" spans="1:10" x14ac:dyDescent="0.45">
      <c r="A96" s="104" t="s">
        <v>521</v>
      </c>
      <c r="B96" s="122">
        <f t="shared" ref="B96:H96" si="40">B79+B94+B88</f>
        <v>85882.98</v>
      </c>
      <c r="C96" s="122">
        <f t="shared" si="40"/>
        <v>91826.159999999989</v>
      </c>
      <c r="D96" s="122">
        <f t="shared" si="40"/>
        <v>111497.89051790557</v>
      </c>
      <c r="E96" s="122">
        <f t="shared" si="40"/>
        <v>132569.53291631187</v>
      </c>
      <c r="F96" s="122">
        <f t="shared" si="40"/>
        <v>155123.53498779313</v>
      </c>
      <c r="G96" s="122">
        <f t="shared" si="40"/>
        <v>179263.61257097978</v>
      </c>
      <c r="H96" s="122">
        <f t="shared" si="40"/>
        <v>205100.74161320637</v>
      </c>
      <c r="I96" s="89" t="s">
        <v>478</v>
      </c>
      <c r="J96" s="99"/>
    </row>
    <row r="97" spans="1:10" x14ac:dyDescent="0.45">
      <c r="A97" s="95"/>
      <c r="B97" s="115"/>
      <c r="C97" s="115"/>
      <c r="D97" s="115"/>
      <c r="E97" s="115"/>
      <c r="F97" s="115"/>
      <c r="G97" s="115"/>
      <c r="H97" s="115"/>
      <c r="I97" s="89" t="s">
        <v>478</v>
      </c>
      <c r="J97" s="99"/>
    </row>
    <row r="98" spans="1:10" x14ac:dyDescent="0.45">
      <c r="A98" s="212" t="s">
        <v>529</v>
      </c>
      <c r="B98" s="213">
        <f>B67-B96</f>
        <v>0</v>
      </c>
      <c r="C98" s="213">
        <f t="shared" ref="C98:H98" si="41">C67-C96</f>
        <v>0</v>
      </c>
      <c r="D98" s="213">
        <f t="shared" si="41"/>
        <v>0</v>
      </c>
      <c r="E98" s="213">
        <f t="shared" si="41"/>
        <v>0</v>
      </c>
      <c r="F98" s="213">
        <f t="shared" si="41"/>
        <v>0</v>
      </c>
      <c r="G98" s="213">
        <f t="shared" si="41"/>
        <v>0</v>
      </c>
      <c r="H98" s="213">
        <f t="shared" si="41"/>
        <v>0</v>
      </c>
      <c r="I98" s="89" t="s">
        <v>478</v>
      </c>
      <c r="J98" s="99"/>
    </row>
    <row r="99" spans="1:10" x14ac:dyDescent="0.45">
      <c r="A99" s="95"/>
      <c r="B99" s="115"/>
      <c r="C99" s="115"/>
      <c r="D99" s="115"/>
      <c r="E99" s="115"/>
      <c r="F99" s="115"/>
      <c r="G99" s="115"/>
      <c r="H99" s="115"/>
      <c r="I99" s="89" t="s">
        <v>478</v>
      </c>
      <c r="J99" s="99"/>
    </row>
    <row r="100" spans="1:10" x14ac:dyDescent="0.45">
      <c r="A100" s="95"/>
      <c r="B100" s="115"/>
      <c r="C100" s="115"/>
      <c r="D100" s="115"/>
      <c r="E100" s="115"/>
      <c r="F100" s="178"/>
      <c r="G100" s="178"/>
      <c r="H100" s="178"/>
      <c r="I100" s="89" t="s">
        <v>478</v>
      </c>
      <c r="J100" s="99"/>
    </row>
    <row r="101" spans="1:10" x14ac:dyDescent="0.45">
      <c r="A101" s="95"/>
      <c r="B101" s="115"/>
      <c r="C101" s="115"/>
      <c r="D101" s="115"/>
      <c r="E101" s="115"/>
      <c r="F101" s="115"/>
      <c r="G101" s="115"/>
      <c r="H101" s="115"/>
      <c r="I101" s="89" t="s">
        <v>478</v>
      </c>
      <c r="J101" s="99"/>
    </row>
    <row r="102" spans="1:10" x14ac:dyDescent="0.45">
      <c r="A102" s="97" t="s">
        <v>579</v>
      </c>
      <c r="B102" s="125"/>
      <c r="C102" s="125"/>
      <c r="D102" s="125"/>
      <c r="E102" s="125"/>
      <c r="F102" s="125"/>
      <c r="G102" s="125"/>
      <c r="H102" s="125"/>
      <c r="I102" s="89" t="s">
        <v>478</v>
      </c>
      <c r="J102" s="99"/>
    </row>
    <row r="103" spans="1:10" x14ac:dyDescent="0.45">
      <c r="A103" s="95"/>
      <c r="B103" s="115"/>
      <c r="C103" s="115"/>
      <c r="D103" s="115"/>
      <c r="E103" s="115"/>
      <c r="F103" s="115"/>
      <c r="G103" s="115"/>
      <c r="H103" s="115"/>
      <c r="I103" s="89" t="s">
        <v>478</v>
      </c>
      <c r="J103" s="99"/>
    </row>
    <row r="104" spans="1:10" x14ac:dyDescent="0.45">
      <c r="A104" s="104" t="s">
        <v>537</v>
      </c>
      <c r="B104" s="115"/>
      <c r="C104" s="115"/>
      <c r="D104" s="115"/>
      <c r="E104" s="115"/>
      <c r="F104" s="115"/>
      <c r="G104" s="115"/>
      <c r="H104" s="115"/>
      <c r="I104" s="89" t="s">
        <v>478</v>
      </c>
      <c r="J104" s="99"/>
    </row>
    <row r="105" spans="1:10" x14ac:dyDescent="0.45">
      <c r="A105" s="95"/>
      <c r="B105" s="115"/>
      <c r="C105" s="115"/>
      <c r="D105" s="115"/>
      <c r="E105" s="115"/>
      <c r="F105" s="115"/>
      <c r="G105" s="115"/>
      <c r="H105" s="115"/>
      <c r="I105" s="89" t="s">
        <v>478</v>
      </c>
      <c r="J105" s="99"/>
    </row>
    <row r="106" spans="1:10" x14ac:dyDescent="0.45">
      <c r="A106" s="104" t="s">
        <v>532</v>
      </c>
      <c r="B106" s="122">
        <f t="shared" ref="B106:H106" si="42">B38+B37+B35</f>
        <v>25720.340000000011</v>
      </c>
      <c r="C106" s="122">
        <f t="shared" si="42"/>
        <v>27127.409999999974</v>
      </c>
      <c r="D106" s="122">
        <f t="shared" si="42"/>
        <v>28262.716834521183</v>
      </c>
      <c r="E106" s="122">
        <f t="shared" si="42"/>
        <v>30248.533053274958</v>
      </c>
      <c r="F106" s="122">
        <f t="shared" si="42"/>
        <v>32373.28448535192</v>
      </c>
      <c r="G106" s="122">
        <f t="shared" si="42"/>
        <v>34646.696595684713</v>
      </c>
      <c r="H106" s="122">
        <f t="shared" si="42"/>
        <v>37079.175631751234</v>
      </c>
      <c r="I106" s="89" t="s">
        <v>478</v>
      </c>
      <c r="J106" s="99"/>
    </row>
    <row r="107" spans="1:10" x14ac:dyDescent="0.45">
      <c r="A107" s="104" t="s">
        <v>538</v>
      </c>
      <c r="B107" s="115"/>
      <c r="C107" s="115"/>
      <c r="D107" s="115"/>
      <c r="E107" s="115"/>
      <c r="F107" s="115"/>
      <c r="G107" s="115"/>
      <c r="H107" s="115"/>
      <c r="I107" s="89" t="s">
        <v>478</v>
      </c>
      <c r="J107" s="99"/>
    </row>
    <row r="108" spans="1:10" x14ac:dyDescent="0.45">
      <c r="A108" s="95" t="s">
        <v>575</v>
      </c>
      <c r="B108" s="123">
        <f>B158</f>
        <v>-5298.23</v>
      </c>
      <c r="C108" s="123">
        <f t="shared" ref="C108:H108" si="43">C158</f>
        <v>-3511.68</v>
      </c>
      <c r="D108" s="123">
        <f t="shared" si="43"/>
        <v>-4740.1828831544581</v>
      </c>
      <c r="E108" s="123">
        <f t="shared" si="43"/>
        <v>-5071.9956849752707</v>
      </c>
      <c r="F108" s="123">
        <f t="shared" si="43"/>
        <v>-5427.0353829235401</v>
      </c>
      <c r="G108" s="123">
        <f t="shared" si="43"/>
        <v>-5806.9278597281873</v>
      </c>
      <c r="H108" s="123">
        <f t="shared" si="43"/>
        <v>-6213.4128099091613</v>
      </c>
      <c r="I108" s="89" t="s">
        <v>478</v>
      </c>
      <c r="J108" s="99" t="s">
        <v>520</v>
      </c>
    </row>
    <row r="109" spans="1:10" x14ac:dyDescent="0.45">
      <c r="A109" s="95" t="s">
        <v>550</v>
      </c>
      <c r="B109" s="115">
        <f>'ITC Limited Balance Sheet'!C22-'ITC Limited Balance Sheet'!D22</f>
        <v>21</v>
      </c>
      <c r="C109" s="115">
        <f>C87-B87</f>
        <v>6.3499999999999943</v>
      </c>
      <c r="D109" s="115">
        <f t="shared" ref="D109:H109" si="44">D87-C87</f>
        <v>0</v>
      </c>
      <c r="E109" s="115">
        <f t="shared" si="44"/>
        <v>0</v>
      </c>
      <c r="F109" s="115">
        <f t="shared" si="44"/>
        <v>0</v>
      </c>
      <c r="G109" s="115">
        <f t="shared" si="44"/>
        <v>0</v>
      </c>
      <c r="H109" s="115">
        <f t="shared" si="44"/>
        <v>0</v>
      </c>
      <c r="I109" s="89" t="s">
        <v>478</v>
      </c>
      <c r="J109" s="99" t="s">
        <v>587</v>
      </c>
    </row>
    <row r="110" spans="1:10" ht="13.5" thickBot="1" x14ac:dyDescent="0.5">
      <c r="A110" s="98" t="s">
        <v>549</v>
      </c>
      <c r="B110" s="124">
        <f>'ITC Limited Balance Sheet'!C15-'ITC Limited Balance Sheet'!D15</f>
        <v>38.159999999999968</v>
      </c>
      <c r="C110" s="124">
        <f>C93-B93</f>
        <v>29.090000000000032</v>
      </c>
      <c r="D110" s="124">
        <f t="shared" ref="D110:H110" si="45">D93-C93</f>
        <v>0</v>
      </c>
      <c r="E110" s="124">
        <f t="shared" si="45"/>
        <v>0</v>
      </c>
      <c r="F110" s="124">
        <f t="shared" si="45"/>
        <v>0</v>
      </c>
      <c r="G110" s="124">
        <f t="shared" si="45"/>
        <v>0</v>
      </c>
      <c r="H110" s="124">
        <f t="shared" si="45"/>
        <v>0</v>
      </c>
      <c r="I110" s="89" t="s">
        <v>478</v>
      </c>
      <c r="J110" s="99" t="s">
        <v>587</v>
      </c>
    </row>
    <row r="111" spans="1:10" x14ac:dyDescent="0.45">
      <c r="A111" s="104" t="s">
        <v>531</v>
      </c>
      <c r="B111" s="122">
        <f>B106-B108+B109+B110</f>
        <v>31077.73000000001</v>
      </c>
      <c r="C111" s="122">
        <f t="shared" ref="C111:H111" si="46">C106-C108+C109+C110</f>
        <v>30674.529999999973</v>
      </c>
      <c r="D111" s="122">
        <f t="shared" si="46"/>
        <v>33002.899717675638</v>
      </c>
      <c r="E111" s="122">
        <f t="shared" si="46"/>
        <v>35320.528738250228</v>
      </c>
      <c r="F111" s="122">
        <f t="shared" si="46"/>
        <v>37800.319868275459</v>
      </c>
      <c r="G111" s="122">
        <f t="shared" si="46"/>
        <v>40453.624455412901</v>
      </c>
      <c r="H111" s="122">
        <f t="shared" si="46"/>
        <v>43292.588441660395</v>
      </c>
      <c r="I111" s="89" t="s">
        <v>478</v>
      </c>
      <c r="J111" s="99"/>
    </row>
    <row r="112" spans="1:10" x14ac:dyDescent="0.45">
      <c r="A112" s="95"/>
      <c r="B112" s="115"/>
      <c r="C112" s="115"/>
      <c r="D112" s="115"/>
      <c r="E112" s="115"/>
      <c r="F112" s="115"/>
      <c r="G112" s="115"/>
      <c r="H112" s="115"/>
      <c r="I112" s="89" t="s">
        <v>478</v>
      </c>
      <c r="J112" s="99"/>
    </row>
    <row r="113" spans="1:10" x14ac:dyDescent="0.45">
      <c r="A113" s="104" t="s">
        <v>527</v>
      </c>
      <c r="B113" s="115"/>
      <c r="C113" s="115"/>
      <c r="D113" s="115"/>
      <c r="E113" s="115"/>
      <c r="F113" s="115"/>
      <c r="G113" s="115"/>
      <c r="H113" s="115"/>
      <c r="I113" s="89" t="s">
        <v>478</v>
      </c>
      <c r="J113" s="99"/>
    </row>
    <row r="114" spans="1:10" x14ac:dyDescent="0.45">
      <c r="A114" s="104" t="s">
        <v>528</v>
      </c>
      <c r="B114" s="115"/>
      <c r="C114" s="115"/>
      <c r="D114" s="115"/>
      <c r="E114" s="115"/>
      <c r="F114" s="115"/>
      <c r="G114" s="115"/>
      <c r="H114" s="115"/>
      <c r="I114" s="89" t="s">
        <v>478</v>
      </c>
      <c r="J114" s="99"/>
    </row>
    <row r="115" spans="1:10" x14ac:dyDescent="0.45">
      <c r="A115" s="95" t="s">
        <v>421</v>
      </c>
      <c r="B115" s="115">
        <f>'ITC Limited Balance Sheet'!C20-'ITC Limited Balance Sheet'!D20</f>
        <v>241.72999999999956</v>
      </c>
      <c r="C115" s="115">
        <f t="shared" ref="C115:H116" si="47">C85-B85</f>
        <v>138.84000000000015</v>
      </c>
      <c r="D115" s="115">
        <f t="shared" si="47"/>
        <v>259.35176942402177</v>
      </c>
      <c r="E115" s="115">
        <f t="shared" si="47"/>
        <v>354.00272385968219</v>
      </c>
      <c r="F115" s="115">
        <f t="shared" si="47"/>
        <v>378.78291452986014</v>
      </c>
      <c r="G115" s="115">
        <f t="shared" si="47"/>
        <v>405.297718546949</v>
      </c>
      <c r="H115" s="115">
        <f t="shared" si="47"/>
        <v>433.66855884523738</v>
      </c>
      <c r="I115" s="89" t="s">
        <v>478</v>
      </c>
      <c r="J115" s="99" t="s">
        <v>535</v>
      </c>
    </row>
    <row r="116" spans="1:10" x14ac:dyDescent="0.45">
      <c r="A116" s="95" t="s">
        <v>422</v>
      </c>
      <c r="B116" s="115">
        <f>'ITC Limited Balance Sheet'!C21-'ITC Limited Balance Sheet'!D21</f>
        <v>1278.3900000000012</v>
      </c>
      <c r="C116" s="115">
        <f t="shared" si="47"/>
        <v>-168.40000000000146</v>
      </c>
      <c r="D116" s="115">
        <f t="shared" si="47"/>
        <v>84.200000000000728</v>
      </c>
      <c r="E116" s="115">
        <f t="shared" si="47"/>
        <v>0</v>
      </c>
      <c r="F116" s="115">
        <f t="shared" si="47"/>
        <v>0</v>
      </c>
      <c r="G116" s="115">
        <f t="shared" si="47"/>
        <v>0</v>
      </c>
      <c r="H116" s="115">
        <f t="shared" si="47"/>
        <v>0</v>
      </c>
      <c r="I116" s="89" t="s">
        <v>478</v>
      </c>
      <c r="J116" s="99" t="s">
        <v>535</v>
      </c>
    </row>
    <row r="117" spans="1:10" x14ac:dyDescent="0.45">
      <c r="A117" s="104" t="s">
        <v>468</v>
      </c>
      <c r="B117" s="115"/>
      <c r="C117" s="115"/>
      <c r="D117" s="115"/>
      <c r="E117" s="115"/>
      <c r="F117" s="115"/>
      <c r="G117" s="115"/>
      <c r="H117" s="115"/>
      <c r="I117" s="89" t="s">
        <v>478</v>
      </c>
      <c r="J117" s="99"/>
    </row>
    <row r="118" spans="1:10" x14ac:dyDescent="0.45">
      <c r="A118" s="95" t="s">
        <v>434</v>
      </c>
      <c r="B118" s="115">
        <f>('ITC Limited Balance Sheet'!C35-'ITC Limited Balance Sheet'!D35)</f>
        <v>4968.58</v>
      </c>
      <c r="C118" s="115">
        <f>C52-B52</f>
        <v>-4288.4400000000005</v>
      </c>
      <c r="D118" s="115">
        <f t="shared" ref="D118:H119" si="48">(D52-C52)</f>
        <v>1553.3304000000007</v>
      </c>
      <c r="E118" s="115">
        <f t="shared" si="48"/>
        <v>1739.7300480000013</v>
      </c>
      <c r="F118" s="115">
        <f t="shared" si="48"/>
        <v>1948.4976537600014</v>
      </c>
      <c r="G118" s="115">
        <f t="shared" si="48"/>
        <v>2182.3173722112006</v>
      </c>
      <c r="H118" s="115">
        <f t="shared" si="48"/>
        <v>2444.1954568765468</v>
      </c>
      <c r="I118" s="89" t="s">
        <v>478</v>
      </c>
      <c r="J118" s="99" t="s">
        <v>536</v>
      </c>
    </row>
    <row r="119" spans="1:10" x14ac:dyDescent="0.45">
      <c r="A119" s="95" t="s">
        <v>435</v>
      </c>
      <c r="B119" s="115">
        <f>('ITC Limited Balance Sheet'!C36-'ITC Limited Balance Sheet'!D36)</f>
        <v>940.53999999999905</v>
      </c>
      <c r="C119" s="115">
        <f>C53-B53</f>
        <v>2388.75</v>
      </c>
      <c r="D119" s="115">
        <f t="shared" si="48"/>
        <v>-282.92561567130724</v>
      </c>
      <c r="E119" s="115">
        <f t="shared" si="48"/>
        <v>981.39680690301066</v>
      </c>
      <c r="F119" s="115">
        <f t="shared" si="48"/>
        <v>1050.0945833862243</v>
      </c>
      <c r="G119" s="115">
        <f t="shared" si="48"/>
        <v>1123.6012042232524</v>
      </c>
      <c r="H119" s="115">
        <f t="shared" si="48"/>
        <v>1202.2532885188848</v>
      </c>
      <c r="I119" s="89" t="s">
        <v>478</v>
      </c>
      <c r="J119" s="99" t="s">
        <v>536</v>
      </c>
    </row>
    <row r="120" spans="1:10" x14ac:dyDescent="0.45">
      <c r="A120" s="95" t="s">
        <v>436</v>
      </c>
      <c r="B120" s="115">
        <f>('ITC Limited Balance Sheet'!C37-'ITC Limited Balance Sheet'!D37)</f>
        <v>494.27</v>
      </c>
      <c r="C120" s="115">
        <f>C54-B54</f>
        <v>1069.6500000000001</v>
      </c>
      <c r="D120" s="115">
        <f>D54-C54</f>
        <v>-290.45535000000064</v>
      </c>
      <c r="E120" s="115">
        <f>E54-D54</f>
        <v>261.47552550000046</v>
      </c>
      <c r="F120" s="115">
        <f>F54-E54</f>
        <v>279.77881228500019</v>
      </c>
      <c r="G120" s="115">
        <f>G54-F54</f>
        <v>299.36332914495051</v>
      </c>
      <c r="H120" s="115">
        <f>H54-G54</f>
        <v>320.3187621850966</v>
      </c>
      <c r="I120" s="89" t="s">
        <v>478</v>
      </c>
      <c r="J120" s="99" t="s">
        <v>536</v>
      </c>
    </row>
    <row r="121" spans="1:10" x14ac:dyDescent="0.45">
      <c r="A121" s="95" t="s">
        <v>438</v>
      </c>
      <c r="B121" s="115">
        <f>'ITC Limited Balance Sheet'!C39-'ITC Limited Balance Sheet'!D39</f>
        <v>0.35000000000000053</v>
      </c>
      <c r="C121" s="115">
        <f>C56-B56</f>
        <v>2.6900000000000004</v>
      </c>
      <c r="D121" s="115">
        <f>-(D56-C56)</f>
        <v>0</v>
      </c>
      <c r="E121" s="115">
        <f>-(E56-D56)</f>
        <v>0</v>
      </c>
      <c r="F121" s="115">
        <f>-(F56-E56)</f>
        <v>0</v>
      </c>
      <c r="G121" s="115">
        <f>-(G56-F56)</f>
        <v>0</v>
      </c>
      <c r="H121" s="115">
        <f>-(H56-G56)</f>
        <v>0</v>
      </c>
      <c r="I121" s="89" t="s">
        <v>478</v>
      </c>
      <c r="J121" s="99" t="s">
        <v>536</v>
      </c>
    </row>
    <row r="122" spans="1:10" ht="13.5" thickBot="1" x14ac:dyDescent="0.5">
      <c r="A122" s="98" t="s">
        <v>514</v>
      </c>
      <c r="B122" s="124">
        <f>'ITC Limited Balance Sheet'!C40-'ITC Limited Balance Sheet'!D40</f>
        <v>-411.33999999999969</v>
      </c>
      <c r="C122" s="124">
        <f>C57-B57</f>
        <v>-895.22000000000025</v>
      </c>
      <c r="D122" s="124">
        <f>D57-C57</f>
        <v>0</v>
      </c>
      <c r="E122" s="124">
        <f>E57-D57</f>
        <v>0</v>
      </c>
      <c r="F122" s="124">
        <f>F57-E57</f>
        <v>0</v>
      </c>
      <c r="G122" s="124">
        <f>G57-F57</f>
        <v>0</v>
      </c>
      <c r="H122" s="132">
        <f>H57-G57</f>
        <v>0</v>
      </c>
      <c r="I122" s="89" t="s">
        <v>478</v>
      </c>
      <c r="J122" s="99" t="s">
        <v>536</v>
      </c>
    </row>
    <row r="123" spans="1:10" x14ac:dyDescent="0.45">
      <c r="A123" s="104" t="s">
        <v>530</v>
      </c>
      <c r="B123" s="122">
        <f>B111+B115+B116-B118-B119-B120-B121-B122</f>
        <v>26605.450000000012</v>
      </c>
      <c r="C123" s="122">
        <f t="shared" ref="C123:H123" si="49">C111+C115+C116-C118-C119-C120-C121-C122</f>
        <v>32367.539999999975</v>
      </c>
      <c r="D123" s="122">
        <f t="shared" si="49"/>
        <v>32366.502052770975</v>
      </c>
      <c r="E123" s="122">
        <f t="shared" si="49"/>
        <v>32691.929081706901</v>
      </c>
      <c r="F123" s="122">
        <f t="shared" si="49"/>
        <v>34900.731733374094</v>
      </c>
      <c r="G123" s="122">
        <f t="shared" si="49"/>
        <v>37253.640268380441</v>
      </c>
      <c r="H123" s="122">
        <f t="shared" si="49"/>
        <v>39759.489492925102</v>
      </c>
      <c r="I123" s="89" t="s">
        <v>478</v>
      </c>
      <c r="J123" s="99"/>
    </row>
    <row r="124" spans="1:10" ht="13.5" thickBot="1" x14ac:dyDescent="0.5">
      <c r="A124" s="98" t="s">
        <v>533</v>
      </c>
      <c r="B124" s="124">
        <f>'ITC Limited Income Statement'!C20+'ITC Limited Income Statement'!C22+'ITC Limited Income Statement'!C23</f>
        <v>6202.3799999999992</v>
      </c>
      <c r="C124" s="124">
        <f>'ITC Limited Income Statement'!B20+'ITC Limited Income Statement'!B22+'ITC Limited Income Statement'!B23</f>
        <v>6123.55</v>
      </c>
      <c r="D124" s="124">
        <f>D35+D37</f>
        <v>8874.4930860396507</v>
      </c>
      <c r="E124" s="124">
        <f>E35+E37</f>
        <v>9498.0393787283356</v>
      </c>
      <c r="F124" s="124">
        <f>F35+F37</f>
        <v>10165.211328400503</v>
      </c>
      <c r="G124" s="124">
        <f>G35+G37</f>
        <v>10879.062731045</v>
      </c>
      <c r="H124" s="132">
        <f>H35+H37</f>
        <v>11642.86114836989</v>
      </c>
      <c r="I124" s="89" t="s">
        <v>478</v>
      </c>
      <c r="J124" s="99" t="s">
        <v>534</v>
      </c>
    </row>
    <row r="125" spans="1:10" x14ac:dyDescent="0.45">
      <c r="A125" s="104" t="s">
        <v>548</v>
      </c>
      <c r="B125" s="122">
        <f>B123-B124</f>
        <v>20403.070000000014</v>
      </c>
      <c r="C125" s="122">
        <f t="shared" ref="C125:H125" si="50">C123-C124</f>
        <v>26243.989999999976</v>
      </c>
      <c r="D125" s="122">
        <f t="shared" si="50"/>
        <v>23492.008966731322</v>
      </c>
      <c r="E125" s="122">
        <f t="shared" si="50"/>
        <v>23193.889702978566</v>
      </c>
      <c r="F125" s="122">
        <f t="shared" si="50"/>
        <v>24735.520404973591</v>
      </c>
      <c r="G125" s="122">
        <f t="shared" si="50"/>
        <v>26374.577537335441</v>
      </c>
      <c r="H125" s="122">
        <f t="shared" si="50"/>
        <v>28116.628344555211</v>
      </c>
      <c r="I125" s="89" t="s">
        <v>478</v>
      </c>
      <c r="J125" s="99"/>
    </row>
    <row r="126" spans="1:10" x14ac:dyDescent="0.45">
      <c r="A126" s="95"/>
      <c r="B126" s="115"/>
      <c r="C126" s="115"/>
      <c r="D126" s="115"/>
      <c r="E126" s="115"/>
      <c r="F126" s="115"/>
      <c r="G126" s="115"/>
      <c r="H126" s="115"/>
      <c r="I126" s="89" t="s">
        <v>478</v>
      </c>
      <c r="J126" s="99"/>
    </row>
    <row r="127" spans="1:10" x14ac:dyDescent="0.45">
      <c r="A127" s="95"/>
      <c r="B127" s="115"/>
      <c r="C127" s="115"/>
      <c r="D127" s="115"/>
      <c r="E127" s="115"/>
      <c r="F127" s="115"/>
      <c r="G127" s="115"/>
      <c r="H127" s="115"/>
      <c r="I127" s="89" t="s">
        <v>478</v>
      </c>
      <c r="J127" s="99"/>
    </row>
    <row r="128" spans="1:10" x14ac:dyDescent="0.45">
      <c r="A128" s="104" t="s">
        <v>551</v>
      </c>
      <c r="B128" s="115"/>
      <c r="C128" s="115"/>
      <c r="D128" s="115"/>
      <c r="E128" s="115"/>
      <c r="F128" s="115"/>
      <c r="G128" s="115"/>
      <c r="H128" s="115"/>
      <c r="I128" s="89" t="s">
        <v>478</v>
      </c>
      <c r="J128" s="99"/>
    </row>
    <row r="129" spans="1:10" x14ac:dyDescent="0.45">
      <c r="A129" s="95" t="s">
        <v>542</v>
      </c>
      <c r="B129" s="115">
        <f>-('ITC Limited Balance Sheet'!C28-'ITC Limited Balance Sheet'!D28+'ITC Limited Income Statement'!C16)</f>
        <v>-19472.600000000002</v>
      </c>
      <c r="C129" s="115">
        <f>-('ITC Limited Balance Sheet'!B28-'ITC Limited Balance Sheet'!C28+'ITC Limited Income Statement'!B16)</f>
        <v>-21022.260000000002</v>
      </c>
      <c r="D129" s="123">
        <f>D159-C159</f>
        <v>-2384.1194415772225</v>
      </c>
      <c r="E129" s="123">
        <f t="shared" ref="E129:H129" si="51">E159-D159</f>
        <v>-2535.9978424876426</v>
      </c>
      <c r="F129" s="123">
        <f t="shared" si="51"/>
        <v>-2713.5176914617587</v>
      </c>
      <c r="G129" s="123">
        <f t="shared" si="51"/>
        <v>-2903.4639298641196</v>
      </c>
      <c r="H129" s="123">
        <f t="shared" si="51"/>
        <v>-3106.7064049545625</v>
      </c>
      <c r="I129" s="89" t="s">
        <v>478</v>
      </c>
      <c r="J129" s="99" t="s">
        <v>520</v>
      </c>
    </row>
    <row r="130" spans="1:10" x14ac:dyDescent="0.45">
      <c r="A130" s="95" t="s">
        <v>543</v>
      </c>
      <c r="B130" s="115">
        <f>-('ITC Limited Balance Sheet'!C29-'ITC Limited Balance Sheet'!D29)</f>
        <v>394.56999999999971</v>
      </c>
      <c r="C130" s="115">
        <f t="shared" ref="C130:H132" si="52">-(C62-B62)</f>
        <v>-5987.4399999999987</v>
      </c>
      <c r="D130" s="115">
        <f t="shared" si="52"/>
        <v>0</v>
      </c>
      <c r="E130" s="115">
        <f t="shared" si="52"/>
        <v>0</v>
      </c>
      <c r="F130" s="115">
        <f t="shared" si="52"/>
        <v>0</v>
      </c>
      <c r="G130" s="115">
        <f t="shared" si="52"/>
        <v>0</v>
      </c>
      <c r="H130" s="115">
        <f t="shared" si="52"/>
        <v>0</v>
      </c>
      <c r="I130" s="89" t="s">
        <v>478</v>
      </c>
      <c r="J130" s="99" t="s">
        <v>593</v>
      </c>
    </row>
    <row r="131" spans="1:10" x14ac:dyDescent="0.45">
      <c r="A131" s="95" t="s">
        <v>545</v>
      </c>
      <c r="B131" s="115">
        <f>-('ITC Limited Balance Sheet'!C30-'ITC Limited Balance Sheet'!D30)</f>
        <v>1.1299999999999999</v>
      </c>
      <c r="C131" s="115">
        <f t="shared" si="52"/>
        <v>1.4300000000000006</v>
      </c>
      <c r="D131" s="115">
        <f t="shared" si="52"/>
        <v>0</v>
      </c>
      <c r="E131" s="115">
        <f t="shared" si="52"/>
        <v>0</v>
      </c>
      <c r="F131" s="115">
        <f t="shared" si="52"/>
        <v>0</v>
      </c>
      <c r="G131" s="115">
        <f t="shared" si="52"/>
        <v>0</v>
      </c>
      <c r="H131" s="115">
        <f t="shared" si="52"/>
        <v>0</v>
      </c>
      <c r="I131" s="89" t="s">
        <v>478</v>
      </c>
      <c r="J131" s="99" t="s">
        <v>593</v>
      </c>
    </row>
    <row r="132" spans="1:10" ht="13.5" thickBot="1" x14ac:dyDescent="0.5">
      <c r="A132" s="98" t="s">
        <v>544</v>
      </c>
      <c r="B132" s="124">
        <f>-('ITC Limited Balance Sheet'!C31-'ITC Limited Balance Sheet'!D31)</f>
        <v>-1403.52</v>
      </c>
      <c r="C132" s="124">
        <f t="shared" si="52"/>
        <v>2484.1799999999998</v>
      </c>
      <c r="D132" s="124">
        <f t="shared" si="52"/>
        <v>0</v>
      </c>
      <c r="E132" s="124">
        <f t="shared" si="52"/>
        <v>0</v>
      </c>
      <c r="F132" s="124">
        <f t="shared" si="52"/>
        <v>0</v>
      </c>
      <c r="G132" s="124">
        <f t="shared" si="52"/>
        <v>0</v>
      </c>
      <c r="H132" s="132">
        <f t="shared" si="52"/>
        <v>0</v>
      </c>
      <c r="I132" s="89" t="s">
        <v>478</v>
      </c>
      <c r="J132" s="99" t="s">
        <v>593</v>
      </c>
    </row>
    <row r="133" spans="1:10" x14ac:dyDescent="0.45">
      <c r="A133" s="104" t="s">
        <v>547</v>
      </c>
      <c r="B133" s="122">
        <f>SUM(B129:B132)</f>
        <v>-20480.420000000002</v>
      </c>
      <c r="C133" s="122">
        <f t="shared" ref="C133:H133" si="53">SUM(C129:C132)</f>
        <v>-24524.09</v>
      </c>
      <c r="D133" s="122">
        <f t="shared" si="53"/>
        <v>-2384.1194415772225</v>
      </c>
      <c r="E133" s="122">
        <f t="shared" si="53"/>
        <v>-2535.9978424876426</v>
      </c>
      <c r="F133" s="122">
        <f t="shared" si="53"/>
        <v>-2713.5176914617587</v>
      </c>
      <c r="G133" s="122">
        <f t="shared" si="53"/>
        <v>-2903.4639298641196</v>
      </c>
      <c r="H133" s="122">
        <f t="shared" si="53"/>
        <v>-3106.7064049545625</v>
      </c>
      <c r="I133" s="89" t="s">
        <v>478</v>
      </c>
      <c r="J133" s="99"/>
    </row>
    <row r="134" spans="1:10" x14ac:dyDescent="0.45">
      <c r="A134" s="95"/>
      <c r="B134" s="115"/>
      <c r="C134" s="115"/>
      <c r="D134" s="115"/>
      <c r="E134" s="115"/>
      <c r="F134" s="115"/>
      <c r="G134" s="115"/>
      <c r="H134" s="115"/>
      <c r="I134" s="89" t="s">
        <v>478</v>
      </c>
      <c r="J134" s="99"/>
    </row>
    <row r="135" spans="1:10" x14ac:dyDescent="0.45">
      <c r="A135" s="95"/>
      <c r="B135" s="115"/>
      <c r="C135" s="115"/>
      <c r="D135" s="115"/>
      <c r="E135" s="115"/>
      <c r="F135" s="115"/>
      <c r="G135" s="115"/>
      <c r="H135" s="115"/>
      <c r="I135" s="89" t="s">
        <v>478</v>
      </c>
      <c r="J135" s="99"/>
    </row>
    <row r="136" spans="1:10" x14ac:dyDescent="0.45">
      <c r="A136" s="104" t="s">
        <v>546</v>
      </c>
      <c r="B136" s="115"/>
      <c r="C136" s="115"/>
      <c r="D136" s="115"/>
      <c r="E136" s="115"/>
      <c r="F136" s="115"/>
      <c r="G136" s="115"/>
      <c r="H136" s="115"/>
      <c r="I136" s="89" t="s">
        <v>478</v>
      </c>
      <c r="J136" s="99"/>
    </row>
    <row r="137" spans="1:10" x14ac:dyDescent="0.45">
      <c r="A137" s="95" t="s">
        <v>552</v>
      </c>
      <c r="B137" s="115">
        <f>'ITC Limited Balance Sheet'!C7-'ITC Limited Balance Sheet'!D7</f>
        <v>10.470000000000027</v>
      </c>
      <c r="C137" s="115">
        <f t="shared" ref="C137:H137" si="54">C75-B75</f>
        <v>5.6700000000000728</v>
      </c>
      <c r="D137" s="115">
        <f t="shared" si="54"/>
        <v>0</v>
      </c>
      <c r="E137" s="115">
        <f t="shared" si="54"/>
        <v>0</v>
      </c>
      <c r="F137" s="115">
        <f t="shared" si="54"/>
        <v>0</v>
      </c>
      <c r="G137" s="115">
        <f t="shared" si="54"/>
        <v>0</v>
      </c>
      <c r="H137" s="115">
        <f t="shared" si="54"/>
        <v>0</v>
      </c>
      <c r="I137" s="89" t="s">
        <v>478</v>
      </c>
      <c r="J137" s="99" t="s">
        <v>593</v>
      </c>
    </row>
    <row r="138" spans="1:10" x14ac:dyDescent="0.45">
      <c r="A138" s="95" t="s">
        <v>554</v>
      </c>
      <c r="B138" s="115">
        <f>'ITC Limited Balance Sheet'!C14-'ITC Limited Balance Sheet'!D14</f>
        <v>294.00999999999976</v>
      </c>
      <c r="C138" s="115">
        <f t="shared" ref="C138:H138" si="55">C92-B92</f>
        <v>613.65000000000009</v>
      </c>
      <c r="D138" s="115">
        <f t="shared" si="55"/>
        <v>-32.853999999999814</v>
      </c>
      <c r="E138" s="115">
        <f t="shared" si="55"/>
        <v>-32.853999999999814</v>
      </c>
      <c r="F138" s="115">
        <f t="shared" si="55"/>
        <v>-32.853999999999814</v>
      </c>
      <c r="G138" s="115">
        <f t="shared" si="55"/>
        <v>-32.853999999999814</v>
      </c>
      <c r="H138" s="115">
        <f t="shared" si="55"/>
        <v>-32.853999999999814</v>
      </c>
      <c r="I138" s="89" t="s">
        <v>478</v>
      </c>
      <c r="J138" s="99" t="s">
        <v>593</v>
      </c>
    </row>
    <row r="139" spans="1:10" ht="13.5" thickBot="1" x14ac:dyDescent="0.5">
      <c r="A139" s="98" t="s">
        <v>553</v>
      </c>
      <c r="B139" s="124">
        <f>'ITC Limited Balance Sheet'!C13-'ITC Limited Balance Sheet'!D13</f>
        <v>-1.3599999999999994</v>
      </c>
      <c r="C139" s="124">
        <f t="shared" ref="C139:H139" si="56">C91-B91</f>
        <v>-1.7300000000000002</v>
      </c>
      <c r="D139" s="124">
        <f t="shared" si="56"/>
        <v>0.86499999999999999</v>
      </c>
      <c r="E139" s="124">
        <f t="shared" si="56"/>
        <v>0</v>
      </c>
      <c r="F139" s="124">
        <f t="shared" si="56"/>
        <v>0</v>
      </c>
      <c r="G139" s="124">
        <f t="shared" si="56"/>
        <v>0</v>
      </c>
      <c r="H139" s="132">
        <f t="shared" si="56"/>
        <v>0</v>
      </c>
      <c r="I139" s="89" t="s">
        <v>478</v>
      </c>
      <c r="J139" s="99" t="s">
        <v>593</v>
      </c>
    </row>
    <row r="140" spans="1:10" x14ac:dyDescent="0.45">
      <c r="A140" s="104" t="s">
        <v>555</v>
      </c>
      <c r="B140" s="122">
        <f>SUM(B137:B139)</f>
        <v>303.11999999999978</v>
      </c>
      <c r="C140" s="122">
        <f t="shared" ref="C140:H140" si="57">SUM(C137:C139)</f>
        <v>617.59000000000015</v>
      </c>
      <c r="D140" s="122">
        <f t="shared" si="57"/>
        <v>-31.988999999999816</v>
      </c>
      <c r="E140" s="122">
        <f t="shared" si="57"/>
        <v>-32.853999999999814</v>
      </c>
      <c r="F140" s="122">
        <f t="shared" si="57"/>
        <v>-32.853999999999814</v>
      </c>
      <c r="G140" s="122">
        <f t="shared" si="57"/>
        <v>-32.853999999999814</v>
      </c>
      <c r="H140" s="122">
        <f t="shared" si="57"/>
        <v>-32.853999999999814</v>
      </c>
      <c r="I140" s="89" t="s">
        <v>478</v>
      </c>
      <c r="J140" s="99"/>
    </row>
    <row r="141" spans="1:10" x14ac:dyDescent="0.45">
      <c r="A141" s="95"/>
      <c r="B141" s="115"/>
      <c r="C141" s="115"/>
      <c r="D141" s="115"/>
      <c r="E141" s="115"/>
      <c r="F141" s="115"/>
      <c r="G141" s="115"/>
      <c r="H141" s="115"/>
      <c r="I141" s="89" t="s">
        <v>478</v>
      </c>
      <c r="J141" s="99"/>
    </row>
    <row r="142" spans="1:10" x14ac:dyDescent="0.45">
      <c r="A142" s="95"/>
      <c r="B142" s="115"/>
      <c r="C142" s="115"/>
      <c r="D142" s="115"/>
      <c r="E142" s="115"/>
      <c r="F142" s="115"/>
      <c r="G142" s="115"/>
      <c r="H142" s="115"/>
      <c r="I142" s="89" t="s">
        <v>478</v>
      </c>
      <c r="J142" s="99"/>
    </row>
    <row r="143" spans="1:10" x14ac:dyDescent="0.45">
      <c r="A143" s="104" t="s">
        <v>556</v>
      </c>
      <c r="B143" s="122">
        <f>B125+B133+B140</f>
        <v>225.77000000001215</v>
      </c>
      <c r="C143" s="122">
        <f t="shared" ref="C143:H143" si="58">C125+C133+C140</f>
        <v>2337.4899999999761</v>
      </c>
      <c r="D143" s="122">
        <f>D125+D133+D140</f>
        <v>21075.900525154098</v>
      </c>
      <c r="E143" s="122">
        <f t="shared" si="58"/>
        <v>20625.037860490924</v>
      </c>
      <c r="F143" s="122">
        <f t="shared" si="58"/>
        <v>21989.148713511833</v>
      </c>
      <c r="G143" s="122">
        <f t="shared" si="58"/>
        <v>23438.259607471322</v>
      </c>
      <c r="H143" s="122">
        <f t="shared" si="58"/>
        <v>24977.067939600649</v>
      </c>
      <c r="I143" s="89" t="s">
        <v>478</v>
      </c>
      <c r="J143" s="99"/>
    </row>
    <row r="144" spans="1:10" ht="13.5" thickBot="1" x14ac:dyDescent="0.5">
      <c r="A144" s="98" t="s">
        <v>557</v>
      </c>
      <c r="B144" s="124">
        <f>'ITC Limited Balance Sheet'!D38</f>
        <v>4654.42</v>
      </c>
      <c r="C144" s="124">
        <f t="shared" ref="C144:H144" si="59">B55</f>
        <v>4880.1900000000123</v>
      </c>
      <c r="D144" s="124">
        <f t="shared" si="59"/>
        <v>7217.6799999999885</v>
      </c>
      <c r="E144" s="124">
        <f t="shared" si="59"/>
        <v>28293.580525154088</v>
      </c>
      <c r="F144" s="124">
        <f t="shared" si="59"/>
        <v>48918.618385645008</v>
      </c>
      <c r="G144" s="124">
        <f t="shared" si="59"/>
        <v>70907.767099156845</v>
      </c>
      <c r="H144" s="132">
        <f t="shared" si="59"/>
        <v>94346.026706628167</v>
      </c>
      <c r="I144" s="89" t="s">
        <v>478</v>
      </c>
      <c r="J144" s="99" t="s">
        <v>593</v>
      </c>
    </row>
    <row r="145" spans="1:10" x14ac:dyDescent="0.45">
      <c r="A145" s="104" t="s">
        <v>558</v>
      </c>
      <c r="B145" s="122">
        <f>B143+B144</f>
        <v>4880.1900000000123</v>
      </c>
      <c r="C145" s="122">
        <f t="shared" ref="C145:H145" si="60">C143+C144</f>
        <v>7217.6799999999885</v>
      </c>
      <c r="D145" s="122">
        <f t="shared" si="60"/>
        <v>28293.580525154088</v>
      </c>
      <c r="E145" s="122">
        <f t="shared" si="60"/>
        <v>48918.618385645008</v>
      </c>
      <c r="F145" s="122">
        <f t="shared" si="60"/>
        <v>70907.767099156845</v>
      </c>
      <c r="G145" s="122">
        <f t="shared" si="60"/>
        <v>94346.026706628167</v>
      </c>
      <c r="H145" s="122">
        <f t="shared" si="60"/>
        <v>119323.09464622881</v>
      </c>
      <c r="I145" s="89" t="s">
        <v>478</v>
      </c>
      <c r="J145" s="99"/>
    </row>
    <row r="146" spans="1:10" x14ac:dyDescent="0.45">
      <c r="A146" s="95"/>
      <c r="B146" s="115"/>
      <c r="C146" s="115"/>
      <c r="D146" s="115"/>
      <c r="E146" s="115"/>
      <c r="F146" s="115"/>
      <c r="G146" s="115"/>
      <c r="H146" s="115"/>
      <c r="I146" s="89" t="s">
        <v>478</v>
      </c>
      <c r="J146" s="99"/>
    </row>
    <row r="147" spans="1:10" x14ac:dyDescent="0.45">
      <c r="A147" s="95"/>
      <c r="B147" s="115"/>
      <c r="C147" s="115"/>
      <c r="D147" s="115"/>
      <c r="E147" s="115"/>
      <c r="F147" s="115"/>
      <c r="G147" s="115"/>
      <c r="H147" s="115"/>
      <c r="I147" s="89" t="s">
        <v>478</v>
      </c>
      <c r="J147" s="99"/>
    </row>
    <row r="148" spans="1:10" x14ac:dyDescent="0.45">
      <c r="A148" s="95"/>
      <c r="B148" s="115"/>
      <c r="C148" s="115"/>
      <c r="D148" s="115"/>
      <c r="E148" s="115"/>
      <c r="F148" s="115"/>
      <c r="G148" s="115"/>
      <c r="H148" s="115"/>
      <c r="I148" s="89" t="s">
        <v>478</v>
      </c>
      <c r="J148" s="99"/>
    </row>
    <row r="149" spans="1:10" x14ac:dyDescent="0.45">
      <c r="A149" s="97" t="s">
        <v>578</v>
      </c>
      <c r="B149" s="125"/>
      <c r="C149" s="125"/>
      <c r="D149" s="125"/>
      <c r="E149" s="125"/>
      <c r="F149" s="125"/>
      <c r="G149" s="125"/>
      <c r="H149" s="125"/>
      <c r="I149" s="89" t="s">
        <v>478</v>
      </c>
      <c r="J149" s="99"/>
    </row>
    <row r="150" spans="1:10" x14ac:dyDescent="0.45">
      <c r="A150" s="95"/>
      <c r="B150" s="115"/>
      <c r="C150" s="115"/>
      <c r="D150" s="115"/>
      <c r="E150" s="115"/>
      <c r="F150" s="115"/>
      <c r="G150" s="115"/>
      <c r="H150" s="115"/>
      <c r="I150" s="89" t="s">
        <v>478</v>
      </c>
      <c r="J150" s="99"/>
    </row>
    <row r="151" spans="1:10" x14ac:dyDescent="0.45">
      <c r="A151" s="95"/>
      <c r="B151" s="115"/>
      <c r="C151" s="115"/>
      <c r="D151" s="115"/>
      <c r="E151" s="115"/>
      <c r="F151" s="115"/>
      <c r="G151" s="115"/>
      <c r="H151" s="115"/>
      <c r="I151" s="89" t="s">
        <v>478</v>
      </c>
      <c r="J151" s="99"/>
    </row>
    <row r="152" spans="1:10" x14ac:dyDescent="0.45">
      <c r="A152" s="135" t="s">
        <v>570</v>
      </c>
      <c r="B152" s="136"/>
      <c r="C152" s="136"/>
      <c r="D152" s="136"/>
      <c r="E152" s="136"/>
      <c r="F152" s="136"/>
      <c r="G152" s="136"/>
      <c r="H152" s="136"/>
      <c r="I152" s="89" t="s">
        <v>478</v>
      </c>
      <c r="J152" s="99"/>
    </row>
    <row r="153" spans="1:10" x14ac:dyDescent="0.45">
      <c r="A153" s="95"/>
      <c r="B153" s="115"/>
      <c r="C153" s="115"/>
      <c r="D153" s="115"/>
      <c r="E153" s="115"/>
      <c r="F153" s="115"/>
      <c r="G153" s="115"/>
      <c r="H153" s="115"/>
      <c r="I153" s="89" t="s">
        <v>478</v>
      </c>
      <c r="J153" s="99"/>
    </row>
    <row r="154" spans="1:10" x14ac:dyDescent="0.45">
      <c r="A154" s="95"/>
      <c r="B154" s="115"/>
      <c r="C154" s="115"/>
      <c r="D154" s="115"/>
      <c r="E154" s="115"/>
      <c r="F154" s="115"/>
      <c r="G154" s="115"/>
      <c r="H154" s="115"/>
      <c r="I154" s="89" t="s">
        <v>478</v>
      </c>
      <c r="J154" s="99"/>
    </row>
    <row r="155" spans="1:10" x14ac:dyDescent="0.45">
      <c r="A155" s="95" t="s">
        <v>571</v>
      </c>
      <c r="B155" s="115">
        <f>'ITC Limited Balance Sheet'!D28</f>
        <v>26677.399999999998</v>
      </c>
      <c r="C155" s="115">
        <f>B159</f>
        <v>28074.84</v>
      </c>
      <c r="D155" s="115">
        <f>C159</f>
        <v>29901.27</v>
      </c>
      <c r="E155" s="115">
        <f t="shared" ref="E155:H155" si="61">D159</f>
        <v>27517.150558422778</v>
      </c>
      <c r="F155" s="115">
        <f t="shared" si="61"/>
        <v>24981.152715935135</v>
      </c>
      <c r="G155" s="115">
        <f t="shared" si="61"/>
        <v>22267.635024473377</v>
      </c>
      <c r="H155" s="115">
        <f t="shared" si="61"/>
        <v>19364.171094609257</v>
      </c>
      <c r="I155" s="89" t="s">
        <v>478</v>
      </c>
      <c r="J155" s="99" t="s">
        <v>587</v>
      </c>
    </row>
    <row r="156" spans="1:10" x14ac:dyDescent="0.45">
      <c r="A156" s="95" t="s">
        <v>584</v>
      </c>
      <c r="B156" s="179">
        <v>3900.79</v>
      </c>
      <c r="C156" s="179">
        <v>1685.25</v>
      </c>
      <c r="D156" s="179">
        <v>2356.0634415772374</v>
      </c>
      <c r="E156" s="179">
        <v>2535.9978424876281</v>
      </c>
      <c r="F156" s="179">
        <v>2713.5176914617791</v>
      </c>
      <c r="G156" s="179">
        <v>2903.4639298640691</v>
      </c>
      <c r="H156" s="179">
        <v>3106.7064049545988</v>
      </c>
      <c r="I156" s="89" t="s">
        <v>478</v>
      </c>
      <c r="J156" s="99" t="s">
        <v>590</v>
      </c>
    </row>
    <row r="157" spans="1:10" x14ac:dyDescent="0.45">
      <c r="A157" s="95" t="s">
        <v>572</v>
      </c>
      <c r="B157" s="107">
        <f>-B158/B28</f>
        <v>7.2660769029698549E-2</v>
      </c>
      <c r="C157" s="107">
        <f>-C158/C28</f>
        <v>4.7707313415073525E-2</v>
      </c>
      <c r="D157" s="176">
        <f>AVERAGE(B157:C157)</f>
        <v>6.0184041222386034E-2</v>
      </c>
      <c r="E157" s="176">
        <f>D157</f>
        <v>6.0184041222386034E-2</v>
      </c>
      <c r="F157" s="176">
        <f t="shared" ref="F157:H157" si="62">E157</f>
        <v>6.0184041222386034E-2</v>
      </c>
      <c r="G157" s="176">
        <f t="shared" si="62"/>
        <v>6.0184041222386034E-2</v>
      </c>
      <c r="H157" s="176">
        <f t="shared" si="62"/>
        <v>6.0184041222386034E-2</v>
      </c>
      <c r="I157" s="89" t="s">
        <v>478</v>
      </c>
      <c r="J157" s="99" t="s">
        <v>525</v>
      </c>
    </row>
    <row r="158" spans="1:10" ht="13.5" thickBot="1" x14ac:dyDescent="0.5">
      <c r="A158" s="98" t="s">
        <v>573</v>
      </c>
      <c r="B158" s="177">
        <v>-5298.23</v>
      </c>
      <c r="C158" s="177">
        <v>-3511.68</v>
      </c>
      <c r="D158" s="124">
        <f>-D157*D28</f>
        <v>-4740.1828831544581</v>
      </c>
      <c r="E158" s="124">
        <f t="shared" ref="E158:H158" si="63">-E157*E28</f>
        <v>-5071.9956849752707</v>
      </c>
      <c r="F158" s="124">
        <f t="shared" si="63"/>
        <v>-5427.0353829235401</v>
      </c>
      <c r="G158" s="124">
        <f t="shared" si="63"/>
        <v>-5806.9278597281873</v>
      </c>
      <c r="H158" s="124">
        <f t="shared" si="63"/>
        <v>-6213.4128099091613</v>
      </c>
      <c r="I158" s="89" t="s">
        <v>478</v>
      </c>
      <c r="J158" s="99" t="s">
        <v>589</v>
      </c>
    </row>
    <row r="159" spans="1:10" x14ac:dyDescent="0.45">
      <c r="A159" s="104" t="s">
        <v>576</v>
      </c>
      <c r="B159" s="122">
        <f>B61</f>
        <v>28074.84</v>
      </c>
      <c r="C159" s="122">
        <f>C61</f>
        <v>29901.27</v>
      </c>
      <c r="D159" s="122">
        <f>D155+D156+D158</f>
        <v>27517.150558422778</v>
      </c>
      <c r="E159" s="122">
        <f t="shared" ref="E159:H159" si="64">E155+E156+E158</f>
        <v>24981.152715935135</v>
      </c>
      <c r="F159" s="122">
        <f t="shared" si="64"/>
        <v>22267.635024473377</v>
      </c>
      <c r="G159" s="122">
        <f t="shared" si="64"/>
        <v>19364.171094609257</v>
      </c>
      <c r="H159" s="122">
        <f t="shared" si="64"/>
        <v>16257.464689654695</v>
      </c>
      <c r="I159" s="89" t="s">
        <v>478</v>
      </c>
      <c r="J159" s="99"/>
    </row>
    <row r="160" spans="1:10" x14ac:dyDescent="0.45">
      <c r="A160" s="95"/>
      <c r="B160" s="115"/>
      <c r="C160" s="115"/>
      <c r="D160" s="115"/>
      <c r="E160" s="115"/>
      <c r="F160" s="115"/>
      <c r="G160" s="115"/>
      <c r="H160" s="115"/>
      <c r="I160" s="89" t="s">
        <v>478</v>
      </c>
      <c r="J160" s="99"/>
    </row>
    <row r="161" spans="1:10" x14ac:dyDescent="0.45">
      <c r="A161" s="95"/>
      <c r="B161" s="115"/>
      <c r="C161" s="115"/>
      <c r="D161" s="115"/>
      <c r="E161" s="115"/>
      <c r="F161" s="115"/>
      <c r="G161" s="115"/>
      <c r="H161" s="115"/>
      <c r="I161" s="89" t="s">
        <v>478</v>
      </c>
      <c r="J161" s="99"/>
    </row>
    <row r="162" spans="1:10" x14ac:dyDescent="0.45">
      <c r="A162" s="135" t="s">
        <v>577</v>
      </c>
      <c r="B162" s="136"/>
      <c r="C162" s="136"/>
      <c r="D162" s="136"/>
      <c r="E162" s="136"/>
      <c r="F162" s="136"/>
      <c r="G162" s="136"/>
      <c r="H162" s="136"/>
      <c r="I162" s="89" t="s">
        <v>478</v>
      </c>
      <c r="J162" s="99"/>
    </row>
    <row r="163" spans="1:10" x14ac:dyDescent="0.45">
      <c r="A163" s="95"/>
      <c r="B163" s="115"/>
      <c r="C163" s="115"/>
      <c r="D163" s="115"/>
      <c r="E163" s="115"/>
      <c r="F163" s="115"/>
      <c r="G163" s="115"/>
      <c r="H163" s="115"/>
      <c r="I163" s="89" t="s">
        <v>478</v>
      </c>
      <c r="J163" s="99"/>
    </row>
    <row r="164" spans="1:10" x14ac:dyDescent="0.45">
      <c r="A164" s="95" t="s">
        <v>415</v>
      </c>
      <c r="B164" s="115">
        <f>B92</f>
        <v>2342.08</v>
      </c>
      <c r="C164" s="115">
        <f>C92</f>
        <v>2955.73</v>
      </c>
      <c r="D164" s="115">
        <f>C164-D165</f>
        <v>2922.8760000000002</v>
      </c>
      <c r="E164" s="115">
        <f t="shared" ref="E164:H164" si="65">D164-E165</f>
        <v>2890.0220000000004</v>
      </c>
      <c r="F164" s="115">
        <f t="shared" si="65"/>
        <v>2857.1680000000006</v>
      </c>
      <c r="G164" s="115">
        <f t="shared" si="65"/>
        <v>2824.3140000000008</v>
      </c>
      <c r="H164" s="115">
        <f t="shared" si="65"/>
        <v>2791.4600000000009</v>
      </c>
      <c r="I164" s="89" t="s">
        <v>478</v>
      </c>
      <c r="J164" s="99" t="s">
        <v>587</v>
      </c>
    </row>
    <row r="165" spans="1:10" x14ac:dyDescent="0.45">
      <c r="A165" s="95" t="s">
        <v>582</v>
      </c>
      <c r="B165" s="115">
        <f>B84</f>
        <v>35.32</v>
      </c>
      <c r="C165" s="115">
        <f t="shared" ref="C165:H165" si="66">C84</f>
        <v>9.52</v>
      </c>
      <c r="D165" s="115">
        <f t="shared" si="66"/>
        <v>32.853999999999999</v>
      </c>
      <c r="E165" s="115">
        <f t="shared" si="66"/>
        <v>32.853999999999999</v>
      </c>
      <c r="F165" s="115">
        <f t="shared" si="66"/>
        <v>32.853999999999999</v>
      </c>
      <c r="G165" s="115">
        <f t="shared" si="66"/>
        <v>32.853999999999999</v>
      </c>
      <c r="H165" s="115">
        <f t="shared" si="66"/>
        <v>32.853999999999999</v>
      </c>
      <c r="I165" s="89" t="s">
        <v>478</v>
      </c>
      <c r="J165" s="99" t="s">
        <v>587</v>
      </c>
    </row>
    <row r="166" spans="1:10" x14ac:dyDescent="0.45">
      <c r="A166" s="95"/>
      <c r="B166" s="115"/>
      <c r="C166" s="115"/>
      <c r="D166" s="115"/>
      <c r="E166" s="115"/>
      <c r="F166" s="115"/>
      <c r="G166" s="115"/>
      <c r="H166" s="115"/>
      <c r="I166" s="89" t="s">
        <v>478</v>
      </c>
      <c r="J166" s="99"/>
    </row>
    <row r="167" spans="1:10" x14ac:dyDescent="0.45">
      <c r="A167" s="95"/>
      <c r="B167" s="115"/>
      <c r="C167" s="115"/>
      <c r="D167" s="115"/>
      <c r="E167" s="115"/>
      <c r="F167" s="115"/>
      <c r="G167" s="115"/>
      <c r="H167" s="115"/>
      <c r="I167" s="89" t="s">
        <v>478</v>
      </c>
      <c r="J167" s="99"/>
    </row>
    <row r="168" spans="1:10" x14ac:dyDescent="0.45">
      <c r="A168" s="104" t="s">
        <v>585</v>
      </c>
      <c r="B168" s="115"/>
      <c r="C168" s="115"/>
      <c r="D168" s="115"/>
      <c r="E168" s="115"/>
      <c r="F168" s="115"/>
      <c r="G168" s="115"/>
      <c r="H168" s="115"/>
      <c r="I168" s="89" t="s">
        <v>478</v>
      </c>
      <c r="J168" s="99"/>
    </row>
    <row r="169" spans="1:10" x14ac:dyDescent="0.45">
      <c r="A169" s="95" t="s">
        <v>586</v>
      </c>
      <c r="B169" s="107">
        <f>B33/B164</f>
        <v>4.9558512091815825E-2</v>
      </c>
      <c r="C169" s="107">
        <f>C33/C164</f>
        <v>1.2988331139853775E-2</v>
      </c>
      <c r="D169" s="176">
        <f>AVERAGE(B169:C169)</f>
        <v>3.1273421615834802E-2</v>
      </c>
      <c r="E169" s="176">
        <f>D169</f>
        <v>3.1273421615834802E-2</v>
      </c>
      <c r="F169" s="176">
        <f t="shared" ref="F169:H169" si="67">E169</f>
        <v>3.1273421615834802E-2</v>
      </c>
      <c r="G169" s="176">
        <f t="shared" si="67"/>
        <v>3.1273421615834802E-2</v>
      </c>
      <c r="H169" s="176">
        <f t="shared" si="67"/>
        <v>3.1273421615834802E-2</v>
      </c>
      <c r="I169" s="89" t="s">
        <v>478</v>
      </c>
      <c r="J169" s="99" t="s">
        <v>525</v>
      </c>
    </row>
    <row r="170" spans="1:10" x14ac:dyDescent="0.45">
      <c r="A170" s="95"/>
      <c r="B170" s="115"/>
      <c r="C170" s="115"/>
      <c r="D170" s="115"/>
      <c r="E170" s="115"/>
      <c r="F170" s="115"/>
      <c r="G170" s="115"/>
      <c r="H170" s="115"/>
      <c r="I170" s="89" t="s">
        <v>478</v>
      </c>
      <c r="J170" s="99"/>
    </row>
    <row r="171" spans="1:10" x14ac:dyDescent="0.45">
      <c r="A171" s="95"/>
      <c r="B171" s="115"/>
      <c r="C171" s="115"/>
      <c r="D171" s="115"/>
      <c r="E171" s="115"/>
      <c r="F171" s="115"/>
      <c r="G171" s="115"/>
      <c r="H171" s="115"/>
      <c r="I171" s="89" t="s">
        <v>478</v>
      </c>
      <c r="J171" s="99"/>
    </row>
    <row r="172" spans="1:10" ht="13.5" thickBot="1" x14ac:dyDescent="0.5">
      <c r="A172" s="98" t="s">
        <v>591</v>
      </c>
      <c r="B172" s="124">
        <f>B169*B164</f>
        <v>116.07000000000001</v>
      </c>
      <c r="C172" s="124">
        <f t="shared" ref="C172:H172" si="68">C169*C164</f>
        <v>38.39</v>
      </c>
      <c r="D172" s="124">
        <f t="shared" si="68"/>
        <v>91.408333478804764</v>
      </c>
      <c r="E172" s="124">
        <f t="shared" si="68"/>
        <v>90.380876485038144</v>
      </c>
      <c r="F172" s="124">
        <f t="shared" si="68"/>
        <v>89.353419491271509</v>
      </c>
      <c r="G172" s="124">
        <f t="shared" si="68"/>
        <v>88.325962497504875</v>
      </c>
      <c r="H172" s="132">
        <f t="shared" si="68"/>
        <v>87.298505503738241</v>
      </c>
      <c r="I172" s="89" t="s">
        <v>478</v>
      </c>
      <c r="J172" s="99"/>
    </row>
    <row r="173" spans="1:10" x14ac:dyDescent="0.45">
      <c r="A173" s="104" t="s">
        <v>592</v>
      </c>
      <c r="B173" s="122">
        <f>B172</f>
        <v>116.07000000000001</v>
      </c>
      <c r="C173" s="122">
        <f t="shared" ref="C173:H173" si="69">C172</f>
        <v>38.39</v>
      </c>
      <c r="D173" s="122">
        <f t="shared" si="69"/>
        <v>91.408333478804764</v>
      </c>
      <c r="E173" s="122">
        <f t="shared" si="69"/>
        <v>90.380876485038144</v>
      </c>
      <c r="F173" s="122">
        <f t="shared" si="69"/>
        <v>89.353419491271509</v>
      </c>
      <c r="G173" s="122">
        <f t="shared" si="69"/>
        <v>88.325962497504875</v>
      </c>
      <c r="H173" s="122">
        <f t="shared" si="69"/>
        <v>87.298505503738241</v>
      </c>
      <c r="I173" s="89" t="s">
        <v>478</v>
      </c>
      <c r="J173" s="99"/>
    </row>
    <row r="174" spans="1:10" ht="13.5" thickBot="1" x14ac:dyDescent="0.5">
      <c r="A174" s="98"/>
      <c r="B174" s="124"/>
      <c r="C174" s="124"/>
      <c r="D174" s="124"/>
      <c r="E174" s="124"/>
      <c r="F174" s="124"/>
      <c r="G174" s="124"/>
      <c r="H174" s="124"/>
      <c r="I174" s="88" t="s">
        <v>478</v>
      </c>
      <c r="J174" s="100"/>
    </row>
    <row r="175" spans="1:10" x14ac:dyDescent="0.45">
      <c r="I175" s="86"/>
    </row>
  </sheetData>
  <mergeCells count="1">
    <mergeCell ref="J2:J3"/>
  </mergeCells>
  <pageMargins left="0.7" right="0.7" top="0.75" bottom="0.75" header="0.3" footer="0.3"/>
  <ignoredErrors>
    <ignoredError sqref="B31:B37 C31:C37 D31:H31 D35 E35:H35 D37 E37:H37 E85:H85 E92:H92 D33:H33" formula="1"/>
    <ignoredError sqref="B18:C2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53951-07E9-4EC4-9B46-20FAD8236C3F}">
  <sheetPr>
    <tabColor theme="4" tint="0.39997558519241921"/>
  </sheetPr>
  <dimension ref="A1:J131"/>
  <sheetViews>
    <sheetView showGridLines="0" zoomScale="59" zoomScaleNormal="59" workbookViewId="0">
      <pane xSplit="2" ySplit="3" topLeftCell="C4" activePane="bottomRight" state="frozen"/>
      <selection pane="topRight" activeCell="C1" sqref="C1"/>
      <selection pane="bottomLeft" activeCell="A8" sqref="A8"/>
      <selection pane="bottomRight" activeCell="A93" sqref="A93"/>
    </sheetView>
  </sheetViews>
  <sheetFormatPr defaultColWidth="8.73046875" defaultRowHeight="13.15" x14ac:dyDescent="0.45"/>
  <cols>
    <col min="1" max="1" width="69.9296875" style="23" bestFit="1" customWidth="1"/>
    <col min="2" max="2" width="13.46484375" style="23" bestFit="1" customWidth="1"/>
    <col min="3" max="4" width="9.53125" style="23" customWidth="1"/>
    <col min="5" max="7" width="9.53125" style="23" bestFit="1" customWidth="1"/>
    <col min="8" max="8" width="9.53125" style="23" customWidth="1"/>
    <col min="9" max="9" width="13.59765625" style="23" customWidth="1"/>
    <col min="10" max="10" width="87.796875" style="23" customWidth="1"/>
    <col min="11" max="16384" width="8.73046875" style="23"/>
  </cols>
  <sheetData>
    <row r="1" spans="1:10" ht="22.9" thickBot="1" x14ac:dyDescent="0.5">
      <c r="A1" s="203" t="s">
        <v>594</v>
      </c>
      <c r="B1" s="184" t="str">
        <f>'1. Part 1A - 3FS'!B2</f>
        <v>Historical</v>
      </c>
      <c r="C1" s="184" t="str">
        <f>'1. Part 1A - 3FS'!C2</f>
        <v>Historical</v>
      </c>
      <c r="D1" s="184" t="str">
        <f>'1. Part 1A - 3FS'!D2</f>
        <v>Projected</v>
      </c>
      <c r="E1" s="184" t="str">
        <f>'1. Part 1A - 3FS'!E2</f>
        <v>Projected</v>
      </c>
      <c r="F1" s="184" t="str">
        <f>'1. Part 1A - 3FS'!F2</f>
        <v>Projected</v>
      </c>
      <c r="G1" s="184" t="str">
        <f>'1. Part 1A - 3FS'!G2</f>
        <v>Projected</v>
      </c>
      <c r="H1" s="184" t="str">
        <f>'1. Part 1A - 3FS'!H2</f>
        <v>Projected</v>
      </c>
      <c r="I1" s="87"/>
      <c r="J1" s="240" t="str">
        <f>'1. Part 1A - 3FS'!J2</f>
        <v>Notes</v>
      </c>
    </row>
    <row r="2" spans="1:10" ht="22.9" thickBot="1" x14ac:dyDescent="0.5">
      <c r="A2" s="204" t="str">
        <f>'1. Part 1A - 3FS'!A3</f>
        <v>ITC Ltd.</v>
      </c>
      <c r="B2" s="101">
        <f>'1. Part 1A - 3FS'!B3</f>
        <v>2023</v>
      </c>
      <c r="C2" s="101">
        <f>B2+1</f>
        <v>2024</v>
      </c>
      <c r="D2" s="102">
        <f>C2+1</f>
        <v>2025</v>
      </c>
      <c r="E2" s="102">
        <f t="shared" ref="E2:H2" si="0">D2+1</f>
        <v>2026</v>
      </c>
      <c r="F2" s="102">
        <f t="shared" si="0"/>
        <v>2027</v>
      </c>
      <c r="G2" s="102">
        <f t="shared" si="0"/>
        <v>2028</v>
      </c>
      <c r="H2" s="102">
        <f t="shared" si="0"/>
        <v>2029</v>
      </c>
      <c r="I2" s="88"/>
      <c r="J2" s="241"/>
    </row>
    <row r="3" spans="1:10" x14ac:dyDescent="0.45">
      <c r="A3" s="104" t="str">
        <f>'1. Part 1A - 3FS'!A4</f>
        <v>(₹) in Crores</v>
      </c>
      <c r="I3" s="89" t="s">
        <v>478</v>
      </c>
      <c r="J3" s="99"/>
    </row>
    <row r="4" spans="1:10" x14ac:dyDescent="0.45">
      <c r="A4" s="95"/>
      <c r="I4" s="89" t="s">
        <v>478</v>
      </c>
      <c r="J4" s="99"/>
    </row>
    <row r="5" spans="1:10" x14ac:dyDescent="0.45">
      <c r="A5" s="96" t="s">
        <v>628</v>
      </c>
      <c r="B5" s="90"/>
      <c r="C5" s="90"/>
      <c r="D5" s="90"/>
      <c r="E5" s="90"/>
      <c r="F5" s="90"/>
      <c r="G5" s="90"/>
      <c r="H5" s="90"/>
      <c r="I5" s="89" t="s">
        <v>478</v>
      </c>
      <c r="J5" s="99"/>
    </row>
    <row r="6" spans="1:10" x14ac:dyDescent="0.45">
      <c r="A6" s="95"/>
      <c r="I6" s="89" t="s">
        <v>478</v>
      </c>
      <c r="J6" s="99"/>
    </row>
    <row r="7" spans="1:10" x14ac:dyDescent="0.45">
      <c r="A7" s="97" t="s">
        <v>607</v>
      </c>
      <c r="B7" s="186"/>
      <c r="C7" s="186"/>
      <c r="D7" s="186"/>
      <c r="E7" s="186"/>
      <c r="F7" s="186"/>
      <c r="G7" s="186"/>
      <c r="H7" s="186"/>
      <c r="I7" s="89" t="s">
        <v>478</v>
      </c>
      <c r="J7" s="99"/>
    </row>
    <row r="8" spans="1:10" x14ac:dyDescent="0.45">
      <c r="A8" s="95"/>
      <c r="I8" s="89" t="s">
        <v>478</v>
      </c>
      <c r="J8" s="99"/>
    </row>
    <row r="9" spans="1:10" x14ac:dyDescent="0.45">
      <c r="A9" s="104" t="s">
        <v>595</v>
      </c>
      <c r="B9" s="187">
        <f>'1. Part 1A - 3FS'!B32*(1-'1. Part 1A - 3FS'!B12)</f>
        <v>19368.954976310586</v>
      </c>
      <c r="C9" s="187">
        <f>'1. Part 1A - 3FS'!C32*(1-'1. Part 1A - 3FS'!C12)</f>
        <v>20768.239133850202</v>
      </c>
      <c r="D9" s="187">
        <f>'1. Part 1A - 3FS'!D32*(1-'1. Part 1A - 3FS'!D12)</f>
        <v>19847.88761759999</v>
      </c>
      <c r="E9" s="187">
        <f>'1. Part 1A - 3FS'!E32*(1-'1. Part 1A - 3FS'!E12)</f>
        <v>21237.239750831995</v>
      </c>
      <c r="F9" s="187">
        <f>'1. Part 1A - 3FS'!F32*(1-'1. Part 1A - 3FS'!F12)</f>
        <v>22723.846533390231</v>
      </c>
      <c r="G9" s="187">
        <f>'1. Part 1A - 3FS'!G32*(1-'1. Part 1A - 3FS'!G12)</f>
        <v>24314.51579072755</v>
      </c>
      <c r="H9" s="187">
        <f>'1. Part 1A - 3FS'!H32*(1-'1. Part 1A - 3FS'!H12)</f>
        <v>26016.531896078483</v>
      </c>
      <c r="I9" s="89" t="s">
        <v>478</v>
      </c>
      <c r="J9" s="99" t="s">
        <v>599</v>
      </c>
    </row>
    <row r="10" spans="1:10" x14ac:dyDescent="0.45">
      <c r="A10" s="104" t="s">
        <v>596</v>
      </c>
      <c r="I10" s="89" t="s">
        <v>478</v>
      </c>
      <c r="J10" s="99"/>
    </row>
    <row r="11" spans="1:10" x14ac:dyDescent="0.45">
      <c r="A11" s="95" t="s">
        <v>597</v>
      </c>
      <c r="B11" s="108">
        <f>-SUM('1. Part 1A - 3FS'!B108:B110)</f>
        <v>5239.07</v>
      </c>
      <c r="C11" s="108">
        <f>-SUM('1. Part 1A - 3FS'!C108:C110)</f>
        <v>3476.24</v>
      </c>
      <c r="D11" s="108">
        <f>-SUM('1. Part 1A - 3FS'!D108:D110)</f>
        <v>4740.1828831544581</v>
      </c>
      <c r="E11" s="108">
        <f>-SUM('1. Part 1A - 3FS'!E108:E110)</f>
        <v>5071.9956849752707</v>
      </c>
      <c r="F11" s="108">
        <f>-SUM('1. Part 1A - 3FS'!F108:F110)</f>
        <v>5427.0353829235401</v>
      </c>
      <c r="G11" s="108">
        <f>-SUM('1. Part 1A - 3FS'!G108:G110)</f>
        <v>5806.9278597281873</v>
      </c>
      <c r="H11" s="108">
        <f>-SUM('1. Part 1A - 3FS'!H108:H110)</f>
        <v>6213.4128099091613</v>
      </c>
      <c r="I11" s="89" t="s">
        <v>478</v>
      </c>
      <c r="J11" s="99" t="s">
        <v>600</v>
      </c>
    </row>
    <row r="12" spans="1:10" x14ac:dyDescent="0.45">
      <c r="A12" s="104" t="s">
        <v>468</v>
      </c>
      <c r="I12" s="89" t="s">
        <v>478</v>
      </c>
      <c r="J12" s="99"/>
    </row>
    <row r="13" spans="1:10" x14ac:dyDescent="0.45">
      <c r="A13" s="95" t="s">
        <v>584</v>
      </c>
      <c r="B13" s="108">
        <f>'1. Part 1A - 3FS'!B156</f>
        <v>3900.79</v>
      </c>
      <c r="C13" s="108">
        <f>'1. Part 1A - 3FS'!C156</f>
        <v>1685.25</v>
      </c>
      <c r="D13" s="108">
        <f>'1. Part 1A - 3FS'!D156</f>
        <v>2356.0634415772374</v>
      </c>
      <c r="E13" s="108">
        <f>'1. Part 1A - 3FS'!E156</f>
        <v>2535.9978424876281</v>
      </c>
      <c r="F13" s="108">
        <f>'1. Part 1A - 3FS'!F156</f>
        <v>2713.5176914617791</v>
      </c>
      <c r="G13" s="108">
        <f>'1. Part 1A - 3FS'!G156</f>
        <v>2903.4639298640691</v>
      </c>
      <c r="H13" s="108">
        <f>'1. Part 1A - 3FS'!H156</f>
        <v>3106.7064049545988</v>
      </c>
      <c r="I13" s="89" t="s">
        <v>478</v>
      </c>
      <c r="J13" s="99" t="s">
        <v>601</v>
      </c>
    </row>
    <row r="14" spans="1:10" ht="13.5" thickBot="1" x14ac:dyDescent="0.5">
      <c r="A14" s="98" t="s">
        <v>598</v>
      </c>
      <c r="B14" s="188">
        <f>('1. Part 1A - 3FS'!B58-'1. Part 1A - 3FS'!B88)-('ITC Limited Balance Sheet'!D41-'ITC Limited Balance Sheet'!D23)</f>
        <v>4642.4700000000048</v>
      </c>
      <c r="C14" s="188">
        <f>('1. Part 1A - 3FS'!C58-'1. Part 1A - 3FS'!C88)-('1. Part 1A - 3FS'!B58-'1. Part 1A - 3FS'!B88)</f>
        <v>663.92999999997483</v>
      </c>
      <c r="D14" s="188">
        <f>('1. Part 1A - 3FS'!D58-'1. Part 1A - 3FS'!D88)-('1. Part 1A - 3FS'!C58-'1. Part 1A - 3FS'!C88)</f>
        <v>21688.964190058767</v>
      </c>
      <c r="E14" s="188">
        <f>('1. Part 1A - 3FS'!E58-'1. Part 1A - 3FS'!E88)-('1. Part 1A - 3FS'!D58-'1. Part 1A - 3FS'!D88)</f>
        <v>23253.637517034244</v>
      </c>
      <c r="F14" s="188">
        <f>('1. Part 1A - 3FS'!F58-'1. Part 1A - 3FS'!F88)-('1. Part 1A - 3FS'!E58-'1. Part 1A - 3FS'!E88)</f>
        <v>24888.736848413202</v>
      </c>
      <c r="G14" s="188">
        <f>('1. Part 1A - 3FS'!G58-'1. Part 1A - 3FS'!G88)-('1. Part 1A - 3FS'!F58-'1. Part 1A - 3FS'!F88)</f>
        <v>26638.243794503782</v>
      </c>
      <c r="H14" s="189">
        <f>('1. Part 1A - 3FS'!H58-'1. Part 1A - 3FS'!H88)-('1. Part 1A - 3FS'!G58-'1. Part 1A - 3FS'!G88)</f>
        <v>28510.166888335923</v>
      </c>
      <c r="I14" s="89" t="s">
        <v>478</v>
      </c>
      <c r="J14" s="99" t="s">
        <v>602</v>
      </c>
    </row>
    <row r="15" spans="1:10" x14ac:dyDescent="0.45">
      <c r="A15" s="104" t="s">
        <v>608</v>
      </c>
      <c r="B15" s="187">
        <f>B9+B11-B13-B14</f>
        <v>16064.76497631058</v>
      </c>
      <c r="C15" s="187">
        <f t="shared" ref="C15:H15" si="1">C9+C11-C13-C14</f>
        <v>21895.299133850229</v>
      </c>
      <c r="D15" s="187">
        <f t="shared" si="1"/>
        <v>543.04286911844611</v>
      </c>
      <c r="E15" s="187">
        <f t="shared" si="1"/>
        <v>519.60007628539461</v>
      </c>
      <c r="F15" s="187">
        <f t="shared" si="1"/>
        <v>548.62737643878791</v>
      </c>
      <c r="G15" s="187">
        <f t="shared" si="1"/>
        <v>579.73592608788749</v>
      </c>
      <c r="H15" s="187">
        <f t="shared" si="1"/>
        <v>613.07141269712156</v>
      </c>
      <c r="I15" s="89" t="s">
        <v>478</v>
      </c>
      <c r="J15" s="99"/>
    </row>
    <row r="16" spans="1:10" x14ac:dyDescent="0.45">
      <c r="A16" s="104"/>
      <c r="I16" s="89" t="s">
        <v>478</v>
      </c>
      <c r="J16" s="99"/>
    </row>
    <row r="17" spans="1:10" x14ac:dyDescent="0.45">
      <c r="A17" s="104"/>
      <c r="I17" s="89" t="s">
        <v>478</v>
      </c>
      <c r="J17" s="99"/>
    </row>
    <row r="18" spans="1:10" x14ac:dyDescent="0.45">
      <c r="A18" s="95"/>
      <c r="I18" s="89" t="s">
        <v>478</v>
      </c>
      <c r="J18" s="99"/>
    </row>
    <row r="19" spans="1:10" x14ac:dyDescent="0.45">
      <c r="A19" s="97" t="s">
        <v>603</v>
      </c>
      <c r="B19" s="186"/>
      <c r="C19" s="186"/>
      <c r="D19" s="186"/>
      <c r="E19" s="186"/>
      <c r="F19" s="186"/>
      <c r="G19" s="186"/>
      <c r="H19" s="186"/>
      <c r="I19" s="89" t="s">
        <v>478</v>
      </c>
      <c r="J19" s="99"/>
    </row>
    <row r="20" spans="1:10" x14ac:dyDescent="0.45">
      <c r="A20" s="95"/>
      <c r="I20" s="89" t="s">
        <v>478</v>
      </c>
      <c r="J20" s="99"/>
    </row>
    <row r="21" spans="1:10" x14ac:dyDescent="0.45">
      <c r="A21" s="104" t="s">
        <v>604</v>
      </c>
      <c r="B21" s="187">
        <f>'1. Part 1A - 3FS'!B38</f>
        <v>19045.920000000009</v>
      </c>
      <c r="C21" s="187">
        <f>'1. Part 1A - 3FS'!C38</f>
        <v>20473.919999999973</v>
      </c>
      <c r="D21" s="187">
        <f>'1. Part 1A - 3FS'!D38</f>
        <v>19388.223748481534</v>
      </c>
      <c r="E21" s="187">
        <f>'1. Part 1A - 3FS'!E38</f>
        <v>20750.493674546622</v>
      </c>
      <c r="F21" s="187">
        <f>'1. Part 1A - 3FS'!F38</f>
        <v>22208.073156951417</v>
      </c>
      <c r="G21" s="187">
        <f>'1. Part 1A - 3FS'!G38</f>
        <v>23767.633864639713</v>
      </c>
      <c r="H21" s="187">
        <f>'1. Part 1A - 3FS'!H38</f>
        <v>25436.314483381349</v>
      </c>
      <c r="I21" s="89" t="s">
        <v>478</v>
      </c>
      <c r="J21" s="99" t="s">
        <v>599</v>
      </c>
    </row>
    <row r="22" spans="1:10" x14ac:dyDescent="0.45">
      <c r="A22" s="104" t="str">
        <f>A10</f>
        <v>Add:</v>
      </c>
      <c r="I22" s="89" t="s">
        <v>478</v>
      </c>
      <c r="J22" s="99"/>
    </row>
    <row r="23" spans="1:10" x14ac:dyDescent="0.45">
      <c r="A23" s="95" t="str">
        <f>A11</f>
        <v>Non-Cash Expenses</v>
      </c>
      <c r="B23" s="108">
        <f>B11</f>
        <v>5239.07</v>
      </c>
      <c r="C23" s="108">
        <f t="shared" ref="C23:H23" si="2">C11</f>
        <v>3476.24</v>
      </c>
      <c r="D23" s="108">
        <f t="shared" si="2"/>
        <v>4740.1828831544581</v>
      </c>
      <c r="E23" s="108">
        <f t="shared" si="2"/>
        <v>5071.9956849752707</v>
      </c>
      <c r="F23" s="108">
        <f t="shared" si="2"/>
        <v>5427.0353829235401</v>
      </c>
      <c r="G23" s="108">
        <f t="shared" si="2"/>
        <v>5806.9278597281873</v>
      </c>
      <c r="H23" s="108">
        <f t="shared" si="2"/>
        <v>6213.4128099091613</v>
      </c>
      <c r="I23" s="89" t="s">
        <v>478</v>
      </c>
      <c r="J23" s="99" t="s">
        <v>605</v>
      </c>
    </row>
    <row r="24" spans="1:10" x14ac:dyDescent="0.45">
      <c r="A24" s="104" t="str">
        <f>A12</f>
        <v>Less:</v>
      </c>
      <c r="I24" s="89" t="s">
        <v>478</v>
      </c>
      <c r="J24" s="99"/>
    </row>
    <row r="25" spans="1:10" x14ac:dyDescent="0.45">
      <c r="A25" s="95" t="str">
        <f>A13</f>
        <v>CAPEX</v>
      </c>
      <c r="B25" s="108">
        <f>B13</f>
        <v>3900.79</v>
      </c>
      <c r="C25" s="108">
        <f t="shared" ref="C25:H25" si="3">C13</f>
        <v>1685.25</v>
      </c>
      <c r="D25" s="108">
        <f t="shared" si="3"/>
        <v>2356.0634415772374</v>
      </c>
      <c r="E25" s="108">
        <f t="shared" si="3"/>
        <v>2535.9978424876281</v>
      </c>
      <c r="F25" s="108">
        <f t="shared" si="3"/>
        <v>2713.5176914617791</v>
      </c>
      <c r="G25" s="108">
        <f t="shared" si="3"/>
        <v>2903.4639298640691</v>
      </c>
      <c r="H25" s="108">
        <f t="shared" si="3"/>
        <v>3106.7064049545988</v>
      </c>
      <c r="I25" s="89" t="s">
        <v>478</v>
      </c>
      <c r="J25" s="99" t="s">
        <v>605</v>
      </c>
    </row>
    <row r="26" spans="1:10" x14ac:dyDescent="0.45">
      <c r="A26" s="95" t="str">
        <f>A14</f>
        <v>Net Increase/(Decrease) in Working Capital</v>
      </c>
      <c r="B26" s="108">
        <f>B14</f>
        <v>4642.4700000000048</v>
      </c>
      <c r="C26" s="108">
        <f t="shared" ref="C26:H26" si="4">C14</f>
        <v>663.92999999997483</v>
      </c>
      <c r="D26" s="108">
        <f t="shared" si="4"/>
        <v>21688.964190058767</v>
      </c>
      <c r="E26" s="108">
        <f t="shared" si="4"/>
        <v>23253.637517034244</v>
      </c>
      <c r="F26" s="108">
        <f t="shared" si="4"/>
        <v>24888.736848413202</v>
      </c>
      <c r="G26" s="108">
        <f t="shared" si="4"/>
        <v>26638.243794503782</v>
      </c>
      <c r="H26" s="108">
        <f t="shared" si="4"/>
        <v>28510.166888335923</v>
      </c>
      <c r="I26" s="89" t="s">
        <v>478</v>
      </c>
      <c r="J26" s="99" t="s">
        <v>605</v>
      </c>
    </row>
    <row r="27" spans="1:10" ht="13.5" thickBot="1" x14ac:dyDescent="0.5">
      <c r="A27" s="98" t="s">
        <v>606</v>
      </c>
      <c r="B27" s="188">
        <f>'1. Part 1A - 3FS'!B164-'ITC Limited Balance Sheet'!D14</f>
        <v>294.00999999999976</v>
      </c>
      <c r="C27" s="188">
        <f>'1. Part 1A - 3FS'!C164-'1. Part 1A - 3FS'!B164</f>
        <v>613.65000000000009</v>
      </c>
      <c r="D27" s="188">
        <f>'1. Part 1A - 3FS'!D164-'1. Part 1A - 3FS'!C164</f>
        <v>-32.853999999999814</v>
      </c>
      <c r="E27" s="188">
        <f>'1. Part 1A - 3FS'!E164-'1. Part 1A - 3FS'!D164</f>
        <v>-32.853999999999814</v>
      </c>
      <c r="F27" s="188">
        <f>'1. Part 1A - 3FS'!F164-'1. Part 1A - 3FS'!E164</f>
        <v>-32.853999999999814</v>
      </c>
      <c r="G27" s="188">
        <f>'1. Part 1A - 3FS'!G164-'1. Part 1A - 3FS'!F164</f>
        <v>-32.853999999999814</v>
      </c>
      <c r="H27" s="188">
        <f>'1. Part 1A - 3FS'!H164-'1. Part 1A - 3FS'!G164</f>
        <v>-32.853999999999814</v>
      </c>
      <c r="I27" s="89" t="s">
        <v>478</v>
      </c>
      <c r="J27" s="99" t="s">
        <v>610</v>
      </c>
    </row>
    <row r="28" spans="1:10" x14ac:dyDescent="0.45">
      <c r="A28" s="104" t="s">
        <v>609</v>
      </c>
      <c r="B28" s="187">
        <f>B21+B23-B25-B26-B27</f>
        <v>15447.720000000003</v>
      </c>
      <c r="C28" s="187">
        <f t="shared" ref="C28:H28" si="5">C21+C23-C25-C26-C27</f>
        <v>20987.329999999998</v>
      </c>
      <c r="D28" s="187">
        <f>D21+D23-D25-D26-D27</f>
        <v>116.23299999998972</v>
      </c>
      <c r="E28" s="187">
        <f>E21+E23-E25-E26-E27</f>
        <v>65.708000000021002</v>
      </c>
      <c r="F28" s="187">
        <f t="shared" si="5"/>
        <v>65.707999999973708</v>
      </c>
      <c r="G28" s="187">
        <f t="shared" si="5"/>
        <v>65.708000000050106</v>
      </c>
      <c r="H28" s="187">
        <f t="shared" si="5"/>
        <v>65.70799999998826</v>
      </c>
      <c r="I28" s="89" t="s">
        <v>478</v>
      </c>
      <c r="J28" s="99"/>
    </row>
    <row r="29" spans="1:10" x14ac:dyDescent="0.45">
      <c r="A29" s="95"/>
      <c r="I29" s="89" t="s">
        <v>478</v>
      </c>
      <c r="J29" s="99"/>
    </row>
    <row r="30" spans="1:10" x14ac:dyDescent="0.45">
      <c r="A30" s="95"/>
      <c r="I30" s="89" t="s">
        <v>478</v>
      </c>
      <c r="J30" s="99"/>
    </row>
    <row r="31" spans="1:10" x14ac:dyDescent="0.45">
      <c r="A31" s="95"/>
      <c r="I31" s="89" t="s">
        <v>478</v>
      </c>
      <c r="J31" s="99"/>
    </row>
    <row r="32" spans="1:10" x14ac:dyDescent="0.45">
      <c r="A32" s="97" t="s">
        <v>614</v>
      </c>
      <c r="B32" s="186"/>
      <c r="C32" s="186"/>
      <c r="D32" s="186"/>
      <c r="E32" s="186"/>
      <c r="F32" s="186"/>
      <c r="G32" s="186"/>
      <c r="H32" s="186"/>
      <c r="I32" s="89" t="s">
        <v>478</v>
      </c>
      <c r="J32" s="99"/>
    </row>
    <row r="33" spans="1:10" x14ac:dyDescent="0.45">
      <c r="A33" s="95"/>
      <c r="B33" s="108"/>
      <c r="C33" s="108"/>
      <c r="D33" s="108"/>
      <c r="E33" s="108"/>
      <c r="F33" s="108"/>
      <c r="G33" s="108"/>
      <c r="H33" s="108"/>
      <c r="I33" s="89" t="s">
        <v>478</v>
      </c>
      <c r="J33" s="99"/>
    </row>
    <row r="34" spans="1:10" x14ac:dyDescent="0.45">
      <c r="A34" s="95" t="s">
        <v>615</v>
      </c>
      <c r="B34" s="108">
        <f>'1. Part 1A - 3FS'!B164</f>
        <v>2342.08</v>
      </c>
      <c r="C34" s="108">
        <f>'1. Part 1A - 3FS'!C164</f>
        <v>2955.73</v>
      </c>
      <c r="D34" s="108">
        <f>'1. Part 1A - 3FS'!D164</f>
        <v>2922.8760000000002</v>
      </c>
      <c r="E34" s="108">
        <f>'1. Part 1A - 3FS'!E164</f>
        <v>2890.0220000000004</v>
      </c>
      <c r="F34" s="108">
        <f>'1. Part 1A - 3FS'!F164</f>
        <v>2857.1680000000006</v>
      </c>
      <c r="G34" s="108">
        <f>'1. Part 1A - 3FS'!G164</f>
        <v>2824.3140000000008</v>
      </c>
      <c r="H34" s="108">
        <f>'1. Part 1A - 3FS'!H164</f>
        <v>2791.4600000000009</v>
      </c>
      <c r="I34" s="89" t="s">
        <v>478</v>
      </c>
      <c r="J34" s="99" t="s">
        <v>610</v>
      </c>
    </row>
    <row r="35" spans="1:10" ht="13.5" thickBot="1" x14ac:dyDescent="0.5">
      <c r="A35" s="98" t="s">
        <v>616</v>
      </c>
      <c r="B35" s="188">
        <f>'1. Part 1A - 3FS'!B75</f>
        <v>1242.8</v>
      </c>
      <c r="C35" s="188">
        <f>'1. Part 1A - 3FS'!C75</f>
        <v>1248.47</v>
      </c>
      <c r="D35" s="188">
        <f>'1. Part 1A - 3FS'!D75</f>
        <v>1248.47</v>
      </c>
      <c r="E35" s="188">
        <f>'1. Part 1A - 3FS'!E75</f>
        <v>1248.47</v>
      </c>
      <c r="F35" s="188">
        <f>'1. Part 1A - 3FS'!F75</f>
        <v>1248.47</v>
      </c>
      <c r="G35" s="188">
        <f>'1. Part 1A - 3FS'!G75</f>
        <v>1248.47</v>
      </c>
      <c r="H35" s="188">
        <f>'1. Part 1A - 3FS'!H75</f>
        <v>1248.47</v>
      </c>
      <c r="I35" s="89" t="s">
        <v>478</v>
      </c>
      <c r="J35" s="99" t="s">
        <v>602</v>
      </c>
    </row>
    <row r="36" spans="1:10" x14ac:dyDescent="0.45">
      <c r="A36" s="104" t="s">
        <v>617</v>
      </c>
      <c r="B36" s="187">
        <f>B34+B35</f>
        <v>3584.88</v>
      </c>
      <c r="C36" s="187">
        <f t="shared" ref="C36:H36" si="6">C34+C35</f>
        <v>4204.2</v>
      </c>
      <c r="D36" s="187">
        <f t="shared" si="6"/>
        <v>4171.3460000000005</v>
      </c>
      <c r="E36" s="187">
        <f t="shared" si="6"/>
        <v>4138.4920000000002</v>
      </c>
      <c r="F36" s="187">
        <f t="shared" si="6"/>
        <v>4105.6380000000008</v>
      </c>
      <c r="G36" s="187">
        <f t="shared" si="6"/>
        <v>4072.7840000000006</v>
      </c>
      <c r="H36" s="187">
        <f t="shared" si="6"/>
        <v>4039.9300000000012</v>
      </c>
      <c r="I36" s="89" t="s">
        <v>478</v>
      </c>
      <c r="J36" s="99"/>
    </row>
    <row r="37" spans="1:10" x14ac:dyDescent="0.45">
      <c r="A37" s="95"/>
      <c r="I37" s="89" t="s">
        <v>478</v>
      </c>
      <c r="J37" s="99"/>
    </row>
    <row r="38" spans="1:10" x14ac:dyDescent="0.45">
      <c r="A38" s="104" t="s">
        <v>618</v>
      </c>
      <c r="B38" s="190">
        <f>B34/B$36</f>
        <v>0.65332172903974461</v>
      </c>
      <c r="C38" s="190">
        <f t="shared" ref="C38:H38" si="7">C34/C$36</f>
        <v>0.70304219589933881</v>
      </c>
      <c r="D38" s="190">
        <f t="shared" si="7"/>
        <v>0.70070332214110265</v>
      </c>
      <c r="E38" s="190">
        <f t="shared" si="7"/>
        <v>0.69832731342720977</v>
      </c>
      <c r="F38" s="190">
        <f t="shared" si="7"/>
        <v>0.69591327827733473</v>
      </c>
      <c r="G38" s="190">
        <f t="shared" si="7"/>
        <v>0.69346029644587104</v>
      </c>
      <c r="H38" s="190">
        <f t="shared" si="7"/>
        <v>0.69096741775228787</v>
      </c>
      <c r="I38" s="89" t="s">
        <v>478</v>
      </c>
      <c r="J38" s="99"/>
    </row>
    <row r="39" spans="1:10" x14ac:dyDescent="0.45">
      <c r="A39" s="104" t="s">
        <v>619</v>
      </c>
      <c r="B39" s="190">
        <f>B35/B$36</f>
        <v>0.34667827096025527</v>
      </c>
      <c r="C39" s="190">
        <f t="shared" ref="C39:H39" si="8">C35/C$36</f>
        <v>0.29695780410066125</v>
      </c>
      <c r="D39" s="190">
        <f t="shared" si="8"/>
        <v>0.2992966778588973</v>
      </c>
      <c r="E39" s="190">
        <f t="shared" si="8"/>
        <v>0.30167268657279028</v>
      </c>
      <c r="F39" s="190">
        <f t="shared" si="8"/>
        <v>0.30408672172266521</v>
      </c>
      <c r="G39" s="190">
        <f t="shared" si="8"/>
        <v>0.30653970355412902</v>
      </c>
      <c r="H39" s="190">
        <f t="shared" si="8"/>
        <v>0.30903258224771213</v>
      </c>
      <c r="I39" s="89" t="s">
        <v>478</v>
      </c>
      <c r="J39" s="99"/>
    </row>
    <row r="40" spans="1:10" x14ac:dyDescent="0.45">
      <c r="A40" s="104"/>
      <c r="B40" s="190"/>
      <c r="C40" s="190"/>
      <c r="D40" s="190"/>
      <c r="E40" s="190"/>
      <c r="F40" s="190"/>
      <c r="G40" s="190"/>
      <c r="H40" s="190"/>
      <c r="I40" s="89" t="s">
        <v>478</v>
      </c>
      <c r="J40" s="99"/>
    </row>
    <row r="41" spans="1:10" x14ac:dyDescent="0.45">
      <c r="A41" s="104"/>
      <c r="B41" s="190"/>
      <c r="C41" s="190"/>
      <c r="D41" s="190"/>
      <c r="E41" s="190"/>
      <c r="F41" s="190"/>
      <c r="G41" s="190"/>
      <c r="H41" s="190"/>
      <c r="I41" s="89" t="s">
        <v>478</v>
      </c>
      <c r="J41" s="99"/>
    </row>
    <row r="42" spans="1:10" x14ac:dyDescent="0.45">
      <c r="A42" s="95"/>
      <c r="I42" s="89" t="s">
        <v>478</v>
      </c>
      <c r="J42" s="99"/>
    </row>
    <row r="43" spans="1:10" x14ac:dyDescent="0.45">
      <c r="A43" s="97" t="s">
        <v>613</v>
      </c>
      <c r="B43" s="186"/>
      <c r="C43" s="186"/>
      <c r="D43" s="186"/>
      <c r="E43" s="186"/>
      <c r="F43" s="186"/>
      <c r="G43" s="186"/>
      <c r="H43" s="186"/>
      <c r="I43" s="89" t="s">
        <v>478</v>
      </c>
      <c r="J43" s="99"/>
    </row>
    <row r="44" spans="1:10" x14ac:dyDescent="0.45">
      <c r="A44" s="95"/>
      <c r="I44" s="89" t="s">
        <v>478</v>
      </c>
      <c r="J44" s="99"/>
    </row>
    <row r="45" spans="1:10" x14ac:dyDescent="0.45">
      <c r="A45" s="104" t="s">
        <v>611</v>
      </c>
      <c r="B45" s="191">
        <f>'1. Part 1A - 3FS'!B169</f>
        <v>4.9558512091815825E-2</v>
      </c>
      <c r="C45" s="191"/>
      <c r="D45" s="191"/>
      <c r="E45" s="191"/>
      <c r="F45" s="191"/>
      <c r="G45" s="191"/>
      <c r="H45" s="191"/>
      <c r="I45" s="89" t="s">
        <v>478</v>
      </c>
      <c r="J45" s="99" t="s">
        <v>612</v>
      </c>
    </row>
    <row r="46" spans="1:10" x14ac:dyDescent="0.45">
      <c r="A46" s="95"/>
      <c r="I46" s="89" t="s">
        <v>478</v>
      </c>
      <c r="J46" s="99"/>
    </row>
    <row r="47" spans="1:10" x14ac:dyDescent="0.45">
      <c r="A47" s="95"/>
      <c r="I47" s="89" t="s">
        <v>478</v>
      </c>
      <c r="J47" s="99"/>
    </row>
    <row r="48" spans="1:10" x14ac:dyDescent="0.45">
      <c r="A48" s="97" t="s">
        <v>620</v>
      </c>
      <c r="B48" s="186"/>
      <c r="C48" s="186"/>
      <c r="D48" s="186"/>
      <c r="E48" s="186"/>
      <c r="F48" s="186"/>
      <c r="G48" s="186"/>
      <c r="H48" s="186"/>
      <c r="I48" s="89" t="s">
        <v>478</v>
      </c>
      <c r="J48" s="99"/>
    </row>
    <row r="49" spans="1:10" x14ac:dyDescent="0.45">
      <c r="A49" s="95"/>
      <c r="I49" s="89" t="s">
        <v>478</v>
      </c>
      <c r="J49" s="99"/>
    </row>
    <row r="50" spans="1:10" ht="51" x14ac:dyDescent="0.45">
      <c r="A50" s="104" t="s">
        <v>621</v>
      </c>
      <c r="B50" s="194">
        <v>0.66</v>
      </c>
      <c r="C50" s="215"/>
      <c r="D50" s="215"/>
      <c r="E50" s="215"/>
      <c r="F50" s="215"/>
      <c r="G50" s="215"/>
      <c r="H50" s="215"/>
      <c r="I50" s="89" t="s">
        <v>478</v>
      </c>
      <c r="J50" s="193" t="s">
        <v>662</v>
      </c>
    </row>
    <row r="51" spans="1:10" x14ac:dyDescent="0.45">
      <c r="A51" s="95"/>
      <c r="I51" s="89" t="s">
        <v>478</v>
      </c>
      <c r="J51" s="99"/>
    </row>
    <row r="52" spans="1:10" x14ac:dyDescent="0.45">
      <c r="A52" s="95"/>
      <c r="I52" s="89" t="s">
        <v>478</v>
      </c>
      <c r="J52" s="99"/>
    </row>
    <row r="53" spans="1:10" x14ac:dyDescent="0.45">
      <c r="A53" s="97" t="s">
        <v>622</v>
      </c>
      <c r="B53" s="186"/>
      <c r="C53" s="186"/>
      <c r="D53" s="186"/>
      <c r="E53" s="186"/>
      <c r="F53" s="186"/>
      <c r="G53" s="186"/>
      <c r="H53" s="186"/>
      <c r="I53" s="89" t="s">
        <v>478</v>
      </c>
      <c r="J53" s="99"/>
    </row>
    <row r="54" spans="1:10" x14ac:dyDescent="0.45">
      <c r="A54" s="95"/>
      <c r="I54" s="89" t="s">
        <v>478</v>
      </c>
      <c r="J54" s="99"/>
    </row>
    <row r="55" spans="1:10" x14ac:dyDescent="0.45">
      <c r="A55" s="95" t="s">
        <v>623</v>
      </c>
      <c r="B55" s="200">
        <v>7.0000000000000007E-2</v>
      </c>
      <c r="C55" s="228"/>
      <c r="D55" s="228"/>
      <c r="E55" s="228"/>
      <c r="F55" s="228"/>
      <c r="G55" s="228"/>
      <c r="H55" s="228"/>
      <c r="I55" s="89" t="s">
        <v>478</v>
      </c>
      <c r="J55" s="99" t="s">
        <v>661</v>
      </c>
    </row>
    <row r="56" spans="1:10" ht="25.9" x14ac:dyDescent="0.45">
      <c r="A56" s="95" t="s">
        <v>624</v>
      </c>
      <c r="B56" s="200">
        <v>0.21240000000000001</v>
      </c>
      <c r="C56" s="228"/>
      <c r="D56" s="228"/>
      <c r="E56" s="228"/>
      <c r="F56" s="228"/>
      <c r="G56" s="228"/>
      <c r="H56" s="228"/>
      <c r="I56" s="89" t="s">
        <v>478</v>
      </c>
      <c r="J56" s="206" t="s">
        <v>665</v>
      </c>
    </row>
    <row r="57" spans="1:10" ht="13.5" thickBot="1" x14ac:dyDescent="0.5">
      <c r="A57" s="98" t="s">
        <v>625</v>
      </c>
      <c r="B57" s="192">
        <f>B50</f>
        <v>0.66</v>
      </c>
      <c r="C57" s="192"/>
      <c r="D57" s="192"/>
      <c r="E57" s="192"/>
      <c r="F57" s="192"/>
      <c r="G57" s="192"/>
      <c r="H57" s="192"/>
      <c r="I57" s="89" t="s">
        <v>478</v>
      </c>
      <c r="J57" s="99" t="s">
        <v>629</v>
      </c>
    </row>
    <row r="58" spans="1:10" x14ac:dyDescent="0.45">
      <c r="A58" s="104" t="s">
        <v>626</v>
      </c>
      <c r="B58" s="191">
        <f>B55+(B57*(B56-B55))</f>
        <v>0.16398400000000002</v>
      </c>
      <c r="C58" s="191"/>
      <c r="D58" s="191"/>
      <c r="E58" s="191"/>
      <c r="F58" s="191"/>
      <c r="G58" s="191"/>
      <c r="H58" s="191"/>
      <c r="I58" s="89" t="s">
        <v>478</v>
      </c>
      <c r="J58" s="99"/>
    </row>
    <row r="59" spans="1:10" x14ac:dyDescent="0.45">
      <c r="A59" s="95"/>
      <c r="I59" s="89" t="s">
        <v>478</v>
      </c>
      <c r="J59" s="99"/>
    </row>
    <row r="60" spans="1:10" x14ac:dyDescent="0.45">
      <c r="A60" s="95"/>
      <c r="I60" s="89" t="s">
        <v>478</v>
      </c>
      <c r="J60" s="99"/>
    </row>
    <row r="61" spans="1:10" x14ac:dyDescent="0.45">
      <c r="A61" s="95"/>
      <c r="I61" s="89" t="s">
        <v>478</v>
      </c>
      <c r="J61" s="99"/>
    </row>
    <row r="62" spans="1:10" x14ac:dyDescent="0.45">
      <c r="A62" s="104" t="s">
        <v>630</v>
      </c>
      <c r="I62" s="89" t="s">
        <v>478</v>
      </c>
      <c r="J62" s="99"/>
    </row>
    <row r="63" spans="1:10" x14ac:dyDescent="0.45">
      <c r="A63" s="95" t="s">
        <v>627</v>
      </c>
      <c r="B63" s="107">
        <f>B58</f>
        <v>0.16398400000000002</v>
      </c>
      <c r="C63" s="216"/>
      <c r="D63" s="217"/>
      <c r="E63" s="217"/>
      <c r="F63" s="217"/>
      <c r="G63" s="217"/>
      <c r="H63" s="218"/>
      <c r="I63" s="89" t="s">
        <v>478</v>
      </c>
      <c r="J63" s="99" t="s">
        <v>629</v>
      </c>
    </row>
    <row r="64" spans="1:10" x14ac:dyDescent="0.45">
      <c r="A64" s="95" t="s">
        <v>619</v>
      </c>
      <c r="B64" s="107">
        <f>B39</f>
        <v>0.34667827096025527</v>
      </c>
      <c r="C64" s="219"/>
      <c r="D64" s="220"/>
      <c r="E64" s="220"/>
      <c r="F64" s="220"/>
      <c r="G64" s="220"/>
      <c r="H64" s="221"/>
      <c r="I64" s="89" t="s">
        <v>478</v>
      </c>
      <c r="J64" s="99" t="s">
        <v>629</v>
      </c>
    </row>
    <row r="65" spans="1:10" x14ac:dyDescent="0.45">
      <c r="A65" s="95" t="s">
        <v>611</v>
      </c>
      <c r="B65" s="107">
        <f>B45</f>
        <v>4.9558512091815825E-2</v>
      </c>
      <c r="C65" s="219"/>
      <c r="D65" s="220"/>
      <c r="E65" s="220"/>
      <c r="F65" s="220"/>
      <c r="G65" s="220"/>
      <c r="H65" s="221"/>
      <c r="I65" s="89" t="s">
        <v>478</v>
      </c>
      <c r="J65" s="99" t="s">
        <v>629</v>
      </c>
    </row>
    <row r="66" spans="1:10" x14ac:dyDescent="0.45">
      <c r="A66" s="95" t="s">
        <v>618</v>
      </c>
      <c r="B66" s="107">
        <f>B38</f>
        <v>0.65332172903974461</v>
      </c>
      <c r="C66" s="219"/>
      <c r="D66" s="220"/>
      <c r="E66" s="220"/>
      <c r="F66" s="220"/>
      <c r="G66" s="220"/>
      <c r="H66" s="221"/>
      <c r="I66" s="89" t="s">
        <v>478</v>
      </c>
      <c r="J66" s="99" t="s">
        <v>629</v>
      </c>
    </row>
    <row r="67" spans="1:10" ht="13.5" thickBot="1" x14ac:dyDescent="0.5">
      <c r="A67" s="98" t="s">
        <v>631</v>
      </c>
      <c r="B67" s="195">
        <f>'1. Part 1A - 3FS'!B12</f>
        <v>0.25032328499545486</v>
      </c>
      <c r="C67" s="222"/>
      <c r="D67" s="223"/>
      <c r="E67" s="223"/>
      <c r="F67" s="223"/>
      <c r="G67" s="223"/>
      <c r="H67" s="224"/>
      <c r="I67" s="89" t="s">
        <v>478</v>
      </c>
      <c r="J67" s="99" t="s">
        <v>632</v>
      </c>
    </row>
    <row r="68" spans="1:10" x14ac:dyDescent="0.45">
      <c r="A68" s="197" t="s">
        <v>633</v>
      </c>
      <c r="B68" s="199">
        <f>(B63*B64)+((B65*(1-B67))*B66)</f>
        <v>8.1122461982152144E-2</v>
      </c>
      <c r="C68" s="225"/>
      <c r="D68" s="226"/>
      <c r="E68" s="226"/>
      <c r="F68" s="226"/>
      <c r="G68" s="226"/>
      <c r="H68" s="227"/>
      <c r="I68" s="89" t="s">
        <v>478</v>
      </c>
      <c r="J68" s="99"/>
    </row>
    <row r="69" spans="1:10" x14ac:dyDescent="0.45">
      <c r="A69" s="95"/>
      <c r="I69" s="89" t="s">
        <v>478</v>
      </c>
      <c r="J69" s="99"/>
    </row>
    <row r="70" spans="1:10" x14ac:dyDescent="0.45">
      <c r="A70" s="95"/>
      <c r="I70" s="89" t="s">
        <v>478</v>
      </c>
      <c r="J70" s="99"/>
    </row>
    <row r="71" spans="1:10" x14ac:dyDescent="0.45">
      <c r="A71" s="95"/>
      <c r="I71" s="89" t="s">
        <v>478</v>
      </c>
      <c r="J71" s="99"/>
    </row>
    <row r="72" spans="1:10" x14ac:dyDescent="0.45">
      <c r="A72" s="96" t="s">
        <v>634</v>
      </c>
      <c r="B72" s="90"/>
      <c r="C72" s="90"/>
      <c r="D72" s="90"/>
      <c r="E72" s="90"/>
      <c r="F72" s="90"/>
      <c r="G72" s="90"/>
      <c r="H72" s="90"/>
      <c r="I72" s="89" t="s">
        <v>478</v>
      </c>
      <c r="J72" s="99"/>
    </row>
    <row r="73" spans="1:10" x14ac:dyDescent="0.45">
      <c r="A73" s="95"/>
      <c r="I73" s="89" t="s">
        <v>478</v>
      </c>
      <c r="J73" s="99"/>
    </row>
    <row r="74" spans="1:10" x14ac:dyDescent="0.45">
      <c r="A74" s="97" t="s">
        <v>638</v>
      </c>
      <c r="B74" s="186"/>
      <c r="C74" s="186"/>
      <c r="D74" s="186"/>
      <c r="E74" s="186"/>
      <c r="F74" s="186"/>
      <c r="G74" s="186"/>
      <c r="H74" s="186"/>
      <c r="I74" s="89" t="s">
        <v>478</v>
      </c>
      <c r="J74" s="99"/>
    </row>
    <row r="75" spans="1:10" x14ac:dyDescent="0.45">
      <c r="A75" s="95"/>
      <c r="I75" s="89" t="s">
        <v>478</v>
      </c>
      <c r="J75" s="99"/>
    </row>
    <row r="76" spans="1:10" x14ac:dyDescent="0.45">
      <c r="A76" s="95" t="s">
        <v>635</v>
      </c>
      <c r="B76" s="108">
        <f>B15</f>
        <v>16064.76497631058</v>
      </c>
      <c r="C76" s="108">
        <f t="shared" ref="C76:H76" si="9">C15</f>
        <v>21895.299133850229</v>
      </c>
      <c r="D76" s="108">
        <f t="shared" si="9"/>
        <v>543.04286911844611</v>
      </c>
      <c r="E76" s="108">
        <f t="shared" si="9"/>
        <v>519.60007628539461</v>
      </c>
      <c r="F76" s="108">
        <f t="shared" si="9"/>
        <v>548.62737643878791</v>
      </c>
      <c r="G76" s="108">
        <f t="shared" si="9"/>
        <v>579.73592608788749</v>
      </c>
      <c r="H76" s="108">
        <f t="shared" si="9"/>
        <v>613.07141269712156</v>
      </c>
      <c r="I76" s="89" t="s">
        <v>478</v>
      </c>
      <c r="J76" s="99"/>
    </row>
    <row r="77" spans="1:10" ht="13.5" thickBot="1" x14ac:dyDescent="0.5">
      <c r="A77" s="98" t="s">
        <v>636</v>
      </c>
      <c r="B77" s="196">
        <f>B68</f>
        <v>8.1122461982152144E-2</v>
      </c>
      <c r="C77" s="196">
        <f>B77</f>
        <v>8.1122461982152144E-2</v>
      </c>
      <c r="D77" s="196">
        <f t="shared" ref="D77:H77" si="10">C77</f>
        <v>8.1122461982152144E-2</v>
      </c>
      <c r="E77" s="196">
        <f t="shared" si="10"/>
        <v>8.1122461982152144E-2</v>
      </c>
      <c r="F77" s="196">
        <f t="shared" si="10"/>
        <v>8.1122461982152144E-2</v>
      </c>
      <c r="G77" s="196">
        <f t="shared" si="10"/>
        <v>8.1122461982152144E-2</v>
      </c>
      <c r="H77" s="196">
        <f t="shared" si="10"/>
        <v>8.1122461982152144E-2</v>
      </c>
      <c r="I77" s="89" t="s">
        <v>478</v>
      </c>
      <c r="J77" s="99" t="s">
        <v>642</v>
      </c>
    </row>
    <row r="78" spans="1:10" x14ac:dyDescent="0.45">
      <c r="A78" s="104" t="s">
        <v>637</v>
      </c>
      <c r="B78" s="187">
        <f>B76/((1+B77))^(B2-$B$2)</f>
        <v>16064.76497631058</v>
      </c>
      <c r="C78" s="187">
        <f t="shared" ref="C78:H78" si="11">C76/((1+C77))^(C2-$B$2)</f>
        <v>20252.3764918425</v>
      </c>
      <c r="D78" s="187">
        <f t="shared" si="11"/>
        <v>464.60548649045569</v>
      </c>
      <c r="E78" s="187">
        <f t="shared" si="11"/>
        <v>411.19188433225639</v>
      </c>
      <c r="F78" s="187">
        <f t="shared" si="11"/>
        <v>401.58539767413816</v>
      </c>
      <c r="G78" s="187">
        <f t="shared" si="11"/>
        <v>392.51455120079896</v>
      </c>
      <c r="H78" s="187">
        <f t="shared" si="11"/>
        <v>383.93855155321944</v>
      </c>
      <c r="I78" s="89" t="s">
        <v>478</v>
      </c>
      <c r="J78" s="99"/>
    </row>
    <row r="79" spans="1:10" x14ac:dyDescent="0.45">
      <c r="A79" s="95"/>
      <c r="I79" s="89" t="s">
        <v>478</v>
      </c>
      <c r="J79" s="99"/>
    </row>
    <row r="80" spans="1:10" x14ac:dyDescent="0.45">
      <c r="A80" s="95"/>
      <c r="I80" s="89" t="s">
        <v>478</v>
      </c>
      <c r="J80" s="99"/>
    </row>
    <row r="81" spans="1:10" x14ac:dyDescent="0.45">
      <c r="A81" s="95"/>
      <c r="I81" s="89" t="s">
        <v>478</v>
      </c>
      <c r="J81" s="99"/>
    </row>
    <row r="82" spans="1:10" x14ac:dyDescent="0.45">
      <c r="A82" s="97" t="s">
        <v>640</v>
      </c>
      <c r="B82" s="186"/>
      <c r="C82" s="186"/>
      <c r="D82" s="186"/>
      <c r="E82" s="186"/>
      <c r="F82" s="186"/>
      <c r="G82" s="186"/>
      <c r="H82" s="186"/>
      <c r="I82" s="89" t="s">
        <v>478</v>
      </c>
      <c r="J82" s="99"/>
    </row>
    <row r="83" spans="1:10" x14ac:dyDescent="0.45">
      <c r="A83" s="95"/>
      <c r="I83" s="89" t="s">
        <v>478</v>
      </c>
      <c r="J83" s="99"/>
    </row>
    <row r="84" spans="1:10" x14ac:dyDescent="0.45">
      <c r="A84" s="104" t="s">
        <v>646</v>
      </c>
      <c r="B84" s="187">
        <f>SUM(B78:H78)</f>
        <v>38370.977339403951</v>
      </c>
      <c r="I84" s="89" t="s">
        <v>478</v>
      </c>
      <c r="J84" s="99" t="s">
        <v>641</v>
      </c>
    </row>
    <row r="85" spans="1:10" x14ac:dyDescent="0.45">
      <c r="A85" s="104"/>
      <c r="I85" s="89" t="s">
        <v>478</v>
      </c>
      <c r="J85" s="99"/>
    </row>
    <row r="86" spans="1:10" x14ac:dyDescent="0.45">
      <c r="A86" s="104"/>
      <c r="I86" s="89" t="s">
        <v>478</v>
      </c>
      <c r="J86" s="99"/>
    </row>
    <row r="87" spans="1:10" x14ac:dyDescent="0.45">
      <c r="A87" s="104"/>
      <c r="I87" s="89" t="s">
        <v>478</v>
      </c>
      <c r="J87" s="99"/>
    </row>
    <row r="88" spans="1:10" x14ac:dyDescent="0.45">
      <c r="A88" s="97" t="s">
        <v>644</v>
      </c>
      <c r="B88" s="186"/>
      <c r="C88" s="186"/>
      <c r="D88" s="186"/>
      <c r="E88" s="186"/>
      <c r="F88" s="186"/>
      <c r="G88" s="186"/>
      <c r="H88" s="186"/>
      <c r="I88" s="89" t="s">
        <v>478</v>
      </c>
      <c r="J88" s="99"/>
    </row>
    <row r="89" spans="1:10" x14ac:dyDescent="0.45">
      <c r="A89" s="95"/>
      <c r="I89" s="89" t="s">
        <v>478</v>
      </c>
      <c r="J89" s="99"/>
    </row>
    <row r="90" spans="1:10" x14ac:dyDescent="0.45">
      <c r="A90" s="95" t="str">
        <f>A84</f>
        <v>Stage 1 Value: Total FCFF at Discounted Value</v>
      </c>
      <c r="B90" s="108">
        <f>B84</f>
        <v>38370.977339403951</v>
      </c>
      <c r="I90" s="89" t="s">
        <v>478</v>
      </c>
      <c r="J90" s="99" t="s">
        <v>641</v>
      </c>
    </row>
    <row r="91" spans="1:10" ht="26.25" x14ac:dyDescent="0.45">
      <c r="A91" s="95" t="s">
        <v>639</v>
      </c>
      <c r="B91" s="200">
        <v>0.06</v>
      </c>
      <c r="I91" s="89" t="s">
        <v>478</v>
      </c>
      <c r="J91" s="206" t="s">
        <v>666</v>
      </c>
    </row>
    <row r="92" spans="1:10" x14ac:dyDescent="0.45">
      <c r="A92" s="95" t="s">
        <v>643</v>
      </c>
      <c r="B92" s="111">
        <f>B77</f>
        <v>8.1122461982152144E-2</v>
      </c>
      <c r="I92" s="89" t="s">
        <v>478</v>
      </c>
      <c r="J92" s="99" t="s">
        <v>641</v>
      </c>
    </row>
    <row r="93" spans="1:10" x14ac:dyDescent="0.45">
      <c r="A93" s="95" t="s">
        <v>645</v>
      </c>
      <c r="B93" s="108">
        <f>H78</f>
        <v>383.93855155321944</v>
      </c>
      <c r="I93" s="89" t="s">
        <v>478</v>
      </c>
      <c r="J93" s="99" t="s">
        <v>641</v>
      </c>
    </row>
    <row r="94" spans="1:10" x14ac:dyDescent="0.45">
      <c r="A94" s="95"/>
      <c r="I94" s="89" t="s">
        <v>478</v>
      </c>
      <c r="J94" s="99"/>
    </row>
    <row r="95" spans="1:10" x14ac:dyDescent="0.45">
      <c r="A95" s="104" t="s">
        <v>648</v>
      </c>
      <c r="B95" s="187">
        <f>B93*(1+B91)/(B92-B91)</f>
        <v>19267.397190265714</v>
      </c>
      <c r="I95" s="89" t="s">
        <v>478</v>
      </c>
      <c r="J95" s="99"/>
    </row>
    <row r="96" spans="1:10" x14ac:dyDescent="0.45">
      <c r="A96" s="95"/>
      <c r="I96" s="89" t="s">
        <v>478</v>
      </c>
      <c r="J96" s="99"/>
    </row>
    <row r="97" spans="1:10" x14ac:dyDescent="0.45">
      <c r="A97" s="197" t="s">
        <v>649</v>
      </c>
      <c r="B97" s="198">
        <f>B84+B95</f>
        <v>57638.374529669665</v>
      </c>
      <c r="I97" s="89" t="s">
        <v>478</v>
      </c>
      <c r="J97" s="99"/>
    </row>
    <row r="98" spans="1:10" x14ac:dyDescent="0.45">
      <c r="A98" s="104"/>
      <c r="I98" s="89" t="s">
        <v>478</v>
      </c>
      <c r="J98" s="99"/>
    </row>
    <row r="99" spans="1:10" x14ac:dyDescent="0.45">
      <c r="A99" s="104"/>
      <c r="I99" s="89" t="s">
        <v>478</v>
      </c>
      <c r="J99" s="99"/>
    </row>
    <row r="100" spans="1:10" x14ac:dyDescent="0.45">
      <c r="A100" s="95"/>
      <c r="I100" s="89" t="s">
        <v>478</v>
      </c>
      <c r="J100" s="99"/>
    </row>
    <row r="101" spans="1:10" x14ac:dyDescent="0.45">
      <c r="A101" s="96" t="s">
        <v>647</v>
      </c>
      <c r="B101" s="90"/>
      <c r="C101" s="90"/>
      <c r="D101" s="90"/>
      <c r="E101" s="90"/>
      <c r="F101" s="90"/>
      <c r="G101" s="90"/>
      <c r="H101" s="90"/>
      <c r="I101" s="89" t="s">
        <v>478</v>
      </c>
      <c r="J101" s="99"/>
    </row>
    <row r="102" spans="1:10" x14ac:dyDescent="0.45">
      <c r="A102" s="95"/>
      <c r="I102" s="89" t="s">
        <v>478</v>
      </c>
      <c r="J102" s="99"/>
    </row>
    <row r="103" spans="1:10" x14ac:dyDescent="0.45">
      <c r="A103" s="95" t="s">
        <v>652</v>
      </c>
      <c r="B103" s="108">
        <f>B28</f>
        <v>15447.720000000003</v>
      </c>
      <c r="C103" s="108">
        <f t="shared" ref="C103:H103" si="12">C28</f>
        <v>20987.329999999998</v>
      </c>
      <c r="D103" s="108">
        <f t="shared" si="12"/>
        <v>116.23299999998972</v>
      </c>
      <c r="E103" s="108">
        <f t="shared" si="12"/>
        <v>65.708000000021002</v>
      </c>
      <c r="F103" s="108">
        <f t="shared" si="12"/>
        <v>65.707999999973708</v>
      </c>
      <c r="G103" s="108">
        <f t="shared" si="12"/>
        <v>65.708000000050106</v>
      </c>
      <c r="H103" s="108">
        <f t="shared" si="12"/>
        <v>65.70799999998826</v>
      </c>
      <c r="I103" s="89" t="s">
        <v>478</v>
      </c>
      <c r="J103" s="99" t="s">
        <v>641</v>
      </c>
    </row>
    <row r="104" spans="1:10" x14ac:dyDescent="0.45">
      <c r="A104" s="95" t="s">
        <v>653</v>
      </c>
      <c r="B104" s="111">
        <f>B77</f>
        <v>8.1122461982152144E-2</v>
      </c>
      <c r="C104" s="111">
        <f t="shared" ref="C104:H104" si="13">C77</f>
        <v>8.1122461982152144E-2</v>
      </c>
      <c r="D104" s="111">
        <f t="shared" si="13"/>
        <v>8.1122461982152144E-2</v>
      </c>
      <c r="E104" s="111">
        <f t="shared" si="13"/>
        <v>8.1122461982152144E-2</v>
      </c>
      <c r="F104" s="111">
        <f t="shared" si="13"/>
        <v>8.1122461982152144E-2</v>
      </c>
      <c r="G104" s="111">
        <f t="shared" si="13"/>
        <v>8.1122461982152144E-2</v>
      </c>
      <c r="H104" s="111">
        <f t="shared" si="13"/>
        <v>8.1122461982152144E-2</v>
      </c>
      <c r="I104" s="89" t="s">
        <v>478</v>
      </c>
      <c r="J104" s="99" t="s">
        <v>641</v>
      </c>
    </row>
    <row r="105" spans="1:10" x14ac:dyDescent="0.45">
      <c r="A105" s="95" t="s">
        <v>654</v>
      </c>
      <c r="B105" s="108">
        <f>B103/((1+B104)^(B2-$B$2))</f>
        <v>15447.720000000003</v>
      </c>
      <c r="C105" s="108">
        <f t="shared" ref="C105:H105" si="14">C103/((1+C104)^(C2-$B$2))</f>
        <v>19412.537189840081</v>
      </c>
      <c r="D105" s="108">
        <f t="shared" si="14"/>
        <v>99.444247558035002</v>
      </c>
      <c r="E105" s="108">
        <f t="shared" si="14"/>
        <v>51.998830579217149</v>
      </c>
      <c r="F105" s="108">
        <f t="shared" si="14"/>
        <v>48.097077257875114</v>
      </c>
      <c r="G105" s="108">
        <f t="shared" si="14"/>
        <v>44.488093577991954</v>
      </c>
      <c r="H105" s="108">
        <f t="shared" si="14"/>
        <v>41.149911450720111</v>
      </c>
      <c r="I105" s="89" t="s">
        <v>478</v>
      </c>
      <c r="J105" s="99"/>
    </row>
    <row r="106" spans="1:10" x14ac:dyDescent="0.45">
      <c r="A106" s="104" t="s">
        <v>656</v>
      </c>
      <c r="B106" s="187">
        <f>SUM(B105:H105)</f>
        <v>35145.435350263921</v>
      </c>
      <c r="I106" s="89" t="s">
        <v>478</v>
      </c>
      <c r="J106" s="99"/>
    </row>
    <row r="107" spans="1:10" x14ac:dyDescent="0.45">
      <c r="A107" s="95" t="s">
        <v>655</v>
      </c>
      <c r="B107" s="108">
        <f>B97</f>
        <v>57638.374529669665</v>
      </c>
      <c r="I107" s="89" t="s">
        <v>478</v>
      </c>
      <c r="J107" s="99"/>
    </row>
    <row r="108" spans="1:10" x14ac:dyDescent="0.45">
      <c r="A108" s="197" t="s">
        <v>657</v>
      </c>
      <c r="B108" s="198">
        <f>B106+B107</f>
        <v>92783.809879933586</v>
      </c>
      <c r="I108" s="89" t="s">
        <v>478</v>
      </c>
      <c r="J108" s="99"/>
    </row>
    <row r="109" spans="1:10" x14ac:dyDescent="0.45">
      <c r="A109" s="95"/>
      <c r="I109" s="89" t="s">
        <v>478</v>
      </c>
      <c r="J109" s="99"/>
    </row>
    <row r="110" spans="1:10" x14ac:dyDescent="0.45">
      <c r="A110" s="95" t="s">
        <v>659</v>
      </c>
      <c r="B110" s="179">
        <f>12468080648/10000000</f>
        <v>1246.8080648</v>
      </c>
      <c r="I110" s="89" t="s">
        <v>478</v>
      </c>
      <c r="J110" s="99" t="s">
        <v>660</v>
      </c>
    </row>
    <row r="111" spans="1:10" x14ac:dyDescent="0.45">
      <c r="A111" s="95"/>
      <c r="I111" s="89" t="s">
        <v>478</v>
      </c>
      <c r="J111" s="99"/>
    </row>
    <row r="112" spans="1:10" x14ac:dyDescent="0.45">
      <c r="A112" s="197" t="s">
        <v>658</v>
      </c>
      <c r="B112" s="202">
        <f>B108/B110</f>
        <v>74.417075490137293</v>
      </c>
      <c r="I112" s="89" t="s">
        <v>478</v>
      </c>
      <c r="J112" s="99"/>
    </row>
    <row r="113" spans="1:10" x14ac:dyDescent="0.45">
      <c r="A113" s="95"/>
      <c r="I113" s="89" t="s">
        <v>478</v>
      </c>
      <c r="J113" s="99"/>
    </row>
    <row r="114" spans="1:10" x14ac:dyDescent="0.45">
      <c r="A114" s="95"/>
      <c r="I114" s="89" t="s">
        <v>478</v>
      </c>
      <c r="J114" s="99"/>
    </row>
    <row r="115" spans="1:10" x14ac:dyDescent="0.45">
      <c r="A115" s="95"/>
      <c r="I115" s="89" t="s">
        <v>478</v>
      </c>
      <c r="J115" s="99"/>
    </row>
    <row r="116" spans="1:10" x14ac:dyDescent="0.45">
      <c r="A116" s="96" t="s">
        <v>674</v>
      </c>
      <c r="B116" s="90"/>
      <c r="C116" s="90"/>
      <c r="D116" s="90"/>
      <c r="E116" s="90"/>
      <c r="F116" s="90"/>
      <c r="G116" s="90"/>
      <c r="H116" s="90"/>
      <c r="I116" s="89" t="s">
        <v>478</v>
      </c>
      <c r="J116" s="99"/>
    </row>
    <row r="117" spans="1:10" x14ac:dyDescent="0.45">
      <c r="A117" s="95"/>
      <c r="I117" s="89" t="s">
        <v>478</v>
      </c>
      <c r="J117" s="99"/>
    </row>
    <row r="118" spans="1:10" x14ac:dyDescent="0.45">
      <c r="A118" s="95"/>
      <c r="I118" s="89" t="s">
        <v>478</v>
      </c>
      <c r="J118" s="99"/>
    </row>
    <row r="119" spans="1:10" x14ac:dyDescent="0.45">
      <c r="A119" s="95" t="s">
        <v>675</v>
      </c>
      <c r="B119" s="201">
        <v>388</v>
      </c>
      <c r="I119" s="89" t="s">
        <v>478</v>
      </c>
      <c r="J119" s="99" t="s">
        <v>676</v>
      </c>
    </row>
    <row r="120" spans="1:10" x14ac:dyDescent="0.45">
      <c r="A120" s="95"/>
      <c r="C120" s="108"/>
      <c r="I120" s="89" t="s">
        <v>478</v>
      </c>
      <c r="J120" s="99"/>
    </row>
    <row r="121" spans="1:10" x14ac:dyDescent="0.45">
      <c r="A121" s="95" t="s">
        <v>650</v>
      </c>
      <c r="B121" s="187">
        <f>B112</f>
        <v>74.417075490137293</v>
      </c>
      <c r="C121" s="108"/>
      <c r="D121" s="108"/>
      <c r="I121" s="89" t="s">
        <v>478</v>
      </c>
      <c r="J121" s="99" t="s">
        <v>641</v>
      </c>
    </row>
    <row r="122" spans="1:10" x14ac:dyDescent="0.45">
      <c r="A122" s="95"/>
      <c r="C122" s="108"/>
      <c r="I122" s="89" t="s">
        <v>478</v>
      </c>
      <c r="J122" s="99"/>
    </row>
    <row r="123" spans="1:10" x14ac:dyDescent="0.45">
      <c r="A123" s="95"/>
      <c r="D123" s="108"/>
      <c r="I123" s="89" t="s">
        <v>478</v>
      </c>
      <c r="J123" s="99"/>
    </row>
    <row r="124" spans="1:10" x14ac:dyDescent="0.45">
      <c r="A124" s="104" t="s">
        <v>651</v>
      </c>
      <c r="B124" s="108"/>
      <c r="I124" s="89" t="s">
        <v>478</v>
      </c>
      <c r="J124" s="99"/>
    </row>
    <row r="125" spans="1:10" x14ac:dyDescent="0.45">
      <c r="A125" s="95"/>
      <c r="I125" s="89" t="s">
        <v>478</v>
      </c>
      <c r="J125" s="99"/>
    </row>
    <row r="126" spans="1:10" x14ac:dyDescent="0.45">
      <c r="A126" s="242" t="s">
        <v>677</v>
      </c>
      <c r="I126" s="89" t="s">
        <v>478</v>
      </c>
      <c r="J126" s="99"/>
    </row>
    <row r="127" spans="1:10" x14ac:dyDescent="0.45">
      <c r="A127" s="242"/>
      <c r="I127" s="89" t="s">
        <v>478</v>
      </c>
      <c r="J127" s="99"/>
    </row>
    <row r="128" spans="1:10" x14ac:dyDescent="0.45">
      <c r="A128" s="242"/>
      <c r="I128" s="89" t="s">
        <v>478</v>
      </c>
      <c r="J128" s="99"/>
    </row>
    <row r="129" spans="1:10" x14ac:dyDescent="0.45">
      <c r="A129" s="242"/>
      <c r="I129" s="89" t="s">
        <v>478</v>
      </c>
      <c r="J129" s="99"/>
    </row>
    <row r="130" spans="1:10" x14ac:dyDescent="0.45">
      <c r="A130" s="95"/>
      <c r="I130" s="89" t="s">
        <v>478</v>
      </c>
      <c r="J130" s="99"/>
    </row>
    <row r="131" spans="1:10" ht="13.5" thickBot="1" x14ac:dyDescent="0.5">
      <c r="A131" s="98"/>
      <c r="B131" s="192"/>
      <c r="C131" s="192"/>
      <c r="D131" s="192"/>
      <c r="E131" s="192"/>
      <c r="F131" s="192"/>
      <c r="G131" s="192"/>
      <c r="H131" s="192"/>
      <c r="I131" s="88" t="s">
        <v>478</v>
      </c>
      <c r="J131" s="100"/>
    </row>
  </sheetData>
  <mergeCells count="2">
    <mergeCell ref="J1:J2"/>
    <mergeCell ref="A126:A129"/>
  </mergeCells>
  <hyperlinks>
    <hyperlink ref="J50" r:id="rId1" display="https://economictimes.indiatimes.com/markets/stocks/stock-liveblog/itc-share-price-today-live-updates-07-mar-2025/liveblog/118772951.cms?from=mdr" xr:uid="{5A5B09B9-BC80-4D11-ACC6-342E992D1EC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10FCD-6A61-40AD-81C2-45DF9142A6A6}">
  <sheetPr>
    <tabColor theme="4" tint="0.39997558519241921"/>
  </sheetPr>
  <dimension ref="A1:V33"/>
  <sheetViews>
    <sheetView showGridLines="0" zoomScale="75" zoomScaleNormal="75" workbookViewId="0">
      <pane xSplit="1" topLeftCell="B1" activePane="topRight" state="frozen"/>
      <selection pane="topRight" activeCell="A8" sqref="A8"/>
    </sheetView>
  </sheetViews>
  <sheetFormatPr defaultColWidth="8.73046875" defaultRowHeight="13.15" x14ac:dyDescent="0.4"/>
  <cols>
    <col min="1" max="1" width="52" style="1" bestFit="1" customWidth="1"/>
    <col min="2" max="11" width="9.59765625" style="1" bestFit="1" customWidth="1"/>
    <col min="12" max="12" width="52.73046875" style="1" bestFit="1" customWidth="1"/>
    <col min="13" max="16384" width="8.73046875" style="1"/>
  </cols>
  <sheetData>
    <row r="1" spans="1:22" ht="19.899999999999999" x14ac:dyDescent="0.4">
      <c r="A1" s="243" t="s">
        <v>407</v>
      </c>
      <c r="B1" s="244"/>
      <c r="C1" s="244"/>
      <c r="D1" s="244"/>
      <c r="E1" s="244"/>
      <c r="F1" s="244"/>
      <c r="G1" s="244"/>
      <c r="H1" s="244"/>
      <c r="I1" s="244"/>
      <c r="J1" s="244"/>
      <c r="K1" s="245"/>
    </row>
    <row r="2" spans="1:22" x14ac:dyDescent="0.4">
      <c r="A2" s="45" t="s">
        <v>390</v>
      </c>
      <c r="B2" s="246" t="s">
        <v>406</v>
      </c>
      <c r="C2" s="246"/>
      <c r="D2" s="246"/>
      <c r="E2" s="246"/>
      <c r="F2" s="246"/>
      <c r="G2" s="246"/>
      <c r="H2" s="246"/>
      <c r="I2" s="246"/>
      <c r="J2" s="246"/>
      <c r="K2" s="247"/>
    </row>
    <row r="3" spans="1:22" x14ac:dyDescent="0.4">
      <c r="A3" s="46"/>
      <c r="B3" s="80">
        <v>45352</v>
      </c>
      <c r="C3" s="80">
        <v>44986</v>
      </c>
      <c r="D3" s="80">
        <v>44621</v>
      </c>
      <c r="E3" s="80">
        <v>44256</v>
      </c>
      <c r="F3" s="80">
        <v>43891</v>
      </c>
      <c r="G3" s="80">
        <v>43525</v>
      </c>
      <c r="H3" s="80">
        <v>43160</v>
      </c>
      <c r="I3" s="80">
        <v>42795</v>
      </c>
      <c r="J3" s="80">
        <v>42430</v>
      </c>
      <c r="K3" s="47">
        <v>42064</v>
      </c>
    </row>
    <row r="4" spans="1:22" x14ac:dyDescent="0.4">
      <c r="A4" s="45"/>
      <c r="B4" s="81"/>
      <c r="C4" s="81"/>
      <c r="D4" s="81"/>
      <c r="E4" s="81"/>
      <c r="F4" s="81"/>
      <c r="G4" s="81"/>
      <c r="H4" s="81"/>
      <c r="I4" s="81"/>
      <c r="J4" s="81"/>
      <c r="K4" s="51"/>
    </row>
    <row r="5" spans="1:22" x14ac:dyDescent="0.4">
      <c r="A5" s="48"/>
      <c r="B5" s="82" t="s">
        <v>391</v>
      </c>
      <c r="C5" s="82" t="s">
        <v>391</v>
      </c>
      <c r="D5" s="82" t="s">
        <v>391</v>
      </c>
      <c r="E5" s="82" t="s">
        <v>391</v>
      </c>
      <c r="F5" s="82" t="s">
        <v>391</v>
      </c>
      <c r="G5" s="82" t="s">
        <v>391</v>
      </c>
      <c r="H5" s="82" t="s">
        <v>391</v>
      </c>
      <c r="I5" s="82" t="s">
        <v>391</v>
      </c>
      <c r="J5" s="82" t="s">
        <v>391</v>
      </c>
      <c r="K5" s="49" t="s">
        <v>391</v>
      </c>
    </row>
    <row r="6" spans="1:22" x14ac:dyDescent="0.4">
      <c r="A6" s="45" t="s">
        <v>389</v>
      </c>
      <c r="B6" s="81"/>
      <c r="C6" s="81"/>
      <c r="D6" s="81"/>
      <c r="E6" s="81"/>
      <c r="F6" s="81"/>
      <c r="G6" s="81"/>
      <c r="H6" s="81"/>
      <c r="I6" s="81"/>
      <c r="J6" s="81"/>
      <c r="K6" s="51"/>
    </row>
    <row r="7" spans="1:22" x14ac:dyDescent="0.4">
      <c r="A7" s="46" t="s">
        <v>392</v>
      </c>
      <c r="B7" s="63">
        <v>76274.98</v>
      </c>
      <c r="C7" s="63">
        <v>75826.58</v>
      </c>
      <c r="D7" s="63">
        <v>64618.23</v>
      </c>
      <c r="E7" s="63">
        <v>52835.15</v>
      </c>
      <c r="F7" s="63">
        <v>50968.5</v>
      </c>
      <c r="G7" s="64">
        <v>49348.43</v>
      </c>
      <c r="H7" s="64">
        <v>47362.51</v>
      </c>
      <c r="I7" s="64">
        <v>58287.95</v>
      </c>
      <c r="J7" s="64">
        <v>54673.17</v>
      </c>
      <c r="K7" s="54">
        <v>52759.08</v>
      </c>
    </row>
    <row r="8" spans="1:22" x14ac:dyDescent="0.4">
      <c r="A8" s="48" t="s">
        <v>664</v>
      </c>
      <c r="B8" s="65">
        <v>5959.49</v>
      </c>
      <c r="C8" s="65">
        <v>5581.36</v>
      </c>
      <c r="D8" s="65">
        <v>4536.87</v>
      </c>
      <c r="E8" s="65">
        <v>3882.34</v>
      </c>
      <c r="F8" s="65">
        <v>1989.42</v>
      </c>
      <c r="G8" s="66">
        <v>1509.43</v>
      </c>
      <c r="H8" s="66">
        <v>4239.6099999999997</v>
      </c>
      <c r="I8" s="66">
        <v>15927.91</v>
      </c>
      <c r="J8" s="66">
        <v>15868.98</v>
      </c>
      <c r="K8" s="55">
        <v>14325.77</v>
      </c>
    </row>
    <row r="9" spans="1:22" x14ac:dyDescent="0.4">
      <c r="A9" s="46" t="s">
        <v>466</v>
      </c>
      <c r="B9" s="63">
        <f>B7-B8</f>
        <v>70315.489999999991</v>
      </c>
      <c r="C9" s="63">
        <f t="shared" ref="C9:K9" si="0">C7-C8</f>
        <v>70245.22</v>
      </c>
      <c r="D9" s="63">
        <f t="shared" si="0"/>
        <v>60081.36</v>
      </c>
      <c r="E9" s="63">
        <f t="shared" si="0"/>
        <v>48952.81</v>
      </c>
      <c r="F9" s="63">
        <f t="shared" si="0"/>
        <v>48979.08</v>
      </c>
      <c r="G9" s="63">
        <f t="shared" si="0"/>
        <v>47839</v>
      </c>
      <c r="H9" s="63">
        <f t="shared" si="0"/>
        <v>43122.9</v>
      </c>
      <c r="I9" s="63">
        <f t="shared" si="0"/>
        <v>42360.039999999994</v>
      </c>
      <c r="J9" s="63">
        <f t="shared" si="0"/>
        <v>38804.19</v>
      </c>
      <c r="K9" s="56">
        <f t="shared" si="0"/>
        <v>38433.31</v>
      </c>
    </row>
    <row r="10" spans="1:22" x14ac:dyDescent="0.4">
      <c r="A10" s="48" t="s">
        <v>393</v>
      </c>
      <c r="B10" s="65">
        <v>565.51</v>
      </c>
      <c r="C10" s="65">
        <v>691.63</v>
      </c>
      <c r="D10" s="65">
        <v>586.73</v>
      </c>
      <c r="E10" s="65">
        <v>319.97000000000003</v>
      </c>
      <c r="F10" s="65">
        <v>424.97</v>
      </c>
      <c r="G10" s="66">
        <v>513.67999999999995</v>
      </c>
      <c r="H10" s="66">
        <v>326.04000000000002</v>
      </c>
      <c r="I10" s="66">
        <v>416.57</v>
      </c>
      <c r="J10" s="66">
        <v>387.91</v>
      </c>
      <c r="K10" s="55">
        <v>401.5</v>
      </c>
    </row>
    <row r="11" spans="1:22" x14ac:dyDescent="0.4">
      <c r="A11" s="46" t="s">
        <v>394</v>
      </c>
      <c r="B11" s="63">
        <f>B9+B10</f>
        <v>70880.999999999985</v>
      </c>
      <c r="C11" s="63">
        <f t="shared" ref="C11:K11" si="1">C9+C10</f>
        <v>70936.850000000006</v>
      </c>
      <c r="D11" s="63">
        <f t="shared" si="1"/>
        <v>60668.090000000004</v>
      </c>
      <c r="E11" s="63">
        <f t="shared" si="1"/>
        <v>49272.78</v>
      </c>
      <c r="F11" s="63">
        <f t="shared" si="1"/>
        <v>49404.05</v>
      </c>
      <c r="G11" s="63">
        <f t="shared" si="1"/>
        <v>48352.68</v>
      </c>
      <c r="H11" s="63">
        <f t="shared" si="1"/>
        <v>43448.94</v>
      </c>
      <c r="I11" s="63">
        <f t="shared" si="1"/>
        <v>42776.609999999993</v>
      </c>
      <c r="J11" s="63">
        <f t="shared" si="1"/>
        <v>39192.100000000006</v>
      </c>
      <c r="K11" s="56">
        <f t="shared" si="1"/>
        <v>38834.81</v>
      </c>
      <c r="L11" s="18"/>
    </row>
    <row r="12" spans="1:22" x14ac:dyDescent="0.4">
      <c r="A12" s="48" t="s">
        <v>395</v>
      </c>
      <c r="B12" s="65">
        <v>2727.84</v>
      </c>
      <c r="C12" s="65">
        <v>1980.49</v>
      </c>
      <c r="D12" s="65">
        <v>1836.35</v>
      </c>
      <c r="E12" s="65">
        <v>2632.56</v>
      </c>
      <c r="F12" s="65">
        <v>2597.89</v>
      </c>
      <c r="G12" s="66">
        <v>2173.79</v>
      </c>
      <c r="H12" s="66">
        <v>1831.86</v>
      </c>
      <c r="I12" s="66">
        <v>1761.53</v>
      </c>
      <c r="J12" s="66">
        <v>1530.8</v>
      </c>
      <c r="K12" s="55">
        <v>1256.51</v>
      </c>
    </row>
    <row r="13" spans="1:22" x14ac:dyDescent="0.4">
      <c r="A13" s="45" t="s">
        <v>396</v>
      </c>
      <c r="B13" s="67">
        <f>B11+B12</f>
        <v>73608.839999999982</v>
      </c>
      <c r="C13" s="67">
        <f t="shared" ref="C13:K13" si="2">C11+C12</f>
        <v>72917.340000000011</v>
      </c>
      <c r="D13" s="67">
        <f t="shared" si="2"/>
        <v>62504.44</v>
      </c>
      <c r="E13" s="67">
        <f t="shared" si="2"/>
        <v>51905.34</v>
      </c>
      <c r="F13" s="67">
        <f t="shared" si="2"/>
        <v>52001.94</v>
      </c>
      <c r="G13" s="67">
        <f t="shared" si="2"/>
        <v>50526.47</v>
      </c>
      <c r="H13" s="67">
        <f t="shared" si="2"/>
        <v>45280.800000000003</v>
      </c>
      <c r="I13" s="67">
        <f t="shared" si="2"/>
        <v>44538.139999999992</v>
      </c>
      <c r="J13" s="67">
        <f t="shared" si="2"/>
        <v>40722.900000000009</v>
      </c>
      <c r="K13" s="57">
        <f t="shared" si="2"/>
        <v>40091.32</v>
      </c>
      <c r="L13" s="112" t="s">
        <v>516</v>
      </c>
      <c r="M13" s="113">
        <f>(B13-C13)/C13</f>
        <v>9.4833409995478558E-3</v>
      </c>
      <c r="N13" s="113">
        <f t="shared" ref="N13:T13" si="3">(C13-D13)/D13</f>
        <v>0.16659456512209386</v>
      </c>
      <c r="O13" s="113">
        <f t="shared" si="3"/>
        <v>0.20420056972943451</v>
      </c>
      <c r="P13" s="113">
        <f t="shared" si="3"/>
        <v>-1.8576230040649603E-3</v>
      </c>
      <c r="Q13" s="113">
        <f t="shared" si="3"/>
        <v>2.9201921289969419E-2</v>
      </c>
      <c r="R13" s="113">
        <f t="shared" si="3"/>
        <v>0.11584755569689577</v>
      </c>
      <c r="S13" s="113">
        <f t="shared" si="3"/>
        <v>1.667469723702002E-2</v>
      </c>
      <c r="T13" s="113">
        <f t="shared" si="3"/>
        <v>9.368782675104137E-2</v>
      </c>
      <c r="U13" s="113">
        <f>(J13-K13)/K13</f>
        <v>1.5753534680325042E-2</v>
      </c>
      <c r="V13" s="110"/>
    </row>
    <row r="14" spans="1:22" x14ac:dyDescent="0.4">
      <c r="A14" s="48" t="s">
        <v>470</v>
      </c>
      <c r="B14" s="69">
        <v>27247.210000000003</v>
      </c>
      <c r="C14" s="69">
        <v>29005.77</v>
      </c>
      <c r="D14" s="69">
        <v>26385.07</v>
      </c>
      <c r="E14" s="69">
        <v>20131.439999999999</v>
      </c>
      <c r="F14" s="69">
        <v>17345.469999999998</v>
      </c>
      <c r="G14" s="69">
        <v>17420.330000000002</v>
      </c>
      <c r="H14" s="69">
        <v>15855.48</v>
      </c>
      <c r="I14" s="69">
        <v>16049.16</v>
      </c>
      <c r="J14" s="69">
        <v>13568.500000000002</v>
      </c>
      <c r="K14" s="58">
        <v>14772.180000000002</v>
      </c>
      <c r="L14" s="112" t="s">
        <v>506</v>
      </c>
      <c r="M14" s="113">
        <f>B14/B13</f>
        <v>0.37016219790992505</v>
      </c>
      <c r="N14" s="113">
        <f t="shared" ref="N14:U14" si="4">C14/C13</f>
        <v>0.39778974383870824</v>
      </c>
      <c r="O14" s="113">
        <f t="shared" si="4"/>
        <v>0.4221311318043966</v>
      </c>
      <c r="P14" s="113">
        <f t="shared" si="4"/>
        <v>0.38784911147870332</v>
      </c>
      <c r="Q14" s="113">
        <f t="shared" si="4"/>
        <v>0.33355428662853726</v>
      </c>
      <c r="R14" s="113">
        <f t="shared" si="4"/>
        <v>0.34477631229729688</v>
      </c>
      <c r="S14" s="113">
        <f t="shared" si="4"/>
        <v>0.35015900779138176</v>
      </c>
      <c r="T14" s="113">
        <f t="shared" si="4"/>
        <v>0.36034643566165991</v>
      </c>
      <c r="U14" s="113">
        <f t="shared" si="4"/>
        <v>0.33319090732732687</v>
      </c>
    </row>
    <row r="15" spans="1:22" x14ac:dyDescent="0.4">
      <c r="A15" s="45" t="s">
        <v>467</v>
      </c>
      <c r="B15" s="84">
        <f>B13-B14</f>
        <v>46361.629999999976</v>
      </c>
      <c r="C15" s="84">
        <f t="shared" ref="C15:K15" si="5">C13-C14</f>
        <v>43911.570000000007</v>
      </c>
      <c r="D15" s="84">
        <f t="shared" si="5"/>
        <v>36119.370000000003</v>
      </c>
      <c r="E15" s="84">
        <f t="shared" si="5"/>
        <v>31773.899999999998</v>
      </c>
      <c r="F15" s="84">
        <f t="shared" si="5"/>
        <v>34656.47</v>
      </c>
      <c r="G15" s="84">
        <f t="shared" si="5"/>
        <v>33106.14</v>
      </c>
      <c r="H15" s="84">
        <f t="shared" si="5"/>
        <v>29425.320000000003</v>
      </c>
      <c r="I15" s="84">
        <f t="shared" si="5"/>
        <v>28488.979999999992</v>
      </c>
      <c r="J15" s="84">
        <f t="shared" si="5"/>
        <v>27154.400000000009</v>
      </c>
      <c r="K15" s="85">
        <f t="shared" si="5"/>
        <v>25319.14</v>
      </c>
    </row>
    <row r="16" spans="1:22" x14ac:dyDescent="0.4">
      <c r="A16" s="48" t="s">
        <v>469</v>
      </c>
      <c r="B16" s="79">
        <v>19195.830000000002</v>
      </c>
      <c r="C16" s="79">
        <v>18075.16</v>
      </c>
      <c r="D16" s="79">
        <v>15357.02</v>
      </c>
      <c r="E16" s="79">
        <v>13784.23</v>
      </c>
      <c r="F16" s="79">
        <v>14443.329999999998</v>
      </c>
      <c r="G16" s="79">
        <v>13922.6</v>
      </c>
      <c r="H16" s="79">
        <v>12346.78</v>
      </c>
      <c r="I16" s="79">
        <v>12444.330000000002</v>
      </c>
      <c r="J16" s="79">
        <v>12250.15</v>
      </c>
      <c r="K16" s="83">
        <v>10888.97</v>
      </c>
      <c r="L16" s="112" t="s">
        <v>507</v>
      </c>
      <c r="M16" s="113">
        <f>C16/C13</f>
        <v>0.24788561952479338</v>
      </c>
      <c r="N16" s="113">
        <f t="shared" ref="N16:U16" si="6">D16/D13</f>
        <v>0.24569486583673095</v>
      </c>
      <c r="O16" s="113">
        <f t="shared" si="6"/>
        <v>0.26556477618680469</v>
      </c>
      <c r="P16" s="113">
        <f t="shared" si="6"/>
        <v>0.27774598409213191</v>
      </c>
      <c r="Q16" s="113">
        <f t="shared" si="6"/>
        <v>0.27555061732988667</v>
      </c>
      <c r="R16" s="113">
        <f t="shared" si="6"/>
        <v>0.27267141923287574</v>
      </c>
      <c r="S16" s="113">
        <f t="shared" si="6"/>
        <v>0.27940839020219532</v>
      </c>
      <c r="T16" s="113">
        <f t="shared" si="6"/>
        <v>0.30081723059998178</v>
      </c>
      <c r="U16" s="113">
        <f t="shared" si="6"/>
        <v>0.27160417766239675</v>
      </c>
    </row>
    <row r="17" spans="1:21" x14ac:dyDescent="0.4">
      <c r="A17" s="45" t="s">
        <v>471</v>
      </c>
      <c r="B17" s="84">
        <f>B15-B16</f>
        <v>27165.799999999974</v>
      </c>
      <c r="C17" s="84">
        <f t="shared" ref="C17:K17" si="7">C15-C16</f>
        <v>25836.410000000007</v>
      </c>
      <c r="D17" s="84">
        <f t="shared" si="7"/>
        <v>20762.350000000002</v>
      </c>
      <c r="E17" s="84">
        <f t="shared" si="7"/>
        <v>17989.669999999998</v>
      </c>
      <c r="F17" s="84">
        <f t="shared" si="7"/>
        <v>20213.140000000003</v>
      </c>
      <c r="G17" s="84">
        <f t="shared" si="7"/>
        <v>19183.54</v>
      </c>
      <c r="H17" s="84">
        <f t="shared" si="7"/>
        <v>17078.54</v>
      </c>
      <c r="I17" s="84">
        <f t="shared" si="7"/>
        <v>16044.649999999991</v>
      </c>
      <c r="J17" s="84">
        <f t="shared" si="7"/>
        <v>14904.250000000009</v>
      </c>
      <c r="K17" s="85">
        <f t="shared" si="7"/>
        <v>14430.17</v>
      </c>
    </row>
    <row r="18" spans="1:21" x14ac:dyDescent="0.4">
      <c r="A18" s="48" t="s">
        <v>472</v>
      </c>
      <c r="B18" s="65">
        <v>38.39</v>
      </c>
      <c r="C18" s="65">
        <v>116.07000000000001</v>
      </c>
      <c r="D18" s="65">
        <v>39.36</v>
      </c>
      <c r="E18" s="65">
        <v>44.58</v>
      </c>
      <c r="F18" s="65">
        <v>-77.430000000000007</v>
      </c>
      <c r="G18" s="66">
        <v>45.42</v>
      </c>
      <c r="H18" s="66">
        <v>502.80999999999995</v>
      </c>
      <c r="I18" s="66">
        <v>24.3</v>
      </c>
      <c r="J18" s="66">
        <v>53.6</v>
      </c>
      <c r="K18" s="55">
        <v>68.12</v>
      </c>
    </row>
    <row r="19" spans="1:21" x14ac:dyDescent="0.4">
      <c r="A19" s="45" t="s">
        <v>473</v>
      </c>
      <c r="B19" s="67">
        <f>B17-B18</f>
        <v>27127.409999999974</v>
      </c>
      <c r="C19" s="67">
        <f t="shared" ref="C19:K19" si="8">C17-C18</f>
        <v>25720.340000000007</v>
      </c>
      <c r="D19" s="67">
        <f t="shared" si="8"/>
        <v>20722.990000000002</v>
      </c>
      <c r="E19" s="67">
        <f t="shared" si="8"/>
        <v>17945.089999999997</v>
      </c>
      <c r="F19" s="67">
        <f t="shared" si="8"/>
        <v>20290.570000000003</v>
      </c>
      <c r="G19" s="67">
        <f t="shared" si="8"/>
        <v>19138.120000000003</v>
      </c>
      <c r="H19" s="67">
        <f t="shared" si="8"/>
        <v>16575.73</v>
      </c>
      <c r="I19" s="67">
        <f t="shared" si="8"/>
        <v>16020.349999999991</v>
      </c>
      <c r="J19" s="67">
        <f t="shared" si="8"/>
        <v>14850.650000000009</v>
      </c>
      <c r="K19" s="57">
        <f t="shared" si="8"/>
        <v>14362.05</v>
      </c>
    </row>
    <row r="20" spans="1:21" x14ac:dyDescent="0.4">
      <c r="A20" s="48" t="s">
        <v>501</v>
      </c>
      <c r="B20" s="65">
        <v>6388.52</v>
      </c>
      <c r="C20" s="65">
        <v>6438.4</v>
      </c>
      <c r="D20" s="65">
        <v>5237.34</v>
      </c>
      <c r="E20" s="65">
        <v>4555.29</v>
      </c>
      <c r="F20" s="65">
        <v>4441.79</v>
      </c>
      <c r="G20" s="65">
        <v>6313.92</v>
      </c>
      <c r="H20" s="65">
        <v>5916.4299999999994</v>
      </c>
      <c r="I20" s="65">
        <v>5549.09</v>
      </c>
      <c r="J20" s="65">
        <v>5358.21</v>
      </c>
      <c r="K20" s="109">
        <v>4596.42</v>
      </c>
      <c r="L20" s="112" t="s">
        <v>508</v>
      </c>
      <c r="M20" s="113">
        <f>C20/C19</f>
        <v>0.25032328499545486</v>
      </c>
      <c r="N20" s="113">
        <f t="shared" ref="N20:U20" si="9">D20/D19</f>
        <v>0.25273090417936794</v>
      </c>
      <c r="O20" s="113">
        <f t="shared" si="9"/>
        <v>0.25384603810847428</v>
      </c>
      <c r="P20" s="113">
        <f t="shared" si="9"/>
        <v>0.21890907943936513</v>
      </c>
      <c r="Q20" s="113">
        <f t="shared" si="9"/>
        <v>0.32991328301839468</v>
      </c>
      <c r="R20" s="113">
        <f t="shared" si="9"/>
        <v>0.35693329946856034</v>
      </c>
      <c r="S20" s="113">
        <f t="shared" si="9"/>
        <v>0.34637757602049912</v>
      </c>
      <c r="T20" s="113">
        <f t="shared" si="9"/>
        <v>0.36080642934821011</v>
      </c>
      <c r="U20" s="113">
        <f t="shared" si="9"/>
        <v>0.32003927015990058</v>
      </c>
    </row>
    <row r="21" spans="1:21" x14ac:dyDescent="0.4">
      <c r="A21" s="45" t="s">
        <v>663</v>
      </c>
      <c r="B21" s="67">
        <f t="shared" ref="B21:K21" si="10">B19-B20</f>
        <v>20738.889999999974</v>
      </c>
      <c r="C21" s="67">
        <f t="shared" si="10"/>
        <v>19281.94000000001</v>
      </c>
      <c r="D21" s="67">
        <f t="shared" si="10"/>
        <v>15485.650000000001</v>
      </c>
      <c r="E21" s="67">
        <f t="shared" si="10"/>
        <v>13389.799999999996</v>
      </c>
      <c r="F21" s="67">
        <f t="shared" si="10"/>
        <v>15848.780000000002</v>
      </c>
      <c r="G21" s="67">
        <f t="shared" si="10"/>
        <v>12824.200000000003</v>
      </c>
      <c r="H21" s="67">
        <f t="shared" si="10"/>
        <v>10659.3</v>
      </c>
      <c r="I21" s="67">
        <f t="shared" si="10"/>
        <v>10471.259999999991</v>
      </c>
      <c r="J21" s="67">
        <f t="shared" si="10"/>
        <v>9492.4400000000096</v>
      </c>
      <c r="K21" s="67">
        <f t="shared" si="10"/>
        <v>9765.6299999999992</v>
      </c>
    </row>
    <row r="22" spans="1:21" x14ac:dyDescent="0.4">
      <c r="A22" s="48" t="s">
        <v>397</v>
      </c>
      <c r="B22" s="65">
        <v>-292.58</v>
      </c>
      <c r="C22" s="65">
        <v>-285.06</v>
      </c>
      <c r="D22" s="65">
        <v>-260.47000000000003</v>
      </c>
      <c r="E22" s="65">
        <v>-221.69</v>
      </c>
      <c r="F22" s="65">
        <v>-286.55</v>
      </c>
      <c r="G22" s="66">
        <v>-243.57</v>
      </c>
      <c r="H22" s="66">
        <v>-221.48</v>
      </c>
      <c r="I22" s="66">
        <v>-187.79</v>
      </c>
      <c r="J22" s="66">
        <v>-156.41</v>
      </c>
      <c r="K22" s="55">
        <v>-115.35</v>
      </c>
    </row>
    <row r="23" spans="1:21" x14ac:dyDescent="0.4">
      <c r="A23" s="48" t="s">
        <v>398</v>
      </c>
      <c r="B23" s="65">
        <v>27.61</v>
      </c>
      <c r="C23" s="65">
        <v>49.04</v>
      </c>
      <c r="D23" s="65">
        <v>17.48</v>
      </c>
      <c r="E23" s="65">
        <v>-6.92</v>
      </c>
      <c r="F23" s="65">
        <v>8.2200000000000006</v>
      </c>
      <c r="G23" s="66">
        <v>11.7</v>
      </c>
      <c r="H23" s="66">
        <v>7.58</v>
      </c>
      <c r="I23" s="66">
        <v>5.97</v>
      </c>
      <c r="J23" s="66">
        <v>8.42</v>
      </c>
      <c r="K23" s="55">
        <v>12.89</v>
      </c>
    </row>
    <row r="24" spans="1:21" x14ac:dyDescent="0.4">
      <c r="A24" s="45" t="s">
        <v>474</v>
      </c>
      <c r="B24" s="67">
        <f>SUM(B21:B23)</f>
        <v>20473.919999999973</v>
      </c>
      <c r="C24" s="67">
        <f t="shared" ref="C24:K24" si="11">SUM(C21:C23)</f>
        <v>19045.920000000009</v>
      </c>
      <c r="D24" s="67">
        <f t="shared" si="11"/>
        <v>15242.660000000002</v>
      </c>
      <c r="E24" s="67">
        <f t="shared" si="11"/>
        <v>13161.189999999995</v>
      </c>
      <c r="F24" s="67">
        <f t="shared" si="11"/>
        <v>15570.450000000003</v>
      </c>
      <c r="G24" s="67">
        <f t="shared" si="11"/>
        <v>12592.330000000004</v>
      </c>
      <c r="H24" s="67">
        <f t="shared" si="11"/>
        <v>10445.4</v>
      </c>
      <c r="I24" s="67">
        <f t="shared" si="11"/>
        <v>10289.43999999999</v>
      </c>
      <c r="J24" s="67">
        <f t="shared" si="11"/>
        <v>9344.4500000000098</v>
      </c>
      <c r="K24" s="67">
        <f t="shared" si="11"/>
        <v>9663.1699999999983</v>
      </c>
      <c r="L24" s="112" t="s">
        <v>511</v>
      </c>
      <c r="M24" s="113">
        <f>-SUM(C22:C23)/C21</f>
        <v>1.2240469579305812E-2</v>
      </c>
      <c r="N24" s="113">
        <f t="shared" ref="N24:U24" si="12">-SUM(D22:D23)/D21</f>
        <v>1.5691301301527544E-2</v>
      </c>
      <c r="O24" s="113">
        <f t="shared" si="12"/>
        <v>1.7073443964809039E-2</v>
      </c>
      <c r="P24" s="113">
        <f t="shared" si="12"/>
        <v>1.7561604110852693E-2</v>
      </c>
      <c r="Q24" s="113">
        <f t="shared" si="12"/>
        <v>1.808066000218337E-2</v>
      </c>
      <c r="R24" s="113">
        <f t="shared" si="12"/>
        <v>2.0066983760659705E-2</v>
      </c>
      <c r="S24" s="113">
        <f t="shared" si="12"/>
        <v>1.7363717451385999E-2</v>
      </c>
      <c r="T24" s="113">
        <f t="shared" si="12"/>
        <v>1.559030133453568E-2</v>
      </c>
      <c r="U24" s="113">
        <f t="shared" si="12"/>
        <v>1.0491898628147903E-2</v>
      </c>
    </row>
    <row r="25" spans="1:21" ht="16.05" customHeight="1" x14ac:dyDescent="0.4">
      <c r="A25" s="46" t="s">
        <v>399</v>
      </c>
      <c r="B25" s="68"/>
      <c r="C25" s="68"/>
      <c r="D25" s="68"/>
      <c r="E25" s="68"/>
      <c r="F25" s="68"/>
      <c r="G25" s="66"/>
      <c r="H25" s="66"/>
      <c r="I25" s="66"/>
      <c r="J25" s="66"/>
      <c r="K25" s="55"/>
    </row>
    <row r="26" spans="1:21" x14ac:dyDescent="0.4">
      <c r="A26" s="46" t="s">
        <v>400</v>
      </c>
      <c r="B26" s="68"/>
      <c r="C26" s="63"/>
      <c r="D26" s="63"/>
      <c r="E26" s="63"/>
      <c r="F26" s="63"/>
      <c r="G26" s="66"/>
      <c r="H26" s="66"/>
      <c r="I26" s="66"/>
      <c r="J26" s="66"/>
      <c r="K26" s="55"/>
    </row>
    <row r="27" spans="1:21" x14ac:dyDescent="0.4">
      <c r="A27" s="48" t="s">
        <v>401</v>
      </c>
      <c r="B27" s="65">
        <v>16</v>
      </c>
      <c r="C27" s="65">
        <v>16</v>
      </c>
      <c r="D27" s="65">
        <v>12</v>
      </c>
      <c r="E27" s="65">
        <v>11</v>
      </c>
      <c r="F27" s="65">
        <v>12</v>
      </c>
      <c r="G27" s="66">
        <v>10</v>
      </c>
      <c r="H27" s="66">
        <v>9</v>
      </c>
      <c r="I27" s="66">
        <v>9</v>
      </c>
      <c r="J27" s="66">
        <v>8</v>
      </c>
      <c r="K27" s="55">
        <v>12</v>
      </c>
    </row>
    <row r="28" spans="1:21" x14ac:dyDescent="0.4">
      <c r="A28" s="48" t="s">
        <v>402</v>
      </c>
      <c r="B28" s="65">
        <v>16</v>
      </c>
      <c r="C28" s="65">
        <v>15</v>
      </c>
      <c r="D28" s="65">
        <v>12</v>
      </c>
      <c r="E28" s="65">
        <v>11</v>
      </c>
      <c r="F28" s="65">
        <v>12</v>
      </c>
      <c r="G28" s="66">
        <v>10</v>
      </c>
      <c r="H28" s="66">
        <v>9</v>
      </c>
      <c r="I28" s="66">
        <v>8</v>
      </c>
      <c r="J28" s="66">
        <v>8</v>
      </c>
      <c r="K28" s="55">
        <v>12</v>
      </c>
    </row>
    <row r="29" spans="1:21" ht="16.05" customHeight="1" x14ac:dyDescent="0.4">
      <c r="A29" s="46" t="s">
        <v>403</v>
      </c>
      <c r="B29" s="68"/>
      <c r="C29" s="63"/>
      <c r="D29" s="63"/>
      <c r="E29" s="63"/>
      <c r="F29" s="63"/>
      <c r="G29" s="66"/>
      <c r="H29" s="66"/>
      <c r="I29" s="66"/>
      <c r="J29" s="66"/>
      <c r="K29" s="55"/>
    </row>
    <row r="30" spans="1:21" x14ac:dyDescent="0.4">
      <c r="A30" s="48" t="s">
        <v>404</v>
      </c>
      <c r="B30" s="65">
        <v>8388.91</v>
      </c>
      <c r="C30" s="65">
        <v>7448.41</v>
      </c>
      <c r="D30" s="65">
        <v>6469.48</v>
      </c>
      <c r="E30" s="65">
        <v>6152.68</v>
      </c>
      <c r="F30" s="65">
        <v>7048.71</v>
      </c>
      <c r="G30" s="66">
        <v>6285.21</v>
      </c>
      <c r="H30" s="66">
        <v>5770.01</v>
      </c>
      <c r="I30" s="66">
        <v>6840.12</v>
      </c>
      <c r="J30" s="66">
        <v>5009.7</v>
      </c>
      <c r="K30" s="55">
        <v>5009.7</v>
      </c>
    </row>
    <row r="31" spans="1:21" x14ac:dyDescent="0.4">
      <c r="A31" s="50" t="s">
        <v>405</v>
      </c>
      <c r="B31" s="59">
        <v>0</v>
      </c>
      <c r="C31" s="59">
        <v>0</v>
      </c>
      <c r="D31" s="59">
        <v>0</v>
      </c>
      <c r="E31" s="59">
        <v>0</v>
      </c>
      <c r="F31" s="59">
        <v>1407.44</v>
      </c>
      <c r="G31" s="60">
        <v>1213.5999999999999</v>
      </c>
      <c r="H31" s="60">
        <v>1136.83</v>
      </c>
      <c r="I31" s="60">
        <v>1338.95</v>
      </c>
      <c r="J31" s="60">
        <v>992.74</v>
      </c>
      <c r="K31" s="61">
        <v>1051.76</v>
      </c>
    </row>
    <row r="32" spans="1:21" x14ac:dyDescent="0.4">
      <c r="A32" s="19"/>
    </row>
    <row r="33" spans="1:1" x14ac:dyDescent="0.4">
      <c r="A33" s="19"/>
    </row>
  </sheetData>
  <mergeCells count="2">
    <mergeCell ref="A1:K1"/>
    <mergeCell ref="B2:K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0D70B-34F7-4B6C-8544-A721737DAAA5}">
  <sheetPr>
    <tabColor theme="4" tint="0.39997558519241921"/>
  </sheetPr>
  <dimension ref="A1:U55"/>
  <sheetViews>
    <sheetView showGridLines="0" zoomScale="77" zoomScaleNormal="130" workbookViewId="0">
      <pane xSplit="1" topLeftCell="B1" activePane="topRight" state="frozen"/>
      <selection pane="topRight" activeCell="B4" sqref="B4"/>
    </sheetView>
  </sheetViews>
  <sheetFormatPr defaultColWidth="8.73046875" defaultRowHeight="13.15" x14ac:dyDescent="0.4"/>
  <cols>
    <col min="1" max="1" width="52" style="1" bestFit="1" customWidth="1"/>
    <col min="2" max="11" width="9.59765625" style="1" bestFit="1" customWidth="1"/>
    <col min="12" max="12" width="31.33203125" style="1" bestFit="1" customWidth="1"/>
    <col min="13" max="16384" width="8.73046875" style="1"/>
  </cols>
  <sheetData>
    <row r="1" spans="1:11" ht="19.899999999999999" x14ac:dyDescent="0.4">
      <c r="A1" s="243" t="s">
        <v>451</v>
      </c>
      <c r="B1" s="244"/>
      <c r="C1" s="244"/>
      <c r="D1" s="244"/>
      <c r="E1" s="244"/>
      <c r="F1" s="244"/>
      <c r="G1" s="244"/>
      <c r="H1" s="244"/>
      <c r="I1" s="244"/>
      <c r="J1" s="244"/>
      <c r="K1" s="245"/>
    </row>
    <row r="2" spans="1:11" x14ac:dyDescent="0.4">
      <c r="A2" s="45" t="s">
        <v>480</v>
      </c>
      <c r="B2" s="248" t="s">
        <v>406</v>
      </c>
      <c r="C2" s="248"/>
      <c r="D2" s="248"/>
      <c r="E2" s="248"/>
      <c r="F2" s="248"/>
      <c r="G2" s="248"/>
      <c r="H2" s="248"/>
      <c r="I2" s="248"/>
      <c r="J2" s="248"/>
      <c r="K2" s="249"/>
    </row>
    <row r="3" spans="1:11" x14ac:dyDescent="0.4">
      <c r="A3" s="19" t="s">
        <v>408</v>
      </c>
      <c r="B3" s="80">
        <v>45352</v>
      </c>
      <c r="C3" s="80">
        <v>44986</v>
      </c>
      <c r="D3" s="80">
        <v>44621</v>
      </c>
      <c r="E3" s="80">
        <v>44256</v>
      </c>
      <c r="F3" s="80">
        <v>43891</v>
      </c>
      <c r="G3" s="80">
        <v>43525</v>
      </c>
      <c r="H3" s="80">
        <v>43160</v>
      </c>
      <c r="I3" s="80">
        <v>42795</v>
      </c>
      <c r="J3" s="80">
        <v>42430</v>
      </c>
      <c r="K3" s="47">
        <v>42064</v>
      </c>
    </row>
    <row r="4" spans="1:11" x14ac:dyDescent="0.4">
      <c r="A4" s="19" t="s">
        <v>408</v>
      </c>
      <c r="B4" s="1" t="s">
        <v>391</v>
      </c>
      <c r="C4" s="1" t="s">
        <v>391</v>
      </c>
      <c r="D4" s="1" t="s">
        <v>391</v>
      </c>
      <c r="E4" s="1" t="s">
        <v>391</v>
      </c>
      <c r="F4" s="1" t="s">
        <v>391</v>
      </c>
      <c r="G4" s="1" t="s">
        <v>391</v>
      </c>
      <c r="H4" s="1" t="s">
        <v>391</v>
      </c>
      <c r="I4" s="1" t="s">
        <v>391</v>
      </c>
      <c r="J4" s="1" t="s">
        <v>391</v>
      </c>
      <c r="K4" s="20" t="s">
        <v>391</v>
      </c>
    </row>
    <row r="5" spans="1:11" x14ac:dyDescent="0.4">
      <c r="A5" s="53" t="s">
        <v>409</v>
      </c>
      <c r="B5" s="117"/>
      <c r="C5" s="117"/>
      <c r="D5" s="117"/>
      <c r="E5" s="117"/>
      <c r="F5" s="117"/>
      <c r="G5" s="117"/>
      <c r="H5" s="117"/>
      <c r="I5" s="117"/>
      <c r="J5" s="117"/>
      <c r="K5" s="44"/>
    </row>
    <row r="6" spans="1:11" x14ac:dyDescent="0.4">
      <c r="A6" s="52" t="s">
        <v>410</v>
      </c>
      <c r="K6" s="20"/>
    </row>
    <row r="7" spans="1:11" x14ac:dyDescent="0.4">
      <c r="A7" s="19" t="s">
        <v>411</v>
      </c>
      <c r="B7" s="118">
        <v>1248.47</v>
      </c>
      <c r="C7" s="118">
        <v>1242.8</v>
      </c>
      <c r="D7" s="118">
        <v>1232.33</v>
      </c>
      <c r="E7" s="118">
        <v>1230.8800000000001</v>
      </c>
      <c r="F7" s="118">
        <v>1229.22</v>
      </c>
      <c r="G7" s="118">
        <v>1225.8599999999999</v>
      </c>
      <c r="H7" s="118">
        <v>1220.43</v>
      </c>
      <c r="I7" s="118">
        <v>1214.74</v>
      </c>
      <c r="J7" s="118">
        <v>804.72</v>
      </c>
      <c r="K7" s="73">
        <v>801.55</v>
      </c>
    </row>
    <row r="8" spans="1:11" x14ac:dyDescent="0.4">
      <c r="A8" s="19" t="s">
        <v>412</v>
      </c>
      <c r="B8" s="118">
        <v>73258.53</v>
      </c>
      <c r="C8" s="118">
        <v>67912.459999999992</v>
      </c>
      <c r="D8" s="118">
        <v>61223.240000000005</v>
      </c>
      <c r="E8" s="118">
        <v>59116.46</v>
      </c>
      <c r="F8" s="118">
        <v>64044.04</v>
      </c>
      <c r="G8" s="118">
        <v>57915.01</v>
      </c>
      <c r="H8" s="118">
        <v>51289.69</v>
      </c>
      <c r="I8" s="118">
        <v>45198.19</v>
      </c>
      <c r="J8" s="118">
        <v>41874.800000000003</v>
      </c>
      <c r="K8" s="73">
        <v>30933.94</v>
      </c>
    </row>
    <row r="9" spans="1:11" x14ac:dyDescent="0.4">
      <c r="A9" s="53" t="s">
        <v>413</v>
      </c>
      <c r="B9" s="120">
        <f>B7+B8</f>
        <v>74507</v>
      </c>
      <c r="C9" s="120">
        <f t="shared" ref="C9:K9" si="0">C7+C8</f>
        <v>69155.259999999995</v>
      </c>
      <c r="D9" s="120">
        <f t="shared" si="0"/>
        <v>62455.570000000007</v>
      </c>
      <c r="E9" s="120">
        <f t="shared" si="0"/>
        <v>60347.34</v>
      </c>
      <c r="F9" s="120">
        <f t="shared" si="0"/>
        <v>65273.26</v>
      </c>
      <c r="G9" s="120">
        <f t="shared" si="0"/>
        <v>59140.87</v>
      </c>
      <c r="H9" s="120">
        <f t="shared" si="0"/>
        <v>52510.12</v>
      </c>
      <c r="I9" s="120">
        <f t="shared" si="0"/>
        <v>46412.93</v>
      </c>
      <c r="J9" s="120">
        <f t="shared" si="0"/>
        <v>42679.520000000004</v>
      </c>
      <c r="K9" s="71">
        <f t="shared" si="0"/>
        <v>31735.489999999998</v>
      </c>
    </row>
    <row r="10" spans="1:11" x14ac:dyDescent="0.4">
      <c r="A10" s="53" t="s">
        <v>397</v>
      </c>
      <c r="B10" s="121">
        <v>382.97</v>
      </c>
      <c r="C10" s="121">
        <v>383.53</v>
      </c>
      <c r="D10" s="121">
        <v>366.3</v>
      </c>
      <c r="E10" s="121">
        <v>346.81</v>
      </c>
      <c r="F10" s="121">
        <v>377.47</v>
      </c>
      <c r="G10" s="121">
        <v>343.47</v>
      </c>
      <c r="H10" s="121">
        <v>334.47</v>
      </c>
      <c r="I10" s="121">
        <v>294.74</v>
      </c>
      <c r="J10" s="121">
        <v>260.89999999999998</v>
      </c>
      <c r="K10" s="62">
        <v>225.11</v>
      </c>
    </row>
    <row r="11" spans="1:11" x14ac:dyDescent="0.4">
      <c r="A11" s="52"/>
      <c r="K11" s="20"/>
    </row>
    <row r="12" spans="1:11" x14ac:dyDescent="0.4">
      <c r="A12" s="52" t="s">
        <v>414</v>
      </c>
      <c r="K12" s="20"/>
    </row>
    <row r="13" spans="1:11" x14ac:dyDescent="0.4">
      <c r="A13" s="19" t="s">
        <v>416</v>
      </c>
      <c r="B13" s="1">
        <v>1.76</v>
      </c>
      <c r="C13" s="1">
        <v>3.49</v>
      </c>
      <c r="D13" s="1">
        <v>4.8499999999999996</v>
      </c>
      <c r="E13" s="1">
        <v>5.58</v>
      </c>
      <c r="F13" s="1">
        <v>5.9</v>
      </c>
      <c r="G13" s="1">
        <v>8.15</v>
      </c>
      <c r="H13" s="1">
        <v>11.5</v>
      </c>
      <c r="I13" s="1">
        <v>18.399999999999999</v>
      </c>
      <c r="J13" s="1">
        <v>26.66</v>
      </c>
      <c r="K13" s="20">
        <v>60.68</v>
      </c>
    </row>
    <row r="14" spans="1:11" x14ac:dyDescent="0.4">
      <c r="A14" s="19" t="s">
        <v>415</v>
      </c>
      <c r="B14" s="118">
        <v>2955.73</v>
      </c>
      <c r="C14" s="118">
        <v>2342.08</v>
      </c>
      <c r="D14" s="118">
        <v>2048.0700000000002</v>
      </c>
      <c r="E14" s="118">
        <v>2242.3900000000003</v>
      </c>
      <c r="F14" s="118">
        <v>1975.27</v>
      </c>
      <c r="G14" s="118">
        <v>2131.98</v>
      </c>
      <c r="H14" s="118">
        <v>2033</v>
      </c>
      <c r="I14" s="118">
        <v>1937.77</v>
      </c>
      <c r="J14" s="118">
        <v>1930.92</v>
      </c>
      <c r="K14" s="73">
        <v>1685.44</v>
      </c>
    </row>
    <row r="15" spans="1:11" x14ac:dyDescent="0.4">
      <c r="A15" s="19" t="s">
        <v>417</v>
      </c>
      <c r="B15" s="1">
        <v>288.3</v>
      </c>
      <c r="C15" s="1">
        <v>259.20999999999998</v>
      </c>
      <c r="D15" s="1">
        <v>221.05</v>
      </c>
      <c r="E15" s="1">
        <v>187.5</v>
      </c>
      <c r="F15" s="1">
        <v>175.37</v>
      </c>
      <c r="G15" s="1">
        <v>161.94999999999999</v>
      </c>
      <c r="H15" s="1">
        <v>149.63</v>
      </c>
      <c r="I15" s="1">
        <v>158.41999999999999</v>
      </c>
      <c r="J15" s="1">
        <v>135.41999999999999</v>
      </c>
      <c r="K15" s="20">
        <v>124.16</v>
      </c>
    </row>
    <row r="16" spans="1:11" x14ac:dyDescent="0.4">
      <c r="A16" s="53" t="s">
        <v>418</v>
      </c>
      <c r="B16" s="120">
        <f t="shared" ref="B16:K16" si="1">SUM(B13:B15)</f>
        <v>3245.7900000000004</v>
      </c>
      <c r="C16" s="120">
        <f t="shared" si="1"/>
        <v>2604.7799999999997</v>
      </c>
      <c r="D16" s="120">
        <f t="shared" si="1"/>
        <v>2273.9700000000003</v>
      </c>
      <c r="E16" s="120">
        <f t="shared" si="1"/>
        <v>2435.4700000000003</v>
      </c>
      <c r="F16" s="120">
        <f t="shared" si="1"/>
        <v>2156.54</v>
      </c>
      <c r="G16" s="120">
        <f t="shared" si="1"/>
        <v>2302.08</v>
      </c>
      <c r="H16" s="120">
        <f t="shared" si="1"/>
        <v>2194.13</v>
      </c>
      <c r="I16" s="120">
        <f t="shared" si="1"/>
        <v>2114.59</v>
      </c>
      <c r="J16" s="120">
        <f t="shared" si="1"/>
        <v>2093</v>
      </c>
      <c r="K16" s="71">
        <f t="shared" si="1"/>
        <v>1870.2800000000002</v>
      </c>
    </row>
    <row r="17" spans="1:11" customFormat="1" ht="14.25" x14ac:dyDescent="0.45">
      <c r="A17" s="21"/>
      <c r="K17" s="43"/>
    </row>
    <row r="18" spans="1:11" x14ac:dyDescent="0.4">
      <c r="A18" s="53" t="s">
        <v>419</v>
      </c>
      <c r="B18" s="117"/>
      <c r="C18" s="117"/>
      <c r="D18" s="117"/>
      <c r="E18" s="117"/>
      <c r="F18" s="117"/>
      <c r="G18" s="117"/>
      <c r="H18" s="117"/>
      <c r="I18" s="117"/>
      <c r="J18" s="117"/>
      <c r="K18" s="44"/>
    </row>
    <row r="19" spans="1:11" x14ac:dyDescent="0.4">
      <c r="A19" s="19" t="s">
        <v>420</v>
      </c>
      <c r="B19" s="1">
        <v>9.52</v>
      </c>
      <c r="C19" s="1">
        <v>35.32</v>
      </c>
      <c r="D19" s="1">
        <v>0.74</v>
      </c>
      <c r="E19" s="1">
        <v>3.88</v>
      </c>
      <c r="F19" s="1">
        <v>1.42</v>
      </c>
      <c r="G19" s="1">
        <v>1.86</v>
      </c>
      <c r="H19" s="1">
        <v>17.350000000000001</v>
      </c>
      <c r="I19" s="1">
        <v>19.11</v>
      </c>
      <c r="J19" s="1">
        <v>43.95</v>
      </c>
      <c r="K19" s="20">
        <v>195.39</v>
      </c>
    </row>
    <row r="20" spans="1:11" x14ac:dyDescent="0.4">
      <c r="A20" s="19" t="s">
        <v>421</v>
      </c>
      <c r="B20" s="118">
        <v>4797.83</v>
      </c>
      <c r="C20" s="118">
        <v>4658.99</v>
      </c>
      <c r="D20" s="118">
        <v>4417.26</v>
      </c>
      <c r="E20" s="118">
        <v>4318.7299999999996</v>
      </c>
      <c r="F20" s="118">
        <v>3629.83</v>
      </c>
      <c r="G20" s="118">
        <v>3509.58</v>
      </c>
      <c r="H20" s="118">
        <v>3496.18</v>
      </c>
      <c r="I20" s="118">
        <v>2659.33</v>
      </c>
      <c r="J20" s="118">
        <v>2339.29</v>
      </c>
      <c r="K20" s="73">
        <v>2020.47</v>
      </c>
    </row>
    <row r="21" spans="1:11" x14ac:dyDescent="0.4">
      <c r="A21" s="19" t="s">
        <v>422</v>
      </c>
      <c r="B21" s="118">
        <v>8776.14</v>
      </c>
      <c r="C21" s="118">
        <v>8944.5400000000009</v>
      </c>
      <c r="D21" s="118">
        <v>7666.15</v>
      </c>
      <c r="E21" s="118">
        <v>6173.06</v>
      </c>
      <c r="F21" s="118">
        <v>5780.34</v>
      </c>
      <c r="G21" s="118">
        <v>6449.17</v>
      </c>
      <c r="H21" s="118">
        <v>5672.81</v>
      </c>
      <c r="I21" s="118">
        <v>4381.41</v>
      </c>
      <c r="J21" s="118">
        <v>4203.82</v>
      </c>
      <c r="K21" s="73">
        <v>3782.04</v>
      </c>
    </row>
    <row r="22" spans="1:11" x14ac:dyDescent="0.4">
      <c r="A22" s="19" t="s">
        <v>423</v>
      </c>
      <c r="B22" s="1">
        <v>106.91</v>
      </c>
      <c r="C22" s="1">
        <v>100.56</v>
      </c>
      <c r="D22" s="1">
        <v>79.56</v>
      </c>
      <c r="E22" s="1">
        <v>194.01</v>
      </c>
      <c r="F22" s="1">
        <v>148.18</v>
      </c>
      <c r="G22" s="1">
        <v>51.38</v>
      </c>
      <c r="H22" s="1">
        <v>63.8</v>
      </c>
      <c r="I22" s="1">
        <v>61.16</v>
      </c>
      <c r="J22" s="1">
        <v>71.400000000000006</v>
      </c>
      <c r="K22" s="73">
        <v>6162.01</v>
      </c>
    </row>
    <row r="23" spans="1:11" x14ac:dyDescent="0.4">
      <c r="A23" s="52" t="s">
        <v>424</v>
      </c>
      <c r="B23" s="119">
        <f>SUM(B19:B22)</f>
        <v>13690.4</v>
      </c>
      <c r="C23" s="119">
        <f t="shared" ref="C23:K23" si="2">SUM(C19:C22)</f>
        <v>13739.41</v>
      </c>
      <c r="D23" s="119">
        <f t="shared" si="2"/>
        <v>12163.71</v>
      </c>
      <c r="E23" s="119">
        <f t="shared" si="2"/>
        <v>10689.68</v>
      </c>
      <c r="F23" s="119">
        <f t="shared" si="2"/>
        <v>9559.77</v>
      </c>
      <c r="G23" s="119">
        <f t="shared" si="2"/>
        <v>10011.99</v>
      </c>
      <c r="H23" s="119">
        <f t="shared" si="2"/>
        <v>9250.14</v>
      </c>
      <c r="I23" s="119">
        <f t="shared" si="2"/>
        <v>7121.01</v>
      </c>
      <c r="J23" s="119">
        <f t="shared" si="2"/>
        <v>6658.4599999999991</v>
      </c>
      <c r="K23" s="70">
        <f t="shared" si="2"/>
        <v>12159.91</v>
      </c>
    </row>
    <row r="24" spans="1:11" x14ac:dyDescent="0.4">
      <c r="A24" s="53" t="s">
        <v>425</v>
      </c>
      <c r="B24" s="120">
        <f t="shared" ref="B24:K24" si="3">B9+B10+B16+B23</f>
        <v>91826.159999999989</v>
      </c>
      <c r="C24" s="120">
        <f t="shared" si="3"/>
        <v>85882.98</v>
      </c>
      <c r="D24" s="120">
        <f t="shared" si="3"/>
        <v>77259.550000000017</v>
      </c>
      <c r="E24" s="120">
        <f t="shared" si="3"/>
        <v>73819.299999999988</v>
      </c>
      <c r="F24" s="120">
        <f t="shared" si="3"/>
        <v>77367.039999999994</v>
      </c>
      <c r="G24" s="120">
        <f t="shared" si="3"/>
        <v>71798.41</v>
      </c>
      <c r="H24" s="120">
        <f t="shared" si="3"/>
        <v>64288.86</v>
      </c>
      <c r="I24" s="120">
        <f t="shared" si="3"/>
        <v>55943.27</v>
      </c>
      <c r="J24" s="120">
        <f t="shared" si="3"/>
        <v>51691.880000000005</v>
      </c>
      <c r="K24" s="71">
        <f t="shared" si="3"/>
        <v>45990.789999999994</v>
      </c>
    </row>
    <row r="25" spans="1:11" x14ac:dyDescent="0.4">
      <c r="A25" s="19"/>
      <c r="K25" s="20"/>
    </row>
    <row r="26" spans="1:11" x14ac:dyDescent="0.4">
      <c r="A26" s="53" t="s">
        <v>426</v>
      </c>
      <c r="B26" s="117"/>
      <c r="C26" s="117"/>
      <c r="D26" s="117"/>
      <c r="E26" s="117"/>
      <c r="F26" s="117"/>
      <c r="G26" s="117"/>
      <c r="H26" s="117"/>
      <c r="I26" s="117"/>
      <c r="J26" s="117"/>
      <c r="K26" s="44"/>
    </row>
    <row r="27" spans="1:11" x14ac:dyDescent="0.4">
      <c r="A27" s="52" t="s">
        <v>427</v>
      </c>
      <c r="K27" s="20"/>
    </row>
    <row r="28" spans="1:11" x14ac:dyDescent="0.4">
      <c r="A28" s="19" t="s">
        <v>428</v>
      </c>
      <c r="B28" s="118">
        <v>29901.27</v>
      </c>
      <c r="C28" s="118">
        <v>28074.84</v>
      </c>
      <c r="D28" s="118">
        <v>26677.399999999998</v>
      </c>
      <c r="E28" s="118">
        <v>26530.04</v>
      </c>
      <c r="F28" s="118">
        <v>24767.269999999997</v>
      </c>
      <c r="G28" s="118">
        <v>23308.080000000002</v>
      </c>
      <c r="H28" s="118">
        <v>21829.759999999998</v>
      </c>
      <c r="I28" s="118">
        <v>19420.84</v>
      </c>
      <c r="J28" s="118">
        <v>17463.82</v>
      </c>
      <c r="K28" s="73">
        <v>17771.510000000002</v>
      </c>
    </row>
    <row r="29" spans="1:11" x14ac:dyDescent="0.4">
      <c r="A29" s="19" t="s">
        <v>429</v>
      </c>
      <c r="B29" s="118">
        <v>18169.599999999999</v>
      </c>
      <c r="C29" s="118">
        <v>12182.16</v>
      </c>
      <c r="D29" s="118">
        <v>12576.73</v>
      </c>
      <c r="E29" s="118">
        <v>10024.540000000001</v>
      </c>
      <c r="F29" s="118">
        <v>10715.02</v>
      </c>
      <c r="G29" s="118">
        <v>11695.99</v>
      </c>
      <c r="H29" s="118">
        <v>11483.79</v>
      </c>
      <c r="I29" s="118">
        <v>6693.99</v>
      </c>
      <c r="J29" s="118">
        <v>5125.8100000000004</v>
      </c>
      <c r="K29" s="20">
        <v>807.68</v>
      </c>
    </row>
    <row r="30" spans="1:11" x14ac:dyDescent="0.4">
      <c r="A30" s="19" t="s">
        <v>430</v>
      </c>
      <c r="B30" s="1">
        <v>4.05</v>
      </c>
      <c r="C30" s="1">
        <v>5.48</v>
      </c>
      <c r="D30" s="1">
        <v>6.61</v>
      </c>
      <c r="E30" s="1">
        <v>4.07</v>
      </c>
      <c r="F30" s="1">
        <v>5.27</v>
      </c>
      <c r="G30" s="1">
        <v>8.34</v>
      </c>
      <c r="H30" s="1">
        <v>9.69</v>
      </c>
      <c r="I30" s="1">
        <v>8.5399999999999991</v>
      </c>
      <c r="J30" s="1">
        <v>12.96</v>
      </c>
      <c r="K30" s="73">
        <v>1565.47</v>
      </c>
    </row>
    <row r="31" spans="1:11" x14ac:dyDescent="0.4">
      <c r="A31" s="19" t="s">
        <v>431</v>
      </c>
      <c r="B31" s="118">
        <v>2685.7000000000003</v>
      </c>
      <c r="C31" s="118">
        <v>5169.88</v>
      </c>
      <c r="D31" s="118">
        <v>3766.36</v>
      </c>
      <c r="E31" s="118">
        <v>2268.66</v>
      </c>
      <c r="F31" s="118">
        <v>2374.13</v>
      </c>
      <c r="G31" s="118">
        <v>5038.7299999999996</v>
      </c>
      <c r="H31" s="118">
        <v>4572</v>
      </c>
      <c r="I31" s="118">
        <v>3550.7999999999997</v>
      </c>
      <c r="J31" s="118">
        <v>4226.79</v>
      </c>
      <c r="K31" s="20">
        <v>271.78000000000003</v>
      </c>
    </row>
    <row r="32" spans="1:11" x14ac:dyDescent="0.4">
      <c r="A32" s="53" t="s">
        <v>432</v>
      </c>
      <c r="B32" s="120">
        <f t="shared" ref="B32:K32" si="4">SUM(B28:B31)</f>
        <v>50760.619999999995</v>
      </c>
      <c r="C32" s="120">
        <f t="shared" si="4"/>
        <v>45432.36</v>
      </c>
      <c r="D32" s="120">
        <f t="shared" si="4"/>
        <v>43027.1</v>
      </c>
      <c r="E32" s="120">
        <f t="shared" si="4"/>
        <v>38827.31</v>
      </c>
      <c r="F32" s="120">
        <f t="shared" si="4"/>
        <v>37861.689999999988</v>
      </c>
      <c r="G32" s="120">
        <f t="shared" si="4"/>
        <v>40051.14</v>
      </c>
      <c r="H32" s="120">
        <f t="shared" si="4"/>
        <v>37895.240000000005</v>
      </c>
      <c r="I32" s="120">
        <f t="shared" si="4"/>
        <v>29674.170000000002</v>
      </c>
      <c r="J32" s="120">
        <f t="shared" si="4"/>
        <v>26829.38</v>
      </c>
      <c r="K32" s="71">
        <f t="shared" si="4"/>
        <v>20416.440000000002</v>
      </c>
    </row>
    <row r="33" spans="1:21" x14ac:dyDescent="0.4">
      <c r="A33" s="52"/>
      <c r="B33" s="118"/>
      <c r="C33" s="118"/>
      <c r="D33" s="118"/>
      <c r="E33" s="118"/>
      <c r="F33" s="118"/>
      <c r="G33" s="118"/>
      <c r="H33" s="118"/>
      <c r="I33" s="118"/>
      <c r="K33" s="73"/>
    </row>
    <row r="34" spans="1:21" x14ac:dyDescent="0.4">
      <c r="A34" s="52" t="s">
        <v>433</v>
      </c>
      <c r="K34" s="20"/>
    </row>
    <row r="35" spans="1:21" x14ac:dyDescent="0.4">
      <c r="A35" s="19" t="s">
        <v>434</v>
      </c>
      <c r="B35" s="118">
        <v>12944.42</v>
      </c>
      <c r="C35" s="118">
        <v>17232.86</v>
      </c>
      <c r="D35" s="118">
        <v>12264.28</v>
      </c>
      <c r="E35" s="118">
        <v>14846.33</v>
      </c>
      <c r="F35" s="118">
        <v>17948.330000000002</v>
      </c>
      <c r="G35" s="118">
        <v>13347.5</v>
      </c>
      <c r="H35" s="118">
        <v>10569.07</v>
      </c>
      <c r="I35" s="118">
        <v>10887.39</v>
      </c>
      <c r="J35" s="118">
        <v>6621.78</v>
      </c>
      <c r="K35" s="73">
        <v>6135.09</v>
      </c>
      <c r="L35" s="116" t="s">
        <v>517</v>
      </c>
      <c r="M35" s="113">
        <f>(B35-C35)/C35</f>
        <v>-0.24885248298889448</v>
      </c>
      <c r="N35" s="113">
        <f t="shared" ref="N35:U35" si="5">(C35-D35)/D35</f>
        <v>0.40512610605759164</v>
      </c>
      <c r="O35" s="113">
        <f t="shared" si="5"/>
        <v>-0.17391840272983283</v>
      </c>
      <c r="P35" s="113">
        <f t="shared" si="5"/>
        <v>-0.17282944987082371</v>
      </c>
      <c r="Q35" s="113">
        <f t="shared" si="5"/>
        <v>0.34469601048885573</v>
      </c>
      <c r="R35" s="113">
        <f t="shared" si="5"/>
        <v>0.26288311081296656</v>
      </c>
      <c r="S35" s="113">
        <f t="shared" si="5"/>
        <v>-2.9237494018309228E-2</v>
      </c>
      <c r="T35" s="113">
        <f t="shared" si="5"/>
        <v>0.64417875556119353</v>
      </c>
      <c r="U35" s="113">
        <f t="shared" si="5"/>
        <v>7.9328909600348094E-2</v>
      </c>
    </row>
    <row r="36" spans="1:21" x14ac:dyDescent="0.4">
      <c r="A36" s="19" t="s">
        <v>435</v>
      </c>
      <c r="B36" s="118">
        <v>14302.88</v>
      </c>
      <c r="C36" s="118">
        <v>11914.13</v>
      </c>
      <c r="D36" s="118">
        <v>10973.59</v>
      </c>
      <c r="E36" s="118">
        <v>10507.22</v>
      </c>
      <c r="F36" s="118">
        <v>8965.5300000000007</v>
      </c>
      <c r="G36" s="118">
        <v>7943.97</v>
      </c>
      <c r="H36" s="118">
        <v>7584.53</v>
      </c>
      <c r="I36" s="118">
        <v>8186.15</v>
      </c>
      <c r="J36" s="118">
        <v>9062.1</v>
      </c>
      <c r="K36" s="73">
        <v>8586.8700000000008</v>
      </c>
    </row>
    <row r="37" spans="1:21" x14ac:dyDescent="0.4">
      <c r="A37" s="19" t="s">
        <v>436</v>
      </c>
      <c r="B37" s="118">
        <v>4025.82</v>
      </c>
      <c r="C37" s="118">
        <v>2956.17</v>
      </c>
      <c r="D37" s="118">
        <v>2461.9</v>
      </c>
      <c r="E37" s="118">
        <v>2501.6999999999998</v>
      </c>
      <c r="F37" s="118">
        <v>2562.48</v>
      </c>
      <c r="G37" s="118">
        <v>4035.28</v>
      </c>
      <c r="H37" s="118">
        <v>2682.29</v>
      </c>
      <c r="I37" s="118">
        <v>2474.29</v>
      </c>
      <c r="J37" s="118">
        <v>1917.18</v>
      </c>
      <c r="K37" s="73">
        <v>1982.07</v>
      </c>
    </row>
    <row r="38" spans="1:21" x14ac:dyDescent="0.4">
      <c r="A38" s="19" t="s">
        <v>437</v>
      </c>
      <c r="B38" s="118">
        <v>7217.68</v>
      </c>
      <c r="C38" s="118">
        <v>4880.1899999999996</v>
      </c>
      <c r="D38" s="118">
        <v>4654.42</v>
      </c>
      <c r="E38" s="118">
        <v>4659.0200000000004</v>
      </c>
      <c r="F38" s="118">
        <v>7277.34</v>
      </c>
      <c r="G38" s="118">
        <v>4152.03</v>
      </c>
      <c r="H38" s="118">
        <v>2899.6</v>
      </c>
      <c r="I38" s="118">
        <v>2967.4</v>
      </c>
      <c r="J38" s="118">
        <v>6063.3</v>
      </c>
      <c r="K38" s="73">
        <v>7896.22</v>
      </c>
    </row>
    <row r="39" spans="1:21" x14ac:dyDescent="0.4">
      <c r="A39" s="19" t="s">
        <v>438</v>
      </c>
      <c r="B39" s="1">
        <v>9.81</v>
      </c>
      <c r="C39" s="1">
        <v>7.12</v>
      </c>
      <c r="D39" s="1">
        <v>6.77</v>
      </c>
      <c r="E39" s="1">
        <v>3.47</v>
      </c>
      <c r="F39" s="1">
        <v>6.33</v>
      </c>
      <c r="G39" s="1">
        <v>6.75</v>
      </c>
      <c r="H39" s="1">
        <v>5.84</v>
      </c>
      <c r="I39" s="1">
        <v>6.78</v>
      </c>
      <c r="J39" s="1">
        <v>8.07</v>
      </c>
      <c r="K39" s="20">
        <v>568.66999999999996</v>
      </c>
    </row>
    <row r="40" spans="1:21" x14ac:dyDescent="0.4">
      <c r="A40" s="19" t="s">
        <v>514</v>
      </c>
      <c r="B40" s="118">
        <v>2564.9299999999998</v>
      </c>
      <c r="C40" s="118">
        <v>3460.15</v>
      </c>
      <c r="D40" s="118">
        <v>3871.49</v>
      </c>
      <c r="E40" s="118">
        <v>2474.25</v>
      </c>
      <c r="F40" s="118">
        <v>2745.34</v>
      </c>
      <c r="G40" s="118">
        <v>2261.7399999999998</v>
      </c>
      <c r="H40" s="118">
        <v>2652.29</v>
      </c>
      <c r="I40" s="118">
        <v>1747.09</v>
      </c>
      <c r="J40" s="118">
        <v>1190.07</v>
      </c>
      <c r="K40" s="20">
        <v>405.43</v>
      </c>
    </row>
    <row r="41" spans="1:21" x14ac:dyDescent="0.4">
      <c r="A41" s="53" t="s">
        <v>439</v>
      </c>
      <c r="B41" s="120">
        <f>SUM(B35:B40)</f>
        <v>41065.54</v>
      </c>
      <c r="C41" s="120">
        <f t="shared" ref="C41:K41" si="6">SUM(C35:C40)</f>
        <v>40450.620000000003</v>
      </c>
      <c r="D41" s="120">
        <f t="shared" si="6"/>
        <v>34232.450000000004</v>
      </c>
      <c r="E41" s="120">
        <f t="shared" si="6"/>
        <v>34991.990000000005</v>
      </c>
      <c r="F41" s="120">
        <f t="shared" si="6"/>
        <v>39505.350000000006</v>
      </c>
      <c r="G41" s="120">
        <f t="shared" si="6"/>
        <v>31747.269999999997</v>
      </c>
      <c r="H41" s="120">
        <f t="shared" si="6"/>
        <v>26393.62</v>
      </c>
      <c r="I41" s="120">
        <f t="shared" si="6"/>
        <v>26269.100000000002</v>
      </c>
      <c r="J41" s="120">
        <f t="shared" si="6"/>
        <v>24862.5</v>
      </c>
      <c r="K41" s="71">
        <f t="shared" si="6"/>
        <v>25574.350000000002</v>
      </c>
    </row>
    <row r="42" spans="1:21" x14ac:dyDescent="0.4">
      <c r="A42" s="53" t="s">
        <v>440</v>
      </c>
      <c r="B42" s="120">
        <f>SUM(B32,B41)</f>
        <v>91826.16</v>
      </c>
      <c r="C42" s="120">
        <f t="shared" ref="C42:E42" si="7">SUM(C32,C41)</f>
        <v>85882.98000000001</v>
      </c>
      <c r="D42" s="120">
        <f t="shared" si="7"/>
        <v>77259.55</v>
      </c>
      <c r="E42" s="120">
        <f t="shared" si="7"/>
        <v>73819.3</v>
      </c>
      <c r="F42" s="120">
        <f>SUM(F32,F41)</f>
        <v>77367.039999999994</v>
      </c>
      <c r="G42" s="120">
        <f>SUM(G32,G41)</f>
        <v>71798.41</v>
      </c>
      <c r="H42" s="120">
        <f t="shared" ref="H42:J42" si="8">SUM(H32,H41)</f>
        <v>64288.86</v>
      </c>
      <c r="I42" s="120">
        <f t="shared" si="8"/>
        <v>55943.270000000004</v>
      </c>
      <c r="J42" s="120">
        <f t="shared" si="8"/>
        <v>51691.880000000005</v>
      </c>
      <c r="K42" s="71">
        <f>SUM(K32,K41)</f>
        <v>45990.790000000008</v>
      </c>
    </row>
    <row r="43" spans="1:21" x14ac:dyDescent="0.4">
      <c r="A43" s="52"/>
      <c r="B43" s="119">
        <f t="shared" ref="B43:K43" si="9">B24-B42</f>
        <v>0</v>
      </c>
      <c r="C43" s="119">
        <f t="shared" si="9"/>
        <v>0</v>
      </c>
      <c r="D43" s="119">
        <f t="shared" si="9"/>
        <v>0</v>
      </c>
      <c r="E43" s="119">
        <f t="shared" si="9"/>
        <v>0</v>
      </c>
      <c r="F43" s="119">
        <f t="shared" si="9"/>
        <v>0</v>
      </c>
      <c r="G43" s="119">
        <f t="shared" si="9"/>
        <v>0</v>
      </c>
      <c r="H43" s="119">
        <f t="shared" si="9"/>
        <v>0</v>
      </c>
      <c r="I43" s="119">
        <f t="shared" si="9"/>
        <v>0</v>
      </c>
      <c r="J43" s="119">
        <f t="shared" si="9"/>
        <v>0</v>
      </c>
      <c r="K43" s="70">
        <f t="shared" si="9"/>
        <v>0</v>
      </c>
    </row>
    <row r="44" spans="1:21" x14ac:dyDescent="0.4">
      <c r="A44" s="52"/>
      <c r="B44" s="119"/>
      <c r="C44" s="119"/>
      <c r="D44" s="119"/>
      <c r="E44" s="119"/>
      <c r="F44" s="119"/>
      <c r="G44" s="119"/>
      <c r="H44" s="119"/>
      <c r="I44" s="119"/>
      <c r="J44" s="119"/>
      <c r="K44" s="70"/>
    </row>
    <row r="45" spans="1:21" x14ac:dyDescent="0.4">
      <c r="A45" s="53" t="s">
        <v>399</v>
      </c>
      <c r="B45" s="117"/>
      <c r="C45" s="117"/>
      <c r="D45" s="117"/>
      <c r="E45" s="117"/>
      <c r="F45" s="117"/>
      <c r="G45" s="117"/>
      <c r="H45" s="117"/>
      <c r="I45" s="117"/>
      <c r="J45" s="117"/>
      <c r="K45" s="44"/>
    </row>
    <row r="46" spans="1:21" x14ac:dyDescent="0.4">
      <c r="A46" s="52" t="s">
        <v>441</v>
      </c>
      <c r="K46" s="20"/>
    </row>
    <row r="47" spans="1:21" x14ac:dyDescent="0.4">
      <c r="A47" s="19" t="s">
        <v>442</v>
      </c>
      <c r="B47" s="118">
        <v>2292.79</v>
      </c>
      <c r="C47" s="118">
        <v>3093.75</v>
      </c>
      <c r="D47" s="118">
        <v>3205.16</v>
      </c>
      <c r="E47" s="118">
        <v>3527.64</v>
      </c>
      <c r="F47" s="118">
        <v>3784.02</v>
      </c>
      <c r="G47" s="118">
        <v>3562.53</v>
      </c>
      <c r="H47" s="118">
        <v>3196.46</v>
      </c>
      <c r="I47" s="118">
        <v>3815.01</v>
      </c>
      <c r="J47" s="1">
        <v>0</v>
      </c>
      <c r="K47" s="73">
        <v>1272.77</v>
      </c>
    </row>
    <row r="48" spans="1:21" x14ac:dyDescent="0.4">
      <c r="A48" s="53" t="s">
        <v>443</v>
      </c>
      <c r="B48" s="121"/>
      <c r="C48" s="121"/>
      <c r="D48" s="121"/>
      <c r="E48" s="121"/>
      <c r="F48" s="121"/>
      <c r="G48" s="121"/>
      <c r="H48" s="121"/>
      <c r="I48" s="121"/>
      <c r="J48" s="121"/>
      <c r="K48" s="62"/>
    </row>
    <row r="49" spans="1:11" x14ac:dyDescent="0.4">
      <c r="A49" s="19" t="s">
        <v>444</v>
      </c>
      <c r="B49" s="118">
        <v>1113.1400000000001</v>
      </c>
      <c r="C49" s="118">
        <v>1113.1400000000001</v>
      </c>
      <c r="D49" s="118">
        <v>1113.1300000000001</v>
      </c>
      <c r="E49" s="118">
        <v>1113.1300000000001</v>
      </c>
      <c r="F49" s="118">
        <v>1113.1300000000001</v>
      </c>
      <c r="G49" s="118">
        <v>1113.1300000000001</v>
      </c>
      <c r="H49" s="118">
        <v>1113.1300000000001</v>
      </c>
      <c r="I49" s="118">
        <v>1113.1300000000001</v>
      </c>
      <c r="J49" s="1">
        <v>710.47</v>
      </c>
      <c r="K49" s="20">
        <v>710.47</v>
      </c>
    </row>
    <row r="50" spans="1:11" x14ac:dyDescent="0.4">
      <c r="A50" s="53" t="s">
        <v>445</v>
      </c>
      <c r="B50" s="121"/>
      <c r="C50" s="121"/>
      <c r="D50" s="121"/>
      <c r="E50" s="121"/>
      <c r="F50" s="121"/>
      <c r="G50" s="121"/>
      <c r="H50" s="121"/>
      <c r="I50" s="121"/>
      <c r="J50" s="121"/>
      <c r="K50" s="62"/>
    </row>
    <row r="51" spans="1:11" x14ac:dyDescent="0.4">
      <c r="A51" s="19" t="s">
        <v>446</v>
      </c>
      <c r="B51" s="118">
        <v>13953.49</v>
      </c>
      <c r="C51" s="118">
        <v>8853.1299999999992</v>
      </c>
      <c r="D51" s="118">
        <v>11701.81</v>
      </c>
      <c r="E51" s="118">
        <v>10237.469999999999</v>
      </c>
      <c r="F51" s="118">
        <v>10653.86</v>
      </c>
      <c r="G51" s="118">
        <v>11459.86</v>
      </c>
      <c r="H51" s="118">
        <v>11276.13</v>
      </c>
      <c r="I51" s="118">
        <v>6502.72</v>
      </c>
      <c r="J51" s="118">
        <v>4929.8</v>
      </c>
      <c r="K51" s="73">
        <v>1215.76</v>
      </c>
    </row>
    <row r="52" spans="1:11" x14ac:dyDescent="0.4">
      <c r="A52" s="19" t="s">
        <v>447</v>
      </c>
      <c r="B52" s="118">
        <v>4223.41</v>
      </c>
      <c r="C52" s="118">
        <v>3323.59</v>
      </c>
      <c r="D52" s="118">
        <v>1095.82</v>
      </c>
      <c r="E52" s="118">
        <v>229.5</v>
      </c>
      <c r="F52" s="118">
        <v>206.33</v>
      </c>
      <c r="G52" s="1">
        <v>211.84</v>
      </c>
      <c r="H52" s="1">
        <v>205.45</v>
      </c>
      <c r="I52" s="1">
        <v>210.27</v>
      </c>
      <c r="J52" s="118">
        <v>5125.8100000000004</v>
      </c>
      <c r="K52" s="20">
        <v>70.260000000000005</v>
      </c>
    </row>
    <row r="53" spans="1:11" x14ac:dyDescent="0.4">
      <c r="A53" s="53" t="s">
        <v>448</v>
      </c>
      <c r="B53" s="121"/>
      <c r="C53" s="121"/>
      <c r="D53" s="121"/>
      <c r="E53" s="121"/>
      <c r="F53" s="121"/>
      <c r="G53" s="121"/>
      <c r="H53" s="121"/>
      <c r="I53" s="121"/>
      <c r="J53" s="121"/>
      <c r="K53" s="62"/>
    </row>
    <row r="54" spans="1:11" x14ac:dyDescent="0.4">
      <c r="A54" s="19" t="s">
        <v>449</v>
      </c>
      <c r="B54" s="1">
        <v>119.6</v>
      </c>
      <c r="C54" s="118">
        <v>3414.51</v>
      </c>
      <c r="D54" s="118">
        <v>4711.32</v>
      </c>
      <c r="E54" s="118">
        <v>4544.92</v>
      </c>
      <c r="F54" s="118">
        <v>3456.49</v>
      </c>
      <c r="G54" s="118">
        <v>4973.37</v>
      </c>
      <c r="H54" s="118">
        <v>2394.8200000000002</v>
      </c>
      <c r="I54" s="118">
        <v>2743.52</v>
      </c>
      <c r="J54" s="118">
        <v>2942.01</v>
      </c>
      <c r="K54" s="73">
        <v>1230.72</v>
      </c>
    </row>
    <row r="55" spans="1:11" x14ac:dyDescent="0.4">
      <c r="A55" s="22" t="s">
        <v>450</v>
      </c>
      <c r="B55" s="72">
        <v>12824.44</v>
      </c>
      <c r="C55" s="72">
        <v>13818.44</v>
      </c>
      <c r="D55" s="72">
        <v>7569.44</v>
      </c>
      <c r="E55" s="72">
        <v>10331.36</v>
      </c>
      <c r="F55" s="72">
        <v>14500.78</v>
      </c>
      <c r="G55" s="72">
        <v>8377.61</v>
      </c>
      <c r="H55" s="72">
        <v>8351.52</v>
      </c>
      <c r="I55" s="72">
        <v>8148.08</v>
      </c>
      <c r="J55" s="72">
        <v>3680.28</v>
      </c>
      <c r="K55" s="74">
        <v>4905.3999999999996</v>
      </c>
    </row>
  </sheetData>
  <mergeCells count="2">
    <mergeCell ref="A1:K1"/>
    <mergeCell ref="B2:K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B2584-5E58-450F-9F5F-C54EB2185CCF}">
  <sheetPr>
    <tabColor theme="7" tint="0.39997558519241921"/>
  </sheetPr>
  <dimension ref="A1:Z1213"/>
  <sheetViews>
    <sheetView showGridLines="0" zoomScale="71" workbookViewId="0">
      <pane ySplit="2" topLeftCell="A3" activePane="bottomLeft" state="frozen"/>
      <selection pane="bottomLeft" activeCell="U6" sqref="U6"/>
    </sheetView>
  </sheetViews>
  <sheetFormatPr defaultColWidth="8.73046875" defaultRowHeight="13.15" x14ac:dyDescent="0.4"/>
  <cols>
    <col min="1" max="1" width="9.33203125" style="1" bestFit="1" customWidth="1"/>
    <col min="2" max="2" width="6.9296875" style="1" bestFit="1" customWidth="1"/>
    <col min="3" max="3" width="19" style="1" bestFit="1" customWidth="1"/>
    <col min="4" max="4" width="5.59765625" style="1" customWidth="1"/>
    <col min="5" max="5" width="9.33203125" style="1" bestFit="1" customWidth="1"/>
    <col min="6" max="6" width="9.19921875" style="1" bestFit="1" customWidth="1"/>
    <col min="7" max="7" width="19" style="1" bestFit="1" customWidth="1"/>
    <col min="8" max="8" width="6.265625" style="1" customWidth="1"/>
    <col min="9" max="9" width="9.33203125" style="1" bestFit="1" customWidth="1"/>
    <col min="10" max="10" width="16" style="1" bestFit="1" customWidth="1"/>
    <col min="11" max="11" width="11.9296875" style="1" bestFit="1" customWidth="1"/>
    <col min="12" max="12" width="5.59765625" style="1" customWidth="1"/>
    <col min="13" max="13" width="10.53125" style="1" customWidth="1"/>
    <col min="14" max="14" width="11.06640625" style="1" customWidth="1"/>
    <col min="15" max="15" width="11.9296875" style="1" customWidth="1"/>
    <col min="16" max="16" width="4.9296875" style="1" customWidth="1"/>
    <col min="17" max="17" width="22.46484375" style="1" customWidth="1"/>
    <col min="18" max="16384" width="8.73046875" style="1"/>
  </cols>
  <sheetData>
    <row r="1" spans="1:26" ht="85.05" customHeight="1" x14ac:dyDescent="0.4">
      <c r="A1" s="253" t="s">
        <v>346</v>
      </c>
      <c r="B1" s="254"/>
      <c r="C1" s="255"/>
      <c r="E1" s="250" t="s">
        <v>345</v>
      </c>
      <c r="F1" s="251"/>
      <c r="G1" s="252"/>
      <c r="I1" s="256" t="s">
        <v>344</v>
      </c>
      <c r="J1" s="256"/>
      <c r="K1" s="256"/>
      <c r="M1" s="250" t="s">
        <v>374</v>
      </c>
      <c r="N1" s="251"/>
      <c r="O1" s="252"/>
      <c r="Q1" s="27" t="s">
        <v>679</v>
      </c>
      <c r="R1" s="28"/>
      <c r="S1" s="28"/>
      <c r="T1" s="28"/>
      <c r="U1" s="28"/>
      <c r="V1" s="28"/>
      <c r="W1" s="28"/>
      <c r="X1" s="28"/>
      <c r="Y1" s="28"/>
      <c r="Z1" s="29"/>
    </row>
    <row r="2" spans="1:26" ht="57.5" customHeight="1" x14ac:dyDescent="0.4">
      <c r="A2" s="35" t="s">
        <v>372</v>
      </c>
      <c r="B2" s="35" t="s">
        <v>373</v>
      </c>
      <c r="C2" s="35" t="s">
        <v>371</v>
      </c>
      <c r="D2" s="23"/>
      <c r="E2" s="35" t="s">
        <v>372</v>
      </c>
      <c r="F2" s="35" t="s">
        <v>373</v>
      </c>
      <c r="G2" s="35" t="s">
        <v>371</v>
      </c>
      <c r="H2" s="23"/>
      <c r="I2" s="35" t="s">
        <v>372</v>
      </c>
      <c r="J2" s="35" t="s">
        <v>375</v>
      </c>
      <c r="K2" s="35" t="s">
        <v>376</v>
      </c>
      <c r="M2" s="33" t="s">
        <v>343</v>
      </c>
      <c r="N2" s="34" t="s">
        <v>680</v>
      </c>
      <c r="O2" s="34" t="s">
        <v>681</v>
      </c>
      <c r="Q2" s="30" t="s">
        <v>678</v>
      </c>
      <c r="R2" s="31"/>
      <c r="S2" s="31"/>
      <c r="T2" s="31"/>
      <c r="U2" s="31"/>
      <c r="V2" s="31"/>
      <c r="W2" s="31"/>
      <c r="X2" s="31"/>
      <c r="Y2" s="31"/>
      <c r="Z2" s="32"/>
    </row>
    <row r="3" spans="1:26" x14ac:dyDescent="0.4">
      <c r="A3" s="16">
        <v>43557</v>
      </c>
      <c r="B3" s="14">
        <v>157.5</v>
      </c>
      <c r="C3" s="24">
        <v>0</v>
      </c>
      <c r="E3" s="16">
        <v>43557</v>
      </c>
      <c r="F3" s="15">
        <v>9720.7999999999993</v>
      </c>
      <c r="G3" s="24">
        <v>0</v>
      </c>
      <c r="I3" s="16">
        <v>43557</v>
      </c>
      <c r="J3" s="17">
        <v>6.1799999999999994E-2</v>
      </c>
      <c r="K3" s="25">
        <f>((1+J3)^(1/365))-1</f>
        <v>1.6430275969248065E-4</v>
      </c>
      <c r="M3" s="16">
        <v>43557</v>
      </c>
      <c r="N3" s="26">
        <f>G3-K3</f>
        <v>-1.6430275969248065E-4</v>
      </c>
      <c r="O3" s="26">
        <f>'Part 2 - CAPM 2.1, 2.2 and 2.3'!C3-'Part 2 - CAPM 2.1, 2.2 and 2.3'!K3</f>
        <v>-1.6430275969248065E-4</v>
      </c>
    </row>
    <row r="4" spans="1:26" x14ac:dyDescent="0.4">
      <c r="A4" s="16">
        <v>43558</v>
      </c>
      <c r="B4" s="14">
        <v>155.44999999999999</v>
      </c>
      <c r="C4" s="25">
        <f>(B4-B3)/B3</f>
        <v>-1.3015873015873088E-2</v>
      </c>
      <c r="E4" s="16">
        <v>43558</v>
      </c>
      <c r="F4" s="15">
        <v>9658.4</v>
      </c>
      <c r="G4" s="25">
        <f>(F4-F3)/F3</f>
        <v>-6.4192247551641468E-3</v>
      </c>
      <c r="I4" s="16">
        <v>43558</v>
      </c>
      <c r="J4" s="17">
        <v>6.2199999999999998E-2</v>
      </c>
      <c r="K4" s="25">
        <f t="shared" ref="K4:K67" si="0">((1+J4)^(1/365))-1</f>
        <v>1.65334841657927E-4</v>
      </c>
      <c r="M4" s="16">
        <v>43558</v>
      </c>
      <c r="N4" s="26">
        <f t="shared" ref="N4:N67" si="1">G4-K4</f>
        <v>-6.5845595968220738E-3</v>
      </c>
      <c r="O4" s="26">
        <f>'Part 2 - CAPM 2.1, 2.2 and 2.3'!C4-'Part 2 - CAPM 2.1, 2.2 and 2.3'!K4</f>
        <v>-1.3181207857531015E-2</v>
      </c>
    </row>
    <row r="5" spans="1:26" x14ac:dyDescent="0.4">
      <c r="A5" s="16">
        <v>43559</v>
      </c>
      <c r="B5" s="14">
        <v>155.25</v>
      </c>
      <c r="C5" s="25">
        <f t="shared" ref="C5:C68" si="2">(B5-B4)/B4</f>
        <v>-1.2865873271147548E-3</v>
      </c>
      <c r="E5" s="16">
        <v>43559</v>
      </c>
      <c r="F5" s="15">
        <v>9626.65</v>
      </c>
      <c r="G5" s="25">
        <f t="shared" ref="G5:G68" si="3">(F5-F4)/F4</f>
        <v>-3.2872939617327925E-3</v>
      </c>
      <c r="I5" s="16">
        <v>43559</v>
      </c>
      <c r="J5" s="17">
        <v>6.2199999999999998E-2</v>
      </c>
      <c r="K5" s="25">
        <f t="shared" si="0"/>
        <v>1.65334841657927E-4</v>
      </c>
      <c r="M5" s="16">
        <v>43559</v>
      </c>
      <c r="N5" s="26">
        <f t="shared" si="1"/>
        <v>-3.4526288033907195E-3</v>
      </c>
      <c r="O5" s="26">
        <f>'Part 2 - CAPM 2.1, 2.2 and 2.3'!C5-'Part 2 - CAPM 2.1, 2.2 and 2.3'!K5</f>
        <v>-1.4519221687726818E-3</v>
      </c>
    </row>
    <row r="6" spans="1:26" x14ac:dyDescent="0.4">
      <c r="A6" s="16">
        <v>43560</v>
      </c>
      <c r="B6" s="14">
        <v>156.55000000000001</v>
      </c>
      <c r="C6" s="25">
        <f t="shared" si="2"/>
        <v>8.373590982286707E-3</v>
      </c>
      <c r="E6" s="16">
        <v>43560</v>
      </c>
      <c r="F6" s="15">
        <v>9684.9500000000007</v>
      </c>
      <c r="G6" s="25">
        <f t="shared" si="3"/>
        <v>6.0561046677713526E-3</v>
      </c>
      <c r="I6" s="16">
        <v>43560</v>
      </c>
      <c r="J6" s="17">
        <v>6.2100000000000002E-2</v>
      </c>
      <c r="K6" s="25">
        <f t="shared" si="0"/>
        <v>1.650768575081063E-4</v>
      </c>
      <c r="M6" s="16">
        <v>43560</v>
      </c>
      <c r="N6" s="26">
        <f t="shared" si="1"/>
        <v>5.8910278102632463E-3</v>
      </c>
      <c r="O6" s="26">
        <f>'Part 2 - CAPM 2.1, 2.2 and 2.3'!C6-'Part 2 - CAPM 2.1, 2.2 and 2.3'!K6</f>
        <v>8.2085141247786007E-3</v>
      </c>
    </row>
    <row r="7" spans="1:26" x14ac:dyDescent="0.4">
      <c r="A7" s="16">
        <v>43563</v>
      </c>
      <c r="B7" s="14">
        <v>158.1</v>
      </c>
      <c r="C7" s="25">
        <f t="shared" si="2"/>
        <v>9.9009900990097918E-3</v>
      </c>
      <c r="E7" s="16">
        <v>43563</v>
      </c>
      <c r="F7" s="15">
        <v>9634.4</v>
      </c>
      <c r="G7" s="25">
        <f t="shared" si="3"/>
        <v>-5.2194384070130551E-3</v>
      </c>
      <c r="I7" s="16">
        <v>43563</v>
      </c>
      <c r="J7" s="17">
        <v>6.2E-2</v>
      </c>
      <c r="K7" s="25">
        <f t="shared" si="0"/>
        <v>1.6481884913366329E-4</v>
      </c>
      <c r="M7" s="16">
        <v>43563</v>
      </c>
      <c r="N7" s="26">
        <f t="shared" si="1"/>
        <v>-5.3842572561467184E-3</v>
      </c>
      <c r="O7" s="26">
        <f>'Part 2 - CAPM 2.1, 2.2 and 2.3'!C7-'Part 2 - CAPM 2.1, 2.2 and 2.3'!K7</f>
        <v>9.7361712498761285E-3</v>
      </c>
    </row>
    <row r="8" spans="1:26" x14ac:dyDescent="0.4">
      <c r="A8" s="16">
        <v>43564</v>
      </c>
      <c r="B8" s="14">
        <v>157.55000000000001</v>
      </c>
      <c r="C8" s="25">
        <f t="shared" si="2"/>
        <v>-3.478810879190278E-3</v>
      </c>
      <c r="E8" s="16">
        <v>43564</v>
      </c>
      <c r="F8" s="15">
        <v>9677.75</v>
      </c>
      <c r="G8" s="25">
        <f t="shared" si="3"/>
        <v>4.4995017852694887E-3</v>
      </c>
      <c r="I8" s="16">
        <v>43564</v>
      </c>
      <c r="J8" s="17">
        <v>6.2E-2</v>
      </c>
      <c r="K8" s="25">
        <f t="shared" si="0"/>
        <v>1.6481884913366329E-4</v>
      </c>
      <c r="M8" s="16">
        <v>43564</v>
      </c>
      <c r="N8" s="26">
        <f t="shared" si="1"/>
        <v>4.3346829361358254E-3</v>
      </c>
      <c r="O8" s="26">
        <f>'Part 2 - CAPM 2.1, 2.2 and 2.3'!C8-'Part 2 - CAPM 2.1, 2.2 and 2.3'!K8</f>
        <v>-3.6436297283239413E-3</v>
      </c>
    </row>
    <row r="9" spans="1:26" x14ac:dyDescent="0.4">
      <c r="A9" s="16">
        <v>43565</v>
      </c>
      <c r="B9" s="14">
        <v>158</v>
      </c>
      <c r="C9" s="25">
        <f t="shared" si="2"/>
        <v>2.8562361155188105E-3</v>
      </c>
      <c r="E9" s="16">
        <v>43565</v>
      </c>
      <c r="F9" s="15">
        <v>9622.9500000000007</v>
      </c>
      <c r="G9" s="25">
        <f t="shared" si="3"/>
        <v>-5.6624731988322982E-3</v>
      </c>
      <c r="I9" s="16">
        <v>43565</v>
      </c>
      <c r="J9" s="17">
        <v>6.2199999999999998E-2</v>
      </c>
      <c r="K9" s="25">
        <f t="shared" si="0"/>
        <v>1.65334841657927E-4</v>
      </c>
      <c r="M9" s="16">
        <v>43565</v>
      </c>
      <c r="N9" s="26">
        <f t="shared" si="1"/>
        <v>-5.8278080404902252E-3</v>
      </c>
      <c r="O9" s="26">
        <f>'Part 2 - CAPM 2.1, 2.2 and 2.3'!C9-'Part 2 - CAPM 2.1, 2.2 and 2.3'!K9</f>
        <v>2.6909012738608835E-3</v>
      </c>
    </row>
    <row r="10" spans="1:26" x14ac:dyDescent="0.4">
      <c r="A10" s="16">
        <v>43566</v>
      </c>
      <c r="B10" s="14">
        <v>158.6</v>
      </c>
      <c r="C10" s="25">
        <f t="shared" si="2"/>
        <v>3.7974683544303436E-3</v>
      </c>
      <c r="E10" s="16">
        <v>43566</v>
      </c>
      <c r="F10" s="15">
        <v>9634.5499999999993</v>
      </c>
      <c r="G10" s="25">
        <f t="shared" si="3"/>
        <v>1.2054515507197423E-3</v>
      </c>
      <c r="I10" s="16">
        <v>43566</v>
      </c>
      <c r="J10" s="17">
        <v>6.3200000000000006E-2</v>
      </c>
      <c r="K10" s="25">
        <f t="shared" si="0"/>
        <v>1.6791335180577072E-4</v>
      </c>
      <c r="M10" s="16">
        <v>43566</v>
      </c>
      <c r="N10" s="26">
        <f t="shared" si="1"/>
        <v>1.0375381989139716E-3</v>
      </c>
      <c r="O10" s="26">
        <f>'Part 2 - CAPM 2.1, 2.2 and 2.3'!C10-'Part 2 - CAPM 2.1, 2.2 and 2.3'!K10</f>
        <v>3.6295550026245729E-3</v>
      </c>
    </row>
    <row r="11" spans="1:26" x14ac:dyDescent="0.4">
      <c r="A11" s="16">
        <v>43567</v>
      </c>
      <c r="B11" s="14">
        <v>157.6</v>
      </c>
      <c r="C11" s="25">
        <f t="shared" si="2"/>
        <v>-6.3051702395964691E-3</v>
      </c>
      <c r="E11" s="16">
        <v>43567</v>
      </c>
      <c r="F11" s="15">
        <v>9674.6</v>
      </c>
      <c r="G11" s="25">
        <f t="shared" si="3"/>
        <v>4.1569144381420091E-3</v>
      </c>
      <c r="I11" s="16">
        <v>43567</v>
      </c>
      <c r="J11" s="17">
        <v>6.3099999999999989E-2</v>
      </c>
      <c r="K11" s="25">
        <f t="shared" si="0"/>
        <v>1.6765560965148474E-4</v>
      </c>
      <c r="M11" s="16">
        <v>43567</v>
      </c>
      <c r="N11" s="26">
        <f t="shared" si="1"/>
        <v>3.9892588284905243E-3</v>
      </c>
      <c r="O11" s="26">
        <f>'Part 2 - CAPM 2.1, 2.2 and 2.3'!C11-'Part 2 - CAPM 2.1, 2.2 and 2.3'!K11</f>
        <v>-6.4728258492479538E-3</v>
      </c>
    </row>
    <row r="12" spans="1:26" x14ac:dyDescent="0.4">
      <c r="A12" s="16">
        <v>43570</v>
      </c>
      <c r="B12" s="14">
        <v>156.44999999999999</v>
      </c>
      <c r="C12" s="25">
        <f t="shared" si="2"/>
        <v>-7.2969543147208488E-3</v>
      </c>
      <c r="E12" s="16">
        <v>43570</v>
      </c>
      <c r="F12" s="15">
        <v>9716.5</v>
      </c>
      <c r="G12" s="25">
        <f t="shared" si="3"/>
        <v>4.3309284104768812E-3</v>
      </c>
      <c r="I12" s="16">
        <v>43570</v>
      </c>
      <c r="J12" s="17">
        <v>6.3099999999999989E-2</v>
      </c>
      <c r="K12" s="25">
        <f t="shared" si="0"/>
        <v>1.6765560965148474E-4</v>
      </c>
      <c r="M12" s="16">
        <v>43570</v>
      </c>
      <c r="N12" s="26">
        <f t="shared" si="1"/>
        <v>4.1632728008253964E-3</v>
      </c>
      <c r="O12" s="26">
        <f>'Part 2 - CAPM 2.1, 2.2 and 2.3'!C12-'Part 2 - CAPM 2.1, 2.2 and 2.3'!K12</f>
        <v>-7.4646099243723335E-3</v>
      </c>
    </row>
    <row r="13" spans="1:26" x14ac:dyDescent="0.4">
      <c r="A13" s="16">
        <v>43571</v>
      </c>
      <c r="B13" s="14">
        <v>160.44999999999999</v>
      </c>
      <c r="C13" s="25">
        <f t="shared" si="2"/>
        <v>2.5567273889421541E-2</v>
      </c>
      <c r="E13" s="16">
        <v>43571</v>
      </c>
      <c r="F13" s="15">
        <v>9781.4</v>
      </c>
      <c r="G13" s="25">
        <f t="shared" si="3"/>
        <v>6.6793598517984496E-3</v>
      </c>
      <c r="I13" s="16">
        <v>43571</v>
      </c>
      <c r="J13" s="17">
        <v>6.3399999999999998E-2</v>
      </c>
      <c r="K13" s="25">
        <f t="shared" si="0"/>
        <v>1.6842876359501879E-4</v>
      </c>
      <c r="M13" s="16">
        <v>43571</v>
      </c>
      <c r="N13" s="26">
        <f t="shared" si="1"/>
        <v>6.5109310882034309E-3</v>
      </c>
      <c r="O13" s="26">
        <f>'Part 2 - CAPM 2.1, 2.2 and 2.3'!C13-'Part 2 - CAPM 2.1, 2.2 and 2.3'!K13</f>
        <v>2.5398845125826523E-2</v>
      </c>
    </row>
    <row r="14" spans="1:26" x14ac:dyDescent="0.4">
      <c r="A14" s="16">
        <v>43573</v>
      </c>
      <c r="B14" s="14">
        <v>160.6</v>
      </c>
      <c r="C14" s="25">
        <f t="shared" si="2"/>
        <v>9.3487067622315795E-4</v>
      </c>
      <c r="E14" s="16">
        <v>43573</v>
      </c>
      <c r="F14" s="15">
        <v>9738.7000000000007</v>
      </c>
      <c r="G14" s="25">
        <f t="shared" si="3"/>
        <v>-4.3654282618029025E-3</v>
      </c>
      <c r="I14" s="16">
        <v>43573</v>
      </c>
      <c r="J14" s="17">
        <v>6.3399999999999998E-2</v>
      </c>
      <c r="K14" s="25">
        <f t="shared" si="0"/>
        <v>1.6842876359501879E-4</v>
      </c>
      <c r="M14" s="16">
        <v>43573</v>
      </c>
      <c r="N14" s="26">
        <f t="shared" si="1"/>
        <v>-4.5338570253979213E-3</v>
      </c>
      <c r="O14" s="26">
        <f>'Part 2 - CAPM 2.1, 2.2 and 2.3'!C14-'Part 2 - CAPM 2.1, 2.2 and 2.3'!K14</f>
        <v>7.6644191262813916E-4</v>
      </c>
    </row>
    <row r="15" spans="1:26" x14ac:dyDescent="0.4">
      <c r="A15" s="16">
        <v>43577</v>
      </c>
      <c r="B15" s="14">
        <v>157.9</v>
      </c>
      <c r="C15" s="25">
        <f t="shared" si="2"/>
        <v>-1.681195516811948E-2</v>
      </c>
      <c r="E15" s="16">
        <v>43577</v>
      </c>
      <c r="F15" s="15">
        <v>9599.7999999999993</v>
      </c>
      <c r="G15" s="25">
        <f t="shared" si="3"/>
        <v>-1.4262683931120318E-2</v>
      </c>
      <c r="I15" s="16">
        <v>43577</v>
      </c>
      <c r="J15" s="17">
        <v>6.3500000000000001E-2</v>
      </c>
      <c r="K15" s="25">
        <f t="shared" si="0"/>
        <v>1.6868643323930677E-4</v>
      </c>
      <c r="M15" s="16">
        <v>43577</v>
      </c>
      <c r="N15" s="26">
        <f t="shared" si="1"/>
        <v>-1.4431370364359625E-2</v>
      </c>
      <c r="O15" s="26">
        <f>'Part 2 - CAPM 2.1, 2.2 and 2.3'!C15-'Part 2 - CAPM 2.1, 2.2 and 2.3'!K15</f>
        <v>-1.6980641601358787E-2</v>
      </c>
    </row>
    <row r="16" spans="1:26" x14ac:dyDescent="0.4">
      <c r="A16" s="16">
        <v>43578</v>
      </c>
      <c r="B16" s="14">
        <v>163.75</v>
      </c>
      <c r="C16" s="25">
        <f t="shared" si="2"/>
        <v>3.7048765041165256E-2</v>
      </c>
      <c r="E16" s="16">
        <v>43578</v>
      </c>
      <c r="F16" s="15">
        <v>9587.2999999999993</v>
      </c>
      <c r="G16" s="25">
        <f t="shared" si="3"/>
        <v>-1.3021104606345966E-3</v>
      </c>
      <c r="I16" s="16">
        <v>43578</v>
      </c>
      <c r="J16" s="17">
        <v>6.3500000000000001E-2</v>
      </c>
      <c r="K16" s="25">
        <f t="shared" si="0"/>
        <v>1.6868643323930677E-4</v>
      </c>
      <c r="M16" s="16">
        <v>43578</v>
      </c>
      <c r="N16" s="26">
        <f t="shared" si="1"/>
        <v>-1.4707968938739034E-3</v>
      </c>
      <c r="O16" s="26">
        <f>'Part 2 - CAPM 2.1, 2.2 and 2.3'!C16-'Part 2 - CAPM 2.1, 2.2 and 2.3'!K16</f>
        <v>3.6880078607925949E-2</v>
      </c>
    </row>
    <row r="17" spans="1:15" x14ac:dyDescent="0.4">
      <c r="A17" s="16">
        <v>43579</v>
      </c>
      <c r="B17" s="14">
        <v>168.65</v>
      </c>
      <c r="C17" s="25">
        <f t="shared" si="2"/>
        <v>2.9923664122137438E-2</v>
      </c>
      <c r="E17" s="16">
        <v>43579</v>
      </c>
      <c r="F17" s="15">
        <v>9687.5499999999993</v>
      </c>
      <c r="G17" s="25">
        <f t="shared" si="3"/>
        <v>1.0456541466314813E-2</v>
      </c>
      <c r="I17" s="16">
        <v>43579</v>
      </c>
      <c r="J17" s="17">
        <v>6.3600000000000004E-2</v>
      </c>
      <c r="K17" s="25">
        <f t="shared" si="0"/>
        <v>1.6894407872247719E-4</v>
      </c>
      <c r="M17" s="16">
        <v>43579</v>
      </c>
      <c r="N17" s="26">
        <f t="shared" si="1"/>
        <v>1.0287597387592336E-2</v>
      </c>
      <c r="O17" s="26">
        <f>'Part 2 - CAPM 2.1, 2.2 and 2.3'!C17-'Part 2 - CAPM 2.1, 2.2 and 2.3'!K17</f>
        <v>2.9754720043414961E-2</v>
      </c>
    </row>
    <row r="18" spans="1:15" x14ac:dyDescent="0.4">
      <c r="A18" s="16">
        <v>43580</v>
      </c>
      <c r="B18" s="14">
        <v>168.85</v>
      </c>
      <c r="C18" s="25">
        <f t="shared" si="2"/>
        <v>1.1858879335902082E-3</v>
      </c>
      <c r="E18" s="16">
        <v>43580</v>
      </c>
      <c r="F18" s="15">
        <v>9628.7999999999993</v>
      </c>
      <c r="G18" s="25">
        <f t="shared" si="3"/>
        <v>-6.0644848284654015E-3</v>
      </c>
      <c r="I18" s="16">
        <v>43580</v>
      </c>
      <c r="J18" s="17">
        <v>6.3899999999999998E-2</v>
      </c>
      <c r="K18" s="25">
        <f t="shared" si="0"/>
        <v>1.6971687025191251E-4</v>
      </c>
      <c r="M18" s="16">
        <v>43580</v>
      </c>
      <c r="N18" s="26">
        <f t="shared" si="1"/>
        <v>-6.234201698717314E-3</v>
      </c>
      <c r="O18" s="26">
        <f>'Part 2 - CAPM 2.1, 2.2 and 2.3'!C18-'Part 2 - CAPM 2.1, 2.2 and 2.3'!K18</f>
        <v>1.0161710633382957E-3</v>
      </c>
    </row>
    <row r="19" spans="1:15" x14ac:dyDescent="0.4">
      <c r="A19" s="16">
        <v>43581</v>
      </c>
      <c r="B19" s="14">
        <v>168.4</v>
      </c>
      <c r="C19" s="25">
        <f t="shared" si="2"/>
        <v>-2.6650873556410344E-3</v>
      </c>
      <c r="E19" s="16">
        <v>43581</v>
      </c>
      <c r="F19" s="15">
        <v>9689.7000000000007</v>
      </c>
      <c r="G19" s="25">
        <f t="shared" si="3"/>
        <v>6.3247756729812084E-3</v>
      </c>
      <c r="I19" s="16">
        <v>43581</v>
      </c>
      <c r="J19" s="17">
        <v>6.3899999999999998E-2</v>
      </c>
      <c r="K19" s="25">
        <f t="shared" si="0"/>
        <v>1.6971687025191251E-4</v>
      </c>
      <c r="M19" s="16">
        <v>43581</v>
      </c>
      <c r="N19" s="26">
        <f t="shared" si="1"/>
        <v>6.1550588027292959E-3</v>
      </c>
      <c r="O19" s="26">
        <f>'Part 2 - CAPM 2.1, 2.2 and 2.3'!C19-'Part 2 - CAPM 2.1, 2.2 and 2.3'!K19</f>
        <v>-2.8348042258929469E-3</v>
      </c>
    </row>
    <row r="20" spans="1:15" x14ac:dyDescent="0.4">
      <c r="A20" s="16">
        <v>43585</v>
      </c>
      <c r="B20" s="14">
        <v>169.2</v>
      </c>
      <c r="C20" s="25">
        <f t="shared" si="2"/>
        <v>4.7505938242279272E-3</v>
      </c>
      <c r="E20" s="16">
        <v>43585</v>
      </c>
      <c r="F20" s="15">
        <v>9664.2999999999993</v>
      </c>
      <c r="G20" s="25">
        <f t="shared" si="3"/>
        <v>-2.6213401859708197E-3</v>
      </c>
      <c r="I20" s="16">
        <v>43585</v>
      </c>
      <c r="J20" s="17">
        <v>6.4000000000000001E-2</v>
      </c>
      <c r="K20" s="25">
        <f t="shared" si="0"/>
        <v>1.6997441913657596E-4</v>
      </c>
      <c r="M20" s="16">
        <v>43585</v>
      </c>
      <c r="N20" s="26">
        <f t="shared" si="1"/>
        <v>-2.7913146051073956E-3</v>
      </c>
      <c r="O20" s="26">
        <f>'Part 2 - CAPM 2.1, 2.2 and 2.3'!C20-'Part 2 - CAPM 2.1, 2.2 and 2.3'!K20</f>
        <v>4.5806194050913513E-3</v>
      </c>
    </row>
    <row r="21" spans="1:15" x14ac:dyDescent="0.4">
      <c r="A21" s="16">
        <v>43587</v>
      </c>
      <c r="B21" s="14">
        <v>168.9</v>
      </c>
      <c r="C21" s="25">
        <f t="shared" si="2"/>
        <v>-1.7730496453899703E-3</v>
      </c>
      <c r="E21" s="16">
        <v>43587</v>
      </c>
      <c r="F21" s="15">
        <v>9637.5</v>
      </c>
      <c r="G21" s="25">
        <f t="shared" si="3"/>
        <v>-2.7730927227010002E-3</v>
      </c>
      <c r="I21" s="16">
        <v>43587</v>
      </c>
      <c r="J21" s="17">
        <v>6.4899999999999999E-2</v>
      </c>
      <c r="K21" s="25">
        <f t="shared" si="0"/>
        <v>1.7229127342099915E-4</v>
      </c>
      <c r="M21" s="16">
        <v>43587</v>
      </c>
      <c r="N21" s="26">
        <f t="shared" si="1"/>
        <v>-2.9453839961219993E-3</v>
      </c>
      <c r="O21" s="26">
        <f>'Part 2 - CAPM 2.1, 2.2 and 2.3'!C21-'Part 2 - CAPM 2.1, 2.2 and 2.3'!K21</f>
        <v>-1.9453409188109694E-3</v>
      </c>
    </row>
    <row r="22" spans="1:15" x14ac:dyDescent="0.4">
      <c r="A22" s="16">
        <v>43588</v>
      </c>
      <c r="B22" s="14">
        <v>170.25</v>
      </c>
      <c r="C22" s="25">
        <f t="shared" si="2"/>
        <v>7.9928952042628443E-3</v>
      </c>
      <c r="E22" s="16">
        <v>43588</v>
      </c>
      <c r="F22" s="15">
        <v>9624.5499999999993</v>
      </c>
      <c r="G22" s="25">
        <f t="shared" si="3"/>
        <v>-1.3437094682231625E-3</v>
      </c>
      <c r="I22" s="16">
        <v>43588</v>
      </c>
      <c r="J22" s="17">
        <v>6.4699999999999994E-2</v>
      </c>
      <c r="K22" s="25">
        <f t="shared" si="0"/>
        <v>1.7177658571232435E-4</v>
      </c>
      <c r="M22" s="16">
        <v>43588</v>
      </c>
      <c r="N22" s="26">
        <f t="shared" si="1"/>
        <v>-1.5154860539354869E-3</v>
      </c>
      <c r="O22" s="26">
        <f>'Part 2 - CAPM 2.1, 2.2 and 2.3'!C22-'Part 2 - CAPM 2.1, 2.2 and 2.3'!K22</f>
        <v>7.82111861855052E-3</v>
      </c>
    </row>
    <row r="23" spans="1:15" x14ac:dyDescent="0.4">
      <c r="A23" s="16">
        <v>43591</v>
      </c>
      <c r="B23" s="14">
        <v>170.15</v>
      </c>
      <c r="C23" s="25">
        <f t="shared" si="2"/>
        <v>-5.8737151248161124E-4</v>
      </c>
      <c r="E23" s="16">
        <v>43591</v>
      </c>
      <c r="F23" s="15">
        <v>9532.4500000000007</v>
      </c>
      <c r="G23" s="25">
        <f t="shared" si="3"/>
        <v>-9.569278563672956E-3</v>
      </c>
      <c r="I23" s="16">
        <v>43591</v>
      </c>
      <c r="J23" s="17">
        <v>6.4600000000000005E-2</v>
      </c>
      <c r="K23" s="25">
        <f t="shared" si="0"/>
        <v>1.715192057003545E-4</v>
      </c>
      <c r="M23" s="16">
        <v>43591</v>
      </c>
      <c r="N23" s="26">
        <f t="shared" si="1"/>
        <v>-9.7407977693733105E-3</v>
      </c>
      <c r="O23" s="26">
        <f>'Part 2 - CAPM 2.1, 2.2 and 2.3'!C23-'Part 2 - CAPM 2.1, 2.2 and 2.3'!K23</f>
        <v>-7.5889071818196574E-4</v>
      </c>
    </row>
    <row r="24" spans="1:15" x14ac:dyDescent="0.4">
      <c r="A24" s="16">
        <v>43592</v>
      </c>
      <c r="B24" s="14">
        <v>171.7</v>
      </c>
      <c r="C24" s="25">
        <f t="shared" si="2"/>
        <v>9.1096091683807393E-3</v>
      </c>
      <c r="E24" s="16">
        <v>43592</v>
      </c>
      <c r="F24" s="15">
        <v>9450.7999999999993</v>
      </c>
      <c r="G24" s="25">
        <f t="shared" si="3"/>
        <v>-8.5654789692053406E-3</v>
      </c>
      <c r="I24" s="16">
        <v>43592</v>
      </c>
      <c r="J24" s="17">
        <v>6.4500000000000002E-2</v>
      </c>
      <c r="K24" s="25">
        <f t="shared" si="0"/>
        <v>1.7126180157722715E-4</v>
      </c>
      <c r="M24" s="16">
        <v>43592</v>
      </c>
      <c r="N24" s="26">
        <f t="shared" si="1"/>
        <v>-8.7367407707825678E-3</v>
      </c>
      <c r="O24" s="26">
        <f>'Part 2 - CAPM 2.1, 2.2 and 2.3'!C24-'Part 2 - CAPM 2.1, 2.2 and 2.3'!K24</f>
        <v>8.9383473668035122E-3</v>
      </c>
    </row>
    <row r="25" spans="1:15" x14ac:dyDescent="0.4">
      <c r="A25" s="16">
        <v>43593</v>
      </c>
      <c r="B25" s="14">
        <v>168.9</v>
      </c>
      <c r="C25" s="25">
        <f t="shared" si="2"/>
        <v>-1.6307513104251502E-2</v>
      </c>
      <c r="E25" s="16">
        <v>43593</v>
      </c>
      <c r="F25" s="15">
        <v>9340.25</v>
      </c>
      <c r="G25" s="25">
        <f t="shared" si="3"/>
        <v>-1.1697422440428247E-2</v>
      </c>
      <c r="I25" s="16">
        <v>43593</v>
      </c>
      <c r="J25" s="17">
        <v>6.4600000000000005E-2</v>
      </c>
      <c r="K25" s="25">
        <f t="shared" si="0"/>
        <v>1.715192057003545E-4</v>
      </c>
      <c r="M25" s="16">
        <v>43593</v>
      </c>
      <c r="N25" s="26">
        <f t="shared" si="1"/>
        <v>-1.1868941646128601E-2</v>
      </c>
      <c r="O25" s="26">
        <f>'Part 2 - CAPM 2.1, 2.2 and 2.3'!C25-'Part 2 - CAPM 2.1, 2.2 and 2.3'!K25</f>
        <v>-1.6479032309951857E-2</v>
      </c>
    </row>
    <row r="26" spans="1:15" x14ac:dyDescent="0.4">
      <c r="A26" s="16">
        <v>43594</v>
      </c>
      <c r="B26" s="14">
        <v>169.4</v>
      </c>
      <c r="C26" s="25">
        <f t="shared" si="2"/>
        <v>2.960331557134399E-3</v>
      </c>
      <c r="E26" s="16">
        <v>43594</v>
      </c>
      <c r="F26" s="15">
        <v>9299.75</v>
      </c>
      <c r="G26" s="25">
        <f t="shared" si="3"/>
        <v>-4.3360723749364307E-3</v>
      </c>
      <c r="I26" s="16">
        <v>43594</v>
      </c>
      <c r="J26" s="17">
        <v>6.4500000000000002E-2</v>
      </c>
      <c r="K26" s="25">
        <f t="shared" si="0"/>
        <v>1.7126180157722715E-4</v>
      </c>
      <c r="M26" s="16">
        <v>43594</v>
      </c>
      <c r="N26" s="26">
        <f t="shared" si="1"/>
        <v>-4.5073341765136579E-3</v>
      </c>
      <c r="O26" s="26">
        <f>'Part 2 - CAPM 2.1, 2.2 and 2.3'!C26-'Part 2 - CAPM 2.1, 2.2 and 2.3'!K26</f>
        <v>2.7890697555571719E-3</v>
      </c>
    </row>
    <row r="27" spans="1:15" x14ac:dyDescent="0.4">
      <c r="A27" s="16">
        <v>43595</v>
      </c>
      <c r="B27" s="14">
        <v>166.3</v>
      </c>
      <c r="C27" s="25">
        <f t="shared" si="2"/>
        <v>-1.829988193624554E-2</v>
      </c>
      <c r="E27" s="16">
        <v>43595</v>
      </c>
      <c r="F27" s="15">
        <v>9290.2000000000007</v>
      </c>
      <c r="G27" s="25">
        <f t="shared" si="3"/>
        <v>-1.0269093255194249E-3</v>
      </c>
      <c r="I27" s="16">
        <v>43595</v>
      </c>
      <c r="J27" s="17">
        <v>6.4500000000000002E-2</v>
      </c>
      <c r="K27" s="25">
        <f t="shared" si="0"/>
        <v>1.7126180157722715E-4</v>
      </c>
      <c r="M27" s="16">
        <v>43595</v>
      </c>
      <c r="N27" s="26">
        <f t="shared" si="1"/>
        <v>-1.198171127096652E-3</v>
      </c>
      <c r="O27" s="26">
        <f>'Part 2 - CAPM 2.1, 2.2 and 2.3'!C27-'Part 2 - CAPM 2.1, 2.2 and 2.3'!K27</f>
        <v>-1.8471143737822767E-2</v>
      </c>
    </row>
    <row r="28" spans="1:15" x14ac:dyDescent="0.4">
      <c r="A28" s="16">
        <v>43598</v>
      </c>
      <c r="B28" s="14">
        <v>164.1</v>
      </c>
      <c r="C28" s="25">
        <f t="shared" si="2"/>
        <v>-1.3229104028863601E-2</v>
      </c>
      <c r="E28" s="16">
        <v>43598</v>
      </c>
      <c r="F28" s="15">
        <v>9159.9500000000007</v>
      </c>
      <c r="G28" s="25">
        <f t="shared" si="3"/>
        <v>-1.4020150265871563E-2</v>
      </c>
      <c r="I28" s="16">
        <v>43598</v>
      </c>
      <c r="J28" s="17">
        <v>6.4500000000000002E-2</v>
      </c>
      <c r="K28" s="25">
        <f t="shared" si="0"/>
        <v>1.7126180157722715E-4</v>
      </c>
      <c r="M28" s="16">
        <v>43598</v>
      </c>
      <c r="N28" s="26">
        <f t="shared" si="1"/>
        <v>-1.419141206744879E-2</v>
      </c>
      <c r="O28" s="26">
        <f>'Part 2 - CAPM 2.1, 2.2 and 2.3'!C28-'Part 2 - CAPM 2.1, 2.2 and 2.3'!K28</f>
        <v>-1.3400365830440828E-2</v>
      </c>
    </row>
    <row r="29" spans="1:15" x14ac:dyDescent="0.4">
      <c r="A29" s="16">
        <v>43599</v>
      </c>
      <c r="B29" s="14">
        <v>164.15</v>
      </c>
      <c r="C29" s="25">
        <f t="shared" si="2"/>
        <v>3.0469226081664456E-4</v>
      </c>
      <c r="E29" s="16">
        <v>43599</v>
      </c>
      <c r="F29" s="15">
        <v>9212.35</v>
      </c>
      <c r="G29" s="25">
        <f t="shared" si="3"/>
        <v>5.7205552432054363E-3</v>
      </c>
      <c r="I29" s="16">
        <v>43599</v>
      </c>
      <c r="J29" s="17">
        <v>6.3799999999999996E-2</v>
      </c>
      <c r="K29" s="25">
        <f t="shared" si="0"/>
        <v>1.6945929722411712E-4</v>
      </c>
      <c r="M29" s="16">
        <v>43599</v>
      </c>
      <c r="N29" s="26">
        <f t="shared" si="1"/>
        <v>5.5510959459813191E-3</v>
      </c>
      <c r="O29" s="26">
        <f>'Part 2 - CAPM 2.1, 2.2 and 2.3'!C29-'Part 2 - CAPM 2.1, 2.2 and 2.3'!K29</f>
        <v>1.3523296359252743E-4</v>
      </c>
    </row>
    <row r="30" spans="1:15" x14ac:dyDescent="0.4">
      <c r="A30" s="16">
        <v>43600</v>
      </c>
      <c r="B30" s="14">
        <v>162.75</v>
      </c>
      <c r="C30" s="25">
        <f t="shared" si="2"/>
        <v>-8.5287846481876678E-3</v>
      </c>
      <c r="E30" s="16">
        <v>43600</v>
      </c>
      <c r="F30" s="15">
        <v>9160.1</v>
      </c>
      <c r="G30" s="25">
        <f t="shared" si="3"/>
        <v>-5.6717341394975224E-3</v>
      </c>
      <c r="I30" s="16">
        <v>43600</v>
      </c>
      <c r="J30" s="17">
        <v>6.3899999999999998E-2</v>
      </c>
      <c r="K30" s="25">
        <f t="shared" si="0"/>
        <v>1.6971687025191251E-4</v>
      </c>
      <c r="M30" s="16">
        <v>43600</v>
      </c>
      <c r="N30" s="26">
        <f t="shared" si="1"/>
        <v>-5.8414510097494349E-3</v>
      </c>
      <c r="O30" s="26">
        <f>'Part 2 - CAPM 2.1, 2.2 and 2.3'!C30-'Part 2 - CAPM 2.1, 2.2 and 2.3'!K30</f>
        <v>-8.6985015184395803E-3</v>
      </c>
    </row>
    <row r="31" spans="1:15" x14ac:dyDescent="0.4">
      <c r="A31" s="16">
        <v>43601</v>
      </c>
      <c r="B31" s="14">
        <v>165.95</v>
      </c>
      <c r="C31" s="25">
        <f t="shared" si="2"/>
        <v>1.9662058371735722E-2</v>
      </c>
      <c r="E31" s="16">
        <v>43601</v>
      </c>
      <c r="F31" s="15">
        <v>9221.65</v>
      </c>
      <c r="G31" s="25">
        <f t="shared" si="3"/>
        <v>6.7193589589632507E-3</v>
      </c>
      <c r="I31" s="16">
        <v>43601</v>
      </c>
      <c r="J31" s="17">
        <v>6.3799999999999996E-2</v>
      </c>
      <c r="K31" s="25">
        <f t="shared" si="0"/>
        <v>1.6945929722411712E-4</v>
      </c>
      <c r="M31" s="16">
        <v>43601</v>
      </c>
      <c r="N31" s="26">
        <f t="shared" si="1"/>
        <v>6.5498996617391336E-3</v>
      </c>
      <c r="O31" s="26">
        <f>'Part 2 - CAPM 2.1, 2.2 and 2.3'!C31-'Part 2 - CAPM 2.1, 2.2 and 2.3'!K31</f>
        <v>1.9492599074511605E-2</v>
      </c>
    </row>
    <row r="32" spans="1:15" x14ac:dyDescent="0.4">
      <c r="A32" s="16">
        <v>43602</v>
      </c>
      <c r="B32" s="14">
        <v>167.35</v>
      </c>
      <c r="C32" s="25">
        <f t="shared" si="2"/>
        <v>8.4362759867430293E-3</v>
      </c>
      <c r="E32" s="16">
        <v>43602</v>
      </c>
      <c r="F32" s="15">
        <v>9329.7000000000007</v>
      </c>
      <c r="G32" s="25">
        <f t="shared" si="3"/>
        <v>1.1716992078424263E-2</v>
      </c>
      <c r="I32" s="16">
        <v>43602</v>
      </c>
      <c r="J32" s="17">
        <v>6.3500000000000001E-2</v>
      </c>
      <c r="K32" s="25">
        <f t="shared" si="0"/>
        <v>1.6868643323930677E-4</v>
      </c>
      <c r="M32" s="16">
        <v>43602</v>
      </c>
      <c r="N32" s="26">
        <f t="shared" si="1"/>
        <v>1.1548305645184956E-2</v>
      </c>
      <c r="O32" s="26">
        <f>'Part 2 - CAPM 2.1, 2.2 and 2.3'!C32-'Part 2 - CAPM 2.1, 2.2 and 2.3'!K32</f>
        <v>8.2675895535037226E-3</v>
      </c>
    </row>
    <row r="33" spans="1:15" x14ac:dyDescent="0.4">
      <c r="A33" s="16">
        <v>43605</v>
      </c>
      <c r="B33" s="14">
        <v>176</v>
      </c>
      <c r="C33" s="25">
        <f t="shared" si="2"/>
        <v>5.1688078876605953E-2</v>
      </c>
      <c r="E33" s="16">
        <v>43605</v>
      </c>
      <c r="F33" s="15">
        <v>9671.9</v>
      </c>
      <c r="G33" s="25">
        <f t="shared" si="3"/>
        <v>3.6678564155331779E-2</v>
      </c>
      <c r="I33" s="16">
        <v>43605</v>
      </c>
      <c r="J33" s="17">
        <v>6.2699999999999992E-2</v>
      </c>
      <c r="K33" s="25">
        <f t="shared" si="0"/>
        <v>1.6662439919801209E-4</v>
      </c>
      <c r="M33" s="16">
        <v>43605</v>
      </c>
      <c r="N33" s="26">
        <f t="shared" si="1"/>
        <v>3.6511939756133767E-2</v>
      </c>
      <c r="O33" s="26">
        <f>'Part 2 - CAPM 2.1, 2.2 and 2.3'!C33-'Part 2 - CAPM 2.1, 2.2 and 2.3'!K33</f>
        <v>5.1521454477407941E-2</v>
      </c>
    </row>
    <row r="34" spans="1:15" x14ac:dyDescent="0.4">
      <c r="A34" s="16">
        <v>43606</v>
      </c>
      <c r="B34" s="14">
        <v>174.75</v>
      </c>
      <c r="C34" s="25">
        <f t="shared" si="2"/>
        <v>-7.102272727272727E-3</v>
      </c>
      <c r="E34" s="16">
        <v>43606</v>
      </c>
      <c r="F34" s="15">
        <v>9578.85</v>
      </c>
      <c r="G34" s="25">
        <f t="shared" si="3"/>
        <v>-9.6206536461294345E-3</v>
      </c>
      <c r="I34" s="16">
        <v>43606</v>
      </c>
      <c r="J34" s="17">
        <v>6.3E-2</v>
      </c>
      <c r="K34" s="25">
        <f t="shared" si="0"/>
        <v>1.673978433180956E-4</v>
      </c>
      <c r="M34" s="16">
        <v>43606</v>
      </c>
      <c r="N34" s="26">
        <f t="shared" si="1"/>
        <v>-9.7880514894475301E-3</v>
      </c>
      <c r="O34" s="26">
        <f>'Part 2 - CAPM 2.1, 2.2 and 2.3'!C34-'Part 2 - CAPM 2.1, 2.2 and 2.3'!K34</f>
        <v>-7.2696705705908226E-3</v>
      </c>
    </row>
    <row r="35" spans="1:15" x14ac:dyDescent="0.4">
      <c r="A35" s="16">
        <v>43607</v>
      </c>
      <c r="B35" s="14">
        <v>177</v>
      </c>
      <c r="C35" s="25">
        <f t="shared" si="2"/>
        <v>1.2875536480686695E-2</v>
      </c>
      <c r="E35" s="16">
        <v>43607</v>
      </c>
      <c r="F35" s="15">
        <v>9598.2000000000007</v>
      </c>
      <c r="G35" s="25">
        <f t="shared" si="3"/>
        <v>2.0200754787892453E-3</v>
      </c>
      <c r="I35" s="16">
        <v>43607</v>
      </c>
      <c r="J35" s="17">
        <v>6.3500000000000001E-2</v>
      </c>
      <c r="K35" s="25">
        <f t="shared" si="0"/>
        <v>1.6868643323930677E-4</v>
      </c>
      <c r="M35" s="16">
        <v>43607</v>
      </c>
      <c r="N35" s="26">
        <f t="shared" si="1"/>
        <v>1.8513890455499385E-3</v>
      </c>
      <c r="O35" s="26">
        <f>'Part 2 - CAPM 2.1, 2.2 and 2.3'!C35-'Part 2 - CAPM 2.1, 2.2 and 2.3'!K35</f>
        <v>1.2706850047447388E-2</v>
      </c>
    </row>
    <row r="36" spans="1:15" x14ac:dyDescent="0.4">
      <c r="A36" s="16">
        <v>43608</v>
      </c>
      <c r="B36" s="14">
        <v>174.15</v>
      </c>
      <c r="C36" s="25">
        <f t="shared" si="2"/>
        <v>-1.6101694915254205E-2</v>
      </c>
      <c r="E36" s="16">
        <v>43608</v>
      </c>
      <c r="F36" s="15">
        <v>9552.75</v>
      </c>
      <c r="G36" s="25">
        <f t="shared" si="3"/>
        <v>-4.7352628617866608E-3</v>
      </c>
      <c r="I36" s="16">
        <v>43608</v>
      </c>
      <c r="J36" s="17">
        <v>6.2800000000000009E-2</v>
      </c>
      <c r="K36" s="25">
        <f t="shared" si="0"/>
        <v>1.6688223809580016E-4</v>
      </c>
      <c r="M36" s="16">
        <v>43608</v>
      </c>
      <c r="N36" s="26">
        <f t="shared" si="1"/>
        <v>-4.9021450998824609E-3</v>
      </c>
      <c r="O36" s="26">
        <f>'Part 2 - CAPM 2.1, 2.2 and 2.3'!C36-'Part 2 - CAPM 2.1, 2.2 and 2.3'!K36</f>
        <v>-1.6268577153350006E-2</v>
      </c>
    </row>
    <row r="37" spans="1:15" x14ac:dyDescent="0.4">
      <c r="A37" s="16">
        <v>43609</v>
      </c>
      <c r="B37" s="14">
        <v>174.4</v>
      </c>
      <c r="C37" s="25">
        <f t="shared" si="2"/>
        <v>1.435544071202986E-3</v>
      </c>
      <c r="E37" s="16">
        <v>43609</v>
      </c>
      <c r="F37" s="15">
        <v>9722.0499999999993</v>
      </c>
      <c r="G37" s="25">
        <f t="shared" si="3"/>
        <v>1.7722645311559423E-2</v>
      </c>
      <c r="I37" s="16">
        <v>43609</v>
      </c>
      <c r="J37" s="17">
        <v>6.25E-2</v>
      </c>
      <c r="K37" s="25">
        <f t="shared" si="0"/>
        <v>1.6610864880561849E-4</v>
      </c>
      <c r="M37" s="16">
        <v>43609</v>
      </c>
      <c r="N37" s="26">
        <f t="shared" si="1"/>
        <v>1.7556536662753804E-2</v>
      </c>
      <c r="O37" s="26">
        <f>'Part 2 - CAPM 2.1, 2.2 and 2.3'!C37-'Part 2 - CAPM 2.1, 2.2 and 2.3'!K37</f>
        <v>1.2694354223973675E-3</v>
      </c>
    </row>
    <row r="38" spans="1:15" x14ac:dyDescent="0.4">
      <c r="A38" s="16">
        <v>43612</v>
      </c>
      <c r="B38" s="14">
        <v>173.65</v>
      </c>
      <c r="C38" s="25">
        <f t="shared" si="2"/>
        <v>-4.3004587155963305E-3</v>
      </c>
      <c r="E38" s="16">
        <v>43612</v>
      </c>
      <c r="F38" s="15">
        <v>9804.9</v>
      </c>
      <c r="G38" s="25">
        <f t="shared" si="3"/>
        <v>8.5218652444700831E-3</v>
      </c>
      <c r="I38" s="16">
        <v>43612</v>
      </c>
      <c r="J38" s="17">
        <v>6.2E-2</v>
      </c>
      <c r="K38" s="25">
        <f t="shared" si="0"/>
        <v>1.6481884913366329E-4</v>
      </c>
      <c r="M38" s="16">
        <v>43612</v>
      </c>
      <c r="N38" s="26">
        <f t="shared" si="1"/>
        <v>8.3570463953364198E-3</v>
      </c>
      <c r="O38" s="26">
        <f>'Part 2 - CAPM 2.1, 2.2 and 2.3'!C38-'Part 2 - CAPM 2.1, 2.2 and 2.3'!K38</f>
        <v>-4.4652775647299938E-3</v>
      </c>
    </row>
    <row r="39" spans="1:15" x14ac:dyDescent="0.4">
      <c r="A39" s="16">
        <v>43613</v>
      </c>
      <c r="B39" s="14">
        <v>175.3</v>
      </c>
      <c r="C39" s="25">
        <f t="shared" si="2"/>
        <v>9.5018715807659408E-3</v>
      </c>
      <c r="E39" s="16">
        <v>43613</v>
      </c>
      <c r="F39" s="15">
        <v>9815.5</v>
      </c>
      <c r="G39" s="25">
        <f t="shared" si="3"/>
        <v>1.0810921070077578E-3</v>
      </c>
      <c r="I39" s="16">
        <v>43613</v>
      </c>
      <c r="J39" s="17">
        <v>6.2199999999999998E-2</v>
      </c>
      <c r="K39" s="25">
        <f t="shared" si="0"/>
        <v>1.65334841657927E-4</v>
      </c>
      <c r="M39" s="16">
        <v>43613</v>
      </c>
      <c r="N39" s="26">
        <f t="shared" si="1"/>
        <v>9.1575726534983077E-4</v>
      </c>
      <c r="O39" s="26">
        <f>'Part 2 - CAPM 2.1, 2.2 and 2.3'!C39-'Part 2 - CAPM 2.1, 2.2 and 2.3'!K39</f>
        <v>9.3365367391080138E-3</v>
      </c>
    </row>
    <row r="40" spans="1:15" x14ac:dyDescent="0.4">
      <c r="A40" s="16">
        <v>43614</v>
      </c>
      <c r="B40" s="14">
        <v>171.55</v>
      </c>
      <c r="C40" s="25">
        <f t="shared" si="2"/>
        <v>-2.1391899600684539E-2</v>
      </c>
      <c r="E40" s="16">
        <v>43614</v>
      </c>
      <c r="F40" s="15">
        <v>9757.15</v>
      </c>
      <c r="G40" s="25">
        <f t="shared" si="3"/>
        <v>-5.9446793337069289E-3</v>
      </c>
      <c r="I40" s="16">
        <v>43614</v>
      </c>
      <c r="J40" s="17">
        <v>6.2100000000000002E-2</v>
      </c>
      <c r="K40" s="25">
        <f t="shared" si="0"/>
        <v>1.650768575081063E-4</v>
      </c>
      <c r="M40" s="16">
        <v>43614</v>
      </c>
      <c r="N40" s="26">
        <f t="shared" si="1"/>
        <v>-6.1097561912150352E-3</v>
      </c>
      <c r="O40" s="26">
        <f>'Part 2 - CAPM 2.1, 2.2 and 2.3'!C40-'Part 2 - CAPM 2.1, 2.2 and 2.3'!K40</f>
        <v>-2.1556976458192646E-2</v>
      </c>
    </row>
    <row r="41" spans="1:15" x14ac:dyDescent="0.4">
      <c r="A41" s="16">
        <v>43615</v>
      </c>
      <c r="B41" s="14">
        <v>169.45</v>
      </c>
      <c r="C41" s="25">
        <f t="shared" si="2"/>
        <v>-1.2241329058583635E-2</v>
      </c>
      <c r="E41" s="16">
        <v>43615</v>
      </c>
      <c r="F41" s="15">
        <v>9815.2999999999993</v>
      </c>
      <c r="G41" s="25">
        <f t="shared" si="3"/>
        <v>5.9597320939003334E-3</v>
      </c>
      <c r="I41" s="16">
        <v>43615</v>
      </c>
      <c r="J41" s="17">
        <v>6.2199999999999998E-2</v>
      </c>
      <c r="K41" s="25">
        <f t="shared" si="0"/>
        <v>1.65334841657927E-4</v>
      </c>
      <c r="M41" s="16">
        <v>43615</v>
      </c>
      <c r="N41" s="26">
        <f t="shared" si="1"/>
        <v>5.7943972522424064E-3</v>
      </c>
      <c r="O41" s="26">
        <f>'Part 2 - CAPM 2.1, 2.2 and 2.3'!C41-'Part 2 - CAPM 2.1, 2.2 and 2.3'!K41</f>
        <v>-1.2406663900241562E-2</v>
      </c>
    </row>
    <row r="42" spans="1:15" x14ac:dyDescent="0.4">
      <c r="A42" s="16">
        <v>43616</v>
      </c>
      <c r="B42" s="14">
        <v>171.95</v>
      </c>
      <c r="C42" s="25">
        <f t="shared" si="2"/>
        <v>1.4753614635585719E-2</v>
      </c>
      <c r="E42" s="16">
        <v>43616</v>
      </c>
      <c r="F42" s="15">
        <v>9805.0499999999993</v>
      </c>
      <c r="G42" s="25">
        <f t="shared" si="3"/>
        <v>-1.0442879993479569E-3</v>
      </c>
      <c r="I42" s="16">
        <v>43616</v>
      </c>
      <c r="J42" s="17">
        <v>6.1200000000000004E-2</v>
      </c>
      <c r="K42" s="25">
        <f t="shared" si="0"/>
        <v>1.6275390950526436E-4</v>
      </c>
      <c r="M42" s="16">
        <v>43616</v>
      </c>
      <c r="N42" s="26">
        <f t="shared" si="1"/>
        <v>-1.2070419088532213E-3</v>
      </c>
      <c r="O42" s="26">
        <f>'Part 2 - CAPM 2.1, 2.2 and 2.3'!C42-'Part 2 - CAPM 2.1, 2.2 and 2.3'!K42</f>
        <v>1.4590860726080455E-2</v>
      </c>
    </row>
    <row r="43" spans="1:15" x14ac:dyDescent="0.4">
      <c r="A43" s="16">
        <v>43619</v>
      </c>
      <c r="B43" s="14">
        <v>172.15</v>
      </c>
      <c r="C43" s="25">
        <f t="shared" si="2"/>
        <v>1.1631288165165285E-3</v>
      </c>
      <c r="E43" s="16">
        <v>43619</v>
      </c>
      <c r="F43" s="15">
        <v>9922.6</v>
      </c>
      <c r="G43" s="25">
        <f t="shared" si="3"/>
        <v>1.1988720098316795E-2</v>
      </c>
      <c r="I43" s="16">
        <v>43619</v>
      </c>
      <c r="J43" s="17">
        <v>6.0499999999999998E-2</v>
      </c>
      <c r="K43" s="25">
        <f t="shared" si="0"/>
        <v>1.6094581346348669E-4</v>
      </c>
      <c r="M43" s="16">
        <v>43619</v>
      </c>
      <c r="N43" s="26">
        <f t="shared" si="1"/>
        <v>1.1827774284853309E-2</v>
      </c>
      <c r="O43" s="26">
        <f>'Part 2 - CAPM 2.1, 2.2 and 2.3'!C43-'Part 2 - CAPM 2.1, 2.2 and 2.3'!K43</f>
        <v>1.0021830030530418E-3</v>
      </c>
    </row>
    <row r="44" spans="1:15" x14ac:dyDescent="0.4">
      <c r="A44" s="16">
        <v>43620</v>
      </c>
      <c r="B44" s="14">
        <v>170.6</v>
      </c>
      <c r="C44" s="25">
        <f t="shared" si="2"/>
        <v>-9.0037757769387827E-3</v>
      </c>
      <c r="E44" s="16">
        <v>43620</v>
      </c>
      <c r="F44" s="15">
        <v>9876.2000000000007</v>
      </c>
      <c r="G44" s="25">
        <f t="shared" si="3"/>
        <v>-4.676193739544034E-3</v>
      </c>
      <c r="I44" s="16">
        <v>43620</v>
      </c>
      <c r="J44" s="17">
        <v>6.0700000000000004E-2</v>
      </c>
      <c r="K44" s="25">
        <f t="shared" si="0"/>
        <v>1.6146253375226571E-4</v>
      </c>
      <c r="M44" s="16">
        <v>43620</v>
      </c>
      <c r="N44" s="26">
        <f t="shared" si="1"/>
        <v>-4.8376562732962997E-3</v>
      </c>
      <c r="O44" s="26">
        <f>'Part 2 - CAPM 2.1, 2.2 and 2.3'!C44-'Part 2 - CAPM 2.1, 2.2 and 2.3'!K44</f>
        <v>-9.1652383106910484E-3</v>
      </c>
    </row>
    <row r="45" spans="1:15" x14ac:dyDescent="0.4">
      <c r="A45" s="16">
        <v>43622</v>
      </c>
      <c r="B45" s="14">
        <v>169.4</v>
      </c>
      <c r="C45" s="25">
        <f t="shared" si="2"/>
        <v>-7.0339976553340485E-3</v>
      </c>
      <c r="E45" s="16">
        <v>43622</v>
      </c>
      <c r="F45" s="15">
        <v>9722.5</v>
      </c>
      <c r="G45" s="25">
        <f t="shared" si="3"/>
        <v>-1.5562665802636714E-2</v>
      </c>
      <c r="I45" s="16">
        <v>43622</v>
      </c>
      <c r="J45" s="17">
        <v>5.8799999999999998E-2</v>
      </c>
      <c r="K45" s="25">
        <f t="shared" si="0"/>
        <v>1.5654976324031011E-4</v>
      </c>
      <c r="M45" s="16">
        <v>43622</v>
      </c>
      <c r="N45" s="26">
        <f t="shared" si="1"/>
        <v>-1.5719215565877024E-2</v>
      </c>
      <c r="O45" s="26">
        <f>'Part 2 - CAPM 2.1, 2.2 and 2.3'!C45-'Part 2 - CAPM 2.1, 2.2 and 2.3'!K45</f>
        <v>-7.1905474185743586E-3</v>
      </c>
    </row>
    <row r="46" spans="1:15" x14ac:dyDescent="0.4">
      <c r="A46" s="16">
        <v>43623</v>
      </c>
      <c r="B46" s="14">
        <v>167.5</v>
      </c>
      <c r="C46" s="25">
        <f t="shared" si="2"/>
        <v>-1.1216056670602159E-2</v>
      </c>
      <c r="E46" s="16">
        <v>43623</v>
      </c>
      <c r="F46" s="15">
        <v>9735.85</v>
      </c>
      <c r="G46" s="25">
        <f t="shared" si="3"/>
        <v>1.3731036256107343E-3</v>
      </c>
      <c r="I46" s="16">
        <v>43623</v>
      </c>
      <c r="J46" s="17">
        <v>5.9200000000000003E-2</v>
      </c>
      <c r="K46" s="25">
        <f t="shared" si="0"/>
        <v>1.5758476092919693E-4</v>
      </c>
      <c r="M46" s="16">
        <v>43623</v>
      </c>
      <c r="N46" s="26">
        <f t="shared" si="1"/>
        <v>1.2155188646815374E-3</v>
      </c>
      <c r="O46" s="26">
        <f>'Part 2 - CAPM 2.1, 2.2 and 2.3'!C46-'Part 2 - CAPM 2.1, 2.2 and 2.3'!K46</f>
        <v>-1.1373641431531356E-2</v>
      </c>
    </row>
    <row r="47" spans="1:15" x14ac:dyDescent="0.4">
      <c r="A47" s="16">
        <v>43626</v>
      </c>
      <c r="B47" s="14">
        <v>164.65</v>
      </c>
      <c r="C47" s="25">
        <f t="shared" si="2"/>
        <v>-1.7014925373134294E-2</v>
      </c>
      <c r="E47" s="16">
        <v>43626</v>
      </c>
      <c r="F47" s="15">
        <v>9765.85</v>
      </c>
      <c r="G47" s="25">
        <f t="shared" si="3"/>
        <v>3.0813950502524175E-3</v>
      </c>
      <c r="I47" s="16">
        <v>43626</v>
      </c>
      <c r="J47" s="17">
        <v>5.9400000000000001E-2</v>
      </c>
      <c r="K47" s="25">
        <f t="shared" si="0"/>
        <v>1.5810211361189097E-4</v>
      </c>
      <c r="M47" s="16">
        <v>43626</v>
      </c>
      <c r="N47" s="26">
        <f t="shared" si="1"/>
        <v>2.9232929366405265E-3</v>
      </c>
      <c r="O47" s="26">
        <f>'Part 2 - CAPM 2.1, 2.2 and 2.3'!C47-'Part 2 - CAPM 2.1, 2.2 and 2.3'!K47</f>
        <v>-1.7173027486746185E-2</v>
      </c>
    </row>
    <row r="48" spans="1:15" x14ac:dyDescent="0.4">
      <c r="A48" s="16">
        <v>43627</v>
      </c>
      <c r="B48" s="14">
        <v>169.25</v>
      </c>
      <c r="C48" s="25">
        <f t="shared" si="2"/>
        <v>2.7938050409960488E-2</v>
      </c>
      <c r="E48" s="16">
        <v>43627</v>
      </c>
      <c r="F48" s="15">
        <v>9805.1</v>
      </c>
      <c r="G48" s="25">
        <f t="shared" si="3"/>
        <v>4.019107399765509E-3</v>
      </c>
      <c r="I48" s="16">
        <v>43627</v>
      </c>
      <c r="J48" s="17">
        <v>5.9699999999999996E-2</v>
      </c>
      <c r="K48" s="25">
        <f t="shared" si="0"/>
        <v>1.5887796003677401E-4</v>
      </c>
      <c r="M48" s="16">
        <v>43627</v>
      </c>
      <c r="N48" s="26">
        <f t="shared" si="1"/>
        <v>3.8602294397287349E-3</v>
      </c>
      <c r="O48" s="26">
        <f>'Part 2 - CAPM 2.1, 2.2 and 2.3'!C48-'Part 2 - CAPM 2.1, 2.2 and 2.3'!K48</f>
        <v>2.7779172449923714E-2</v>
      </c>
    </row>
    <row r="49" spans="1:15" x14ac:dyDescent="0.4">
      <c r="A49" s="16">
        <v>43628</v>
      </c>
      <c r="B49" s="14">
        <v>170.85</v>
      </c>
      <c r="C49" s="25">
        <f t="shared" si="2"/>
        <v>9.4534711964549146E-3</v>
      </c>
      <c r="E49" s="16">
        <v>43628</v>
      </c>
      <c r="F49" s="15">
        <v>9749.9500000000007</v>
      </c>
      <c r="G49" s="25">
        <f t="shared" si="3"/>
        <v>-5.624623920204754E-3</v>
      </c>
      <c r="I49" s="16">
        <v>43628</v>
      </c>
      <c r="J49" s="17">
        <v>5.9699999999999996E-2</v>
      </c>
      <c r="K49" s="25">
        <f t="shared" si="0"/>
        <v>1.5887796003677401E-4</v>
      </c>
      <c r="M49" s="16">
        <v>43628</v>
      </c>
      <c r="N49" s="26">
        <f t="shared" si="1"/>
        <v>-5.783501880241528E-3</v>
      </c>
      <c r="O49" s="26">
        <f>'Part 2 - CAPM 2.1, 2.2 and 2.3'!C49-'Part 2 - CAPM 2.1, 2.2 and 2.3'!K49</f>
        <v>9.2945932364181406E-3</v>
      </c>
    </row>
    <row r="50" spans="1:15" x14ac:dyDescent="0.4">
      <c r="A50" s="16">
        <v>43629</v>
      </c>
      <c r="B50" s="14">
        <v>168.95</v>
      </c>
      <c r="C50" s="25">
        <f t="shared" si="2"/>
        <v>-1.1120866256950575E-2</v>
      </c>
      <c r="E50" s="16">
        <v>43629</v>
      </c>
      <c r="F50" s="15">
        <v>9747.0499999999993</v>
      </c>
      <c r="G50" s="25">
        <f t="shared" si="3"/>
        <v>-2.9743742275616336E-4</v>
      </c>
      <c r="I50" s="16">
        <v>43629</v>
      </c>
      <c r="J50" s="17">
        <v>5.9500000000000004E-2</v>
      </c>
      <c r="K50" s="25">
        <f t="shared" si="0"/>
        <v>1.5836075342878786E-4</v>
      </c>
      <c r="M50" s="16">
        <v>43629</v>
      </c>
      <c r="N50" s="26">
        <f t="shared" si="1"/>
        <v>-4.5579817618495122E-4</v>
      </c>
      <c r="O50" s="26">
        <f>'Part 2 - CAPM 2.1, 2.2 and 2.3'!C50-'Part 2 - CAPM 2.1, 2.2 and 2.3'!K50</f>
        <v>-1.1279227010379363E-2</v>
      </c>
    </row>
    <row r="51" spans="1:15" x14ac:dyDescent="0.4">
      <c r="A51" s="16">
        <v>43630</v>
      </c>
      <c r="B51" s="14">
        <v>169.3</v>
      </c>
      <c r="C51" s="25">
        <f t="shared" si="2"/>
        <v>2.0716188221368615E-3</v>
      </c>
      <c r="E51" s="16">
        <v>43630</v>
      </c>
      <c r="F51" s="15">
        <v>9669.9500000000007</v>
      </c>
      <c r="G51" s="25">
        <f t="shared" si="3"/>
        <v>-7.910085615647662E-3</v>
      </c>
      <c r="I51" s="16">
        <v>43630</v>
      </c>
      <c r="J51" s="17">
        <v>5.9800000000000006E-2</v>
      </c>
      <c r="K51" s="25">
        <f t="shared" si="0"/>
        <v>1.5913652683696711E-4</v>
      </c>
      <c r="M51" s="16">
        <v>43630</v>
      </c>
      <c r="N51" s="26">
        <f t="shared" si="1"/>
        <v>-8.0692221424846292E-3</v>
      </c>
      <c r="O51" s="26">
        <f>'Part 2 - CAPM 2.1, 2.2 and 2.3'!C51-'Part 2 - CAPM 2.1, 2.2 and 2.3'!K51</f>
        <v>1.9124822952998944E-3</v>
      </c>
    </row>
    <row r="52" spans="1:15" x14ac:dyDescent="0.4">
      <c r="A52" s="16">
        <v>43633</v>
      </c>
      <c r="B52" s="14">
        <v>164.4</v>
      </c>
      <c r="C52" s="25">
        <f t="shared" si="2"/>
        <v>-2.8942705256940374E-2</v>
      </c>
      <c r="E52" s="16">
        <v>43633</v>
      </c>
      <c r="F52" s="15">
        <v>9543.6</v>
      </c>
      <c r="G52" s="25">
        <f t="shared" si="3"/>
        <v>-1.3066251635220488E-2</v>
      </c>
      <c r="I52" s="16">
        <v>43633</v>
      </c>
      <c r="J52" s="17">
        <v>5.9800000000000006E-2</v>
      </c>
      <c r="K52" s="25">
        <f t="shared" si="0"/>
        <v>1.5913652683696711E-4</v>
      </c>
      <c r="M52" s="16">
        <v>43633</v>
      </c>
      <c r="N52" s="26">
        <f t="shared" si="1"/>
        <v>-1.3225388162057455E-2</v>
      </c>
      <c r="O52" s="26">
        <f>'Part 2 - CAPM 2.1, 2.2 and 2.3'!C52-'Part 2 - CAPM 2.1, 2.2 and 2.3'!K52</f>
        <v>-2.9101841783777341E-2</v>
      </c>
    </row>
    <row r="53" spans="1:15" x14ac:dyDescent="0.4">
      <c r="A53" s="16">
        <v>43634</v>
      </c>
      <c r="B53" s="14">
        <v>166.15</v>
      </c>
      <c r="C53" s="25">
        <f t="shared" si="2"/>
        <v>1.0644768856447688E-2</v>
      </c>
      <c r="E53" s="16">
        <v>43634</v>
      </c>
      <c r="F53" s="15">
        <v>9551.35</v>
      </c>
      <c r="G53" s="25">
        <f t="shared" si="3"/>
        <v>8.120625340542353E-4</v>
      </c>
      <c r="I53" s="16">
        <v>43634</v>
      </c>
      <c r="J53" s="17">
        <v>5.9800000000000006E-2</v>
      </c>
      <c r="K53" s="25">
        <f t="shared" si="0"/>
        <v>1.5913652683696711E-4</v>
      </c>
      <c r="M53" s="16">
        <v>43634</v>
      </c>
      <c r="N53" s="26">
        <f t="shared" si="1"/>
        <v>6.5292600721726819E-4</v>
      </c>
      <c r="O53" s="26">
        <f>'Part 2 - CAPM 2.1, 2.2 and 2.3'!C53-'Part 2 - CAPM 2.1, 2.2 and 2.3'!K53</f>
        <v>1.0485632329610721E-2</v>
      </c>
    </row>
    <row r="54" spans="1:15" x14ac:dyDescent="0.4">
      <c r="A54" s="16">
        <v>43635</v>
      </c>
      <c r="B54" s="14">
        <v>167.35</v>
      </c>
      <c r="C54" s="25">
        <f t="shared" si="2"/>
        <v>7.2223894071621339E-3</v>
      </c>
      <c r="E54" s="16">
        <v>43635</v>
      </c>
      <c r="F54" s="15">
        <v>9526.2000000000007</v>
      </c>
      <c r="G54" s="25">
        <f t="shared" si="3"/>
        <v>-2.6331356300417883E-3</v>
      </c>
      <c r="I54" s="16">
        <v>43635</v>
      </c>
      <c r="J54" s="17">
        <v>5.9800000000000006E-2</v>
      </c>
      <c r="K54" s="25">
        <f t="shared" si="0"/>
        <v>1.5913652683696711E-4</v>
      </c>
      <c r="M54" s="16">
        <v>43635</v>
      </c>
      <c r="N54" s="26">
        <f t="shared" si="1"/>
        <v>-2.7922721568787554E-3</v>
      </c>
      <c r="O54" s="26">
        <f>'Part 2 - CAPM 2.1, 2.2 and 2.3'!C54-'Part 2 - CAPM 2.1, 2.2 and 2.3'!K54</f>
        <v>7.0632528803251668E-3</v>
      </c>
    </row>
    <row r="55" spans="1:15" x14ac:dyDescent="0.4">
      <c r="A55" s="16">
        <v>43636</v>
      </c>
      <c r="B55" s="14">
        <v>172</v>
      </c>
      <c r="C55" s="25">
        <f t="shared" si="2"/>
        <v>2.7786077083955817E-2</v>
      </c>
      <c r="E55" s="16">
        <v>43636</v>
      </c>
      <c r="F55" s="15">
        <v>9646</v>
      </c>
      <c r="G55" s="25">
        <f t="shared" si="3"/>
        <v>1.2575843463290637E-2</v>
      </c>
      <c r="I55" s="16">
        <v>43636</v>
      </c>
      <c r="J55" s="17">
        <v>5.9500000000000004E-2</v>
      </c>
      <c r="K55" s="25">
        <f t="shared" si="0"/>
        <v>1.5836075342878786E-4</v>
      </c>
      <c r="M55" s="16">
        <v>43636</v>
      </c>
      <c r="N55" s="26">
        <f t="shared" si="1"/>
        <v>1.2417482709861849E-2</v>
      </c>
      <c r="O55" s="26">
        <f>'Part 2 - CAPM 2.1, 2.2 and 2.3'!C55-'Part 2 - CAPM 2.1, 2.2 and 2.3'!K55</f>
        <v>2.7627716330527029E-2</v>
      </c>
    </row>
    <row r="56" spans="1:15" x14ac:dyDescent="0.4">
      <c r="A56" s="16">
        <v>43637</v>
      </c>
      <c r="B56" s="14">
        <v>170.95</v>
      </c>
      <c r="C56" s="25">
        <f t="shared" si="2"/>
        <v>-6.1046511627907635E-3</v>
      </c>
      <c r="E56" s="16">
        <v>43637</v>
      </c>
      <c r="F56" s="15">
        <v>9581.6</v>
      </c>
      <c r="G56" s="25">
        <f t="shared" si="3"/>
        <v>-6.6763425253990915E-3</v>
      </c>
      <c r="I56" s="16">
        <v>43637</v>
      </c>
      <c r="J56" s="17">
        <v>5.9699999999999996E-2</v>
      </c>
      <c r="K56" s="25">
        <f t="shared" si="0"/>
        <v>1.5887796003677401E-4</v>
      </c>
      <c r="M56" s="16">
        <v>43637</v>
      </c>
      <c r="N56" s="26">
        <f t="shared" si="1"/>
        <v>-6.8352204854358655E-3</v>
      </c>
      <c r="O56" s="26">
        <f>'Part 2 - CAPM 2.1, 2.2 and 2.3'!C56-'Part 2 - CAPM 2.1, 2.2 and 2.3'!K56</f>
        <v>-6.2635291228275375E-3</v>
      </c>
    </row>
    <row r="57" spans="1:15" x14ac:dyDescent="0.4">
      <c r="A57" s="16">
        <v>43640</v>
      </c>
      <c r="B57" s="14">
        <v>165.2</v>
      </c>
      <c r="C57" s="25">
        <f t="shared" si="2"/>
        <v>-3.3635565954957591E-2</v>
      </c>
      <c r="E57" s="16">
        <v>43640</v>
      </c>
      <c r="F57" s="15">
        <v>9564.1</v>
      </c>
      <c r="G57" s="25">
        <f t="shared" si="3"/>
        <v>-1.8264172998246639E-3</v>
      </c>
      <c r="I57" s="16">
        <v>43640</v>
      </c>
      <c r="J57" s="17">
        <v>5.9500000000000004E-2</v>
      </c>
      <c r="K57" s="25">
        <f t="shared" si="0"/>
        <v>1.5836075342878786E-4</v>
      </c>
      <c r="M57" s="16">
        <v>43640</v>
      </c>
      <c r="N57" s="26">
        <f t="shared" si="1"/>
        <v>-1.9847780532534515E-3</v>
      </c>
      <c r="O57" s="26">
        <f>'Part 2 - CAPM 2.1, 2.2 and 2.3'!C57-'Part 2 - CAPM 2.1, 2.2 and 2.3'!K57</f>
        <v>-3.3793926708386379E-2</v>
      </c>
    </row>
    <row r="58" spans="1:15" x14ac:dyDescent="0.4">
      <c r="A58" s="16">
        <v>43641</v>
      </c>
      <c r="B58" s="14">
        <v>166.2</v>
      </c>
      <c r="C58" s="25">
        <f t="shared" si="2"/>
        <v>6.0532687651331726E-3</v>
      </c>
      <c r="E58" s="16">
        <v>43641</v>
      </c>
      <c r="F58" s="15">
        <v>9632.85</v>
      </c>
      <c r="G58" s="25">
        <f t="shared" si="3"/>
        <v>7.1883397287774067E-3</v>
      </c>
      <c r="I58" s="16">
        <v>43641</v>
      </c>
      <c r="J58" s="17">
        <v>5.96E-2</v>
      </c>
      <c r="K58" s="25">
        <f t="shared" si="0"/>
        <v>1.5861936890226858E-4</v>
      </c>
      <c r="M58" s="16">
        <v>43641</v>
      </c>
      <c r="N58" s="26">
        <f t="shared" si="1"/>
        <v>7.0297203598751381E-3</v>
      </c>
      <c r="O58" s="26">
        <f>'Part 2 - CAPM 2.1, 2.2 and 2.3'!C58-'Part 2 - CAPM 2.1, 2.2 and 2.3'!K58</f>
        <v>5.8946493962309041E-3</v>
      </c>
    </row>
    <row r="59" spans="1:15" x14ac:dyDescent="0.4">
      <c r="A59" s="16">
        <v>43642</v>
      </c>
      <c r="B59" s="14">
        <v>167.55</v>
      </c>
      <c r="C59" s="25">
        <f t="shared" si="2"/>
        <v>8.1227436823106073E-3</v>
      </c>
      <c r="E59" s="16">
        <v>43642</v>
      </c>
      <c r="F59" s="15">
        <v>9682.7999999999993</v>
      </c>
      <c r="G59" s="25">
        <f t="shared" si="3"/>
        <v>5.1853812734547833E-3</v>
      </c>
      <c r="I59" s="16">
        <v>43642</v>
      </c>
      <c r="J59" s="17">
        <v>5.9800000000000006E-2</v>
      </c>
      <c r="K59" s="25">
        <f t="shared" si="0"/>
        <v>1.5913652683696711E-4</v>
      </c>
      <c r="M59" s="16">
        <v>43642</v>
      </c>
      <c r="N59" s="26">
        <f t="shared" si="1"/>
        <v>5.0262447466178162E-3</v>
      </c>
      <c r="O59" s="26">
        <f>'Part 2 - CAPM 2.1, 2.2 and 2.3'!C59-'Part 2 - CAPM 2.1, 2.2 and 2.3'!K59</f>
        <v>7.9636071554736402E-3</v>
      </c>
    </row>
    <row r="60" spans="1:15" x14ac:dyDescent="0.4">
      <c r="A60" s="16">
        <v>43643</v>
      </c>
      <c r="B60" s="14">
        <v>170.6</v>
      </c>
      <c r="C60" s="25">
        <f t="shared" si="2"/>
        <v>1.820352133691425E-2</v>
      </c>
      <c r="E60" s="16">
        <v>43643</v>
      </c>
      <c r="F60" s="15">
        <v>9692.35</v>
      </c>
      <c r="G60" s="25">
        <f t="shared" si="3"/>
        <v>9.8628495889629985E-4</v>
      </c>
      <c r="I60" s="16">
        <v>43643</v>
      </c>
      <c r="J60" s="17">
        <v>5.9900000000000002E-2</v>
      </c>
      <c r="K60" s="25">
        <f t="shared" si="0"/>
        <v>1.5939506930751079E-4</v>
      </c>
      <c r="M60" s="16">
        <v>43643</v>
      </c>
      <c r="N60" s="26">
        <f t="shared" si="1"/>
        <v>8.2688988958878906E-4</v>
      </c>
      <c r="O60" s="26">
        <f>'Part 2 - CAPM 2.1, 2.2 and 2.3'!C60-'Part 2 - CAPM 2.1, 2.2 and 2.3'!K60</f>
        <v>1.8044126267606739E-2</v>
      </c>
    </row>
    <row r="61" spans="1:15" x14ac:dyDescent="0.4">
      <c r="A61" s="16">
        <v>43644</v>
      </c>
      <c r="B61" s="14">
        <v>167.75</v>
      </c>
      <c r="C61" s="25">
        <f t="shared" si="2"/>
        <v>-1.6705744431418489E-2</v>
      </c>
      <c r="E61" s="16">
        <v>43644</v>
      </c>
      <c r="F61" s="15">
        <v>9657.9500000000007</v>
      </c>
      <c r="G61" s="25">
        <f t="shared" si="3"/>
        <v>-3.5491908567065402E-3</v>
      </c>
      <c r="I61" s="16">
        <v>43644</v>
      </c>
      <c r="J61" s="17">
        <v>6.0100000000000001E-2</v>
      </c>
      <c r="K61" s="25">
        <f t="shared" si="0"/>
        <v>1.5991208127785761E-4</v>
      </c>
      <c r="M61" s="16">
        <v>43644</v>
      </c>
      <c r="N61" s="26">
        <f t="shared" si="1"/>
        <v>-3.7091029379843978E-3</v>
      </c>
      <c r="O61" s="26">
        <f>'Part 2 - CAPM 2.1, 2.2 and 2.3'!C61-'Part 2 - CAPM 2.1, 2.2 and 2.3'!K61</f>
        <v>-1.6865656512696347E-2</v>
      </c>
    </row>
    <row r="62" spans="1:15" x14ac:dyDescent="0.4">
      <c r="A62" s="16">
        <v>43647</v>
      </c>
      <c r="B62" s="14">
        <v>161</v>
      </c>
      <c r="C62" s="25">
        <f t="shared" si="2"/>
        <v>-4.0238450074515646E-2</v>
      </c>
      <c r="E62" s="16">
        <v>43647</v>
      </c>
      <c r="F62" s="15">
        <v>9713</v>
      </c>
      <c r="G62" s="25">
        <f t="shared" si="3"/>
        <v>5.6999673843827385E-3</v>
      </c>
      <c r="I62" s="16">
        <v>43647</v>
      </c>
      <c r="J62" s="17">
        <v>5.9800000000000006E-2</v>
      </c>
      <c r="K62" s="25">
        <f t="shared" si="0"/>
        <v>1.5913652683696711E-4</v>
      </c>
      <c r="M62" s="16">
        <v>43647</v>
      </c>
      <c r="N62" s="26">
        <f t="shared" si="1"/>
        <v>5.5408308575457714E-3</v>
      </c>
      <c r="O62" s="26">
        <f>'Part 2 - CAPM 2.1, 2.2 and 2.3'!C62-'Part 2 - CAPM 2.1, 2.2 and 2.3'!K62</f>
        <v>-4.0397586601352613E-2</v>
      </c>
    </row>
    <row r="63" spans="1:15" x14ac:dyDescent="0.4">
      <c r="A63" s="16">
        <v>43648</v>
      </c>
      <c r="B63" s="14">
        <v>165.65</v>
      </c>
      <c r="C63" s="25">
        <f t="shared" si="2"/>
        <v>2.8881987577639788E-2</v>
      </c>
      <c r="E63" s="16">
        <v>43648</v>
      </c>
      <c r="F63" s="15">
        <v>9744.85</v>
      </c>
      <c r="G63" s="25">
        <f t="shared" si="3"/>
        <v>3.2791104705034864E-3</v>
      </c>
      <c r="I63" s="16">
        <v>43648</v>
      </c>
      <c r="J63" s="17">
        <v>5.96E-2</v>
      </c>
      <c r="K63" s="25">
        <f t="shared" si="0"/>
        <v>1.5861936890226858E-4</v>
      </c>
      <c r="M63" s="16">
        <v>43648</v>
      </c>
      <c r="N63" s="26">
        <f t="shared" si="1"/>
        <v>3.1204911016012179E-3</v>
      </c>
      <c r="O63" s="26">
        <f>'Part 2 - CAPM 2.1, 2.2 and 2.3'!C63-'Part 2 - CAPM 2.1, 2.2 and 2.3'!K63</f>
        <v>2.8723368208737519E-2</v>
      </c>
    </row>
    <row r="64" spans="1:15" x14ac:dyDescent="0.4">
      <c r="A64" s="16">
        <v>43649</v>
      </c>
      <c r="B64" s="14">
        <v>166.3</v>
      </c>
      <c r="C64" s="25">
        <f t="shared" si="2"/>
        <v>3.9239360096589536E-3</v>
      </c>
      <c r="E64" s="16">
        <v>43649</v>
      </c>
      <c r="F64" s="15">
        <v>9757.2999999999993</v>
      </c>
      <c r="G64" s="25">
        <f t="shared" si="3"/>
        <v>1.2775979106911762E-3</v>
      </c>
      <c r="I64" s="16">
        <v>43649</v>
      </c>
      <c r="J64" s="17">
        <v>5.96E-2</v>
      </c>
      <c r="K64" s="25">
        <f t="shared" si="0"/>
        <v>1.5861936890226858E-4</v>
      </c>
      <c r="M64" s="16">
        <v>43649</v>
      </c>
      <c r="N64" s="26">
        <f t="shared" si="1"/>
        <v>1.1189785417889076E-3</v>
      </c>
      <c r="O64" s="26">
        <f>'Part 2 - CAPM 2.1, 2.2 and 2.3'!C64-'Part 2 - CAPM 2.1, 2.2 and 2.3'!K64</f>
        <v>3.765316640756685E-3</v>
      </c>
    </row>
    <row r="65" spans="1:15" x14ac:dyDescent="0.4">
      <c r="A65" s="16">
        <v>43650</v>
      </c>
      <c r="B65" s="14">
        <v>167.1</v>
      </c>
      <c r="C65" s="25">
        <f t="shared" si="2"/>
        <v>4.8105832832229878E-3</v>
      </c>
      <c r="E65" s="16">
        <v>43650</v>
      </c>
      <c r="F65" s="15">
        <v>9776.7999999999993</v>
      </c>
      <c r="G65" s="25">
        <f t="shared" si="3"/>
        <v>1.9985036844208954E-3</v>
      </c>
      <c r="I65" s="16">
        <v>43650</v>
      </c>
      <c r="J65" s="17">
        <v>5.9800000000000006E-2</v>
      </c>
      <c r="K65" s="25">
        <f t="shared" si="0"/>
        <v>1.5913652683696711E-4</v>
      </c>
      <c r="M65" s="16">
        <v>43650</v>
      </c>
      <c r="N65" s="26">
        <f t="shared" si="1"/>
        <v>1.8393671575839283E-3</v>
      </c>
      <c r="O65" s="26">
        <f>'Part 2 - CAPM 2.1, 2.2 and 2.3'!C65-'Part 2 - CAPM 2.1, 2.2 and 2.3'!K65</f>
        <v>4.6514467563860207E-3</v>
      </c>
    </row>
    <row r="66" spans="1:15" x14ac:dyDescent="0.4">
      <c r="A66" s="16">
        <v>43651</v>
      </c>
      <c r="B66" s="14">
        <v>161.5</v>
      </c>
      <c r="C66" s="25">
        <f t="shared" si="2"/>
        <v>-3.3512866546977826E-2</v>
      </c>
      <c r="E66" s="16">
        <v>43651</v>
      </c>
      <c r="F66" s="15">
        <v>9657.65</v>
      </c>
      <c r="G66" s="25">
        <f t="shared" si="3"/>
        <v>-1.2187014155961014E-2</v>
      </c>
      <c r="I66" s="16">
        <v>43651</v>
      </c>
      <c r="J66" s="17">
        <v>5.8899999999999994E-2</v>
      </c>
      <c r="K66" s="25">
        <f t="shared" si="0"/>
        <v>1.5680854921451548E-4</v>
      </c>
      <c r="M66" s="16">
        <v>43651</v>
      </c>
      <c r="N66" s="26">
        <f t="shared" si="1"/>
        <v>-1.234382270517553E-2</v>
      </c>
      <c r="O66" s="26">
        <f>'Part 2 - CAPM 2.1, 2.2 and 2.3'!C66-'Part 2 - CAPM 2.1, 2.2 and 2.3'!K66</f>
        <v>-3.3669675096192342E-2</v>
      </c>
    </row>
    <row r="67" spans="1:15" x14ac:dyDescent="0.4">
      <c r="A67" s="16">
        <v>43654</v>
      </c>
      <c r="B67" s="14">
        <v>152.4</v>
      </c>
      <c r="C67" s="25">
        <f t="shared" si="2"/>
        <v>-5.634674922600616E-2</v>
      </c>
      <c r="E67" s="16">
        <v>43654</v>
      </c>
      <c r="F67" s="15">
        <v>9447.7999999999993</v>
      </c>
      <c r="G67" s="25">
        <f t="shared" si="3"/>
        <v>-2.1728888497719465E-2</v>
      </c>
      <c r="I67" s="16">
        <v>43654</v>
      </c>
      <c r="J67" s="17">
        <v>5.8799999999999998E-2</v>
      </c>
      <c r="K67" s="25">
        <f t="shared" si="0"/>
        <v>1.5654976324031011E-4</v>
      </c>
      <c r="M67" s="16">
        <v>43654</v>
      </c>
      <c r="N67" s="26">
        <f t="shared" si="1"/>
        <v>-2.1885438260959775E-2</v>
      </c>
      <c r="O67" s="26">
        <f>'Part 2 - CAPM 2.1, 2.2 and 2.3'!C67-'Part 2 - CAPM 2.1, 2.2 and 2.3'!K67</f>
        <v>-5.650329898924647E-2</v>
      </c>
    </row>
    <row r="68" spans="1:15" x14ac:dyDescent="0.4">
      <c r="A68" s="16">
        <v>43655</v>
      </c>
      <c r="B68" s="14">
        <v>153.4</v>
      </c>
      <c r="C68" s="25">
        <f t="shared" si="2"/>
        <v>6.5616797900262466E-3</v>
      </c>
      <c r="E68" s="16">
        <v>43655</v>
      </c>
      <c r="F68" s="15">
        <v>9455.65</v>
      </c>
      <c r="G68" s="25">
        <f t="shared" si="3"/>
        <v>8.3088126336293791E-4</v>
      </c>
      <c r="I68" s="16">
        <v>43655</v>
      </c>
      <c r="J68" s="17">
        <v>5.9000000000000004E-2</v>
      </c>
      <c r="K68" s="25">
        <f t="shared" ref="K68:K131" si="4">((1+J68)^(1/365))-1</f>
        <v>1.5706731081777114E-4</v>
      </c>
      <c r="M68" s="16">
        <v>43655</v>
      </c>
      <c r="N68" s="26">
        <f t="shared" ref="N68:N131" si="5">G68-K68</f>
        <v>6.7381395254516676E-4</v>
      </c>
      <c r="O68" s="26">
        <f>'Part 2 - CAPM 2.1, 2.2 and 2.3'!C68-'Part 2 - CAPM 2.1, 2.2 and 2.3'!K68</f>
        <v>6.4046124792084755E-3</v>
      </c>
    </row>
    <row r="69" spans="1:15" x14ac:dyDescent="0.4">
      <c r="A69" s="16">
        <v>43656</v>
      </c>
      <c r="B69" s="14">
        <v>151.65</v>
      </c>
      <c r="C69" s="25">
        <f t="shared" ref="C69:C132" si="6">(B69-B68)/B68</f>
        <v>-1.1408083441981747E-2</v>
      </c>
      <c r="E69" s="16">
        <v>43656</v>
      </c>
      <c r="F69" s="15">
        <v>9400.1</v>
      </c>
      <c r="G69" s="25">
        <f t="shared" ref="G69:G132" si="7">(F69-F68)/F68</f>
        <v>-5.8747944350731338E-3</v>
      </c>
      <c r="I69" s="16">
        <v>43656</v>
      </c>
      <c r="J69" s="17">
        <v>5.8799999999999998E-2</v>
      </c>
      <c r="K69" s="25">
        <f t="shared" si="4"/>
        <v>1.5654976324031011E-4</v>
      </c>
      <c r="M69" s="16">
        <v>43656</v>
      </c>
      <c r="N69" s="26">
        <f t="shared" si="5"/>
        <v>-6.0313441983134439E-3</v>
      </c>
      <c r="O69" s="26">
        <f>'Part 2 - CAPM 2.1, 2.2 and 2.3'!C69-'Part 2 - CAPM 2.1, 2.2 and 2.3'!K69</f>
        <v>-1.1564633205222058E-2</v>
      </c>
    </row>
    <row r="70" spans="1:15" x14ac:dyDescent="0.4">
      <c r="A70" s="16">
        <v>43657</v>
      </c>
      <c r="B70" s="14">
        <v>153.1</v>
      </c>
      <c r="C70" s="25">
        <f t="shared" si="6"/>
        <v>9.5614902736563707E-3</v>
      </c>
      <c r="E70" s="16">
        <v>43657</v>
      </c>
      <c r="F70" s="15">
        <v>9466.4</v>
      </c>
      <c r="G70" s="25">
        <f t="shared" si="7"/>
        <v>7.0531164562078353E-3</v>
      </c>
      <c r="I70" s="16">
        <v>43657</v>
      </c>
      <c r="J70" s="17">
        <v>5.8499999999999996E-2</v>
      </c>
      <c r="K70" s="25">
        <f t="shared" si="4"/>
        <v>1.5577325904581052E-4</v>
      </c>
      <c r="M70" s="16">
        <v>43657</v>
      </c>
      <c r="N70" s="26">
        <f t="shared" si="5"/>
        <v>6.8973431971620248E-3</v>
      </c>
      <c r="O70" s="26">
        <f>'Part 2 - CAPM 2.1, 2.2 and 2.3'!C70-'Part 2 - CAPM 2.1, 2.2 and 2.3'!K70</f>
        <v>9.4057170146105602E-3</v>
      </c>
    </row>
    <row r="71" spans="1:15" x14ac:dyDescent="0.4">
      <c r="A71" s="16">
        <v>43658</v>
      </c>
      <c r="B71" s="14">
        <v>149.69999999999999</v>
      </c>
      <c r="C71" s="25">
        <f t="shared" si="6"/>
        <v>-2.2207707380796901E-2</v>
      </c>
      <c r="E71" s="16">
        <v>43658</v>
      </c>
      <c r="F71" s="15">
        <v>9457.75</v>
      </c>
      <c r="G71" s="25">
        <f t="shared" si="7"/>
        <v>-9.1375813403190621E-4</v>
      </c>
      <c r="I71" s="16">
        <v>43658</v>
      </c>
      <c r="J71" s="17">
        <v>5.8499999999999996E-2</v>
      </c>
      <c r="K71" s="25">
        <f t="shared" si="4"/>
        <v>1.5577325904581052E-4</v>
      </c>
      <c r="M71" s="16">
        <v>43658</v>
      </c>
      <c r="N71" s="26">
        <f t="shared" si="5"/>
        <v>-1.0695313930777167E-3</v>
      </c>
      <c r="O71" s="26">
        <f>'Part 2 - CAPM 2.1, 2.2 and 2.3'!C71-'Part 2 - CAPM 2.1, 2.2 and 2.3'!K71</f>
        <v>-2.2363480639842712E-2</v>
      </c>
    </row>
    <row r="72" spans="1:15" x14ac:dyDescent="0.4">
      <c r="A72" s="16">
        <v>43661</v>
      </c>
      <c r="B72" s="14">
        <v>150.69999999999999</v>
      </c>
      <c r="C72" s="25">
        <f t="shared" si="6"/>
        <v>6.6800267201068807E-3</v>
      </c>
      <c r="E72" s="16">
        <v>43661</v>
      </c>
      <c r="F72" s="15">
        <v>9469.15</v>
      </c>
      <c r="G72" s="25">
        <f t="shared" si="7"/>
        <v>1.2053606830376819E-3</v>
      </c>
      <c r="I72" s="16">
        <v>43661</v>
      </c>
      <c r="J72" s="17">
        <v>5.8200000000000002E-2</v>
      </c>
      <c r="K72" s="25">
        <f t="shared" si="4"/>
        <v>1.5499653534623015E-4</v>
      </c>
      <c r="M72" s="16">
        <v>43661</v>
      </c>
      <c r="N72" s="26">
        <f t="shared" si="5"/>
        <v>1.0503641476914518E-3</v>
      </c>
      <c r="O72" s="26">
        <f>'Part 2 - CAPM 2.1, 2.2 and 2.3'!C72-'Part 2 - CAPM 2.1, 2.2 and 2.3'!K72</f>
        <v>6.5250301847606506E-3</v>
      </c>
    </row>
    <row r="73" spans="1:15" x14ac:dyDescent="0.4">
      <c r="A73" s="16">
        <v>43662</v>
      </c>
      <c r="B73" s="14">
        <v>152.25</v>
      </c>
      <c r="C73" s="25">
        <f t="shared" si="6"/>
        <v>1.0285335102853427E-2</v>
      </c>
      <c r="E73" s="16">
        <v>43662</v>
      </c>
      <c r="F73" s="15">
        <v>9529.85</v>
      </c>
      <c r="G73" s="25">
        <f t="shared" si="7"/>
        <v>6.4102902583654002E-3</v>
      </c>
      <c r="I73" s="16">
        <v>43662</v>
      </c>
      <c r="J73" s="17">
        <v>5.8400000000000001E-2</v>
      </c>
      <c r="K73" s="25">
        <f t="shared" si="4"/>
        <v>1.5551437554139902E-4</v>
      </c>
      <c r="M73" s="16">
        <v>43662</v>
      </c>
      <c r="N73" s="26">
        <f t="shared" si="5"/>
        <v>6.2547758828240011E-3</v>
      </c>
      <c r="O73" s="26">
        <f>'Part 2 - CAPM 2.1, 2.2 and 2.3'!C73-'Part 2 - CAPM 2.1, 2.2 and 2.3'!K73</f>
        <v>1.0129820727312028E-2</v>
      </c>
    </row>
    <row r="74" spans="1:15" x14ac:dyDescent="0.4">
      <c r="A74" s="16">
        <v>43663</v>
      </c>
      <c r="B74" s="14">
        <v>149.9</v>
      </c>
      <c r="C74" s="25">
        <f t="shared" si="6"/>
        <v>-1.5435139573070571E-2</v>
      </c>
      <c r="E74" s="16">
        <v>43663</v>
      </c>
      <c r="F74" s="15">
        <v>9543.35</v>
      </c>
      <c r="G74" s="25">
        <f t="shared" si="7"/>
        <v>1.416601520485632E-3</v>
      </c>
      <c r="I74" s="16">
        <v>43663</v>
      </c>
      <c r="J74" s="17">
        <v>5.7999999999999996E-2</v>
      </c>
      <c r="K74" s="25">
        <f t="shared" si="4"/>
        <v>1.544785975380325E-4</v>
      </c>
      <c r="M74" s="16">
        <v>43663</v>
      </c>
      <c r="N74" s="26">
        <f t="shared" si="5"/>
        <v>1.2621229229475995E-3</v>
      </c>
      <c r="O74" s="26">
        <f>'Part 2 - CAPM 2.1, 2.2 and 2.3'!C74-'Part 2 - CAPM 2.1, 2.2 and 2.3'!K74</f>
        <v>-1.5589618170608603E-2</v>
      </c>
    </row>
    <row r="75" spans="1:15" x14ac:dyDescent="0.4">
      <c r="A75" s="16">
        <v>43664</v>
      </c>
      <c r="B75" s="14">
        <v>143.4</v>
      </c>
      <c r="C75" s="25">
        <f t="shared" si="6"/>
        <v>-4.3362241494329552E-2</v>
      </c>
      <c r="E75" s="16">
        <v>43664</v>
      </c>
      <c r="F75" s="15">
        <v>9456.15</v>
      </c>
      <c r="G75" s="25">
        <f t="shared" si="7"/>
        <v>-9.1372526418920744E-3</v>
      </c>
      <c r="I75" s="16">
        <v>43664</v>
      </c>
      <c r="J75" s="17">
        <v>5.7000000000000002E-2</v>
      </c>
      <c r="K75" s="25">
        <f t="shared" si="4"/>
        <v>1.518874430121997E-4</v>
      </c>
      <c r="M75" s="16">
        <v>43664</v>
      </c>
      <c r="N75" s="26">
        <f t="shared" si="5"/>
        <v>-9.2891400849042741E-3</v>
      </c>
      <c r="O75" s="26">
        <f>'Part 2 - CAPM 2.1, 2.2 and 2.3'!C75-'Part 2 - CAPM 2.1, 2.2 and 2.3'!K75</f>
        <v>-4.3514128937341752E-2</v>
      </c>
    </row>
    <row r="76" spans="1:15" x14ac:dyDescent="0.4">
      <c r="A76" s="16">
        <v>43665</v>
      </c>
      <c r="B76" s="14">
        <v>143.9</v>
      </c>
      <c r="C76" s="25">
        <f t="shared" si="6"/>
        <v>3.4867503486750349E-3</v>
      </c>
      <c r="E76" s="16">
        <v>43665</v>
      </c>
      <c r="F76" s="15">
        <v>9304.65</v>
      </c>
      <c r="G76" s="25">
        <f t="shared" si="7"/>
        <v>-1.6021319458764931E-2</v>
      </c>
      <c r="I76" s="16">
        <v>43665</v>
      </c>
      <c r="J76" s="17">
        <v>5.7300000000000004E-2</v>
      </c>
      <c r="K76" s="25">
        <f t="shared" si="4"/>
        <v>1.5266504597533093E-4</v>
      </c>
      <c r="M76" s="16">
        <v>43665</v>
      </c>
      <c r="N76" s="26">
        <f t="shared" si="5"/>
        <v>-1.6173984504740262E-2</v>
      </c>
      <c r="O76" s="26">
        <f>'Part 2 - CAPM 2.1, 2.2 and 2.3'!C76-'Part 2 - CAPM 2.1, 2.2 and 2.3'!K76</f>
        <v>3.3340853026997039E-3</v>
      </c>
    </row>
    <row r="77" spans="1:15" x14ac:dyDescent="0.4">
      <c r="A77" s="16">
        <v>43668</v>
      </c>
      <c r="B77" s="14">
        <v>146.65</v>
      </c>
      <c r="C77" s="25">
        <f t="shared" si="6"/>
        <v>1.9110493398193189E-2</v>
      </c>
      <c r="E77" s="16">
        <v>43668</v>
      </c>
      <c r="F77" s="15">
        <v>9247.75</v>
      </c>
      <c r="G77" s="25">
        <f t="shared" si="7"/>
        <v>-6.1152219589129773E-3</v>
      </c>
      <c r="I77" s="16">
        <v>43668</v>
      </c>
      <c r="J77" s="17">
        <v>5.7699999999999994E-2</v>
      </c>
      <c r="K77" s="25">
        <f t="shared" si="4"/>
        <v>1.5370150772087143E-4</v>
      </c>
      <c r="M77" s="16">
        <v>43668</v>
      </c>
      <c r="N77" s="26">
        <f t="shared" si="5"/>
        <v>-6.2689234666338488E-3</v>
      </c>
      <c r="O77" s="26">
        <f>'Part 2 - CAPM 2.1, 2.2 and 2.3'!C77-'Part 2 - CAPM 2.1, 2.2 and 2.3'!K77</f>
        <v>1.8956791890472318E-2</v>
      </c>
    </row>
    <row r="78" spans="1:15" x14ac:dyDescent="0.4">
      <c r="A78" s="16">
        <v>43669</v>
      </c>
      <c r="B78" s="14">
        <v>144.6</v>
      </c>
      <c r="C78" s="25">
        <f t="shared" si="6"/>
        <v>-1.3978861234231239E-2</v>
      </c>
      <c r="E78" s="16">
        <v>43669</v>
      </c>
      <c r="F78" s="15">
        <v>9233.5499999999993</v>
      </c>
      <c r="G78" s="25">
        <f t="shared" si="7"/>
        <v>-1.535508637236163E-3</v>
      </c>
      <c r="I78" s="16">
        <v>43669</v>
      </c>
      <c r="J78" s="17">
        <v>5.7599999999999998E-2</v>
      </c>
      <c r="K78" s="25">
        <f t="shared" si="4"/>
        <v>1.5344242893555737E-4</v>
      </c>
      <c r="M78" s="16">
        <v>43669</v>
      </c>
      <c r="N78" s="26">
        <f t="shared" si="5"/>
        <v>-1.6889510661717204E-3</v>
      </c>
      <c r="O78" s="26">
        <f>'Part 2 - CAPM 2.1, 2.2 and 2.3'!C78-'Part 2 - CAPM 2.1, 2.2 and 2.3'!K78</f>
        <v>-1.4132303663166796E-2</v>
      </c>
    </row>
    <row r="79" spans="1:15" x14ac:dyDescent="0.4">
      <c r="A79" s="16">
        <v>43670</v>
      </c>
      <c r="B79" s="14">
        <v>143.6</v>
      </c>
      <c r="C79" s="25">
        <f t="shared" si="6"/>
        <v>-6.915629322268327E-3</v>
      </c>
      <c r="E79" s="16">
        <v>43670</v>
      </c>
      <c r="F79" s="15">
        <v>9160.4500000000007</v>
      </c>
      <c r="G79" s="25">
        <f t="shared" si="7"/>
        <v>-7.9167817361684885E-3</v>
      </c>
      <c r="I79" s="16">
        <v>43670</v>
      </c>
      <c r="J79" s="17">
        <v>5.7699999999999994E-2</v>
      </c>
      <c r="K79" s="25">
        <f t="shared" si="4"/>
        <v>1.5370150772087143E-4</v>
      </c>
      <c r="M79" s="16">
        <v>43670</v>
      </c>
      <c r="N79" s="26">
        <f t="shared" si="5"/>
        <v>-8.0704832438893599E-3</v>
      </c>
      <c r="O79" s="26">
        <f>'Part 2 - CAPM 2.1, 2.2 and 2.3'!C79-'Part 2 - CAPM 2.1, 2.2 and 2.3'!K79</f>
        <v>-7.0693308299891984E-3</v>
      </c>
    </row>
    <row r="80" spans="1:15" x14ac:dyDescent="0.4">
      <c r="A80" s="16">
        <v>43671</v>
      </c>
      <c r="B80" s="14">
        <v>143.85</v>
      </c>
      <c r="C80" s="25">
        <f t="shared" si="6"/>
        <v>1.7409470752089138E-3</v>
      </c>
      <c r="E80" s="16">
        <v>43671</v>
      </c>
      <c r="F80" s="15">
        <v>9159.15</v>
      </c>
      <c r="G80" s="25">
        <f t="shared" si="7"/>
        <v>-1.419144256014815E-4</v>
      </c>
      <c r="I80" s="16">
        <v>43671</v>
      </c>
      <c r="J80" s="17">
        <v>5.74E-2</v>
      </c>
      <c r="K80" s="25">
        <f t="shared" si="4"/>
        <v>1.5292419806733903E-4</v>
      </c>
      <c r="M80" s="16">
        <v>43671</v>
      </c>
      <c r="N80" s="26">
        <f t="shared" si="5"/>
        <v>-2.9483862366882054E-4</v>
      </c>
      <c r="O80" s="26">
        <f>'Part 2 - CAPM 2.1, 2.2 and 2.3'!C80-'Part 2 - CAPM 2.1, 2.2 and 2.3'!K80</f>
        <v>1.5880228771415748E-3</v>
      </c>
    </row>
    <row r="81" spans="1:15" x14ac:dyDescent="0.4">
      <c r="A81" s="16">
        <v>43672</v>
      </c>
      <c r="B81" s="14">
        <v>141.9</v>
      </c>
      <c r="C81" s="25">
        <f t="shared" si="6"/>
        <v>-1.3555787278414937E-2</v>
      </c>
      <c r="E81" s="16">
        <v>43672</v>
      </c>
      <c r="F81" s="15">
        <v>9192.6</v>
      </c>
      <c r="G81" s="25">
        <f t="shared" si="7"/>
        <v>3.6520856192988138E-3</v>
      </c>
      <c r="I81" s="16">
        <v>43672</v>
      </c>
      <c r="J81" s="17">
        <v>5.74E-2</v>
      </c>
      <c r="K81" s="25">
        <f t="shared" si="4"/>
        <v>1.5292419806733903E-4</v>
      </c>
      <c r="M81" s="16">
        <v>43672</v>
      </c>
      <c r="N81" s="26">
        <f t="shared" si="5"/>
        <v>3.4991614212314748E-3</v>
      </c>
      <c r="O81" s="26">
        <f>'Part 2 - CAPM 2.1, 2.2 and 2.3'!C81-'Part 2 - CAPM 2.1, 2.2 and 2.3'!K81</f>
        <v>-1.3708711476482276E-2</v>
      </c>
    </row>
    <row r="82" spans="1:15" x14ac:dyDescent="0.4">
      <c r="A82" s="16">
        <v>43675</v>
      </c>
      <c r="B82" s="14">
        <v>140.35</v>
      </c>
      <c r="C82" s="25">
        <f t="shared" si="6"/>
        <v>-1.0923185341790072E-2</v>
      </c>
      <c r="E82" s="16">
        <v>43675</v>
      </c>
      <c r="F82" s="15">
        <v>9108.9</v>
      </c>
      <c r="G82" s="25">
        <f t="shared" si="7"/>
        <v>-9.1051497943999225E-3</v>
      </c>
      <c r="I82" s="16">
        <v>43675</v>
      </c>
      <c r="J82" s="17">
        <v>5.7500000000000002E-2</v>
      </c>
      <c r="K82" s="25">
        <f t="shared" si="4"/>
        <v>1.5318332571911952E-4</v>
      </c>
      <c r="M82" s="16">
        <v>43675</v>
      </c>
      <c r="N82" s="26">
        <f t="shared" si="5"/>
        <v>-9.258333120119042E-3</v>
      </c>
      <c r="O82" s="26">
        <f>'Part 2 - CAPM 2.1, 2.2 and 2.3'!C82-'Part 2 - CAPM 2.1, 2.2 and 2.3'!K82</f>
        <v>-1.1076368667509192E-2</v>
      </c>
    </row>
    <row r="83" spans="1:15" x14ac:dyDescent="0.4">
      <c r="A83" s="16">
        <v>43676</v>
      </c>
      <c r="B83" s="14">
        <v>138.75</v>
      </c>
      <c r="C83" s="25">
        <f t="shared" si="6"/>
        <v>-1.1400071250445275E-2</v>
      </c>
      <c r="E83" s="16">
        <v>43676</v>
      </c>
      <c r="F83" s="15">
        <v>9004.0499999999993</v>
      </c>
      <c r="G83" s="25">
        <f t="shared" si="7"/>
        <v>-1.1510720284556903E-2</v>
      </c>
      <c r="I83" s="16">
        <v>43676</v>
      </c>
      <c r="J83" s="17">
        <v>5.74E-2</v>
      </c>
      <c r="K83" s="25">
        <f t="shared" si="4"/>
        <v>1.5292419806733903E-4</v>
      </c>
      <c r="M83" s="16">
        <v>43676</v>
      </c>
      <c r="N83" s="26">
        <f t="shared" si="5"/>
        <v>-1.1663644482624242E-2</v>
      </c>
      <c r="O83" s="26">
        <f>'Part 2 - CAPM 2.1, 2.2 and 2.3'!C83-'Part 2 - CAPM 2.1, 2.2 and 2.3'!K83</f>
        <v>-1.1552995448512614E-2</v>
      </c>
    </row>
    <row r="84" spans="1:15" x14ac:dyDescent="0.4">
      <c r="A84" s="16">
        <v>43677</v>
      </c>
      <c r="B84" s="14">
        <v>138.85</v>
      </c>
      <c r="C84" s="25">
        <f t="shared" si="6"/>
        <v>7.2072072072067975E-4</v>
      </c>
      <c r="E84" s="16">
        <v>43677</v>
      </c>
      <c r="F84" s="15">
        <v>9044.9500000000007</v>
      </c>
      <c r="G84" s="25">
        <f t="shared" si="7"/>
        <v>4.5424003642806805E-3</v>
      </c>
      <c r="I84" s="16">
        <v>43677</v>
      </c>
      <c r="J84" s="17">
        <v>5.7300000000000004E-2</v>
      </c>
      <c r="K84" s="25">
        <f t="shared" si="4"/>
        <v>1.5266504597533093E-4</v>
      </c>
      <c r="M84" s="16">
        <v>43677</v>
      </c>
      <c r="N84" s="26">
        <f t="shared" si="5"/>
        <v>4.3897353183053496E-3</v>
      </c>
      <c r="O84" s="26">
        <f>'Part 2 - CAPM 2.1, 2.2 and 2.3'!C84-'Part 2 - CAPM 2.1, 2.2 and 2.3'!K84</f>
        <v>5.6805567474534882E-4</v>
      </c>
    </row>
    <row r="85" spans="1:15" x14ac:dyDescent="0.4">
      <c r="A85" s="16">
        <v>43678</v>
      </c>
      <c r="B85" s="14">
        <v>136.9</v>
      </c>
      <c r="C85" s="25">
        <f t="shared" si="6"/>
        <v>-1.4043932301044211E-2</v>
      </c>
      <c r="E85" s="16">
        <v>43678</v>
      </c>
      <c r="F85" s="15">
        <v>8935.75</v>
      </c>
      <c r="G85" s="25">
        <f t="shared" si="7"/>
        <v>-1.2073035229603339E-2</v>
      </c>
      <c r="I85" s="16">
        <v>43678</v>
      </c>
      <c r="J85" s="17">
        <v>5.6600000000000004E-2</v>
      </c>
      <c r="K85" s="25">
        <f t="shared" si="4"/>
        <v>1.5085029661965343E-4</v>
      </c>
      <c r="M85" s="16">
        <v>43678</v>
      </c>
      <c r="N85" s="26">
        <f t="shared" si="5"/>
        <v>-1.2223885526222993E-2</v>
      </c>
      <c r="O85" s="26">
        <f>'Part 2 - CAPM 2.1, 2.2 and 2.3'!C85-'Part 2 - CAPM 2.1, 2.2 and 2.3'!K85</f>
        <v>-1.4194782597663864E-2</v>
      </c>
    </row>
    <row r="86" spans="1:15" x14ac:dyDescent="0.4">
      <c r="A86" s="16">
        <v>43679</v>
      </c>
      <c r="B86" s="14">
        <v>134.35</v>
      </c>
      <c r="C86" s="25">
        <f t="shared" si="6"/>
        <v>-1.8626734842951142E-2</v>
      </c>
      <c r="E86" s="16">
        <v>43679</v>
      </c>
      <c r="F86" s="15">
        <v>8943.9500000000007</v>
      </c>
      <c r="G86" s="25">
        <f t="shared" si="7"/>
        <v>9.1766219959160981E-4</v>
      </c>
      <c r="I86" s="16">
        <v>43679</v>
      </c>
      <c r="J86" s="17">
        <v>5.6500000000000002E-2</v>
      </c>
      <c r="K86" s="25">
        <f t="shared" si="4"/>
        <v>1.505909488401791E-4</v>
      </c>
      <c r="M86" s="16">
        <v>43679</v>
      </c>
      <c r="N86" s="26">
        <f t="shared" si="5"/>
        <v>7.6707125075143072E-4</v>
      </c>
      <c r="O86" s="26">
        <f>'Part 2 - CAPM 2.1, 2.2 and 2.3'!C86-'Part 2 - CAPM 2.1, 2.2 and 2.3'!K86</f>
        <v>-1.8777325791791321E-2</v>
      </c>
    </row>
    <row r="87" spans="1:15" x14ac:dyDescent="0.4">
      <c r="A87" s="16">
        <v>43682</v>
      </c>
      <c r="B87" s="14">
        <v>131.30000000000001</v>
      </c>
      <c r="C87" s="25">
        <f t="shared" si="6"/>
        <v>-2.2701898027539882E-2</v>
      </c>
      <c r="E87" s="16">
        <v>43682</v>
      </c>
      <c r="F87" s="15">
        <v>8831.9500000000007</v>
      </c>
      <c r="G87" s="25">
        <f t="shared" si="7"/>
        <v>-1.2522431364218269E-2</v>
      </c>
      <c r="I87" s="16">
        <v>43682</v>
      </c>
      <c r="J87" s="17">
        <v>5.5800000000000002E-2</v>
      </c>
      <c r="K87" s="25">
        <f t="shared" si="4"/>
        <v>1.4877482863728808E-4</v>
      </c>
      <c r="M87" s="16">
        <v>43682</v>
      </c>
      <c r="N87" s="26">
        <f t="shared" si="5"/>
        <v>-1.2671206192855557E-2</v>
      </c>
      <c r="O87" s="26">
        <f>'Part 2 - CAPM 2.1, 2.2 and 2.3'!C87-'Part 2 - CAPM 2.1, 2.2 and 2.3'!K87</f>
        <v>-2.285067285617717E-2</v>
      </c>
    </row>
    <row r="88" spans="1:15" x14ac:dyDescent="0.4">
      <c r="A88" s="16">
        <v>43683</v>
      </c>
      <c r="B88" s="14">
        <v>131.44999999999999</v>
      </c>
      <c r="C88" s="25">
        <f t="shared" si="6"/>
        <v>1.1424219345009692E-3</v>
      </c>
      <c r="E88" s="16">
        <v>43683</v>
      </c>
      <c r="F88" s="15">
        <v>8918.6</v>
      </c>
      <c r="G88" s="25">
        <f t="shared" si="7"/>
        <v>9.810970397250849E-3</v>
      </c>
      <c r="I88" s="16">
        <v>43683</v>
      </c>
      <c r="J88" s="17">
        <v>5.6299999999999996E-2</v>
      </c>
      <c r="K88" s="25">
        <f t="shared" si="4"/>
        <v>1.5007217983176169E-4</v>
      </c>
      <c r="M88" s="16">
        <v>43683</v>
      </c>
      <c r="N88" s="26">
        <f t="shared" si="5"/>
        <v>9.6608982174190873E-3</v>
      </c>
      <c r="O88" s="26">
        <f>'Part 2 - CAPM 2.1, 2.2 and 2.3'!C88-'Part 2 - CAPM 2.1, 2.2 and 2.3'!K88</f>
        <v>9.9234975466920756E-4</v>
      </c>
    </row>
    <row r="89" spans="1:15" x14ac:dyDescent="0.4">
      <c r="A89" s="16">
        <v>43684</v>
      </c>
      <c r="B89" s="14">
        <v>130.5</v>
      </c>
      <c r="C89" s="25">
        <f t="shared" si="6"/>
        <v>-7.2270825408899866E-3</v>
      </c>
      <c r="E89" s="16">
        <v>43684</v>
      </c>
      <c r="F89" s="15">
        <v>8854.65</v>
      </c>
      <c r="G89" s="25">
        <f t="shared" si="7"/>
        <v>-7.170407911555707E-3</v>
      </c>
      <c r="I89" s="16">
        <v>43684</v>
      </c>
      <c r="J89" s="17">
        <v>5.5500000000000001E-2</v>
      </c>
      <c r="K89" s="25">
        <f t="shared" si="4"/>
        <v>1.4799612378757487E-4</v>
      </c>
      <c r="M89" s="16">
        <v>43684</v>
      </c>
      <c r="N89" s="26">
        <f t="shared" si="5"/>
        <v>-7.3184040353432818E-3</v>
      </c>
      <c r="O89" s="26">
        <f>'Part 2 - CAPM 2.1, 2.2 and 2.3'!C89-'Part 2 - CAPM 2.1, 2.2 and 2.3'!K89</f>
        <v>-7.3750786646775614E-3</v>
      </c>
    </row>
    <row r="90" spans="1:15" x14ac:dyDescent="0.4">
      <c r="A90" s="16">
        <v>43685</v>
      </c>
      <c r="B90" s="14">
        <v>130.85</v>
      </c>
      <c r="C90" s="25">
        <f t="shared" si="6"/>
        <v>2.6819923371647074E-3</v>
      </c>
      <c r="E90" s="16">
        <v>43685</v>
      </c>
      <c r="F90" s="15">
        <v>8979.65</v>
      </c>
      <c r="G90" s="25">
        <f t="shared" si="7"/>
        <v>1.4116876443450617E-2</v>
      </c>
      <c r="I90" s="16">
        <v>43685</v>
      </c>
      <c r="J90" s="17">
        <v>5.4299999999999994E-2</v>
      </c>
      <c r="K90" s="25">
        <f t="shared" si="4"/>
        <v>1.4487909560845225E-4</v>
      </c>
      <c r="M90" s="16">
        <v>43685</v>
      </c>
      <c r="N90" s="26">
        <f t="shared" si="5"/>
        <v>1.3971997347842165E-2</v>
      </c>
      <c r="O90" s="26">
        <f>'Part 2 - CAPM 2.1, 2.2 and 2.3'!C90-'Part 2 - CAPM 2.1, 2.2 and 2.3'!K90</f>
        <v>2.5371132415562552E-3</v>
      </c>
    </row>
    <row r="91" spans="1:15" x14ac:dyDescent="0.4">
      <c r="A91" s="16">
        <v>43686</v>
      </c>
      <c r="B91" s="14">
        <v>130.94999999999999</v>
      </c>
      <c r="C91" s="25">
        <f t="shared" si="6"/>
        <v>7.6423385555975793E-4</v>
      </c>
      <c r="E91" s="16">
        <v>43686</v>
      </c>
      <c r="F91" s="15">
        <v>9046.5499999999993</v>
      </c>
      <c r="G91" s="25">
        <f t="shared" si="7"/>
        <v>7.4501790158858798E-3</v>
      </c>
      <c r="I91" s="16">
        <v>43686</v>
      </c>
      <c r="J91" s="17">
        <v>5.4199999999999998E-2</v>
      </c>
      <c r="K91" s="25">
        <f t="shared" si="4"/>
        <v>1.4461918357611125E-4</v>
      </c>
      <c r="M91" s="16">
        <v>43686</v>
      </c>
      <c r="N91" s="26">
        <f t="shared" si="5"/>
        <v>7.3055598323097685E-3</v>
      </c>
      <c r="O91" s="26">
        <f>'Part 2 - CAPM 2.1, 2.2 and 2.3'!C91-'Part 2 - CAPM 2.1, 2.2 and 2.3'!K91</f>
        <v>6.1961467198364667E-4</v>
      </c>
    </row>
    <row r="92" spans="1:15" x14ac:dyDescent="0.4">
      <c r="A92" s="16">
        <v>43690</v>
      </c>
      <c r="B92" s="14">
        <v>127.75</v>
      </c>
      <c r="C92" s="25">
        <f t="shared" si="6"/>
        <v>-2.4436807941962495E-2</v>
      </c>
      <c r="E92" s="16">
        <v>43690</v>
      </c>
      <c r="F92" s="15">
        <v>8890.1</v>
      </c>
      <c r="G92" s="25">
        <f t="shared" si="7"/>
        <v>-1.7293885514367235E-2</v>
      </c>
      <c r="I92" s="16">
        <v>43690</v>
      </c>
      <c r="J92" s="17">
        <v>5.4299999999999994E-2</v>
      </c>
      <c r="K92" s="25">
        <f t="shared" si="4"/>
        <v>1.4487909560845225E-4</v>
      </c>
      <c r="M92" s="16">
        <v>43690</v>
      </c>
      <c r="N92" s="26">
        <f t="shared" si="5"/>
        <v>-1.7438764609975687E-2</v>
      </c>
      <c r="O92" s="26">
        <f>'Part 2 - CAPM 2.1, 2.2 and 2.3'!C92-'Part 2 - CAPM 2.1, 2.2 and 2.3'!K92</f>
        <v>-2.4581687037570948E-2</v>
      </c>
    </row>
    <row r="93" spans="1:15" x14ac:dyDescent="0.4">
      <c r="A93" s="16">
        <v>43691</v>
      </c>
      <c r="B93" s="14">
        <v>126.85</v>
      </c>
      <c r="C93" s="25">
        <f t="shared" si="6"/>
        <v>-7.0450097847358567E-3</v>
      </c>
      <c r="E93" s="16">
        <v>43691</v>
      </c>
      <c r="F93" s="15">
        <v>8971.1</v>
      </c>
      <c r="G93" s="25">
        <f t="shared" si="7"/>
        <v>9.1112585910169738E-3</v>
      </c>
      <c r="I93" s="16">
        <v>43691</v>
      </c>
      <c r="J93" s="17">
        <v>5.4800000000000001E-2</v>
      </c>
      <c r="K93" s="25">
        <f t="shared" si="4"/>
        <v>1.4617828710616898E-4</v>
      </c>
      <c r="M93" s="16">
        <v>43691</v>
      </c>
      <c r="N93" s="26">
        <f t="shared" si="5"/>
        <v>8.9650803039108048E-3</v>
      </c>
      <c r="O93" s="26">
        <f>'Part 2 - CAPM 2.1, 2.2 and 2.3'!C93-'Part 2 - CAPM 2.1, 2.2 and 2.3'!K93</f>
        <v>-7.1911880718420257E-3</v>
      </c>
    </row>
    <row r="94" spans="1:15" x14ac:dyDescent="0.4">
      <c r="A94" s="16">
        <v>43693</v>
      </c>
      <c r="B94" s="14">
        <v>127.9</v>
      </c>
      <c r="C94" s="25">
        <f t="shared" si="6"/>
        <v>8.2774931020891708E-3</v>
      </c>
      <c r="E94" s="16">
        <v>43693</v>
      </c>
      <c r="F94" s="15">
        <v>8988.7999999999993</v>
      </c>
      <c r="G94" s="25">
        <f t="shared" si="7"/>
        <v>1.9730021959401753E-3</v>
      </c>
      <c r="I94" s="16">
        <v>43693</v>
      </c>
      <c r="J94" s="17">
        <v>5.4800000000000001E-2</v>
      </c>
      <c r="K94" s="25">
        <f t="shared" si="4"/>
        <v>1.4617828710616898E-4</v>
      </c>
      <c r="M94" s="16">
        <v>43693</v>
      </c>
      <c r="N94" s="26">
        <f t="shared" si="5"/>
        <v>1.8268239088340063E-3</v>
      </c>
      <c r="O94" s="26">
        <f>'Part 2 - CAPM 2.1, 2.2 and 2.3'!C94-'Part 2 - CAPM 2.1, 2.2 and 2.3'!K94</f>
        <v>8.1313148149830018E-3</v>
      </c>
    </row>
    <row r="95" spans="1:15" x14ac:dyDescent="0.4">
      <c r="A95" s="16">
        <v>43696</v>
      </c>
      <c r="B95" s="14">
        <v>126.3</v>
      </c>
      <c r="C95" s="25">
        <f t="shared" si="6"/>
        <v>-1.2509773260359722E-2</v>
      </c>
      <c r="E95" s="16">
        <v>43696</v>
      </c>
      <c r="F95" s="15">
        <v>8997.9500000000007</v>
      </c>
      <c r="G95" s="25">
        <f t="shared" si="7"/>
        <v>1.0179334282664489E-3</v>
      </c>
      <c r="I95" s="16">
        <v>43696</v>
      </c>
      <c r="J95" s="17">
        <v>5.4699999999999999E-2</v>
      </c>
      <c r="K95" s="25">
        <f t="shared" si="4"/>
        <v>1.4591849794642897E-4</v>
      </c>
      <c r="M95" s="16">
        <v>43696</v>
      </c>
      <c r="N95" s="26">
        <f t="shared" si="5"/>
        <v>8.7201493032001997E-4</v>
      </c>
      <c r="O95" s="26">
        <f>'Part 2 - CAPM 2.1, 2.2 and 2.3'!C95-'Part 2 - CAPM 2.1, 2.2 and 2.3'!K95</f>
        <v>-1.2655691758306151E-2</v>
      </c>
    </row>
    <row r="96" spans="1:15" x14ac:dyDescent="0.4">
      <c r="A96" s="16">
        <v>43697</v>
      </c>
      <c r="B96" s="14">
        <v>125.05</v>
      </c>
      <c r="C96" s="25">
        <f t="shared" si="6"/>
        <v>-9.8970704671417255E-3</v>
      </c>
      <c r="E96" s="16">
        <v>43697</v>
      </c>
      <c r="F96" s="15">
        <v>8957.4</v>
      </c>
      <c r="G96" s="25">
        <f t="shared" si="7"/>
        <v>-4.5065820548014926E-3</v>
      </c>
      <c r="I96" s="16">
        <v>43697</v>
      </c>
      <c r="J96" s="17">
        <v>5.45E-2</v>
      </c>
      <c r="K96" s="25">
        <f t="shared" si="4"/>
        <v>1.4539884592656982E-4</v>
      </c>
      <c r="M96" s="16">
        <v>43697</v>
      </c>
      <c r="N96" s="26">
        <f t="shared" si="5"/>
        <v>-4.6519809007280625E-3</v>
      </c>
      <c r="O96" s="26">
        <f>'Part 2 - CAPM 2.1, 2.2 and 2.3'!C96-'Part 2 - CAPM 2.1, 2.2 and 2.3'!K96</f>
        <v>-1.0042469313068295E-2</v>
      </c>
    </row>
    <row r="97" spans="1:15" x14ac:dyDescent="0.4">
      <c r="A97" s="16">
        <v>43698</v>
      </c>
      <c r="B97" s="14">
        <v>121.2</v>
      </c>
      <c r="C97" s="25">
        <f t="shared" si="6"/>
        <v>-3.0787684926029544E-2</v>
      </c>
      <c r="E97" s="16">
        <v>43698</v>
      </c>
      <c r="F97" s="15">
        <v>8864.5</v>
      </c>
      <c r="G97" s="25">
        <f t="shared" si="7"/>
        <v>-1.037131310424896E-2</v>
      </c>
      <c r="I97" s="16">
        <v>43698</v>
      </c>
      <c r="J97" s="17">
        <v>5.45E-2</v>
      </c>
      <c r="K97" s="25">
        <f t="shared" si="4"/>
        <v>1.4539884592656982E-4</v>
      </c>
      <c r="M97" s="16">
        <v>43698</v>
      </c>
      <c r="N97" s="26">
        <f t="shared" si="5"/>
        <v>-1.051671195017553E-2</v>
      </c>
      <c r="O97" s="26">
        <f>'Part 2 - CAPM 2.1, 2.2 and 2.3'!C97-'Part 2 - CAPM 2.1, 2.2 and 2.3'!K97</f>
        <v>-3.0933083771956114E-2</v>
      </c>
    </row>
    <row r="98" spans="1:15" x14ac:dyDescent="0.4">
      <c r="A98" s="16">
        <v>43699</v>
      </c>
      <c r="B98" s="14">
        <v>116.95</v>
      </c>
      <c r="C98" s="25">
        <f t="shared" si="6"/>
        <v>-3.5066006600660067E-2</v>
      </c>
      <c r="E98" s="16">
        <v>43699</v>
      </c>
      <c r="F98" s="15">
        <v>8719.25</v>
      </c>
      <c r="G98" s="25">
        <f t="shared" si="7"/>
        <v>-1.6385582943200406E-2</v>
      </c>
      <c r="I98" s="16">
        <v>43699</v>
      </c>
      <c r="J98" s="17">
        <v>5.4199999999999998E-2</v>
      </c>
      <c r="K98" s="25">
        <f t="shared" si="4"/>
        <v>1.4461918357611125E-4</v>
      </c>
      <c r="M98" s="16">
        <v>43699</v>
      </c>
      <c r="N98" s="26">
        <f t="shared" si="5"/>
        <v>-1.6530202126776517E-2</v>
      </c>
      <c r="O98" s="26">
        <f>'Part 2 - CAPM 2.1, 2.2 and 2.3'!C98-'Part 2 - CAPM 2.1, 2.2 and 2.3'!K98</f>
        <v>-3.5210625784236178E-2</v>
      </c>
    </row>
    <row r="99" spans="1:15" x14ac:dyDescent="0.4">
      <c r="A99" s="16">
        <v>43700</v>
      </c>
      <c r="B99" s="14">
        <v>122.25</v>
      </c>
      <c r="C99" s="25">
        <f t="shared" si="6"/>
        <v>4.5318512184694286E-2</v>
      </c>
      <c r="E99" s="16">
        <v>43700</v>
      </c>
      <c r="F99" s="15">
        <v>8790.5499999999993</v>
      </c>
      <c r="G99" s="25">
        <f t="shared" si="7"/>
        <v>8.1773088281674768E-3</v>
      </c>
      <c r="I99" s="16">
        <v>43700</v>
      </c>
      <c r="J99" s="17">
        <v>5.4100000000000002E-2</v>
      </c>
      <c r="K99" s="25">
        <f t="shared" si="4"/>
        <v>1.443592469549948E-4</v>
      </c>
      <c r="M99" s="16">
        <v>43700</v>
      </c>
      <c r="N99" s="26">
        <f t="shared" si="5"/>
        <v>8.032949581212482E-3</v>
      </c>
      <c r="O99" s="26">
        <f>'Part 2 - CAPM 2.1, 2.2 and 2.3'!C99-'Part 2 - CAPM 2.1, 2.2 and 2.3'!K99</f>
        <v>4.5174152937739291E-2</v>
      </c>
    </row>
    <row r="100" spans="1:15" x14ac:dyDescent="0.4">
      <c r="A100" s="16">
        <v>43703</v>
      </c>
      <c r="B100" s="14">
        <v>123.75</v>
      </c>
      <c r="C100" s="25">
        <f t="shared" si="6"/>
        <v>1.2269938650306749E-2</v>
      </c>
      <c r="E100" s="16">
        <v>43703</v>
      </c>
      <c r="F100" s="15">
        <v>8964.7000000000007</v>
      </c>
      <c r="G100" s="25">
        <f t="shared" si="7"/>
        <v>1.98110470903415E-2</v>
      </c>
      <c r="I100" s="16">
        <v>43703</v>
      </c>
      <c r="J100" s="17">
        <v>5.4600000000000003E-2</v>
      </c>
      <c r="K100" s="25">
        <f t="shared" si="4"/>
        <v>1.4565868422145023E-4</v>
      </c>
      <c r="M100" s="16">
        <v>43703</v>
      </c>
      <c r="N100" s="26">
        <f t="shared" si="5"/>
        <v>1.966538840612005E-2</v>
      </c>
      <c r="O100" s="26">
        <f>'Part 2 - CAPM 2.1, 2.2 and 2.3'!C100-'Part 2 - CAPM 2.1, 2.2 and 2.3'!K100</f>
        <v>1.2124279966085299E-2</v>
      </c>
    </row>
    <row r="101" spans="1:15" x14ac:dyDescent="0.4">
      <c r="A101" s="16">
        <v>43704</v>
      </c>
      <c r="B101" s="14">
        <v>125.6</v>
      </c>
      <c r="C101" s="25">
        <f t="shared" si="6"/>
        <v>1.4949494949494904E-2</v>
      </c>
      <c r="E101" s="16">
        <v>43704</v>
      </c>
      <c r="F101" s="15">
        <v>9022.25</v>
      </c>
      <c r="G101" s="25">
        <f t="shared" si="7"/>
        <v>6.4196236349235635E-3</v>
      </c>
      <c r="I101" s="16">
        <v>43704</v>
      </c>
      <c r="J101" s="17">
        <v>5.4299999999999994E-2</v>
      </c>
      <c r="K101" s="25">
        <f t="shared" si="4"/>
        <v>1.4487909560845225E-4</v>
      </c>
      <c r="M101" s="16">
        <v>43704</v>
      </c>
      <c r="N101" s="26">
        <f t="shared" si="5"/>
        <v>6.2747445393151113E-3</v>
      </c>
      <c r="O101" s="26">
        <f>'Part 2 - CAPM 2.1, 2.2 and 2.3'!C101-'Part 2 - CAPM 2.1, 2.2 and 2.3'!K101</f>
        <v>1.4804615853886451E-2</v>
      </c>
    </row>
    <row r="102" spans="1:15" x14ac:dyDescent="0.4">
      <c r="A102" s="16">
        <v>43705</v>
      </c>
      <c r="B102" s="14">
        <v>121.2</v>
      </c>
      <c r="C102" s="25">
        <f t="shared" si="6"/>
        <v>-3.5031847133757898E-2</v>
      </c>
      <c r="E102" s="16">
        <v>43705</v>
      </c>
      <c r="F102" s="15">
        <v>8970.9</v>
      </c>
      <c r="G102" s="25">
        <f t="shared" si="7"/>
        <v>-5.6914849400094619E-3</v>
      </c>
      <c r="I102" s="16">
        <v>43705</v>
      </c>
      <c r="J102" s="17">
        <v>5.4299999999999994E-2</v>
      </c>
      <c r="K102" s="25">
        <f t="shared" si="4"/>
        <v>1.4487909560845225E-4</v>
      </c>
      <c r="M102" s="16">
        <v>43705</v>
      </c>
      <c r="N102" s="26">
        <f t="shared" si="5"/>
        <v>-5.8363640356179141E-3</v>
      </c>
      <c r="O102" s="26">
        <f>'Part 2 - CAPM 2.1, 2.2 and 2.3'!C102-'Part 2 - CAPM 2.1, 2.2 and 2.3'!K102</f>
        <v>-3.5176726229366351E-2</v>
      </c>
    </row>
    <row r="103" spans="1:15" x14ac:dyDescent="0.4">
      <c r="A103" s="16">
        <v>43706</v>
      </c>
      <c r="B103" s="14">
        <v>123.25</v>
      </c>
      <c r="C103" s="25">
        <f t="shared" si="6"/>
        <v>1.691419141914189E-2</v>
      </c>
      <c r="E103" s="16">
        <v>43706</v>
      </c>
      <c r="F103" s="15">
        <v>8906.1</v>
      </c>
      <c r="G103" s="25">
        <f t="shared" si="7"/>
        <v>-7.2233555161688653E-3</v>
      </c>
      <c r="I103" s="16">
        <v>43706</v>
      </c>
      <c r="J103" s="17">
        <v>5.4100000000000002E-2</v>
      </c>
      <c r="K103" s="25">
        <f t="shared" si="4"/>
        <v>1.443592469549948E-4</v>
      </c>
      <c r="M103" s="16">
        <v>43706</v>
      </c>
      <c r="N103" s="26">
        <f t="shared" si="5"/>
        <v>-7.3677147631238601E-3</v>
      </c>
      <c r="O103" s="26">
        <f>'Part 2 - CAPM 2.1, 2.2 and 2.3'!C103-'Part 2 - CAPM 2.1, 2.2 and 2.3'!K103</f>
        <v>1.6769832172186895E-2</v>
      </c>
    </row>
    <row r="104" spans="1:15" x14ac:dyDescent="0.4">
      <c r="A104" s="16">
        <v>43707</v>
      </c>
      <c r="B104" s="14">
        <v>121.2</v>
      </c>
      <c r="C104" s="25">
        <f t="shared" si="6"/>
        <v>-1.6632860040567927E-2</v>
      </c>
      <c r="E104" s="16">
        <v>43707</v>
      </c>
      <c r="F104" s="15">
        <v>8977.5499999999993</v>
      </c>
      <c r="G104" s="25">
        <f t="shared" si="7"/>
        <v>8.0225912576771998E-3</v>
      </c>
      <c r="I104" s="16">
        <v>43707</v>
      </c>
      <c r="J104" s="17">
        <v>5.4199999999999998E-2</v>
      </c>
      <c r="K104" s="25">
        <f t="shared" si="4"/>
        <v>1.4461918357611125E-4</v>
      </c>
      <c r="M104" s="16">
        <v>43707</v>
      </c>
      <c r="N104" s="26">
        <f t="shared" si="5"/>
        <v>7.8779720741010886E-3</v>
      </c>
      <c r="O104" s="26">
        <f>'Part 2 - CAPM 2.1, 2.2 and 2.3'!C104-'Part 2 - CAPM 2.1, 2.2 and 2.3'!K104</f>
        <v>-1.6777479224144038E-2</v>
      </c>
    </row>
    <row r="105" spans="1:15" x14ac:dyDescent="0.4">
      <c r="A105" s="16">
        <v>43711</v>
      </c>
      <c r="B105" s="14">
        <v>117.15</v>
      </c>
      <c r="C105" s="25">
        <f t="shared" si="6"/>
        <v>-3.341584158415839E-2</v>
      </c>
      <c r="E105" s="16">
        <v>43711</v>
      </c>
      <c r="F105" s="15">
        <v>8802.35</v>
      </c>
      <c r="G105" s="25">
        <f t="shared" si="7"/>
        <v>-1.9515346614610771E-2</v>
      </c>
      <c r="I105" s="16">
        <v>43711</v>
      </c>
      <c r="J105" s="17">
        <v>5.4199999999999998E-2</v>
      </c>
      <c r="K105" s="25">
        <f t="shared" si="4"/>
        <v>1.4461918357611125E-4</v>
      </c>
      <c r="M105" s="16">
        <v>43711</v>
      </c>
      <c r="N105" s="26">
        <f t="shared" si="5"/>
        <v>-1.9659965798186883E-2</v>
      </c>
      <c r="O105" s="26">
        <f>'Part 2 - CAPM 2.1, 2.2 and 2.3'!C105-'Part 2 - CAPM 2.1, 2.2 and 2.3'!K105</f>
        <v>-3.3560460767734501E-2</v>
      </c>
    </row>
    <row r="106" spans="1:15" x14ac:dyDescent="0.4">
      <c r="A106" s="16">
        <v>43712</v>
      </c>
      <c r="B106" s="14">
        <v>119</v>
      </c>
      <c r="C106" s="25">
        <f t="shared" si="6"/>
        <v>1.5791720017072082E-2</v>
      </c>
      <c r="E106" s="16">
        <v>43712</v>
      </c>
      <c r="F106" s="15">
        <v>8833.1</v>
      </c>
      <c r="G106" s="25">
        <f t="shared" si="7"/>
        <v>3.4933852891557366E-3</v>
      </c>
      <c r="I106" s="16">
        <v>43712</v>
      </c>
      <c r="J106" s="17">
        <v>5.4100000000000002E-2</v>
      </c>
      <c r="K106" s="25">
        <f t="shared" si="4"/>
        <v>1.443592469549948E-4</v>
      </c>
      <c r="M106" s="16">
        <v>43712</v>
      </c>
      <c r="N106" s="26">
        <f t="shared" si="5"/>
        <v>3.3490260422007418E-3</v>
      </c>
      <c r="O106" s="26">
        <f>'Part 2 - CAPM 2.1, 2.2 and 2.3'!C106-'Part 2 - CAPM 2.1, 2.2 and 2.3'!K106</f>
        <v>1.5647360770117087E-2</v>
      </c>
    </row>
    <row r="107" spans="1:15" x14ac:dyDescent="0.4">
      <c r="A107" s="16">
        <v>43713</v>
      </c>
      <c r="B107" s="14">
        <v>125.15</v>
      </c>
      <c r="C107" s="25">
        <f t="shared" si="6"/>
        <v>5.1680672268907608E-2</v>
      </c>
      <c r="E107" s="16">
        <v>43713</v>
      </c>
      <c r="F107" s="15">
        <v>8846.2999999999993</v>
      </c>
      <c r="G107" s="25">
        <f t="shared" si="7"/>
        <v>1.494379096806207E-3</v>
      </c>
      <c r="I107" s="16">
        <v>43713</v>
      </c>
      <c r="J107" s="17">
        <v>5.3800000000000001E-2</v>
      </c>
      <c r="K107" s="25">
        <f t="shared" si="4"/>
        <v>1.4357928951436172E-4</v>
      </c>
      <c r="M107" s="16">
        <v>43713</v>
      </c>
      <c r="N107" s="26">
        <f t="shared" si="5"/>
        <v>1.3507998072918453E-3</v>
      </c>
      <c r="O107" s="26">
        <f>'Part 2 - CAPM 2.1, 2.2 and 2.3'!C107-'Part 2 - CAPM 2.1, 2.2 and 2.3'!K107</f>
        <v>5.1537092979393247E-2</v>
      </c>
    </row>
    <row r="108" spans="1:15" x14ac:dyDescent="0.4">
      <c r="A108" s="16">
        <v>43714</v>
      </c>
      <c r="B108" s="14">
        <v>127.95</v>
      </c>
      <c r="C108" s="25">
        <f t="shared" si="6"/>
        <v>2.2373152217339168E-2</v>
      </c>
      <c r="E108" s="16">
        <v>43714</v>
      </c>
      <c r="F108" s="15">
        <v>8920.4</v>
      </c>
      <c r="G108" s="25">
        <f t="shared" si="7"/>
        <v>8.3763833467099657E-3</v>
      </c>
      <c r="I108" s="16">
        <v>43714</v>
      </c>
      <c r="J108" s="17">
        <v>5.3200000000000004E-2</v>
      </c>
      <c r="K108" s="25">
        <f t="shared" si="4"/>
        <v>1.4201871011332301E-4</v>
      </c>
      <c r="M108" s="16">
        <v>43714</v>
      </c>
      <c r="N108" s="26">
        <f t="shared" si="5"/>
        <v>8.2343646365966427E-3</v>
      </c>
      <c r="O108" s="26">
        <f>'Part 2 - CAPM 2.1, 2.2 and 2.3'!C108-'Part 2 - CAPM 2.1, 2.2 and 2.3'!K108</f>
        <v>2.2231133507225845E-2</v>
      </c>
    </row>
    <row r="109" spans="1:15" x14ac:dyDescent="0.4">
      <c r="A109" s="16">
        <v>43717</v>
      </c>
      <c r="B109" s="14">
        <v>129.4</v>
      </c>
      <c r="C109" s="25">
        <f t="shared" si="6"/>
        <v>1.1332551778038318E-2</v>
      </c>
      <c r="E109" s="16">
        <v>43717</v>
      </c>
      <c r="F109" s="15">
        <v>8972.4</v>
      </c>
      <c r="G109" s="25">
        <f t="shared" si="7"/>
        <v>5.8293350073987714E-3</v>
      </c>
      <c r="I109" s="16">
        <v>43717</v>
      </c>
      <c r="J109" s="17">
        <v>5.3499999999999999E-2</v>
      </c>
      <c r="K109" s="25">
        <f t="shared" si="4"/>
        <v>1.4279911060910422E-4</v>
      </c>
      <c r="M109" s="16">
        <v>43717</v>
      </c>
      <c r="N109" s="26">
        <f t="shared" si="5"/>
        <v>5.6865358967896672E-3</v>
      </c>
      <c r="O109" s="26">
        <f>'Part 2 - CAPM 2.1, 2.2 and 2.3'!C109-'Part 2 - CAPM 2.1, 2.2 and 2.3'!K109</f>
        <v>1.1189752667429213E-2</v>
      </c>
    </row>
    <row r="110" spans="1:15" x14ac:dyDescent="0.4">
      <c r="A110" s="16">
        <v>43719</v>
      </c>
      <c r="B110" s="14">
        <v>125.75</v>
      </c>
      <c r="C110" s="25">
        <f t="shared" si="6"/>
        <v>-2.8207109737248885E-2</v>
      </c>
      <c r="E110" s="16">
        <v>43719</v>
      </c>
      <c r="F110" s="15">
        <v>9015.15</v>
      </c>
      <c r="G110" s="25">
        <f t="shared" si="7"/>
        <v>4.764611475190585E-3</v>
      </c>
      <c r="I110" s="16">
        <v>43719</v>
      </c>
      <c r="J110" s="17">
        <v>5.3800000000000001E-2</v>
      </c>
      <c r="K110" s="25">
        <f t="shared" si="4"/>
        <v>1.4357928951436172E-4</v>
      </c>
      <c r="M110" s="16">
        <v>43719</v>
      </c>
      <c r="N110" s="26">
        <f t="shared" si="5"/>
        <v>4.6210321856762233E-3</v>
      </c>
      <c r="O110" s="26">
        <f>'Part 2 - CAPM 2.1, 2.2 and 2.3'!C110-'Part 2 - CAPM 2.1, 2.2 and 2.3'!K110</f>
        <v>-2.8350689026763246E-2</v>
      </c>
    </row>
    <row r="111" spans="1:15" x14ac:dyDescent="0.4">
      <c r="A111" s="16">
        <v>43720</v>
      </c>
      <c r="B111" s="14">
        <v>125.9</v>
      </c>
      <c r="C111" s="25">
        <f t="shared" si="6"/>
        <v>1.1928429423459697E-3</v>
      </c>
      <c r="E111" s="16">
        <v>43720</v>
      </c>
      <c r="F111" s="15">
        <v>8981.6</v>
      </c>
      <c r="G111" s="25">
        <f t="shared" si="7"/>
        <v>-3.7215132305063446E-3</v>
      </c>
      <c r="I111" s="16">
        <v>43720</v>
      </c>
      <c r="J111" s="17">
        <v>5.2999999999999999E-2</v>
      </c>
      <c r="K111" s="25">
        <f t="shared" si="4"/>
        <v>1.4149831994814122E-4</v>
      </c>
      <c r="M111" s="16">
        <v>43720</v>
      </c>
      <c r="N111" s="26">
        <f t="shared" si="5"/>
        <v>-3.8630115504544858E-3</v>
      </c>
      <c r="O111" s="26">
        <f>'Part 2 - CAPM 2.1, 2.2 and 2.3'!C111-'Part 2 - CAPM 2.1, 2.2 and 2.3'!K111</f>
        <v>1.0513446223978284E-3</v>
      </c>
    </row>
    <row r="112" spans="1:15" x14ac:dyDescent="0.4">
      <c r="A112" s="16">
        <v>43721</v>
      </c>
      <c r="B112" s="14">
        <v>128.85</v>
      </c>
      <c r="C112" s="25">
        <f t="shared" si="6"/>
        <v>2.3431294678316034E-2</v>
      </c>
      <c r="E112" s="16">
        <v>43721</v>
      </c>
      <c r="F112" s="15">
        <v>9050.85</v>
      </c>
      <c r="G112" s="25">
        <f t="shared" si="7"/>
        <v>7.7102075354057182E-3</v>
      </c>
      <c r="I112" s="16">
        <v>43721</v>
      </c>
      <c r="J112" s="17">
        <v>5.33E-2</v>
      </c>
      <c r="K112" s="25">
        <f t="shared" si="4"/>
        <v>1.4227886824080826E-4</v>
      </c>
      <c r="M112" s="16">
        <v>43721</v>
      </c>
      <c r="N112" s="26">
        <f t="shared" si="5"/>
        <v>7.5679286671649099E-3</v>
      </c>
      <c r="O112" s="26">
        <f>'Part 2 - CAPM 2.1, 2.2 and 2.3'!C112-'Part 2 - CAPM 2.1, 2.2 and 2.3'!K112</f>
        <v>2.3289015810075225E-2</v>
      </c>
    </row>
    <row r="113" spans="1:15" x14ac:dyDescent="0.4">
      <c r="A113" s="16">
        <v>43724</v>
      </c>
      <c r="B113" s="14">
        <v>130.69999999999999</v>
      </c>
      <c r="C113" s="25">
        <f t="shared" si="6"/>
        <v>1.4357780364765187E-2</v>
      </c>
      <c r="E113" s="16">
        <v>43724</v>
      </c>
      <c r="F113" s="15">
        <v>9009.15</v>
      </c>
      <c r="G113" s="25">
        <f t="shared" si="7"/>
        <v>-4.6073020766006206E-3</v>
      </c>
      <c r="I113" s="16">
        <v>43724</v>
      </c>
      <c r="J113" s="17">
        <v>5.33E-2</v>
      </c>
      <c r="K113" s="25">
        <f t="shared" si="4"/>
        <v>1.4227886824080826E-4</v>
      </c>
      <c r="M113" s="16">
        <v>43724</v>
      </c>
      <c r="N113" s="26">
        <f t="shared" si="5"/>
        <v>-4.7495809448414288E-3</v>
      </c>
      <c r="O113" s="26">
        <f>'Part 2 - CAPM 2.1, 2.2 and 2.3'!C113-'Part 2 - CAPM 2.1, 2.2 and 2.3'!K113</f>
        <v>1.4215501496524379E-2</v>
      </c>
    </row>
    <row r="114" spans="1:15" x14ac:dyDescent="0.4">
      <c r="A114" s="16">
        <v>43725</v>
      </c>
      <c r="B114" s="14">
        <v>129.69999999999999</v>
      </c>
      <c r="C114" s="25">
        <f t="shared" si="6"/>
        <v>-7.6511094108645764E-3</v>
      </c>
      <c r="E114" s="16">
        <v>43725</v>
      </c>
      <c r="F114" s="15">
        <v>8853.9</v>
      </c>
      <c r="G114" s="25">
        <f t="shared" si="7"/>
        <v>-1.7232480311683122E-2</v>
      </c>
      <c r="I114" s="16">
        <v>43725</v>
      </c>
      <c r="J114" s="17">
        <v>5.33E-2</v>
      </c>
      <c r="K114" s="25">
        <f t="shared" si="4"/>
        <v>1.4227886824080826E-4</v>
      </c>
      <c r="M114" s="16">
        <v>43725</v>
      </c>
      <c r="N114" s="26">
        <f t="shared" si="5"/>
        <v>-1.737475917992393E-2</v>
      </c>
      <c r="O114" s="26">
        <f>'Part 2 - CAPM 2.1, 2.2 and 2.3'!C114-'Part 2 - CAPM 2.1, 2.2 and 2.3'!K114</f>
        <v>-7.7933882791053847E-3</v>
      </c>
    </row>
    <row r="115" spans="1:15" x14ac:dyDescent="0.4">
      <c r="A115" s="16">
        <v>43726</v>
      </c>
      <c r="B115" s="14">
        <v>127</v>
      </c>
      <c r="C115" s="25">
        <f t="shared" si="6"/>
        <v>-2.0817270624518033E-2</v>
      </c>
      <c r="E115" s="16">
        <v>43726</v>
      </c>
      <c r="F115" s="15">
        <v>8877.7000000000007</v>
      </c>
      <c r="G115" s="25">
        <f t="shared" si="7"/>
        <v>2.6880809586737023E-3</v>
      </c>
      <c r="I115" s="16">
        <v>43726</v>
      </c>
      <c r="J115" s="17">
        <v>5.3099999999999994E-2</v>
      </c>
      <c r="K115" s="25">
        <f t="shared" si="4"/>
        <v>1.4175852735065497E-4</v>
      </c>
      <c r="M115" s="16">
        <v>43726</v>
      </c>
      <c r="N115" s="26">
        <f t="shared" si="5"/>
        <v>2.5463224313230473E-3</v>
      </c>
      <c r="O115" s="26">
        <f>'Part 2 - CAPM 2.1, 2.2 and 2.3'!C115-'Part 2 - CAPM 2.1, 2.2 and 2.3'!K115</f>
        <v>-2.0959029151868688E-2</v>
      </c>
    </row>
    <row r="116" spans="1:15" x14ac:dyDescent="0.4">
      <c r="A116" s="16">
        <v>43727</v>
      </c>
      <c r="B116" s="14">
        <v>124.3</v>
      </c>
      <c r="C116" s="25">
        <f t="shared" si="6"/>
        <v>-2.1259842519685063E-2</v>
      </c>
      <c r="E116" s="16">
        <v>43727</v>
      </c>
      <c r="F116" s="15">
        <v>8766.4500000000007</v>
      </c>
      <c r="G116" s="25">
        <f t="shared" si="7"/>
        <v>-1.2531398898363313E-2</v>
      </c>
      <c r="I116" s="16">
        <v>43727</v>
      </c>
      <c r="J116" s="17">
        <v>5.3099999999999994E-2</v>
      </c>
      <c r="K116" s="25">
        <f t="shared" si="4"/>
        <v>1.4175852735065497E-4</v>
      </c>
      <c r="M116" s="16">
        <v>43727</v>
      </c>
      <c r="N116" s="26">
        <f t="shared" si="5"/>
        <v>-1.2673157425713968E-2</v>
      </c>
      <c r="O116" s="26">
        <f>'Part 2 - CAPM 2.1, 2.2 and 2.3'!C116-'Part 2 - CAPM 2.1, 2.2 and 2.3'!K116</f>
        <v>-2.1401601047035718E-2</v>
      </c>
    </row>
    <row r="117" spans="1:15" x14ac:dyDescent="0.4">
      <c r="A117" s="16">
        <v>43728</v>
      </c>
      <c r="B117" s="14">
        <v>133.6</v>
      </c>
      <c r="C117" s="25">
        <f t="shared" si="6"/>
        <v>7.481898632341108E-2</v>
      </c>
      <c r="E117" s="16">
        <v>43728</v>
      </c>
      <c r="F117" s="15">
        <v>9230.5</v>
      </c>
      <c r="G117" s="25">
        <f t="shared" si="7"/>
        <v>5.2934768349788025E-2</v>
      </c>
      <c r="I117" s="16">
        <v>43728</v>
      </c>
      <c r="J117" s="17">
        <v>5.3200000000000004E-2</v>
      </c>
      <c r="K117" s="25">
        <f t="shared" si="4"/>
        <v>1.4201871011332301E-4</v>
      </c>
      <c r="M117" s="16">
        <v>43728</v>
      </c>
      <c r="N117" s="26">
        <f t="shared" si="5"/>
        <v>5.2792749639674702E-2</v>
      </c>
      <c r="O117" s="26">
        <f>'Part 2 - CAPM 2.1, 2.2 and 2.3'!C117-'Part 2 - CAPM 2.1, 2.2 and 2.3'!K117</f>
        <v>7.4676967613297757E-2</v>
      </c>
    </row>
    <row r="118" spans="1:15" x14ac:dyDescent="0.4">
      <c r="A118" s="16">
        <v>43731</v>
      </c>
      <c r="B118" s="14">
        <v>136.30000000000001</v>
      </c>
      <c r="C118" s="25">
        <f t="shared" si="6"/>
        <v>2.0209580838323481E-2</v>
      </c>
      <c r="E118" s="16">
        <v>43731</v>
      </c>
      <c r="F118" s="15">
        <v>9486.6</v>
      </c>
      <c r="G118" s="25">
        <f t="shared" si="7"/>
        <v>2.7744975895130315E-2</v>
      </c>
      <c r="I118" s="16">
        <v>43731</v>
      </c>
      <c r="J118" s="17">
        <v>5.3399999999999996E-2</v>
      </c>
      <c r="K118" s="25">
        <f t="shared" si="4"/>
        <v>1.4253900173777367E-4</v>
      </c>
      <c r="M118" s="16">
        <v>43731</v>
      </c>
      <c r="N118" s="26">
        <f t="shared" si="5"/>
        <v>2.7602436893392542E-2</v>
      </c>
      <c r="O118" s="26">
        <f>'Part 2 - CAPM 2.1, 2.2 and 2.3'!C118-'Part 2 - CAPM 2.1, 2.2 and 2.3'!K118</f>
        <v>2.0067041836585708E-2</v>
      </c>
    </row>
    <row r="119" spans="1:15" x14ac:dyDescent="0.4">
      <c r="A119" s="16">
        <v>43732</v>
      </c>
      <c r="B119" s="14">
        <v>133.5</v>
      </c>
      <c r="C119" s="25">
        <f t="shared" si="6"/>
        <v>-2.0542920029347111E-2</v>
      </c>
      <c r="E119" s="16">
        <v>43732</v>
      </c>
      <c r="F119" s="15">
        <v>9474.75</v>
      </c>
      <c r="G119" s="25">
        <f t="shared" si="7"/>
        <v>-1.2491303522864212E-3</v>
      </c>
      <c r="I119" s="16">
        <v>43732</v>
      </c>
      <c r="J119" s="17">
        <v>5.4100000000000002E-2</v>
      </c>
      <c r="K119" s="25">
        <f t="shared" si="4"/>
        <v>1.443592469549948E-4</v>
      </c>
      <c r="M119" s="16">
        <v>43732</v>
      </c>
      <c r="N119" s="26">
        <f t="shared" si="5"/>
        <v>-1.393489599241416E-3</v>
      </c>
      <c r="O119" s="26">
        <f>'Part 2 - CAPM 2.1, 2.2 and 2.3'!C119-'Part 2 - CAPM 2.1, 2.2 and 2.3'!K119</f>
        <v>-2.0687279276302106E-2</v>
      </c>
    </row>
    <row r="120" spans="1:15" x14ac:dyDescent="0.4">
      <c r="A120" s="16">
        <v>43733</v>
      </c>
      <c r="B120" s="14">
        <v>131.44999999999999</v>
      </c>
      <c r="C120" s="25">
        <f t="shared" si="6"/>
        <v>-1.5355805243445778E-2</v>
      </c>
      <c r="E120" s="16">
        <v>43733</v>
      </c>
      <c r="F120" s="15">
        <v>9344.15</v>
      </c>
      <c r="G120" s="25">
        <f t="shared" si="7"/>
        <v>-1.3784004855009406E-2</v>
      </c>
      <c r="I120" s="16">
        <v>43733</v>
      </c>
      <c r="J120" s="17">
        <v>5.4199999999999998E-2</v>
      </c>
      <c r="K120" s="25">
        <f t="shared" si="4"/>
        <v>1.4461918357611125E-4</v>
      </c>
      <c r="M120" s="16">
        <v>43733</v>
      </c>
      <c r="N120" s="26">
        <f t="shared" si="5"/>
        <v>-1.3928624038585517E-2</v>
      </c>
      <c r="O120" s="26">
        <f>'Part 2 - CAPM 2.1, 2.2 and 2.3'!C120-'Part 2 - CAPM 2.1, 2.2 and 2.3'!K120</f>
        <v>-1.5500424427021889E-2</v>
      </c>
    </row>
    <row r="121" spans="1:15" x14ac:dyDescent="0.4">
      <c r="A121" s="16">
        <v>43734</v>
      </c>
      <c r="B121" s="14">
        <v>137.05000000000001</v>
      </c>
      <c r="C121" s="25">
        <f t="shared" si="6"/>
        <v>4.2601749714720603E-2</v>
      </c>
      <c r="E121" s="16">
        <v>43734</v>
      </c>
      <c r="F121" s="15">
        <v>9443.7999999999993</v>
      </c>
      <c r="G121" s="25">
        <f t="shared" si="7"/>
        <v>1.0664426405826067E-2</v>
      </c>
      <c r="I121" s="16">
        <v>43734</v>
      </c>
      <c r="J121" s="17">
        <v>5.4100000000000002E-2</v>
      </c>
      <c r="K121" s="25">
        <f t="shared" si="4"/>
        <v>1.443592469549948E-4</v>
      </c>
      <c r="M121" s="16">
        <v>43734</v>
      </c>
      <c r="N121" s="26">
        <f t="shared" si="5"/>
        <v>1.0520067158871072E-2</v>
      </c>
      <c r="O121" s="26">
        <f>'Part 2 - CAPM 2.1, 2.2 and 2.3'!C121-'Part 2 - CAPM 2.1, 2.2 and 2.3'!K121</f>
        <v>4.2457390467765609E-2</v>
      </c>
    </row>
    <row r="122" spans="1:15" x14ac:dyDescent="0.4">
      <c r="A122" s="16">
        <v>43735</v>
      </c>
      <c r="B122" s="14">
        <v>131.5</v>
      </c>
      <c r="C122" s="25">
        <f t="shared" si="6"/>
        <v>-4.0496169281284279E-2</v>
      </c>
      <c r="E122" s="16">
        <v>43735</v>
      </c>
      <c r="F122" s="15">
        <v>9395.6</v>
      </c>
      <c r="G122" s="25">
        <f t="shared" si="7"/>
        <v>-5.1038776763589772E-3</v>
      </c>
      <c r="I122" s="16">
        <v>43735</v>
      </c>
      <c r="J122" s="17">
        <v>5.4100000000000002E-2</v>
      </c>
      <c r="K122" s="25">
        <f t="shared" si="4"/>
        <v>1.443592469549948E-4</v>
      </c>
      <c r="M122" s="16">
        <v>43735</v>
      </c>
      <c r="N122" s="26">
        <f t="shared" si="5"/>
        <v>-5.248236923313972E-3</v>
      </c>
      <c r="O122" s="26">
        <f>'Part 2 - CAPM 2.1, 2.2 and 2.3'!C122-'Part 2 - CAPM 2.1, 2.2 and 2.3'!K122</f>
        <v>-4.0640528528239274E-2</v>
      </c>
    </row>
    <row r="123" spans="1:15" x14ac:dyDescent="0.4">
      <c r="A123" s="16">
        <v>43738</v>
      </c>
      <c r="B123" s="14">
        <v>131.80000000000001</v>
      </c>
      <c r="C123" s="25">
        <f t="shared" si="6"/>
        <v>2.281368821292862E-3</v>
      </c>
      <c r="E123" s="16">
        <v>43738</v>
      </c>
      <c r="F123" s="15">
        <v>9340.9</v>
      </c>
      <c r="G123" s="25">
        <f t="shared" si="7"/>
        <v>-5.821874068713092E-3</v>
      </c>
      <c r="I123" s="16">
        <v>43738</v>
      </c>
      <c r="J123" s="17">
        <v>5.3399999999999996E-2</v>
      </c>
      <c r="K123" s="25">
        <f t="shared" si="4"/>
        <v>1.4253900173777367E-4</v>
      </c>
      <c r="M123" s="16">
        <v>43738</v>
      </c>
      <c r="N123" s="26">
        <f t="shared" si="5"/>
        <v>-5.9644130704508656E-3</v>
      </c>
      <c r="O123" s="26">
        <f>'Part 2 - CAPM 2.1, 2.2 and 2.3'!C123-'Part 2 - CAPM 2.1, 2.2 and 2.3'!K123</f>
        <v>2.1388298195550884E-3</v>
      </c>
    </row>
    <row r="124" spans="1:15" x14ac:dyDescent="0.4">
      <c r="A124" s="16">
        <v>43739</v>
      </c>
      <c r="B124" s="14">
        <v>128.19999999999999</v>
      </c>
      <c r="C124" s="25">
        <f t="shared" si="6"/>
        <v>-2.7314112291350702E-2</v>
      </c>
      <c r="E124" s="16">
        <v>43739</v>
      </c>
      <c r="F124" s="15">
        <v>9236.4</v>
      </c>
      <c r="G124" s="25">
        <f t="shared" si="7"/>
        <v>-1.1187358819813937E-2</v>
      </c>
      <c r="I124" s="16">
        <v>43739</v>
      </c>
      <c r="J124" s="17">
        <v>5.2999999999999999E-2</v>
      </c>
      <c r="K124" s="25">
        <f t="shared" si="4"/>
        <v>1.4149831994814122E-4</v>
      </c>
      <c r="M124" s="16">
        <v>43739</v>
      </c>
      <c r="N124" s="26">
        <f t="shared" si="5"/>
        <v>-1.1328857139762078E-2</v>
      </c>
      <c r="O124" s="26">
        <f>'Part 2 - CAPM 2.1, 2.2 and 2.3'!C124-'Part 2 - CAPM 2.1, 2.2 and 2.3'!K124</f>
        <v>-2.7455610611298843E-2</v>
      </c>
    </row>
    <row r="125" spans="1:15" x14ac:dyDescent="0.4">
      <c r="A125" s="16">
        <v>43741</v>
      </c>
      <c r="B125" s="14">
        <v>128.1</v>
      </c>
      <c r="C125" s="25">
        <f t="shared" si="6"/>
        <v>-7.8003120124800561E-4</v>
      </c>
      <c r="E125" s="16">
        <v>43741</v>
      </c>
      <c r="F125" s="15">
        <v>9198.4</v>
      </c>
      <c r="G125" s="25">
        <f t="shared" si="7"/>
        <v>-4.1141570308778318E-3</v>
      </c>
      <c r="I125" s="16">
        <v>43741</v>
      </c>
      <c r="J125" s="17">
        <v>5.2499999999999998E-2</v>
      </c>
      <c r="K125" s="25">
        <f t="shared" si="4"/>
        <v>1.4019691317401772E-4</v>
      </c>
      <c r="M125" s="16">
        <v>43741</v>
      </c>
      <c r="N125" s="26">
        <f t="shared" si="5"/>
        <v>-4.2543539440518495E-3</v>
      </c>
      <c r="O125" s="26">
        <f>'Part 2 - CAPM 2.1, 2.2 and 2.3'!C125-'Part 2 - CAPM 2.1, 2.2 and 2.3'!K125</f>
        <v>-9.2022811442202333E-4</v>
      </c>
    </row>
    <row r="126" spans="1:15" x14ac:dyDescent="0.4">
      <c r="A126" s="16">
        <v>43742</v>
      </c>
      <c r="B126" s="14">
        <v>129.55000000000001</v>
      </c>
      <c r="C126" s="25">
        <f t="shared" si="6"/>
        <v>1.1319281811085224E-2</v>
      </c>
      <c r="E126" s="16">
        <v>43742</v>
      </c>
      <c r="F126" s="15">
        <v>9091.65</v>
      </c>
      <c r="G126" s="25">
        <f t="shared" si="7"/>
        <v>-1.1605279178987651E-2</v>
      </c>
      <c r="I126" s="16">
        <v>43742</v>
      </c>
      <c r="J126" s="17">
        <v>5.2400000000000002E-2</v>
      </c>
      <c r="K126" s="25">
        <f t="shared" si="4"/>
        <v>1.3993655783428594E-4</v>
      </c>
      <c r="M126" s="16">
        <v>43742</v>
      </c>
      <c r="N126" s="26">
        <f t="shared" si="5"/>
        <v>-1.1745215736821937E-2</v>
      </c>
      <c r="O126" s="26">
        <f>'Part 2 - CAPM 2.1, 2.2 and 2.3'!C126-'Part 2 - CAPM 2.1, 2.2 and 2.3'!K126</f>
        <v>1.1179345253250938E-2</v>
      </c>
    </row>
    <row r="127" spans="1:15" x14ac:dyDescent="0.4">
      <c r="A127" s="16">
        <v>43745</v>
      </c>
      <c r="B127" s="14">
        <v>126.55</v>
      </c>
      <c r="C127" s="25">
        <f t="shared" si="6"/>
        <v>-2.3157082207641944E-2</v>
      </c>
      <c r="E127" s="16">
        <v>43745</v>
      </c>
      <c r="F127" s="15">
        <v>9040.65</v>
      </c>
      <c r="G127" s="25">
        <f t="shared" si="7"/>
        <v>-5.6095428222599861E-3</v>
      </c>
      <c r="I127" s="16">
        <v>43745</v>
      </c>
      <c r="J127" s="17">
        <v>5.1799999999999999E-2</v>
      </c>
      <c r="K127" s="25">
        <f t="shared" si="4"/>
        <v>1.3837390750692791E-4</v>
      </c>
      <c r="M127" s="16">
        <v>43745</v>
      </c>
      <c r="N127" s="26">
        <f t="shared" si="5"/>
        <v>-5.747916729766914E-3</v>
      </c>
      <c r="O127" s="26">
        <f>'Part 2 - CAPM 2.1, 2.2 and 2.3'!C127-'Part 2 - CAPM 2.1, 2.2 and 2.3'!K127</f>
        <v>-2.3295456115148872E-2</v>
      </c>
    </row>
    <row r="128" spans="1:15" x14ac:dyDescent="0.4">
      <c r="A128" s="16">
        <v>43747</v>
      </c>
      <c r="B128" s="14">
        <v>125.85</v>
      </c>
      <c r="C128" s="25">
        <f t="shared" si="6"/>
        <v>-5.5314105096799905E-3</v>
      </c>
      <c r="E128" s="16">
        <v>43747</v>
      </c>
      <c r="F128" s="15">
        <v>9177.9500000000007</v>
      </c>
      <c r="G128" s="25">
        <f t="shared" si="7"/>
        <v>1.5186961114521754E-2</v>
      </c>
      <c r="I128" s="16">
        <v>43747</v>
      </c>
      <c r="J128" s="17">
        <v>5.2300000000000006E-2</v>
      </c>
      <c r="K128" s="25">
        <f t="shared" si="4"/>
        <v>1.3967617782184583E-4</v>
      </c>
      <c r="M128" s="16">
        <v>43747</v>
      </c>
      <c r="N128" s="26">
        <f t="shared" si="5"/>
        <v>1.5047284936699908E-2</v>
      </c>
      <c r="O128" s="26">
        <f>'Part 2 - CAPM 2.1, 2.2 and 2.3'!C128-'Part 2 - CAPM 2.1, 2.2 and 2.3'!K128</f>
        <v>-5.6710866875018364E-3</v>
      </c>
    </row>
    <row r="129" spans="1:15" x14ac:dyDescent="0.4">
      <c r="A129" s="16">
        <v>43748</v>
      </c>
      <c r="B129" s="14">
        <v>125.5</v>
      </c>
      <c r="C129" s="25">
        <f t="shared" si="6"/>
        <v>-2.7810885975367051E-3</v>
      </c>
      <c r="E129" s="16">
        <v>43748</v>
      </c>
      <c r="F129" s="15">
        <v>9112.75</v>
      </c>
      <c r="G129" s="25">
        <f t="shared" si="7"/>
        <v>-7.1039829155749076E-3</v>
      </c>
      <c r="I129" s="16">
        <v>43748</v>
      </c>
      <c r="J129" s="17">
        <v>5.1900000000000002E-2</v>
      </c>
      <c r="K129" s="25">
        <f t="shared" si="4"/>
        <v>1.3863441095263163E-4</v>
      </c>
      <c r="M129" s="16">
        <v>43748</v>
      </c>
      <c r="N129" s="26">
        <f t="shared" si="5"/>
        <v>-7.2426173265275392E-3</v>
      </c>
      <c r="O129" s="26">
        <f>'Part 2 - CAPM 2.1, 2.2 and 2.3'!C129-'Part 2 - CAPM 2.1, 2.2 and 2.3'!K129</f>
        <v>-2.9197230084893368E-3</v>
      </c>
    </row>
    <row r="130" spans="1:15" x14ac:dyDescent="0.4">
      <c r="A130" s="16">
        <v>43749</v>
      </c>
      <c r="B130" s="14">
        <v>129</v>
      </c>
      <c r="C130" s="25">
        <f t="shared" si="6"/>
        <v>2.7888446215139442E-2</v>
      </c>
      <c r="E130" s="16">
        <v>43749</v>
      </c>
      <c r="F130" s="15">
        <v>9161.4</v>
      </c>
      <c r="G130" s="25">
        <f t="shared" si="7"/>
        <v>5.3386738361087087E-3</v>
      </c>
      <c r="I130" s="16">
        <v>43749</v>
      </c>
      <c r="J130" s="17">
        <v>5.2000000000000005E-2</v>
      </c>
      <c r="K130" s="25">
        <f t="shared" si="4"/>
        <v>1.388948897020903E-4</v>
      </c>
      <c r="M130" s="16">
        <v>43749</v>
      </c>
      <c r="N130" s="26">
        <f t="shared" si="5"/>
        <v>5.1997789464066184E-3</v>
      </c>
      <c r="O130" s="26">
        <f>'Part 2 - CAPM 2.1, 2.2 and 2.3'!C130-'Part 2 - CAPM 2.1, 2.2 and 2.3'!K130</f>
        <v>2.7749551325437351E-2</v>
      </c>
    </row>
    <row r="131" spans="1:15" x14ac:dyDescent="0.4">
      <c r="A131" s="16">
        <v>43752</v>
      </c>
      <c r="B131" s="14">
        <v>135.25</v>
      </c>
      <c r="C131" s="25">
        <f t="shared" si="6"/>
        <v>4.8449612403100778E-2</v>
      </c>
      <c r="E131" s="16">
        <v>43752</v>
      </c>
      <c r="F131" s="15">
        <v>9192.65</v>
      </c>
      <c r="G131" s="25">
        <f t="shared" si="7"/>
        <v>3.411050712773157E-3</v>
      </c>
      <c r="I131" s="16">
        <v>43752</v>
      </c>
      <c r="J131" s="17">
        <v>5.16E-2</v>
      </c>
      <c r="K131" s="25">
        <f t="shared" si="4"/>
        <v>1.3785282650879971E-4</v>
      </c>
      <c r="M131" s="16">
        <v>43752</v>
      </c>
      <c r="N131" s="26">
        <f t="shared" si="5"/>
        <v>3.2731978862643573E-3</v>
      </c>
      <c r="O131" s="26">
        <f>'Part 2 - CAPM 2.1, 2.2 and 2.3'!C131-'Part 2 - CAPM 2.1, 2.2 and 2.3'!K131</f>
        <v>4.8311759576591978E-2</v>
      </c>
    </row>
    <row r="132" spans="1:15" x14ac:dyDescent="0.4">
      <c r="A132" s="16">
        <v>43753</v>
      </c>
      <c r="B132" s="14">
        <v>138.65</v>
      </c>
      <c r="C132" s="25">
        <f t="shared" si="6"/>
        <v>2.5138632162661781E-2</v>
      </c>
      <c r="E132" s="16">
        <v>43753</v>
      </c>
      <c r="F132" s="15">
        <v>9253.85</v>
      </c>
      <c r="G132" s="25">
        <f t="shared" si="7"/>
        <v>6.6574926707751005E-3</v>
      </c>
      <c r="I132" s="16">
        <v>43753</v>
      </c>
      <c r="J132" s="17">
        <v>5.1299999999999998E-2</v>
      </c>
      <c r="K132" s="25">
        <f t="shared" ref="K132:K195" si="8">((1+J132)^(1/365))-1</f>
        <v>1.3707101967419533E-4</v>
      </c>
      <c r="M132" s="16">
        <v>43753</v>
      </c>
      <c r="N132" s="26">
        <f t="shared" ref="N132:N195" si="9">G132-K132</f>
        <v>6.5204216511009052E-3</v>
      </c>
      <c r="O132" s="26">
        <f>'Part 2 - CAPM 2.1, 2.2 and 2.3'!C132-'Part 2 - CAPM 2.1, 2.2 and 2.3'!K132</f>
        <v>2.5001561142987586E-2</v>
      </c>
    </row>
    <row r="133" spans="1:15" x14ac:dyDescent="0.4">
      <c r="A133" s="16">
        <v>43754</v>
      </c>
      <c r="B133" s="14">
        <v>141.65</v>
      </c>
      <c r="C133" s="25">
        <f t="shared" ref="C133:C196" si="10">(B133-B132)/B132</f>
        <v>2.1637216011539846E-2</v>
      </c>
      <c r="E133" s="16">
        <v>43754</v>
      </c>
      <c r="F133" s="15">
        <v>9281.85</v>
      </c>
      <c r="G133" s="25">
        <f t="shared" ref="G133:G196" si="11">(F133-F132)/F132</f>
        <v>3.0257676534631529E-3</v>
      </c>
      <c r="I133" s="16">
        <v>43754</v>
      </c>
      <c r="J133" s="17">
        <v>5.0799999999999998E-2</v>
      </c>
      <c r="K133" s="25">
        <f t="shared" si="8"/>
        <v>1.3576751373700624E-4</v>
      </c>
      <c r="M133" s="16">
        <v>43754</v>
      </c>
      <c r="N133" s="26">
        <f t="shared" si="9"/>
        <v>2.8900001397261467E-3</v>
      </c>
      <c r="O133" s="26">
        <f>'Part 2 - CAPM 2.1, 2.2 and 2.3'!C133-'Part 2 - CAPM 2.1, 2.2 and 2.3'!K133</f>
        <v>2.150144849780284E-2</v>
      </c>
    </row>
    <row r="134" spans="1:15" x14ac:dyDescent="0.4">
      <c r="A134" s="16">
        <v>43755</v>
      </c>
      <c r="B134" s="14">
        <v>141.4</v>
      </c>
      <c r="C134" s="25">
        <f t="shared" si="10"/>
        <v>-1.7649135192375574E-3</v>
      </c>
      <c r="E134" s="16">
        <v>43755</v>
      </c>
      <c r="F134" s="15">
        <v>9391</v>
      </c>
      <c r="G134" s="25">
        <f t="shared" si="11"/>
        <v>1.1759509149576823E-2</v>
      </c>
      <c r="I134" s="16">
        <v>43755</v>
      </c>
      <c r="J134" s="17">
        <v>5.0799999999999998E-2</v>
      </c>
      <c r="K134" s="25">
        <f t="shared" si="8"/>
        <v>1.3576751373700624E-4</v>
      </c>
      <c r="M134" s="16">
        <v>43755</v>
      </c>
      <c r="N134" s="26">
        <f t="shared" si="9"/>
        <v>1.1623741635839816E-2</v>
      </c>
      <c r="O134" s="26">
        <f>'Part 2 - CAPM 2.1, 2.2 and 2.3'!C134-'Part 2 - CAPM 2.1, 2.2 and 2.3'!K134</f>
        <v>-1.9006810329745636E-3</v>
      </c>
    </row>
    <row r="135" spans="1:15" x14ac:dyDescent="0.4">
      <c r="A135" s="16">
        <v>43756</v>
      </c>
      <c r="B135" s="14">
        <v>143.5</v>
      </c>
      <c r="C135" s="25">
        <f t="shared" si="10"/>
        <v>1.4851485148514811E-2</v>
      </c>
      <c r="E135" s="16">
        <v>43756</v>
      </c>
      <c r="F135" s="15">
        <v>9479.2000000000007</v>
      </c>
      <c r="G135" s="25">
        <f t="shared" si="11"/>
        <v>9.3919710360984704E-3</v>
      </c>
      <c r="I135" s="16">
        <v>43756</v>
      </c>
      <c r="J135" s="17">
        <v>5.0799999999999998E-2</v>
      </c>
      <c r="K135" s="25">
        <f t="shared" si="8"/>
        <v>1.3576751373700624E-4</v>
      </c>
      <c r="M135" s="16">
        <v>43756</v>
      </c>
      <c r="N135" s="26">
        <f t="shared" si="9"/>
        <v>9.2562035223614642E-3</v>
      </c>
      <c r="O135" s="26">
        <f>'Part 2 - CAPM 2.1, 2.2 and 2.3'!C135-'Part 2 - CAPM 2.1, 2.2 and 2.3'!K135</f>
        <v>1.4715717634777805E-2</v>
      </c>
    </row>
    <row r="136" spans="1:15" x14ac:dyDescent="0.4">
      <c r="A136" s="16">
        <v>43760</v>
      </c>
      <c r="B136" s="14">
        <v>144.25</v>
      </c>
      <c r="C136" s="25">
        <f t="shared" si="10"/>
        <v>5.2264808362369342E-3</v>
      </c>
      <c r="E136" s="16">
        <v>43760</v>
      </c>
      <c r="F136" s="15">
        <v>9448.25</v>
      </c>
      <c r="G136" s="25">
        <f t="shared" si="11"/>
        <v>-3.2650434635835015E-3</v>
      </c>
      <c r="I136" s="16">
        <v>43760</v>
      </c>
      <c r="J136" s="17">
        <v>5.0900000000000001E-2</v>
      </c>
      <c r="K136" s="25">
        <f t="shared" si="8"/>
        <v>1.3602826440117788E-4</v>
      </c>
      <c r="M136" s="16">
        <v>43760</v>
      </c>
      <c r="N136" s="26">
        <f t="shared" si="9"/>
        <v>-3.4010717279846794E-3</v>
      </c>
      <c r="O136" s="26">
        <f>'Part 2 - CAPM 2.1, 2.2 and 2.3'!C136-'Part 2 - CAPM 2.1, 2.2 and 2.3'!K136</f>
        <v>5.0904525718357563E-3</v>
      </c>
    </row>
    <row r="137" spans="1:15" x14ac:dyDescent="0.4">
      <c r="A137" s="16">
        <v>43761</v>
      </c>
      <c r="B137" s="14">
        <v>141.9</v>
      </c>
      <c r="C137" s="25">
        <f t="shared" si="10"/>
        <v>-1.6291161178509494E-2</v>
      </c>
      <c r="E137" s="16">
        <v>43761</v>
      </c>
      <c r="F137" s="15">
        <v>9458.65</v>
      </c>
      <c r="G137" s="25">
        <f t="shared" si="11"/>
        <v>1.1007329399623884E-3</v>
      </c>
      <c r="I137" s="16">
        <v>43761</v>
      </c>
      <c r="J137" s="17">
        <v>5.0799999999999998E-2</v>
      </c>
      <c r="K137" s="25">
        <f t="shared" si="8"/>
        <v>1.3576751373700624E-4</v>
      </c>
      <c r="M137" s="16">
        <v>43761</v>
      </c>
      <c r="N137" s="26">
        <f t="shared" si="9"/>
        <v>9.6496542622538217E-4</v>
      </c>
      <c r="O137" s="26">
        <f>'Part 2 - CAPM 2.1, 2.2 and 2.3'!C137-'Part 2 - CAPM 2.1, 2.2 and 2.3'!K137</f>
        <v>-1.64269286922465E-2</v>
      </c>
    </row>
    <row r="138" spans="1:15" x14ac:dyDescent="0.4">
      <c r="A138" s="16">
        <v>43762</v>
      </c>
      <c r="B138" s="14">
        <v>140.69999999999999</v>
      </c>
      <c r="C138" s="25">
        <f t="shared" si="10"/>
        <v>-8.4566596194504372E-3</v>
      </c>
      <c r="E138" s="16">
        <v>43762</v>
      </c>
      <c r="F138" s="15">
        <v>9437.65</v>
      </c>
      <c r="G138" s="25">
        <f t="shared" si="11"/>
        <v>-2.2201899848287017E-3</v>
      </c>
      <c r="I138" s="16">
        <v>43762</v>
      </c>
      <c r="J138" s="17">
        <v>5.0799999999999998E-2</v>
      </c>
      <c r="K138" s="25">
        <f t="shared" si="8"/>
        <v>1.3576751373700624E-4</v>
      </c>
      <c r="M138" s="16">
        <v>43762</v>
      </c>
      <c r="N138" s="26">
        <f t="shared" si="9"/>
        <v>-2.3559574985657079E-3</v>
      </c>
      <c r="O138" s="26">
        <f>'Part 2 - CAPM 2.1, 2.2 and 2.3'!C138-'Part 2 - CAPM 2.1, 2.2 and 2.3'!K138</f>
        <v>-8.5924271331874434E-3</v>
      </c>
    </row>
    <row r="139" spans="1:15" x14ac:dyDescent="0.4">
      <c r="A139" s="16">
        <v>43763</v>
      </c>
      <c r="B139" s="14">
        <v>139.55000000000001</v>
      </c>
      <c r="C139" s="25">
        <f t="shared" si="10"/>
        <v>-8.1734186211796546E-3</v>
      </c>
      <c r="E139" s="16">
        <v>43763</v>
      </c>
      <c r="F139" s="15">
        <v>9431.1</v>
      </c>
      <c r="G139" s="25">
        <f t="shared" si="11"/>
        <v>-6.9402870417945917E-4</v>
      </c>
      <c r="I139" s="16">
        <v>43763</v>
      </c>
      <c r="J139" s="17">
        <v>5.0999999999999997E-2</v>
      </c>
      <c r="K139" s="25">
        <f t="shared" si="8"/>
        <v>1.3628899032203101E-4</v>
      </c>
      <c r="M139" s="16">
        <v>43763</v>
      </c>
      <c r="N139" s="26">
        <f t="shared" si="9"/>
        <v>-8.3031769450149018E-4</v>
      </c>
      <c r="O139" s="26">
        <f>'Part 2 - CAPM 2.1, 2.2 and 2.3'!C139-'Part 2 - CAPM 2.1, 2.2 and 2.3'!K139</f>
        <v>-8.3097076115016856E-3</v>
      </c>
    </row>
    <row r="140" spans="1:15" x14ac:dyDescent="0.4">
      <c r="A140" s="16">
        <v>43767</v>
      </c>
      <c r="B140" s="14">
        <v>142.15</v>
      </c>
      <c r="C140" s="25">
        <f t="shared" si="10"/>
        <v>1.8631314940881362E-2</v>
      </c>
      <c r="E140" s="16">
        <v>43767</v>
      </c>
      <c r="F140" s="15">
        <v>9598.35</v>
      </c>
      <c r="G140" s="25">
        <f t="shared" si="11"/>
        <v>1.7733880459331362E-2</v>
      </c>
      <c r="I140" s="16">
        <v>43767</v>
      </c>
      <c r="J140" s="17">
        <v>5.0900000000000001E-2</v>
      </c>
      <c r="K140" s="25">
        <f t="shared" si="8"/>
        <v>1.3602826440117788E-4</v>
      </c>
      <c r="M140" s="16">
        <v>43767</v>
      </c>
      <c r="N140" s="26">
        <f t="shared" si="9"/>
        <v>1.7597852194930184E-2</v>
      </c>
      <c r="O140" s="26">
        <f>'Part 2 - CAPM 2.1, 2.2 and 2.3'!C140-'Part 2 - CAPM 2.1, 2.2 and 2.3'!K140</f>
        <v>1.8495286676480184E-2</v>
      </c>
    </row>
    <row r="141" spans="1:15" x14ac:dyDescent="0.4">
      <c r="A141" s="16">
        <v>43768</v>
      </c>
      <c r="B141" s="14">
        <v>140.55000000000001</v>
      </c>
      <c r="C141" s="25">
        <f t="shared" si="10"/>
        <v>-1.1255715793176182E-2</v>
      </c>
      <c r="E141" s="16">
        <v>43768</v>
      </c>
      <c r="F141" s="15">
        <v>9647.5499999999993</v>
      </c>
      <c r="G141" s="25">
        <f t="shared" si="11"/>
        <v>5.1258810107986169E-3</v>
      </c>
      <c r="I141" s="16">
        <v>43768</v>
      </c>
      <c r="J141" s="17">
        <v>5.0700000000000002E-2</v>
      </c>
      <c r="K141" s="25">
        <f t="shared" si="8"/>
        <v>1.3550673832551929E-4</v>
      </c>
      <c r="M141" s="16">
        <v>43768</v>
      </c>
      <c r="N141" s="26">
        <f t="shared" si="9"/>
        <v>4.9903742724730976E-3</v>
      </c>
      <c r="O141" s="26">
        <f>'Part 2 - CAPM 2.1, 2.2 and 2.3'!C141-'Part 2 - CAPM 2.1, 2.2 and 2.3'!K141</f>
        <v>-1.1391222531501701E-2</v>
      </c>
    </row>
    <row r="142" spans="1:15" x14ac:dyDescent="0.4">
      <c r="A142" s="16">
        <v>43769</v>
      </c>
      <c r="B142" s="14">
        <v>141.69999999999999</v>
      </c>
      <c r="C142" s="25">
        <f t="shared" si="10"/>
        <v>8.1821415866238142E-3</v>
      </c>
      <c r="E142" s="16">
        <v>43769</v>
      </c>
      <c r="F142" s="15">
        <v>9689.65</v>
      </c>
      <c r="G142" s="25">
        <f t="shared" si="11"/>
        <v>4.3638022088509894E-3</v>
      </c>
      <c r="I142" s="16">
        <v>43769</v>
      </c>
      <c r="J142" s="17">
        <v>5.0499999999999996E-2</v>
      </c>
      <c r="K142" s="25">
        <f t="shared" si="8"/>
        <v>1.3498511324017137E-4</v>
      </c>
      <c r="M142" s="16">
        <v>43769</v>
      </c>
      <c r="N142" s="26">
        <f t="shared" si="9"/>
        <v>4.228817095610818E-3</v>
      </c>
      <c r="O142" s="26">
        <f>'Part 2 - CAPM 2.1, 2.2 and 2.3'!C142-'Part 2 - CAPM 2.1, 2.2 and 2.3'!K142</f>
        <v>8.0471564733836428E-3</v>
      </c>
    </row>
    <row r="143" spans="1:15" x14ac:dyDescent="0.4">
      <c r="A143" s="16">
        <v>43770</v>
      </c>
      <c r="B143" s="14">
        <v>144.15</v>
      </c>
      <c r="C143" s="25">
        <f t="shared" si="10"/>
        <v>1.7290049400141266E-2</v>
      </c>
      <c r="E143" s="16">
        <v>43770</v>
      </c>
      <c r="F143" s="15">
        <v>9704</v>
      </c>
      <c r="G143" s="25">
        <f t="shared" si="11"/>
        <v>1.480961644641485E-3</v>
      </c>
      <c r="I143" s="16">
        <v>43770</v>
      </c>
      <c r="J143" s="17">
        <v>5.04E-2</v>
      </c>
      <c r="K143" s="25">
        <f t="shared" si="8"/>
        <v>1.3472426355742861E-4</v>
      </c>
      <c r="M143" s="16">
        <v>43770</v>
      </c>
      <c r="N143" s="26">
        <f t="shared" si="9"/>
        <v>1.3462373810840564E-3</v>
      </c>
      <c r="O143" s="26">
        <f>'Part 2 - CAPM 2.1, 2.2 and 2.3'!C143-'Part 2 - CAPM 2.1, 2.2 and 2.3'!K143</f>
        <v>1.7155325136583837E-2</v>
      </c>
    </row>
    <row r="144" spans="1:15" x14ac:dyDescent="0.4">
      <c r="A144" s="16">
        <v>43773</v>
      </c>
      <c r="B144" s="14">
        <v>147.4</v>
      </c>
      <c r="C144" s="25">
        <f t="shared" si="10"/>
        <v>2.2545959070412763E-2</v>
      </c>
      <c r="E144" s="16">
        <v>43773</v>
      </c>
      <c r="F144" s="15">
        <v>9732.4</v>
      </c>
      <c r="G144" s="25">
        <f t="shared" si="11"/>
        <v>2.9266281945589073E-3</v>
      </c>
      <c r="I144" s="16">
        <v>43773</v>
      </c>
      <c r="J144" s="17">
        <v>5.04E-2</v>
      </c>
      <c r="K144" s="25">
        <f t="shared" si="8"/>
        <v>1.3472426355742861E-4</v>
      </c>
      <c r="M144" s="16">
        <v>43773</v>
      </c>
      <c r="N144" s="26">
        <f t="shared" si="9"/>
        <v>2.7919039310014787E-3</v>
      </c>
      <c r="O144" s="26">
        <f>'Part 2 - CAPM 2.1, 2.2 and 2.3'!C144-'Part 2 - CAPM 2.1, 2.2 and 2.3'!K144</f>
        <v>2.2411234806855335E-2</v>
      </c>
    </row>
    <row r="145" spans="1:15" x14ac:dyDescent="0.4">
      <c r="A145" s="16">
        <v>43774</v>
      </c>
      <c r="B145" s="14">
        <v>146.35</v>
      </c>
      <c r="C145" s="25">
        <f t="shared" si="10"/>
        <v>-7.123473541384066E-3</v>
      </c>
      <c r="E145" s="16">
        <v>43774</v>
      </c>
      <c r="F145" s="15">
        <v>9694.0499999999993</v>
      </c>
      <c r="G145" s="25">
        <f t="shared" si="11"/>
        <v>-3.940446344170026E-3</v>
      </c>
      <c r="I145" s="16">
        <v>43774</v>
      </c>
      <c r="J145" s="17">
        <v>5.04E-2</v>
      </c>
      <c r="K145" s="25">
        <f t="shared" si="8"/>
        <v>1.3472426355742861E-4</v>
      </c>
      <c r="M145" s="16">
        <v>43774</v>
      </c>
      <c r="N145" s="26">
        <f t="shared" si="9"/>
        <v>-4.0751706077274547E-3</v>
      </c>
      <c r="O145" s="26">
        <f>'Part 2 - CAPM 2.1, 2.2 and 2.3'!C145-'Part 2 - CAPM 2.1, 2.2 and 2.3'!K145</f>
        <v>-7.2581978049414946E-3</v>
      </c>
    </row>
    <row r="146" spans="1:15" x14ac:dyDescent="0.4">
      <c r="A146" s="16">
        <v>43775</v>
      </c>
      <c r="B146" s="14">
        <v>144.65</v>
      </c>
      <c r="C146" s="25">
        <f t="shared" si="10"/>
        <v>-1.1615989067304331E-2</v>
      </c>
      <c r="E146" s="16">
        <v>43775</v>
      </c>
      <c r="F146" s="15">
        <v>9721.35</v>
      </c>
      <c r="G146" s="25">
        <f t="shared" si="11"/>
        <v>2.8161604283040726E-3</v>
      </c>
      <c r="I146" s="16">
        <v>43775</v>
      </c>
      <c r="J146" s="17">
        <v>5.04E-2</v>
      </c>
      <c r="K146" s="25">
        <f t="shared" si="8"/>
        <v>1.3472426355742861E-4</v>
      </c>
      <c r="M146" s="16">
        <v>43775</v>
      </c>
      <c r="N146" s="26">
        <f t="shared" si="9"/>
        <v>2.681436164746644E-3</v>
      </c>
      <c r="O146" s="26">
        <f>'Part 2 - CAPM 2.1, 2.2 and 2.3'!C146-'Part 2 - CAPM 2.1, 2.2 and 2.3'!K146</f>
        <v>-1.1750713330861759E-2</v>
      </c>
    </row>
    <row r="147" spans="1:15" x14ac:dyDescent="0.4">
      <c r="A147" s="16">
        <v>43776</v>
      </c>
      <c r="B147" s="14">
        <v>142.05000000000001</v>
      </c>
      <c r="C147" s="25">
        <f t="shared" si="10"/>
        <v>-1.7974421016246071E-2</v>
      </c>
      <c r="E147" s="16">
        <v>43776</v>
      </c>
      <c r="F147" s="15">
        <v>9764.2999999999993</v>
      </c>
      <c r="G147" s="25">
        <f t="shared" si="11"/>
        <v>4.4181106533556459E-3</v>
      </c>
      <c r="I147" s="16">
        <v>43776</v>
      </c>
      <c r="J147" s="17">
        <v>5.0499999999999996E-2</v>
      </c>
      <c r="K147" s="25">
        <f t="shared" si="8"/>
        <v>1.3498511324017137E-4</v>
      </c>
      <c r="M147" s="16">
        <v>43776</v>
      </c>
      <c r="N147" s="26">
        <f t="shared" si="9"/>
        <v>4.2831255401154745E-3</v>
      </c>
      <c r="O147" s="26">
        <f>'Part 2 - CAPM 2.1, 2.2 and 2.3'!C147-'Part 2 - CAPM 2.1, 2.2 and 2.3'!K147</f>
        <v>-1.8109406129486243E-2</v>
      </c>
    </row>
    <row r="148" spans="1:15" x14ac:dyDescent="0.4">
      <c r="A148" s="16">
        <v>43777</v>
      </c>
      <c r="B148" s="14">
        <v>138.30000000000001</v>
      </c>
      <c r="C148" s="25">
        <f t="shared" si="10"/>
        <v>-2.6399155227032733E-2</v>
      </c>
      <c r="E148" s="16">
        <v>43777</v>
      </c>
      <c r="F148" s="15">
        <v>9683.2999999999993</v>
      </c>
      <c r="G148" s="25">
        <f t="shared" si="11"/>
        <v>-8.2955255369048485E-3</v>
      </c>
      <c r="I148" s="16">
        <v>43777</v>
      </c>
      <c r="J148" s="17">
        <v>5.0799999999999998E-2</v>
      </c>
      <c r="K148" s="25">
        <f t="shared" si="8"/>
        <v>1.3576751373700624E-4</v>
      </c>
      <c r="M148" s="16">
        <v>43777</v>
      </c>
      <c r="N148" s="26">
        <f t="shared" si="9"/>
        <v>-8.4312930506418547E-3</v>
      </c>
      <c r="O148" s="26">
        <f>'Part 2 - CAPM 2.1, 2.2 and 2.3'!C148-'Part 2 - CAPM 2.1, 2.2 and 2.3'!K148</f>
        <v>-2.653492274076974E-2</v>
      </c>
    </row>
    <row r="149" spans="1:15" x14ac:dyDescent="0.4">
      <c r="A149" s="16">
        <v>43780</v>
      </c>
      <c r="B149" s="14">
        <v>139.1</v>
      </c>
      <c r="C149" s="25">
        <f t="shared" si="10"/>
        <v>5.7845263919015389E-3</v>
      </c>
      <c r="E149" s="16">
        <v>43780</v>
      </c>
      <c r="F149" s="15">
        <v>9695.85</v>
      </c>
      <c r="G149" s="25">
        <f t="shared" si="11"/>
        <v>1.296045769520834E-3</v>
      </c>
      <c r="I149" s="16">
        <v>43780</v>
      </c>
      <c r="J149" s="17">
        <v>5.0799999999999998E-2</v>
      </c>
      <c r="K149" s="25">
        <f t="shared" si="8"/>
        <v>1.3576751373700624E-4</v>
      </c>
      <c r="M149" s="16">
        <v>43780</v>
      </c>
      <c r="N149" s="26">
        <f t="shared" si="9"/>
        <v>1.1602782557838278E-3</v>
      </c>
      <c r="O149" s="26">
        <f>'Part 2 - CAPM 2.1, 2.2 and 2.3'!C149-'Part 2 - CAPM 2.1, 2.2 and 2.3'!K149</f>
        <v>5.6487588781645327E-3</v>
      </c>
    </row>
    <row r="150" spans="1:15" x14ac:dyDescent="0.4">
      <c r="A150" s="16">
        <v>43782</v>
      </c>
      <c r="B150" s="14">
        <v>138.19999999999999</v>
      </c>
      <c r="C150" s="25">
        <f t="shared" si="10"/>
        <v>-6.4701653486700624E-3</v>
      </c>
      <c r="E150" s="16">
        <v>43782</v>
      </c>
      <c r="F150" s="15">
        <v>9633.9500000000007</v>
      </c>
      <c r="G150" s="25">
        <f t="shared" si="11"/>
        <v>-6.3841746726691967E-3</v>
      </c>
      <c r="I150" s="16">
        <v>43782</v>
      </c>
      <c r="J150" s="17">
        <v>5.0799999999999998E-2</v>
      </c>
      <c r="K150" s="25">
        <f t="shared" si="8"/>
        <v>1.3576751373700624E-4</v>
      </c>
      <c r="M150" s="16">
        <v>43782</v>
      </c>
      <c r="N150" s="26">
        <f t="shared" si="9"/>
        <v>-6.5199421864062029E-3</v>
      </c>
      <c r="O150" s="26">
        <f>'Part 2 - CAPM 2.1, 2.2 and 2.3'!C150-'Part 2 - CAPM 2.1, 2.2 and 2.3'!K150</f>
        <v>-6.6059328624070686E-3</v>
      </c>
    </row>
    <row r="151" spans="1:15" x14ac:dyDescent="0.4">
      <c r="A151" s="16">
        <v>43783</v>
      </c>
      <c r="B151" s="14">
        <v>136.19999999999999</v>
      </c>
      <c r="C151" s="25">
        <f t="shared" si="10"/>
        <v>-1.4471780028943561E-2</v>
      </c>
      <c r="E151" s="16">
        <v>43783</v>
      </c>
      <c r="F151" s="15">
        <v>9650.4</v>
      </c>
      <c r="G151" s="25">
        <f t="shared" si="11"/>
        <v>1.7075031529122434E-3</v>
      </c>
      <c r="I151" s="16">
        <v>43783</v>
      </c>
      <c r="J151" s="17">
        <v>5.0700000000000002E-2</v>
      </c>
      <c r="K151" s="25">
        <f t="shared" si="8"/>
        <v>1.3550673832551929E-4</v>
      </c>
      <c r="M151" s="16">
        <v>43783</v>
      </c>
      <c r="N151" s="26">
        <f t="shared" si="9"/>
        <v>1.5719964145867241E-3</v>
      </c>
      <c r="O151" s="26">
        <f>'Part 2 - CAPM 2.1, 2.2 and 2.3'!C151-'Part 2 - CAPM 2.1, 2.2 and 2.3'!K151</f>
        <v>-1.460728676726908E-2</v>
      </c>
    </row>
    <row r="152" spans="1:15" x14ac:dyDescent="0.4">
      <c r="A152" s="16">
        <v>43784</v>
      </c>
      <c r="B152" s="14">
        <v>135.55000000000001</v>
      </c>
      <c r="C152" s="25">
        <f t="shared" si="10"/>
        <v>-4.772393538913196E-3</v>
      </c>
      <c r="E152" s="16">
        <v>43784</v>
      </c>
      <c r="F152" s="15">
        <v>9667.2999999999993</v>
      </c>
      <c r="G152" s="25">
        <f t="shared" si="11"/>
        <v>1.7512227472435999E-3</v>
      </c>
      <c r="I152" s="16">
        <v>43784</v>
      </c>
      <c r="J152" s="17">
        <v>5.0599999999999999E-2</v>
      </c>
      <c r="K152" s="25">
        <f t="shared" si="8"/>
        <v>1.3524593816138797E-4</v>
      </c>
      <c r="M152" s="16">
        <v>43784</v>
      </c>
      <c r="N152" s="26">
        <f t="shared" si="9"/>
        <v>1.6159768090822119E-3</v>
      </c>
      <c r="O152" s="26">
        <f>'Part 2 - CAPM 2.1, 2.2 and 2.3'!C152-'Part 2 - CAPM 2.1, 2.2 and 2.3'!K152</f>
        <v>-4.9076394770745839E-3</v>
      </c>
    </row>
    <row r="153" spans="1:15" x14ac:dyDescent="0.4">
      <c r="A153" s="16">
        <v>43787</v>
      </c>
      <c r="B153" s="14">
        <v>133.9</v>
      </c>
      <c r="C153" s="25">
        <f t="shared" si="10"/>
        <v>-1.2172630025820771E-2</v>
      </c>
      <c r="E153" s="16">
        <v>43787</v>
      </c>
      <c r="F153" s="15">
        <v>9668.6</v>
      </c>
      <c r="G153" s="25">
        <f t="shared" si="11"/>
        <v>1.3447394825867527E-4</v>
      </c>
      <c r="I153" s="16">
        <v>43787</v>
      </c>
      <c r="J153" s="17">
        <v>5.0700000000000002E-2</v>
      </c>
      <c r="K153" s="25">
        <f t="shared" si="8"/>
        <v>1.3550673832551929E-4</v>
      </c>
      <c r="M153" s="16">
        <v>43787</v>
      </c>
      <c r="N153" s="26">
        <f t="shared" si="9"/>
        <v>-1.032790066844019E-6</v>
      </c>
      <c r="O153" s="26">
        <f>'Part 2 - CAPM 2.1, 2.2 and 2.3'!C153-'Part 2 - CAPM 2.1, 2.2 and 2.3'!K153</f>
        <v>-1.230813676414629E-2</v>
      </c>
    </row>
    <row r="154" spans="1:15" x14ac:dyDescent="0.4">
      <c r="A154" s="16">
        <v>43788</v>
      </c>
      <c r="B154" s="14">
        <v>133.25</v>
      </c>
      <c r="C154" s="25">
        <f t="shared" si="10"/>
        <v>-4.854368932038877E-3</v>
      </c>
      <c r="E154" s="16">
        <v>43788</v>
      </c>
      <c r="F154" s="15">
        <v>9702.15</v>
      </c>
      <c r="G154" s="25">
        <f t="shared" si="11"/>
        <v>3.4699956560411303E-3</v>
      </c>
      <c r="I154" s="16">
        <v>43788</v>
      </c>
      <c r="J154" s="17">
        <v>5.0599999999999999E-2</v>
      </c>
      <c r="K154" s="25">
        <f t="shared" si="8"/>
        <v>1.3524593816138797E-4</v>
      </c>
      <c r="M154" s="16">
        <v>43788</v>
      </c>
      <c r="N154" s="26">
        <f t="shared" si="9"/>
        <v>3.3347497178797423E-3</v>
      </c>
      <c r="O154" s="26">
        <f>'Part 2 - CAPM 2.1, 2.2 and 2.3'!C154-'Part 2 - CAPM 2.1, 2.2 and 2.3'!K154</f>
        <v>-4.989614870200265E-3</v>
      </c>
    </row>
    <row r="155" spans="1:15" x14ac:dyDescent="0.4">
      <c r="A155" s="16">
        <v>43789</v>
      </c>
      <c r="B155" s="14">
        <v>133.69999999999999</v>
      </c>
      <c r="C155" s="25">
        <f t="shared" si="10"/>
        <v>3.3771106941837795E-3</v>
      </c>
      <c r="E155" s="16">
        <v>43789</v>
      </c>
      <c r="F155" s="15">
        <v>9744.9</v>
      </c>
      <c r="G155" s="25">
        <f t="shared" si="11"/>
        <v>4.4062398540529674E-3</v>
      </c>
      <c r="I155" s="16">
        <v>43789</v>
      </c>
      <c r="J155" s="17">
        <v>5.0599999999999999E-2</v>
      </c>
      <c r="K155" s="25">
        <f t="shared" si="8"/>
        <v>1.3524593816138797E-4</v>
      </c>
      <c r="M155" s="16">
        <v>43789</v>
      </c>
      <c r="N155" s="26">
        <f t="shared" si="9"/>
        <v>4.2709939158915794E-3</v>
      </c>
      <c r="O155" s="26">
        <f>'Part 2 - CAPM 2.1, 2.2 and 2.3'!C155-'Part 2 - CAPM 2.1, 2.2 and 2.3'!K155</f>
        <v>3.2418647560223915E-3</v>
      </c>
    </row>
    <row r="156" spans="1:15" x14ac:dyDescent="0.4">
      <c r="A156" s="16">
        <v>43790</v>
      </c>
      <c r="B156" s="14">
        <v>131.15</v>
      </c>
      <c r="C156" s="25">
        <f t="shared" si="10"/>
        <v>-1.9072550486162927E-2</v>
      </c>
      <c r="E156" s="16">
        <v>43790</v>
      </c>
      <c r="F156" s="15">
        <v>9712.35</v>
      </c>
      <c r="G156" s="25">
        <f t="shared" si="11"/>
        <v>-3.3402087245635432E-3</v>
      </c>
      <c r="I156" s="16">
        <v>43790</v>
      </c>
      <c r="J156" s="17">
        <v>5.04E-2</v>
      </c>
      <c r="K156" s="25">
        <f t="shared" si="8"/>
        <v>1.3472426355742861E-4</v>
      </c>
      <c r="M156" s="16">
        <v>43790</v>
      </c>
      <c r="N156" s="26">
        <f t="shared" si="9"/>
        <v>-3.4749329881209718E-3</v>
      </c>
      <c r="O156" s="26">
        <f>'Part 2 - CAPM 2.1, 2.2 and 2.3'!C156-'Part 2 - CAPM 2.1, 2.2 and 2.3'!K156</f>
        <v>-1.9207274749720355E-2</v>
      </c>
    </row>
    <row r="157" spans="1:15" x14ac:dyDescent="0.4">
      <c r="A157" s="16">
        <v>43791</v>
      </c>
      <c r="B157" s="14">
        <v>133.85</v>
      </c>
      <c r="C157" s="25">
        <f t="shared" si="10"/>
        <v>2.058711399161257E-2</v>
      </c>
      <c r="E157" s="16">
        <v>43791</v>
      </c>
      <c r="F157" s="15">
        <v>9679.2999999999993</v>
      </c>
      <c r="G157" s="25">
        <f t="shared" si="11"/>
        <v>-3.4028839570239017E-3</v>
      </c>
      <c r="I157" s="16">
        <v>43791</v>
      </c>
      <c r="J157" s="17">
        <v>5.04E-2</v>
      </c>
      <c r="K157" s="25">
        <f t="shared" si="8"/>
        <v>1.3472426355742861E-4</v>
      </c>
      <c r="M157" s="16">
        <v>43791</v>
      </c>
      <c r="N157" s="26">
        <f t="shared" si="9"/>
        <v>-3.5376082205813304E-3</v>
      </c>
      <c r="O157" s="26">
        <f>'Part 2 - CAPM 2.1, 2.2 and 2.3'!C157-'Part 2 - CAPM 2.1, 2.2 and 2.3'!K157</f>
        <v>2.0452389728055142E-2</v>
      </c>
    </row>
    <row r="158" spans="1:15" x14ac:dyDescent="0.4">
      <c r="A158" s="16">
        <v>43794</v>
      </c>
      <c r="B158" s="14">
        <v>130.94999999999999</v>
      </c>
      <c r="C158" s="25">
        <f t="shared" si="10"/>
        <v>-2.1666044079193172E-2</v>
      </c>
      <c r="E158" s="16">
        <v>43794</v>
      </c>
      <c r="F158" s="15">
        <v>9802.0499999999993</v>
      </c>
      <c r="G158" s="25">
        <f t="shared" si="11"/>
        <v>1.2681702189207899E-2</v>
      </c>
      <c r="I158" s="16">
        <v>43794</v>
      </c>
      <c r="J158" s="17">
        <v>5.04E-2</v>
      </c>
      <c r="K158" s="25">
        <f t="shared" si="8"/>
        <v>1.3472426355742861E-4</v>
      </c>
      <c r="M158" s="16">
        <v>43794</v>
      </c>
      <c r="N158" s="26">
        <f t="shared" si="9"/>
        <v>1.254697792565047E-2</v>
      </c>
      <c r="O158" s="26">
        <f>'Part 2 - CAPM 2.1, 2.2 and 2.3'!C158-'Part 2 - CAPM 2.1, 2.2 and 2.3'!K158</f>
        <v>-2.18007683427506E-2</v>
      </c>
    </row>
    <row r="159" spans="1:15" x14ac:dyDescent="0.4">
      <c r="A159" s="16">
        <v>43795</v>
      </c>
      <c r="B159" s="14">
        <v>130.25</v>
      </c>
      <c r="C159" s="25">
        <f t="shared" si="10"/>
        <v>-5.3455517373042286E-3</v>
      </c>
      <c r="E159" s="16">
        <v>43795</v>
      </c>
      <c r="F159" s="15">
        <v>9762.85</v>
      </c>
      <c r="G159" s="25">
        <f t="shared" si="11"/>
        <v>-3.9991634403006423E-3</v>
      </c>
      <c r="I159" s="16">
        <v>43795</v>
      </c>
      <c r="J159" s="17">
        <v>5.0300000000000004E-2</v>
      </c>
      <c r="K159" s="25">
        <f t="shared" si="8"/>
        <v>1.3446338910783062E-4</v>
      </c>
      <c r="M159" s="16">
        <v>43795</v>
      </c>
      <c r="N159" s="26">
        <f t="shared" si="9"/>
        <v>-4.1336268294084729E-3</v>
      </c>
      <c r="O159" s="26">
        <f>'Part 2 - CAPM 2.1, 2.2 and 2.3'!C159-'Part 2 - CAPM 2.1, 2.2 and 2.3'!K159</f>
        <v>-5.4800151264120592E-3</v>
      </c>
    </row>
    <row r="160" spans="1:15" x14ac:dyDescent="0.4">
      <c r="A160" s="16">
        <v>43796</v>
      </c>
      <c r="B160" s="14">
        <v>132.65</v>
      </c>
      <c r="C160" s="25">
        <f t="shared" si="10"/>
        <v>1.8426103646833059E-2</v>
      </c>
      <c r="E160" s="16">
        <v>43796</v>
      </c>
      <c r="F160" s="15">
        <v>9815.9500000000007</v>
      </c>
      <c r="G160" s="25">
        <f t="shared" si="11"/>
        <v>5.4389855421316888E-3</v>
      </c>
      <c r="I160" s="16">
        <v>43796</v>
      </c>
      <c r="J160" s="17">
        <v>5.0199999999999995E-2</v>
      </c>
      <c r="K160" s="25">
        <f t="shared" si="8"/>
        <v>1.3420248988715855E-4</v>
      </c>
      <c r="M160" s="16">
        <v>43796</v>
      </c>
      <c r="N160" s="26">
        <f t="shared" si="9"/>
        <v>5.3047830522445303E-3</v>
      </c>
      <c r="O160" s="26">
        <f>'Part 2 - CAPM 2.1, 2.2 and 2.3'!C160-'Part 2 - CAPM 2.1, 2.2 and 2.3'!K160</f>
        <v>1.82919011569459E-2</v>
      </c>
    </row>
    <row r="161" spans="1:15" x14ac:dyDescent="0.4">
      <c r="A161" s="16">
        <v>43797</v>
      </c>
      <c r="B161" s="14">
        <v>133.15</v>
      </c>
      <c r="C161" s="25">
        <f t="shared" si="10"/>
        <v>3.7693177534866189E-3</v>
      </c>
      <c r="E161" s="16">
        <v>43797</v>
      </c>
      <c r="F161" s="15">
        <v>9869.75</v>
      </c>
      <c r="G161" s="25">
        <f t="shared" si="11"/>
        <v>5.4808755138320052E-3</v>
      </c>
      <c r="I161" s="16">
        <v>43797</v>
      </c>
      <c r="J161" s="17">
        <v>5.0199999999999995E-2</v>
      </c>
      <c r="K161" s="25">
        <f t="shared" si="8"/>
        <v>1.3420248988715855E-4</v>
      </c>
      <c r="M161" s="16">
        <v>43797</v>
      </c>
      <c r="N161" s="26">
        <f t="shared" si="9"/>
        <v>5.3466730239448467E-3</v>
      </c>
      <c r="O161" s="26">
        <f>'Part 2 - CAPM 2.1, 2.2 and 2.3'!C161-'Part 2 - CAPM 2.1, 2.2 and 2.3'!K161</f>
        <v>3.6351152635994604E-3</v>
      </c>
    </row>
    <row r="162" spans="1:15" x14ac:dyDescent="0.4">
      <c r="A162" s="16">
        <v>43798</v>
      </c>
      <c r="B162" s="14">
        <v>131.75</v>
      </c>
      <c r="C162" s="25">
        <f t="shared" si="10"/>
        <v>-1.0514457378896024E-2</v>
      </c>
      <c r="E162" s="16">
        <v>43798</v>
      </c>
      <c r="F162" s="15">
        <v>9813.65</v>
      </c>
      <c r="G162" s="25">
        <f t="shared" si="11"/>
        <v>-5.6840345500139685E-3</v>
      </c>
      <c r="I162" s="16">
        <v>43798</v>
      </c>
      <c r="J162" s="17">
        <v>4.9100000000000005E-2</v>
      </c>
      <c r="K162" s="25">
        <f t="shared" si="8"/>
        <v>1.3133096221151774E-4</v>
      </c>
      <c r="M162" s="16">
        <v>43798</v>
      </c>
      <c r="N162" s="26">
        <f t="shared" si="9"/>
        <v>-5.8153655122254863E-3</v>
      </c>
      <c r="O162" s="26">
        <f>'Part 2 - CAPM 2.1, 2.2 and 2.3'!C162-'Part 2 - CAPM 2.1, 2.2 and 2.3'!K162</f>
        <v>-1.0645788341107541E-2</v>
      </c>
    </row>
    <row r="163" spans="1:15" x14ac:dyDescent="0.4">
      <c r="A163" s="16">
        <v>43801</v>
      </c>
      <c r="B163" s="14">
        <v>128.1</v>
      </c>
      <c r="C163" s="25">
        <f t="shared" si="10"/>
        <v>-2.7703984819734389E-2</v>
      </c>
      <c r="E163" s="16">
        <v>43801</v>
      </c>
      <c r="F163" s="15">
        <v>9798</v>
      </c>
      <c r="G163" s="25">
        <f t="shared" si="11"/>
        <v>-1.5947175617634251E-3</v>
      </c>
      <c r="I163" s="16">
        <v>43801</v>
      </c>
      <c r="J163" s="17">
        <v>4.9200000000000001E-2</v>
      </c>
      <c r="K163" s="25">
        <f t="shared" si="8"/>
        <v>1.3159213422664351E-4</v>
      </c>
      <c r="M163" s="16">
        <v>43801</v>
      </c>
      <c r="N163" s="26">
        <f t="shared" si="9"/>
        <v>-1.7263096959900686E-3</v>
      </c>
      <c r="O163" s="26">
        <f>'Part 2 - CAPM 2.1, 2.2 and 2.3'!C163-'Part 2 - CAPM 2.1, 2.2 and 2.3'!K163</f>
        <v>-2.7835576953961032E-2</v>
      </c>
    </row>
    <row r="164" spans="1:15" x14ac:dyDescent="0.4">
      <c r="A164" s="16">
        <v>43802</v>
      </c>
      <c r="B164" s="14">
        <v>127.65</v>
      </c>
      <c r="C164" s="25">
        <f t="shared" si="10"/>
        <v>-3.5128805620608015E-3</v>
      </c>
      <c r="E164" s="16">
        <v>43802</v>
      </c>
      <c r="F164" s="15">
        <v>9743.15</v>
      </c>
      <c r="G164" s="25">
        <f t="shared" si="11"/>
        <v>-5.598081241069643E-3</v>
      </c>
      <c r="I164" s="16">
        <v>43802</v>
      </c>
      <c r="J164" s="17">
        <v>4.9200000000000001E-2</v>
      </c>
      <c r="K164" s="25">
        <f t="shared" si="8"/>
        <v>1.3159213422664351E-4</v>
      </c>
      <c r="M164" s="16">
        <v>43802</v>
      </c>
      <c r="N164" s="26">
        <f t="shared" si="9"/>
        <v>-5.7296733752962865E-3</v>
      </c>
      <c r="O164" s="26">
        <f>'Part 2 - CAPM 2.1, 2.2 and 2.3'!C164-'Part 2 - CAPM 2.1, 2.2 and 2.3'!K164</f>
        <v>-3.644472696287445E-3</v>
      </c>
    </row>
    <row r="165" spans="1:15" x14ac:dyDescent="0.4">
      <c r="A165" s="16">
        <v>43803</v>
      </c>
      <c r="B165" s="14">
        <v>130.05000000000001</v>
      </c>
      <c r="C165" s="25">
        <f t="shared" si="10"/>
        <v>1.8801410105757976E-2</v>
      </c>
      <c r="E165" s="16">
        <v>43803</v>
      </c>
      <c r="F165" s="15">
        <v>9782.1</v>
      </c>
      <c r="G165" s="25">
        <f t="shared" si="11"/>
        <v>3.9976804216296296E-3</v>
      </c>
      <c r="I165" s="16">
        <v>43803</v>
      </c>
      <c r="J165" s="17">
        <v>4.9200000000000001E-2</v>
      </c>
      <c r="K165" s="25">
        <f t="shared" si="8"/>
        <v>1.3159213422664351E-4</v>
      </c>
      <c r="M165" s="16">
        <v>43803</v>
      </c>
      <c r="N165" s="26">
        <f t="shared" si="9"/>
        <v>3.8660882874029861E-3</v>
      </c>
      <c r="O165" s="26">
        <f>'Part 2 - CAPM 2.1, 2.2 and 2.3'!C165-'Part 2 - CAPM 2.1, 2.2 and 2.3'!K165</f>
        <v>1.8669817971531333E-2</v>
      </c>
    </row>
    <row r="166" spans="1:15" x14ac:dyDescent="0.4">
      <c r="A166" s="16">
        <v>43804</v>
      </c>
      <c r="B166" s="14">
        <v>128.9</v>
      </c>
      <c r="C166" s="25">
        <f t="shared" si="10"/>
        <v>-8.8427527873895084E-3</v>
      </c>
      <c r="E166" s="16">
        <v>43804</v>
      </c>
      <c r="F166" s="15">
        <v>9757.6</v>
      </c>
      <c r="G166" s="25">
        <f t="shared" si="11"/>
        <v>-2.5045746823279254E-3</v>
      </c>
      <c r="I166" s="16">
        <v>43804</v>
      </c>
      <c r="J166" s="17">
        <v>5.0599999999999999E-2</v>
      </c>
      <c r="K166" s="25">
        <f t="shared" si="8"/>
        <v>1.3524593816138797E-4</v>
      </c>
      <c r="M166" s="16">
        <v>43804</v>
      </c>
      <c r="N166" s="26">
        <f t="shared" si="9"/>
        <v>-2.6398206204893133E-3</v>
      </c>
      <c r="O166" s="26">
        <f>'Part 2 - CAPM 2.1, 2.2 and 2.3'!C166-'Part 2 - CAPM 2.1, 2.2 and 2.3'!K166</f>
        <v>-8.9779987255508963E-3</v>
      </c>
    </row>
    <row r="167" spans="1:15" x14ac:dyDescent="0.4">
      <c r="A167" s="16">
        <v>43805</v>
      </c>
      <c r="B167" s="14">
        <v>126.55</v>
      </c>
      <c r="C167" s="25">
        <f t="shared" si="10"/>
        <v>-1.8231186966640871E-2</v>
      </c>
      <c r="E167" s="16">
        <v>43805</v>
      </c>
      <c r="F167" s="15">
        <v>9669.4</v>
      </c>
      <c r="G167" s="25">
        <f t="shared" si="11"/>
        <v>-9.0391079773715598E-3</v>
      </c>
      <c r="I167" s="16">
        <v>43805</v>
      </c>
      <c r="J167" s="17">
        <v>5.0199999999999995E-2</v>
      </c>
      <c r="K167" s="25">
        <f t="shared" si="8"/>
        <v>1.3420248988715855E-4</v>
      </c>
      <c r="M167" s="16">
        <v>43805</v>
      </c>
      <c r="N167" s="26">
        <f t="shared" si="9"/>
        <v>-9.1733104672587183E-3</v>
      </c>
      <c r="O167" s="26">
        <f>'Part 2 - CAPM 2.1, 2.2 and 2.3'!C167-'Part 2 - CAPM 2.1, 2.2 and 2.3'!K167</f>
        <v>-1.836538945652803E-2</v>
      </c>
    </row>
    <row r="168" spans="1:15" x14ac:dyDescent="0.4">
      <c r="A168" s="16">
        <v>43808</v>
      </c>
      <c r="B168" s="14">
        <v>126.3</v>
      </c>
      <c r="C168" s="25">
        <f t="shared" si="10"/>
        <v>-1.9755037534571317E-3</v>
      </c>
      <c r="E168" s="16">
        <v>43808</v>
      </c>
      <c r="F168" s="15">
        <v>9671.4500000000007</v>
      </c>
      <c r="G168" s="25">
        <f t="shared" si="11"/>
        <v>2.120090181398113E-4</v>
      </c>
      <c r="I168" s="16">
        <v>43808</v>
      </c>
      <c r="J168" s="17">
        <v>5.0499999999999996E-2</v>
      </c>
      <c r="K168" s="25">
        <f t="shared" si="8"/>
        <v>1.3498511324017137E-4</v>
      </c>
      <c r="M168" s="16">
        <v>43808</v>
      </c>
      <c r="N168" s="26">
        <f t="shared" si="9"/>
        <v>7.7023904899639931E-5</v>
      </c>
      <c r="O168" s="26">
        <f>'Part 2 - CAPM 2.1, 2.2 and 2.3'!C168-'Part 2 - CAPM 2.1, 2.2 and 2.3'!K168</f>
        <v>-2.1104888666973031E-3</v>
      </c>
    </row>
    <row r="169" spans="1:15" x14ac:dyDescent="0.4">
      <c r="A169" s="16">
        <v>43809</v>
      </c>
      <c r="B169" s="14">
        <v>125.2</v>
      </c>
      <c r="C169" s="25">
        <f t="shared" si="10"/>
        <v>-8.7094220110846745E-3</v>
      </c>
      <c r="E169" s="16">
        <v>43809</v>
      </c>
      <c r="F169" s="15">
        <v>9595.4</v>
      </c>
      <c r="G169" s="25">
        <f t="shared" si="11"/>
        <v>-7.8633503766240929E-3</v>
      </c>
      <c r="I169" s="16">
        <v>43809</v>
      </c>
      <c r="J169" s="17">
        <v>5.04E-2</v>
      </c>
      <c r="K169" s="25">
        <f t="shared" si="8"/>
        <v>1.3472426355742861E-4</v>
      </c>
      <c r="M169" s="16">
        <v>43809</v>
      </c>
      <c r="N169" s="26">
        <f t="shared" si="9"/>
        <v>-7.9980746401815215E-3</v>
      </c>
      <c r="O169" s="26">
        <f>'Part 2 - CAPM 2.1, 2.2 and 2.3'!C169-'Part 2 - CAPM 2.1, 2.2 and 2.3'!K169</f>
        <v>-8.8441462746421031E-3</v>
      </c>
    </row>
    <row r="170" spans="1:15" x14ac:dyDescent="0.4">
      <c r="A170" s="16">
        <v>43810</v>
      </c>
      <c r="B170" s="14">
        <v>128</v>
      </c>
      <c r="C170" s="25">
        <f t="shared" si="10"/>
        <v>2.2364217252396144E-2</v>
      </c>
      <c r="E170" s="16">
        <v>43810</v>
      </c>
      <c r="F170" s="15">
        <v>9636.25</v>
      </c>
      <c r="G170" s="25">
        <f t="shared" si="11"/>
        <v>4.2572482647935846E-3</v>
      </c>
      <c r="I170" s="16">
        <v>43810</v>
      </c>
      <c r="J170" s="17">
        <v>5.0099999999999999E-2</v>
      </c>
      <c r="K170" s="25">
        <f t="shared" si="8"/>
        <v>1.3394156589074946E-4</v>
      </c>
      <c r="M170" s="16">
        <v>43810</v>
      </c>
      <c r="N170" s="26">
        <f t="shared" si="9"/>
        <v>4.1233066989028351E-3</v>
      </c>
      <c r="O170" s="26">
        <f>'Part 2 - CAPM 2.1, 2.2 and 2.3'!C170-'Part 2 - CAPM 2.1, 2.2 and 2.3'!K170</f>
        <v>2.2230275686505395E-2</v>
      </c>
    </row>
    <row r="171" spans="1:15" x14ac:dyDescent="0.4">
      <c r="A171" s="16">
        <v>43811</v>
      </c>
      <c r="B171" s="14">
        <v>125.9</v>
      </c>
      <c r="C171" s="25">
        <f t="shared" si="10"/>
        <v>-1.6406249999999956E-2</v>
      </c>
      <c r="E171" s="16">
        <v>43811</v>
      </c>
      <c r="F171" s="15">
        <v>9691.15</v>
      </c>
      <c r="G171" s="25">
        <f t="shared" si="11"/>
        <v>5.6972369957192515E-3</v>
      </c>
      <c r="I171" s="16">
        <v>43811</v>
      </c>
      <c r="J171" s="17">
        <v>5.1200000000000002E-2</v>
      </c>
      <c r="K171" s="25">
        <f t="shared" si="8"/>
        <v>1.3681036795398782E-4</v>
      </c>
      <c r="M171" s="16">
        <v>43811</v>
      </c>
      <c r="N171" s="26">
        <f t="shared" si="9"/>
        <v>5.5604266277652636E-3</v>
      </c>
      <c r="O171" s="26">
        <f>'Part 2 - CAPM 2.1, 2.2 and 2.3'!C171-'Part 2 - CAPM 2.1, 2.2 and 2.3'!K171</f>
        <v>-1.6543060367953943E-2</v>
      </c>
    </row>
    <row r="172" spans="1:15" x14ac:dyDescent="0.4">
      <c r="A172" s="16">
        <v>43812</v>
      </c>
      <c r="B172" s="14">
        <v>126.5</v>
      </c>
      <c r="C172" s="25">
        <f t="shared" si="10"/>
        <v>4.7656870532167932E-3</v>
      </c>
      <c r="E172" s="16">
        <v>43812</v>
      </c>
      <c r="F172" s="15">
        <v>9783.6</v>
      </c>
      <c r="G172" s="25">
        <f t="shared" si="11"/>
        <v>9.5396315194791886E-3</v>
      </c>
      <c r="I172" s="16">
        <v>43812</v>
      </c>
      <c r="J172" s="17">
        <v>5.04E-2</v>
      </c>
      <c r="K172" s="25">
        <f t="shared" si="8"/>
        <v>1.3472426355742861E-4</v>
      </c>
      <c r="M172" s="16">
        <v>43812</v>
      </c>
      <c r="N172" s="26">
        <f t="shared" si="9"/>
        <v>9.40490725592176E-3</v>
      </c>
      <c r="O172" s="26">
        <f>'Part 2 - CAPM 2.1, 2.2 and 2.3'!C172-'Part 2 - CAPM 2.1, 2.2 and 2.3'!K172</f>
        <v>4.6309627896593646E-3</v>
      </c>
    </row>
    <row r="173" spans="1:15" x14ac:dyDescent="0.4">
      <c r="A173" s="16">
        <v>43815</v>
      </c>
      <c r="B173" s="14">
        <v>125.6</v>
      </c>
      <c r="C173" s="25">
        <f t="shared" si="10"/>
        <v>-7.1146245059288985E-3</v>
      </c>
      <c r="E173" s="16">
        <v>43815</v>
      </c>
      <c r="F173" s="15">
        <v>9753</v>
      </c>
      <c r="G173" s="25">
        <f t="shared" si="11"/>
        <v>-3.1276830614498101E-3</v>
      </c>
      <c r="I173" s="16">
        <v>43815</v>
      </c>
      <c r="J173" s="17">
        <v>5.0199999999999995E-2</v>
      </c>
      <c r="K173" s="25">
        <f t="shared" si="8"/>
        <v>1.3420248988715855E-4</v>
      </c>
      <c r="M173" s="16">
        <v>43815</v>
      </c>
      <c r="N173" s="26">
        <f t="shared" si="9"/>
        <v>-3.2618855513369687E-3</v>
      </c>
      <c r="O173" s="26">
        <f>'Part 2 - CAPM 2.1, 2.2 and 2.3'!C173-'Part 2 - CAPM 2.1, 2.2 and 2.3'!K173</f>
        <v>-7.2488269958160571E-3</v>
      </c>
    </row>
    <row r="174" spans="1:15" x14ac:dyDescent="0.4">
      <c r="A174" s="16">
        <v>43816</v>
      </c>
      <c r="B174" s="14">
        <v>125.3</v>
      </c>
      <c r="C174" s="25">
        <f t="shared" si="10"/>
        <v>-2.3885350318471111E-3</v>
      </c>
      <c r="E174" s="16">
        <v>43816</v>
      </c>
      <c r="F174" s="15">
        <v>9831.35</v>
      </c>
      <c r="G174" s="25">
        <f t="shared" si="11"/>
        <v>8.0334256126320478E-3</v>
      </c>
      <c r="I174" s="16">
        <v>43816</v>
      </c>
      <c r="J174" s="17">
        <v>5.0300000000000004E-2</v>
      </c>
      <c r="K174" s="25">
        <f t="shared" si="8"/>
        <v>1.3446338910783062E-4</v>
      </c>
      <c r="M174" s="16">
        <v>43816</v>
      </c>
      <c r="N174" s="26">
        <f t="shared" si="9"/>
        <v>7.8989622235242172E-3</v>
      </c>
      <c r="O174" s="26">
        <f>'Part 2 - CAPM 2.1, 2.2 and 2.3'!C174-'Part 2 - CAPM 2.1, 2.2 and 2.3'!K174</f>
        <v>-2.5229984209549417E-3</v>
      </c>
    </row>
    <row r="175" spans="1:15" x14ac:dyDescent="0.4">
      <c r="A175" s="16">
        <v>43817</v>
      </c>
      <c r="B175" s="14">
        <v>125.1</v>
      </c>
      <c r="C175" s="25">
        <f t="shared" si="10"/>
        <v>-1.5961691939345797E-3</v>
      </c>
      <c r="E175" s="16">
        <v>43817</v>
      </c>
      <c r="F175" s="15">
        <v>9864.5499999999993</v>
      </c>
      <c r="G175" s="25">
        <f t="shared" si="11"/>
        <v>3.3769523005486436E-3</v>
      </c>
      <c r="I175" s="16">
        <v>43817</v>
      </c>
      <c r="J175" s="17">
        <v>5.0300000000000004E-2</v>
      </c>
      <c r="K175" s="25">
        <f t="shared" si="8"/>
        <v>1.3446338910783062E-4</v>
      </c>
      <c r="M175" s="16">
        <v>43817</v>
      </c>
      <c r="N175" s="26">
        <f t="shared" si="9"/>
        <v>3.242488911440813E-3</v>
      </c>
      <c r="O175" s="26">
        <f>'Part 2 - CAPM 2.1, 2.2 and 2.3'!C175-'Part 2 - CAPM 2.1, 2.2 and 2.3'!K175</f>
        <v>-1.7306325830424103E-3</v>
      </c>
    </row>
    <row r="176" spans="1:15" x14ac:dyDescent="0.4">
      <c r="A176" s="16">
        <v>43818</v>
      </c>
      <c r="B176" s="14">
        <v>125.7</v>
      </c>
      <c r="C176" s="25">
        <f t="shared" si="10"/>
        <v>4.7961630695444327E-3</v>
      </c>
      <c r="E176" s="16">
        <v>43818</v>
      </c>
      <c r="F176" s="15">
        <v>9892.2999999999993</v>
      </c>
      <c r="G176" s="25">
        <f t="shared" si="11"/>
        <v>2.8131034867277271E-3</v>
      </c>
      <c r="I176" s="16">
        <v>43818</v>
      </c>
      <c r="J176" s="17">
        <v>5.0199999999999995E-2</v>
      </c>
      <c r="K176" s="25">
        <f t="shared" si="8"/>
        <v>1.3420248988715855E-4</v>
      </c>
      <c r="M176" s="16">
        <v>43818</v>
      </c>
      <c r="N176" s="26">
        <f t="shared" si="9"/>
        <v>2.6789009968405685E-3</v>
      </c>
      <c r="O176" s="26">
        <f>'Part 2 - CAPM 2.1, 2.2 and 2.3'!C176-'Part 2 - CAPM 2.1, 2.2 and 2.3'!K176</f>
        <v>4.6619605796572742E-3</v>
      </c>
    </row>
    <row r="177" spans="1:15" x14ac:dyDescent="0.4">
      <c r="A177" s="16">
        <v>43819</v>
      </c>
      <c r="B177" s="14">
        <v>125.15</v>
      </c>
      <c r="C177" s="25">
        <f t="shared" si="10"/>
        <v>-4.3754972155926582E-3</v>
      </c>
      <c r="E177" s="16">
        <v>43819</v>
      </c>
      <c r="F177" s="15">
        <v>9905.35</v>
      </c>
      <c r="G177" s="25">
        <f t="shared" si="11"/>
        <v>1.3192078687465092E-3</v>
      </c>
      <c r="I177" s="16">
        <v>43819</v>
      </c>
      <c r="J177" s="17">
        <v>5.04E-2</v>
      </c>
      <c r="K177" s="25">
        <f t="shared" si="8"/>
        <v>1.3472426355742861E-4</v>
      </c>
      <c r="M177" s="16">
        <v>43819</v>
      </c>
      <c r="N177" s="26">
        <f t="shared" si="9"/>
        <v>1.1844836051890806E-3</v>
      </c>
      <c r="O177" s="26">
        <f>'Part 2 - CAPM 2.1, 2.2 and 2.3'!C177-'Part 2 - CAPM 2.1, 2.2 and 2.3'!K177</f>
        <v>-4.5102214791500868E-3</v>
      </c>
    </row>
    <row r="178" spans="1:15" x14ac:dyDescent="0.4">
      <c r="A178" s="16">
        <v>43822</v>
      </c>
      <c r="B178" s="14">
        <v>124.65</v>
      </c>
      <c r="C178" s="25">
        <f t="shared" si="10"/>
        <v>-3.9952057530962841E-3</v>
      </c>
      <c r="E178" s="16">
        <v>43822</v>
      </c>
      <c r="F178" s="15">
        <v>9897.65</v>
      </c>
      <c r="G178" s="25">
        <f t="shared" si="11"/>
        <v>-7.7735769054104373E-4</v>
      </c>
      <c r="I178" s="16">
        <v>43822</v>
      </c>
      <c r="J178" s="17">
        <v>5.0300000000000004E-2</v>
      </c>
      <c r="K178" s="25">
        <f t="shared" si="8"/>
        <v>1.3446338910783062E-4</v>
      </c>
      <c r="M178" s="16">
        <v>43822</v>
      </c>
      <c r="N178" s="26">
        <f t="shared" si="9"/>
        <v>-9.1182107964887435E-4</v>
      </c>
      <c r="O178" s="26">
        <f>'Part 2 - CAPM 2.1, 2.2 and 2.3'!C178-'Part 2 - CAPM 2.1, 2.2 and 2.3'!K178</f>
        <v>-4.1296691422041147E-3</v>
      </c>
    </row>
    <row r="179" spans="1:15" x14ac:dyDescent="0.4">
      <c r="A179" s="16">
        <v>43823</v>
      </c>
      <c r="B179" s="14">
        <v>126</v>
      </c>
      <c r="C179" s="25">
        <f t="shared" si="10"/>
        <v>1.0830324909747247E-2</v>
      </c>
      <c r="E179" s="16">
        <v>43823</v>
      </c>
      <c r="F179" s="15">
        <v>9868.4</v>
      </c>
      <c r="G179" s="25">
        <f t="shared" si="11"/>
        <v>-2.9552469525594462E-3</v>
      </c>
      <c r="I179" s="16">
        <v>43823</v>
      </c>
      <c r="J179" s="17">
        <v>5.0199999999999995E-2</v>
      </c>
      <c r="K179" s="25">
        <f t="shared" si="8"/>
        <v>1.3420248988715855E-4</v>
      </c>
      <c r="M179" s="16">
        <v>43823</v>
      </c>
      <c r="N179" s="26">
        <f t="shared" si="9"/>
        <v>-3.0894494424466047E-3</v>
      </c>
      <c r="O179" s="26">
        <f>'Part 2 - CAPM 2.1, 2.2 and 2.3'!C179-'Part 2 - CAPM 2.1, 2.2 and 2.3'!K179</f>
        <v>1.0696122419860088E-2</v>
      </c>
    </row>
    <row r="180" spans="1:15" x14ac:dyDescent="0.4">
      <c r="A180" s="16">
        <v>43825</v>
      </c>
      <c r="B180" s="14">
        <v>128</v>
      </c>
      <c r="C180" s="25">
        <f t="shared" si="10"/>
        <v>1.5873015873015872E-2</v>
      </c>
      <c r="E180" s="16">
        <v>43825</v>
      </c>
      <c r="F180" s="15">
        <v>9817.2000000000007</v>
      </c>
      <c r="G180" s="25">
        <f t="shared" si="11"/>
        <v>-5.1882777349923906E-3</v>
      </c>
      <c r="I180" s="16">
        <v>43825</v>
      </c>
      <c r="J180" s="17">
        <v>5.0199999999999995E-2</v>
      </c>
      <c r="K180" s="25">
        <f t="shared" si="8"/>
        <v>1.3420248988715855E-4</v>
      </c>
      <c r="M180" s="16">
        <v>43825</v>
      </c>
      <c r="N180" s="26">
        <f t="shared" si="9"/>
        <v>-5.3224802248795491E-3</v>
      </c>
      <c r="O180" s="26">
        <f>'Part 2 - CAPM 2.1, 2.2 and 2.3'!C180-'Part 2 - CAPM 2.1, 2.2 and 2.3'!K180</f>
        <v>1.5738813383128714E-2</v>
      </c>
    </row>
    <row r="181" spans="1:15" x14ac:dyDescent="0.4">
      <c r="A181" s="16">
        <v>43826</v>
      </c>
      <c r="B181" s="14">
        <v>128.4</v>
      </c>
      <c r="C181" s="25">
        <f t="shared" si="10"/>
        <v>3.1250000000000444E-3</v>
      </c>
      <c r="E181" s="16">
        <v>43826</v>
      </c>
      <c r="F181" s="15">
        <v>9908.7000000000007</v>
      </c>
      <c r="G181" s="25">
        <f t="shared" si="11"/>
        <v>9.3203764820926523E-3</v>
      </c>
      <c r="I181" s="16">
        <v>43826</v>
      </c>
      <c r="J181" s="17">
        <v>5.0199999999999995E-2</v>
      </c>
      <c r="K181" s="25">
        <f t="shared" si="8"/>
        <v>1.3420248988715855E-4</v>
      </c>
      <c r="M181" s="16">
        <v>43826</v>
      </c>
      <c r="N181" s="26">
        <f t="shared" si="9"/>
        <v>9.1861739922054937E-3</v>
      </c>
      <c r="O181" s="26">
        <f>'Part 2 - CAPM 2.1, 2.2 and 2.3'!C181-'Part 2 - CAPM 2.1, 2.2 and 2.3'!K181</f>
        <v>2.9907975101128859E-3</v>
      </c>
    </row>
    <row r="182" spans="1:15" x14ac:dyDescent="0.4">
      <c r="A182" s="16">
        <v>43829</v>
      </c>
      <c r="B182" s="14">
        <v>127.95</v>
      </c>
      <c r="C182" s="25">
        <f t="shared" si="10"/>
        <v>-3.5046728971962838E-3</v>
      </c>
      <c r="E182" s="16">
        <v>43829</v>
      </c>
      <c r="F182" s="15">
        <v>9924.7000000000007</v>
      </c>
      <c r="G182" s="25">
        <f t="shared" si="11"/>
        <v>1.6147425999374287E-3</v>
      </c>
      <c r="I182" s="16">
        <v>43829</v>
      </c>
      <c r="J182" s="17">
        <v>5.0199999999999995E-2</v>
      </c>
      <c r="K182" s="25">
        <f t="shared" si="8"/>
        <v>1.3420248988715855E-4</v>
      </c>
      <c r="M182" s="16">
        <v>43829</v>
      </c>
      <c r="N182" s="26">
        <f t="shared" si="9"/>
        <v>1.4805401100502701E-3</v>
      </c>
      <c r="O182" s="26">
        <f>'Part 2 - CAPM 2.1, 2.2 and 2.3'!C182-'Part 2 - CAPM 2.1, 2.2 and 2.3'!K182</f>
        <v>-3.6388753870834423E-3</v>
      </c>
    </row>
    <row r="183" spans="1:15" x14ac:dyDescent="0.4">
      <c r="A183" s="16">
        <v>43830</v>
      </c>
      <c r="B183" s="14">
        <v>128.80000000000001</v>
      </c>
      <c r="C183" s="25">
        <f t="shared" si="10"/>
        <v>6.6432200078156197E-3</v>
      </c>
      <c r="E183" s="16">
        <v>43830</v>
      </c>
      <c r="F183" s="15">
        <v>9872.5499999999993</v>
      </c>
      <c r="G183" s="25">
        <f t="shared" si="11"/>
        <v>-5.254566888671844E-3</v>
      </c>
      <c r="I183" s="16">
        <v>43830</v>
      </c>
      <c r="J183" s="17">
        <v>5.0499999999999996E-2</v>
      </c>
      <c r="K183" s="25">
        <f t="shared" si="8"/>
        <v>1.3498511324017137E-4</v>
      </c>
      <c r="M183" s="16">
        <v>43830</v>
      </c>
      <c r="N183" s="26">
        <f t="shared" si="9"/>
        <v>-5.3895520019120154E-3</v>
      </c>
      <c r="O183" s="26">
        <f>'Part 2 - CAPM 2.1, 2.2 and 2.3'!C183-'Part 2 - CAPM 2.1, 2.2 and 2.3'!K183</f>
        <v>6.5082348945754483E-3</v>
      </c>
    </row>
    <row r="184" spans="1:15" x14ac:dyDescent="0.4">
      <c r="A184" s="16">
        <v>43831</v>
      </c>
      <c r="B184" s="14">
        <v>127.45</v>
      </c>
      <c r="C184" s="25">
        <f t="shared" si="10"/>
        <v>-1.0481366459627394E-2</v>
      </c>
      <c r="E184" s="16">
        <v>43831</v>
      </c>
      <c r="F184" s="15">
        <v>9888.5499999999993</v>
      </c>
      <c r="G184" s="25">
        <f t="shared" si="11"/>
        <v>1.6206552511762414E-3</v>
      </c>
      <c r="I184" s="16">
        <v>43831</v>
      </c>
      <c r="J184" s="17">
        <v>5.04E-2</v>
      </c>
      <c r="K184" s="25">
        <f t="shared" si="8"/>
        <v>1.3472426355742861E-4</v>
      </c>
      <c r="M184" s="16">
        <v>43831</v>
      </c>
      <c r="N184" s="26">
        <f t="shared" si="9"/>
        <v>1.4859309876188128E-3</v>
      </c>
      <c r="O184" s="26">
        <f>'Part 2 - CAPM 2.1, 2.2 and 2.3'!C184-'Part 2 - CAPM 2.1, 2.2 and 2.3'!K184</f>
        <v>-1.0616090723184823E-2</v>
      </c>
    </row>
    <row r="185" spans="1:15" x14ac:dyDescent="0.4">
      <c r="A185" s="16">
        <v>43832</v>
      </c>
      <c r="B185" s="14">
        <v>128.05000000000001</v>
      </c>
      <c r="C185" s="25">
        <f t="shared" si="10"/>
        <v>4.7077285209886901E-3</v>
      </c>
      <c r="E185" s="16">
        <v>43832</v>
      </c>
      <c r="F185" s="15">
        <v>9980</v>
      </c>
      <c r="G185" s="25">
        <f t="shared" si="11"/>
        <v>9.2480697372214066E-3</v>
      </c>
      <c r="I185" s="16">
        <v>43832</v>
      </c>
      <c r="J185" s="17">
        <v>4.9699999999999994E-2</v>
      </c>
      <c r="K185" s="25">
        <f t="shared" si="8"/>
        <v>1.3289762205070943E-4</v>
      </c>
      <c r="M185" s="16">
        <v>43832</v>
      </c>
      <c r="N185" s="26">
        <f t="shared" si="9"/>
        <v>9.1151721151706971E-3</v>
      </c>
      <c r="O185" s="26">
        <f>'Part 2 - CAPM 2.1, 2.2 and 2.3'!C185-'Part 2 - CAPM 2.1, 2.2 and 2.3'!K185</f>
        <v>4.5748308989379807E-3</v>
      </c>
    </row>
    <row r="186" spans="1:15" x14ac:dyDescent="0.4">
      <c r="A186" s="16">
        <v>43833</v>
      </c>
      <c r="B186" s="14">
        <v>128.44999999999999</v>
      </c>
      <c r="C186" s="25">
        <f t="shared" si="10"/>
        <v>3.1237797735257887E-3</v>
      </c>
      <c r="E186" s="16">
        <v>43833</v>
      </c>
      <c r="F186" s="15">
        <v>9941.65</v>
      </c>
      <c r="G186" s="25">
        <f t="shared" si="11"/>
        <v>-3.8426853707415193E-3</v>
      </c>
      <c r="I186" s="16">
        <v>43833</v>
      </c>
      <c r="J186" s="17">
        <v>4.99E-2</v>
      </c>
      <c r="K186" s="25">
        <f t="shared" si="8"/>
        <v>1.3341964355095826E-4</v>
      </c>
      <c r="M186" s="16">
        <v>43833</v>
      </c>
      <c r="N186" s="26">
        <f t="shared" si="9"/>
        <v>-3.9761050142924775E-3</v>
      </c>
      <c r="O186" s="26">
        <f>'Part 2 - CAPM 2.1, 2.2 and 2.3'!C186-'Part 2 - CAPM 2.1, 2.2 and 2.3'!K186</f>
        <v>2.9903601299748304E-3</v>
      </c>
    </row>
    <row r="187" spans="1:15" x14ac:dyDescent="0.4">
      <c r="A187" s="16">
        <v>43836</v>
      </c>
      <c r="B187" s="14">
        <v>126.25</v>
      </c>
      <c r="C187" s="25">
        <f t="shared" si="10"/>
        <v>-1.7127286882055188E-2</v>
      </c>
      <c r="E187" s="16">
        <v>43836</v>
      </c>
      <c r="F187" s="15">
        <v>9747.4</v>
      </c>
      <c r="G187" s="25">
        <f t="shared" si="11"/>
        <v>-1.9539010124073972E-2</v>
      </c>
      <c r="I187" s="16">
        <v>43836</v>
      </c>
      <c r="J187" s="17">
        <v>4.9800000000000004E-2</v>
      </c>
      <c r="K187" s="25">
        <f t="shared" si="8"/>
        <v>1.3315864519825027E-4</v>
      </c>
      <c r="M187" s="16">
        <v>43836</v>
      </c>
      <c r="N187" s="26">
        <f t="shared" si="9"/>
        <v>-1.9672168769272223E-2</v>
      </c>
      <c r="O187" s="26">
        <f>'Part 2 - CAPM 2.1, 2.2 and 2.3'!C187-'Part 2 - CAPM 2.1, 2.2 and 2.3'!K187</f>
        <v>-1.7260445527253438E-2</v>
      </c>
    </row>
    <row r="188" spans="1:15" x14ac:dyDescent="0.4">
      <c r="A188" s="16">
        <v>43837</v>
      </c>
      <c r="B188" s="14">
        <v>125.75</v>
      </c>
      <c r="C188" s="25">
        <f t="shared" si="10"/>
        <v>-3.9603960396039604E-3</v>
      </c>
      <c r="E188" s="16">
        <v>43837</v>
      </c>
      <c r="F188" s="15">
        <v>9805.4</v>
      </c>
      <c r="G188" s="25">
        <f t="shared" si="11"/>
        <v>5.9503046966370519E-3</v>
      </c>
      <c r="I188" s="16">
        <v>43837</v>
      </c>
      <c r="J188" s="17">
        <v>5.0099999999999999E-2</v>
      </c>
      <c r="K188" s="25">
        <f t="shared" si="8"/>
        <v>1.3394156589074946E-4</v>
      </c>
      <c r="M188" s="16">
        <v>43837</v>
      </c>
      <c r="N188" s="26">
        <f t="shared" si="9"/>
        <v>5.8163631307463024E-3</v>
      </c>
      <c r="O188" s="26">
        <f>'Part 2 - CAPM 2.1, 2.2 and 2.3'!C188-'Part 2 - CAPM 2.1, 2.2 and 2.3'!K188</f>
        <v>-4.0943376054947099E-3</v>
      </c>
    </row>
    <row r="189" spans="1:15" x14ac:dyDescent="0.4">
      <c r="A189" s="16">
        <v>43838</v>
      </c>
      <c r="B189" s="14">
        <v>123.45</v>
      </c>
      <c r="C189" s="25">
        <f t="shared" si="10"/>
        <v>-1.8290258449304153E-2</v>
      </c>
      <c r="E189" s="16">
        <v>43838</v>
      </c>
      <c r="F189" s="15">
        <v>9792.2000000000007</v>
      </c>
      <c r="G189" s="25">
        <f t="shared" si="11"/>
        <v>-1.3461969934932699E-3</v>
      </c>
      <c r="I189" s="16">
        <v>43838</v>
      </c>
      <c r="J189" s="17">
        <v>5.0199999999999995E-2</v>
      </c>
      <c r="K189" s="25">
        <f t="shared" si="8"/>
        <v>1.3420248988715855E-4</v>
      </c>
      <c r="M189" s="16">
        <v>43838</v>
      </c>
      <c r="N189" s="26">
        <f t="shared" si="9"/>
        <v>-1.4803994833804284E-3</v>
      </c>
      <c r="O189" s="26">
        <f>'Part 2 - CAPM 2.1, 2.2 and 2.3'!C189-'Part 2 - CAPM 2.1, 2.2 and 2.3'!K189</f>
        <v>-1.8424460939191312E-2</v>
      </c>
    </row>
    <row r="190" spans="1:15" x14ac:dyDescent="0.4">
      <c r="A190" s="16">
        <v>43839</v>
      </c>
      <c r="B190" s="14">
        <v>123.7</v>
      </c>
      <c r="C190" s="25">
        <f t="shared" si="10"/>
        <v>2.025111381125962E-3</v>
      </c>
      <c r="E190" s="16">
        <v>43839</v>
      </c>
      <c r="F190" s="15">
        <v>9943.9</v>
      </c>
      <c r="G190" s="25">
        <f t="shared" si="11"/>
        <v>1.5491922142112998E-2</v>
      </c>
      <c r="I190" s="16">
        <v>43839</v>
      </c>
      <c r="J190" s="17">
        <v>5.0499999999999996E-2</v>
      </c>
      <c r="K190" s="25">
        <f t="shared" si="8"/>
        <v>1.3498511324017137E-4</v>
      </c>
      <c r="M190" s="16">
        <v>43839</v>
      </c>
      <c r="N190" s="26">
        <f t="shared" si="9"/>
        <v>1.5356937028872827E-2</v>
      </c>
      <c r="O190" s="26">
        <f>'Part 2 - CAPM 2.1, 2.2 and 2.3'!C190-'Part 2 - CAPM 2.1, 2.2 and 2.3'!K190</f>
        <v>1.8901262678857906E-3</v>
      </c>
    </row>
    <row r="191" spans="1:15" x14ac:dyDescent="0.4">
      <c r="A191" s="16">
        <v>43840</v>
      </c>
      <c r="B191" s="14">
        <v>124.15</v>
      </c>
      <c r="C191" s="25">
        <f t="shared" si="10"/>
        <v>3.6378334680679291E-3</v>
      </c>
      <c r="E191" s="16">
        <v>43840</v>
      </c>
      <c r="F191" s="15">
        <v>9978</v>
      </c>
      <c r="G191" s="25">
        <f t="shared" si="11"/>
        <v>3.4292380253220936E-3</v>
      </c>
      <c r="I191" s="16">
        <v>43840</v>
      </c>
      <c r="J191" s="17">
        <v>5.0499999999999996E-2</v>
      </c>
      <c r="K191" s="25">
        <f t="shared" si="8"/>
        <v>1.3498511324017137E-4</v>
      </c>
      <c r="M191" s="16">
        <v>43840</v>
      </c>
      <c r="N191" s="26">
        <f t="shared" si="9"/>
        <v>3.2942529120819223E-3</v>
      </c>
      <c r="O191" s="26">
        <f>'Part 2 - CAPM 2.1, 2.2 and 2.3'!C191-'Part 2 - CAPM 2.1, 2.2 and 2.3'!K191</f>
        <v>3.5028483548277577E-3</v>
      </c>
    </row>
    <row r="192" spans="1:15" x14ac:dyDescent="0.4">
      <c r="A192" s="16">
        <v>43843</v>
      </c>
      <c r="B192" s="14">
        <v>125.45</v>
      </c>
      <c r="C192" s="25">
        <f t="shared" si="10"/>
        <v>1.0471204188481652E-2</v>
      </c>
      <c r="E192" s="16">
        <v>43843</v>
      </c>
      <c r="F192" s="15">
        <v>10042.5</v>
      </c>
      <c r="G192" s="25">
        <f t="shared" si="11"/>
        <v>6.4642212868310286E-3</v>
      </c>
      <c r="I192" s="16">
        <v>43843</v>
      </c>
      <c r="J192" s="17">
        <v>5.0499999999999996E-2</v>
      </c>
      <c r="K192" s="25">
        <f t="shared" si="8"/>
        <v>1.3498511324017137E-4</v>
      </c>
      <c r="M192" s="16">
        <v>43843</v>
      </c>
      <c r="N192" s="26">
        <f t="shared" si="9"/>
        <v>6.3292361735908572E-3</v>
      </c>
      <c r="O192" s="26">
        <f>'Part 2 - CAPM 2.1, 2.2 and 2.3'!C192-'Part 2 - CAPM 2.1, 2.2 and 2.3'!K192</f>
        <v>1.033621907524148E-2</v>
      </c>
    </row>
    <row r="193" spans="1:15" x14ac:dyDescent="0.4">
      <c r="A193" s="16">
        <v>43844</v>
      </c>
      <c r="B193" s="14">
        <v>125.05</v>
      </c>
      <c r="C193" s="25">
        <f t="shared" si="10"/>
        <v>-3.1885213232363944E-3</v>
      </c>
      <c r="E193" s="16">
        <v>43844</v>
      </c>
      <c r="F193" s="15">
        <v>10075.85</v>
      </c>
      <c r="G193" s="25">
        <f t="shared" si="11"/>
        <v>3.3208862335076289E-3</v>
      </c>
      <c r="I193" s="16">
        <v>43844</v>
      </c>
      <c r="J193" s="17">
        <v>5.0700000000000002E-2</v>
      </c>
      <c r="K193" s="25">
        <f t="shared" si="8"/>
        <v>1.3550673832551929E-4</v>
      </c>
      <c r="M193" s="16">
        <v>43844</v>
      </c>
      <c r="N193" s="26">
        <f t="shared" si="9"/>
        <v>3.1853794951821096E-3</v>
      </c>
      <c r="O193" s="26">
        <f>'Part 2 - CAPM 2.1, 2.2 and 2.3'!C193-'Part 2 - CAPM 2.1, 2.2 and 2.3'!K193</f>
        <v>-3.3240280615619137E-3</v>
      </c>
    </row>
    <row r="194" spans="1:15" x14ac:dyDescent="0.4">
      <c r="A194" s="16">
        <v>43845</v>
      </c>
      <c r="B194" s="14">
        <v>124.65</v>
      </c>
      <c r="C194" s="25">
        <f t="shared" si="10"/>
        <v>-3.1987205117952138E-3</v>
      </c>
      <c r="E194" s="16">
        <v>43845</v>
      </c>
      <c r="F194" s="15">
        <v>10087.049999999999</v>
      </c>
      <c r="G194" s="25">
        <f t="shared" si="11"/>
        <v>1.1115687510233785E-3</v>
      </c>
      <c r="I194" s="16">
        <v>43845</v>
      </c>
      <c r="J194" s="17">
        <v>5.0999999999999997E-2</v>
      </c>
      <c r="K194" s="25">
        <f t="shared" si="8"/>
        <v>1.3628899032203101E-4</v>
      </c>
      <c r="M194" s="16">
        <v>43845</v>
      </c>
      <c r="N194" s="26">
        <f t="shared" si="9"/>
        <v>9.7527976070134752E-4</v>
      </c>
      <c r="O194" s="26">
        <f>'Part 2 - CAPM 2.1, 2.2 and 2.3'!C194-'Part 2 - CAPM 2.1, 2.2 and 2.3'!K194</f>
        <v>-3.3350095021172448E-3</v>
      </c>
    </row>
    <row r="195" spans="1:15" x14ac:dyDescent="0.4">
      <c r="A195" s="16">
        <v>43846</v>
      </c>
      <c r="B195" s="14">
        <v>124.5</v>
      </c>
      <c r="C195" s="25">
        <f t="shared" si="10"/>
        <v>-1.2033694344164114E-3</v>
      </c>
      <c r="E195" s="16">
        <v>43846</v>
      </c>
      <c r="F195" s="15">
        <v>10110.049999999999</v>
      </c>
      <c r="G195" s="25">
        <f t="shared" si="11"/>
        <v>2.2801512830807821E-3</v>
      </c>
      <c r="I195" s="16">
        <v>43846</v>
      </c>
      <c r="J195" s="17">
        <v>5.1200000000000002E-2</v>
      </c>
      <c r="K195" s="25">
        <f t="shared" si="8"/>
        <v>1.3681036795398782E-4</v>
      </c>
      <c r="M195" s="16">
        <v>43846</v>
      </c>
      <c r="N195" s="26">
        <f t="shared" si="9"/>
        <v>2.1433409151267943E-3</v>
      </c>
      <c r="O195" s="26">
        <f>'Part 2 - CAPM 2.1, 2.2 and 2.3'!C195-'Part 2 - CAPM 2.1, 2.2 and 2.3'!K195</f>
        <v>-1.3401798023703992E-3</v>
      </c>
    </row>
    <row r="196" spans="1:15" x14ac:dyDescent="0.4">
      <c r="A196" s="16">
        <v>43847</v>
      </c>
      <c r="B196" s="14">
        <v>125.4</v>
      </c>
      <c r="C196" s="25">
        <f t="shared" si="10"/>
        <v>7.2289156626506477E-3</v>
      </c>
      <c r="E196" s="16">
        <v>43847</v>
      </c>
      <c r="F196" s="15">
        <v>10118.700000000001</v>
      </c>
      <c r="G196" s="25">
        <f t="shared" si="11"/>
        <v>8.5558429483548106E-4</v>
      </c>
      <c r="I196" s="16">
        <v>43847</v>
      </c>
      <c r="J196" s="17">
        <v>5.0999999999999997E-2</v>
      </c>
      <c r="K196" s="25">
        <f t="shared" ref="K196:K259" si="12">((1+J196)^(1/365))-1</f>
        <v>1.3628899032203101E-4</v>
      </c>
      <c r="M196" s="16">
        <v>43847</v>
      </c>
      <c r="N196" s="26">
        <f t="shared" ref="N196:N259" si="13">G196-K196</f>
        <v>7.1929530451345005E-4</v>
      </c>
      <c r="O196" s="26">
        <f>'Part 2 - CAPM 2.1, 2.2 and 2.3'!C196-'Part 2 - CAPM 2.1, 2.2 and 2.3'!K196</f>
        <v>7.0926266723286167E-3</v>
      </c>
    </row>
    <row r="197" spans="1:15" x14ac:dyDescent="0.4">
      <c r="A197" s="16">
        <v>43850</v>
      </c>
      <c r="B197" s="14">
        <v>122.9</v>
      </c>
      <c r="C197" s="25">
        <f t="shared" ref="C197:C260" si="14">(B197-B196)/B196</f>
        <v>-1.993620414673046E-2</v>
      </c>
      <c r="E197" s="16">
        <v>43850</v>
      </c>
      <c r="F197" s="15">
        <v>10025.700000000001</v>
      </c>
      <c r="G197" s="25">
        <f t="shared" ref="G197:G260" si="15">(F197-F196)/F196</f>
        <v>-9.1909039698775535E-3</v>
      </c>
      <c r="I197" s="16">
        <v>43850</v>
      </c>
      <c r="J197" s="17">
        <v>5.1100000000000007E-2</v>
      </c>
      <c r="K197" s="25">
        <f t="shared" si="12"/>
        <v>1.3654969150489471E-4</v>
      </c>
      <c r="M197" s="16">
        <v>43850</v>
      </c>
      <c r="N197" s="26">
        <f t="shared" si="13"/>
        <v>-9.3274536613824482E-3</v>
      </c>
      <c r="O197" s="26">
        <f>'Part 2 - CAPM 2.1, 2.2 and 2.3'!C197-'Part 2 - CAPM 2.1, 2.2 and 2.3'!K197</f>
        <v>-2.0072753838235355E-2</v>
      </c>
    </row>
    <row r="198" spans="1:15" x14ac:dyDescent="0.4">
      <c r="A198" s="16">
        <v>43851</v>
      </c>
      <c r="B198" s="14">
        <v>122.75</v>
      </c>
      <c r="C198" s="25">
        <f t="shared" si="14"/>
        <v>-1.2205044751831219E-3</v>
      </c>
      <c r="E198" s="16">
        <v>43851</v>
      </c>
      <c r="F198" s="15">
        <v>9987.5499999999993</v>
      </c>
      <c r="G198" s="25">
        <f t="shared" si="15"/>
        <v>-3.8052205831015742E-3</v>
      </c>
      <c r="I198" s="16">
        <v>43851</v>
      </c>
      <c r="J198" s="17">
        <v>5.0999999999999997E-2</v>
      </c>
      <c r="K198" s="25">
        <f t="shared" si="12"/>
        <v>1.3628899032203101E-4</v>
      </c>
      <c r="M198" s="16">
        <v>43851</v>
      </c>
      <c r="N198" s="26">
        <f t="shared" si="13"/>
        <v>-3.9415095734236048E-3</v>
      </c>
      <c r="O198" s="26">
        <f>'Part 2 - CAPM 2.1, 2.2 and 2.3'!C198-'Part 2 - CAPM 2.1, 2.2 and 2.3'!K198</f>
        <v>-1.3567934655051529E-3</v>
      </c>
    </row>
    <row r="199" spans="1:15" x14ac:dyDescent="0.4">
      <c r="A199" s="16">
        <v>43852</v>
      </c>
      <c r="B199" s="14">
        <v>116.4</v>
      </c>
      <c r="C199" s="25">
        <f t="shared" si="14"/>
        <v>-5.17311608961303E-2</v>
      </c>
      <c r="E199" s="16">
        <v>43852</v>
      </c>
      <c r="F199" s="15">
        <v>9947</v>
      </c>
      <c r="G199" s="25">
        <f t="shared" si="15"/>
        <v>-4.0600547681863197E-3</v>
      </c>
      <c r="I199" s="16">
        <v>43852</v>
      </c>
      <c r="J199" s="17">
        <v>5.1100000000000007E-2</v>
      </c>
      <c r="K199" s="25">
        <f t="shared" si="12"/>
        <v>1.3654969150489471E-4</v>
      </c>
      <c r="M199" s="16">
        <v>43852</v>
      </c>
      <c r="N199" s="26">
        <f t="shared" si="13"/>
        <v>-4.1966044596912144E-3</v>
      </c>
      <c r="O199" s="26">
        <f>'Part 2 - CAPM 2.1, 2.2 and 2.3'!C199-'Part 2 - CAPM 2.1, 2.2 and 2.3'!K199</f>
        <v>-5.1867710587635195E-2</v>
      </c>
    </row>
    <row r="200" spans="1:15" x14ac:dyDescent="0.4">
      <c r="A200" s="16">
        <v>43853</v>
      </c>
      <c r="B200" s="14">
        <v>117.8</v>
      </c>
      <c r="C200" s="25">
        <f t="shared" si="14"/>
        <v>1.2027491408934634E-2</v>
      </c>
      <c r="E200" s="16">
        <v>43853</v>
      </c>
      <c r="F200" s="15">
        <v>10021.4</v>
      </c>
      <c r="G200" s="25">
        <f t="shared" si="15"/>
        <v>7.4796421031466404E-3</v>
      </c>
      <c r="I200" s="16">
        <v>43853</v>
      </c>
      <c r="J200" s="17">
        <v>5.1200000000000002E-2</v>
      </c>
      <c r="K200" s="25">
        <f t="shared" si="12"/>
        <v>1.3681036795398782E-4</v>
      </c>
      <c r="M200" s="16">
        <v>43853</v>
      </c>
      <c r="N200" s="26">
        <f t="shared" si="13"/>
        <v>7.3428317351926526E-3</v>
      </c>
      <c r="O200" s="26">
        <f>'Part 2 - CAPM 2.1, 2.2 and 2.3'!C200-'Part 2 - CAPM 2.1, 2.2 and 2.3'!K200</f>
        <v>1.1890681040980646E-2</v>
      </c>
    </row>
    <row r="201" spans="1:15" x14ac:dyDescent="0.4">
      <c r="A201" s="16">
        <v>43854</v>
      </c>
      <c r="B201" s="14">
        <v>118.35</v>
      </c>
      <c r="C201" s="25">
        <f t="shared" si="14"/>
        <v>4.6689303904923363E-3</v>
      </c>
      <c r="E201" s="16">
        <v>43854</v>
      </c>
      <c r="F201" s="15">
        <v>10083.700000000001</v>
      </c>
      <c r="G201" s="25">
        <f t="shared" si="15"/>
        <v>6.2166962699823471E-3</v>
      </c>
      <c r="I201" s="16">
        <v>43854</v>
      </c>
      <c r="J201" s="17">
        <v>5.1200000000000002E-2</v>
      </c>
      <c r="K201" s="25">
        <f t="shared" si="12"/>
        <v>1.3681036795398782E-4</v>
      </c>
      <c r="M201" s="16">
        <v>43854</v>
      </c>
      <c r="N201" s="26">
        <f t="shared" si="13"/>
        <v>6.0798859020283593E-3</v>
      </c>
      <c r="O201" s="26">
        <f>'Part 2 - CAPM 2.1, 2.2 and 2.3'!C201-'Part 2 - CAPM 2.1, 2.2 and 2.3'!K201</f>
        <v>4.5321200225383485E-3</v>
      </c>
    </row>
    <row r="202" spans="1:15" x14ac:dyDescent="0.4">
      <c r="A202" s="16">
        <v>43857</v>
      </c>
      <c r="B202" s="14">
        <v>117.25</v>
      </c>
      <c r="C202" s="25">
        <f t="shared" si="14"/>
        <v>-9.2944655682297792E-3</v>
      </c>
      <c r="E202" s="16">
        <v>43857</v>
      </c>
      <c r="F202" s="15">
        <v>9999.6</v>
      </c>
      <c r="G202" s="25">
        <f t="shared" si="15"/>
        <v>-8.3401925880381561E-3</v>
      </c>
      <c r="I202" s="16">
        <v>43857</v>
      </c>
      <c r="J202" s="17">
        <v>5.0999999999999997E-2</v>
      </c>
      <c r="K202" s="25">
        <f t="shared" si="12"/>
        <v>1.3628899032203101E-4</v>
      </c>
      <c r="M202" s="16">
        <v>43857</v>
      </c>
      <c r="N202" s="26">
        <f t="shared" si="13"/>
        <v>-8.4764815783601871E-3</v>
      </c>
      <c r="O202" s="26">
        <f>'Part 2 - CAPM 2.1, 2.2 and 2.3'!C202-'Part 2 - CAPM 2.1, 2.2 and 2.3'!K202</f>
        <v>-9.4307545585518102E-3</v>
      </c>
    </row>
    <row r="203" spans="1:15" x14ac:dyDescent="0.4">
      <c r="A203" s="16">
        <v>43858</v>
      </c>
      <c r="B203" s="14">
        <v>116.6</v>
      </c>
      <c r="C203" s="25">
        <f t="shared" si="14"/>
        <v>-5.5437100213220104E-3</v>
      </c>
      <c r="E203" s="16">
        <v>43858</v>
      </c>
      <c r="F203" s="15">
        <v>9956.9500000000007</v>
      </c>
      <c r="G203" s="25">
        <f t="shared" si="15"/>
        <v>-4.2651706068242362E-3</v>
      </c>
      <c r="I203" s="16">
        <v>43858</v>
      </c>
      <c r="J203" s="17">
        <v>5.1100000000000007E-2</v>
      </c>
      <c r="K203" s="25">
        <f t="shared" si="12"/>
        <v>1.3654969150489471E-4</v>
      </c>
      <c r="M203" s="16">
        <v>43858</v>
      </c>
      <c r="N203" s="26">
        <f t="shared" si="13"/>
        <v>-4.401720298329131E-3</v>
      </c>
      <c r="O203" s="26">
        <f>'Part 2 - CAPM 2.1, 2.2 and 2.3'!C203-'Part 2 - CAPM 2.1, 2.2 and 2.3'!K203</f>
        <v>-5.6802597128269051E-3</v>
      </c>
    </row>
    <row r="204" spans="1:15" x14ac:dyDescent="0.4">
      <c r="A204" s="16">
        <v>43859</v>
      </c>
      <c r="B204" s="14">
        <v>117.65</v>
      </c>
      <c r="C204" s="25">
        <f t="shared" si="14"/>
        <v>9.0051457975987258E-3</v>
      </c>
      <c r="E204" s="16">
        <v>43859</v>
      </c>
      <c r="F204" s="15">
        <v>10009.299999999999</v>
      </c>
      <c r="G204" s="25">
        <f t="shared" si="15"/>
        <v>5.2576341148643452E-3</v>
      </c>
      <c r="I204" s="16">
        <v>43859</v>
      </c>
      <c r="J204" s="17">
        <v>5.0999999999999997E-2</v>
      </c>
      <c r="K204" s="25">
        <f t="shared" si="12"/>
        <v>1.3628899032203101E-4</v>
      </c>
      <c r="M204" s="16">
        <v>43859</v>
      </c>
      <c r="N204" s="26">
        <f t="shared" si="13"/>
        <v>5.1213451245423142E-3</v>
      </c>
      <c r="O204" s="26">
        <f>'Part 2 - CAPM 2.1, 2.2 and 2.3'!C204-'Part 2 - CAPM 2.1, 2.2 and 2.3'!K204</f>
        <v>8.8688568072766948E-3</v>
      </c>
    </row>
    <row r="205" spans="1:15" x14ac:dyDescent="0.4">
      <c r="A205" s="16">
        <v>43860</v>
      </c>
      <c r="B205" s="14">
        <v>115.6</v>
      </c>
      <c r="C205" s="25">
        <f t="shared" si="14"/>
        <v>-1.7424564385890448E-2</v>
      </c>
      <c r="E205" s="16">
        <v>43860</v>
      </c>
      <c r="F205" s="15">
        <v>9919.2000000000007</v>
      </c>
      <c r="G205" s="25">
        <f t="shared" si="15"/>
        <v>-9.0016284855083326E-3</v>
      </c>
      <c r="I205" s="16">
        <v>43860</v>
      </c>
      <c r="J205" s="17">
        <v>5.1200000000000002E-2</v>
      </c>
      <c r="K205" s="25">
        <f t="shared" si="12"/>
        <v>1.3681036795398782E-4</v>
      </c>
      <c r="M205" s="16">
        <v>43860</v>
      </c>
      <c r="N205" s="26">
        <f t="shared" si="13"/>
        <v>-9.1384388534623204E-3</v>
      </c>
      <c r="O205" s="26">
        <f>'Part 2 - CAPM 2.1, 2.2 and 2.3'!C205-'Part 2 - CAPM 2.1, 2.2 and 2.3'!K205</f>
        <v>-1.7561374753844436E-2</v>
      </c>
    </row>
    <row r="206" spans="1:15" x14ac:dyDescent="0.4">
      <c r="A206" s="16">
        <v>43861</v>
      </c>
      <c r="B206" s="14">
        <v>108.95</v>
      </c>
      <c r="C206" s="25">
        <f t="shared" si="14"/>
        <v>-5.7525951557093356E-2</v>
      </c>
      <c r="E206" s="16">
        <v>43861</v>
      </c>
      <c r="F206" s="15">
        <v>9861.4500000000007</v>
      </c>
      <c r="G206" s="25">
        <f t="shared" si="15"/>
        <v>-5.822042100169368E-3</v>
      </c>
      <c r="I206" s="16">
        <v>43861</v>
      </c>
      <c r="J206" s="17">
        <v>5.1299999999999998E-2</v>
      </c>
      <c r="K206" s="25">
        <f t="shared" si="12"/>
        <v>1.3707101967419533E-4</v>
      </c>
      <c r="M206" s="16">
        <v>43861</v>
      </c>
      <c r="N206" s="26">
        <f t="shared" si="13"/>
        <v>-5.9591131198435633E-3</v>
      </c>
      <c r="O206" s="26">
        <f>'Part 2 - CAPM 2.1, 2.2 and 2.3'!C206-'Part 2 - CAPM 2.1, 2.2 and 2.3'!K206</f>
        <v>-5.7663022576767552E-2</v>
      </c>
    </row>
    <row r="207" spans="1:15" x14ac:dyDescent="0.4">
      <c r="A207" s="16">
        <v>43864</v>
      </c>
      <c r="B207" s="14">
        <v>103.45</v>
      </c>
      <c r="C207" s="25">
        <f t="shared" si="14"/>
        <v>-5.0481872418540616E-2</v>
      </c>
      <c r="E207" s="16">
        <v>43864</v>
      </c>
      <c r="F207" s="15">
        <v>9650.5499999999993</v>
      </c>
      <c r="G207" s="25">
        <f t="shared" si="15"/>
        <v>-2.1386307287468015E-2</v>
      </c>
      <c r="I207" s="16">
        <v>43864</v>
      </c>
      <c r="J207" s="17">
        <v>5.1100000000000007E-2</v>
      </c>
      <c r="K207" s="25">
        <f t="shared" si="12"/>
        <v>1.3654969150489471E-4</v>
      </c>
      <c r="M207" s="16">
        <v>43864</v>
      </c>
      <c r="N207" s="26">
        <f t="shared" si="13"/>
        <v>-2.152285697897291E-2</v>
      </c>
      <c r="O207" s="26">
        <f>'Part 2 - CAPM 2.1, 2.2 and 2.3'!C207-'Part 2 - CAPM 2.1, 2.2 and 2.3'!K207</f>
        <v>-5.0618422110045511E-2</v>
      </c>
    </row>
    <row r="208" spans="1:15" x14ac:dyDescent="0.4">
      <c r="A208" s="16">
        <v>43865</v>
      </c>
      <c r="B208" s="14">
        <v>106.15</v>
      </c>
      <c r="C208" s="25">
        <f t="shared" si="14"/>
        <v>2.6099565007249907E-2</v>
      </c>
      <c r="E208" s="16">
        <v>43865</v>
      </c>
      <c r="F208" s="15">
        <v>9853.0499999999993</v>
      </c>
      <c r="G208" s="25">
        <f t="shared" si="15"/>
        <v>2.0983260021449558E-2</v>
      </c>
      <c r="I208" s="16">
        <v>43865</v>
      </c>
      <c r="J208" s="17">
        <v>5.1200000000000002E-2</v>
      </c>
      <c r="K208" s="25">
        <f t="shared" si="12"/>
        <v>1.3681036795398782E-4</v>
      </c>
      <c r="M208" s="16">
        <v>43865</v>
      </c>
      <c r="N208" s="26">
        <f t="shared" si="13"/>
        <v>2.084644965349557E-2</v>
      </c>
      <c r="O208" s="26">
        <f>'Part 2 - CAPM 2.1, 2.2 and 2.3'!C208-'Part 2 - CAPM 2.1, 2.2 and 2.3'!K208</f>
        <v>2.5962754639295919E-2</v>
      </c>
    </row>
    <row r="209" spans="1:15" x14ac:dyDescent="0.4">
      <c r="A209" s="16">
        <v>43866</v>
      </c>
      <c r="B209" s="14">
        <v>106.8</v>
      </c>
      <c r="C209" s="25">
        <f t="shared" si="14"/>
        <v>6.1234102684879083E-3</v>
      </c>
      <c r="E209" s="16">
        <v>43866</v>
      </c>
      <c r="F209" s="15">
        <v>9951.35</v>
      </c>
      <c r="G209" s="25">
        <f t="shared" si="15"/>
        <v>9.9766062285283341E-3</v>
      </c>
      <c r="I209" s="16">
        <v>43866</v>
      </c>
      <c r="J209" s="17">
        <v>5.1299999999999998E-2</v>
      </c>
      <c r="K209" s="25">
        <f t="shared" si="12"/>
        <v>1.3707101967419533E-4</v>
      </c>
      <c r="M209" s="16">
        <v>43866</v>
      </c>
      <c r="N209" s="26">
        <f t="shared" si="13"/>
        <v>9.8395352088541388E-3</v>
      </c>
      <c r="O209" s="26">
        <f>'Part 2 - CAPM 2.1, 2.2 and 2.3'!C209-'Part 2 - CAPM 2.1, 2.2 and 2.3'!K209</f>
        <v>5.9863392488137129E-3</v>
      </c>
    </row>
    <row r="210" spans="1:15" x14ac:dyDescent="0.4">
      <c r="A210" s="16">
        <v>43867</v>
      </c>
      <c r="B210" s="14">
        <v>107.25</v>
      </c>
      <c r="C210" s="25">
        <f t="shared" si="14"/>
        <v>4.2134831460674425E-3</v>
      </c>
      <c r="E210" s="16">
        <v>43867</v>
      </c>
      <c r="F210" s="15">
        <v>10004.200000000001</v>
      </c>
      <c r="G210" s="25">
        <f t="shared" si="15"/>
        <v>5.3108372230903705E-3</v>
      </c>
      <c r="I210" s="16">
        <v>43867</v>
      </c>
      <c r="J210" s="17">
        <v>5.1500000000000004E-2</v>
      </c>
      <c r="K210" s="25">
        <f t="shared" si="12"/>
        <v>1.3759224894704936E-4</v>
      </c>
      <c r="M210" s="16">
        <v>43867</v>
      </c>
      <c r="N210" s="26">
        <f t="shared" si="13"/>
        <v>5.1732449741433211E-3</v>
      </c>
      <c r="O210" s="26">
        <f>'Part 2 - CAPM 2.1, 2.2 and 2.3'!C210-'Part 2 - CAPM 2.1, 2.2 and 2.3'!K210</f>
        <v>4.0758908971203931E-3</v>
      </c>
    </row>
    <row r="211" spans="1:15" x14ac:dyDescent="0.4">
      <c r="A211" s="16">
        <v>43868</v>
      </c>
      <c r="B211" s="14">
        <v>109.25</v>
      </c>
      <c r="C211" s="25">
        <f t="shared" si="14"/>
        <v>1.8648018648018648E-2</v>
      </c>
      <c r="E211" s="16">
        <v>43868</v>
      </c>
      <c r="F211" s="15">
        <v>10000.75</v>
      </c>
      <c r="G211" s="25">
        <f t="shared" si="15"/>
        <v>-3.4485516083252306E-4</v>
      </c>
      <c r="I211" s="16">
        <v>43868</v>
      </c>
      <c r="J211" s="17">
        <v>5.1100000000000007E-2</v>
      </c>
      <c r="K211" s="25">
        <f t="shared" si="12"/>
        <v>1.3654969150489471E-4</v>
      </c>
      <c r="M211" s="16">
        <v>43868</v>
      </c>
      <c r="N211" s="26">
        <f t="shared" si="13"/>
        <v>-4.8140485233741777E-4</v>
      </c>
      <c r="O211" s="26">
        <f>'Part 2 - CAPM 2.1, 2.2 and 2.3'!C211-'Part 2 - CAPM 2.1, 2.2 and 2.3'!K211</f>
        <v>1.8511468956513753E-2</v>
      </c>
    </row>
    <row r="212" spans="1:15" x14ac:dyDescent="0.4">
      <c r="A212" s="16">
        <v>43871</v>
      </c>
      <c r="B212" s="14">
        <v>106.2</v>
      </c>
      <c r="C212" s="25">
        <f t="shared" si="14"/>
        <v>-2.7917620137299745E-2</v>
      </c>
      <c r="E212" s="16">
        <v>43871</v>
      </c>
      <c r="F212" s="15">
        <v>9945.65</v>
      </c>
      <c r="G212" s="25">
        <f t="shared" si="15"/>
        <v>-5.509586780991462E-3</v>
      </c>
      <c r="I212" s="16">
        <v>43871</v>
      </c>
      <c r="J212" s="17">
        <v>5.0999999999999997E-2</v>
      </c>
      <c r="K212" s="25">
        <f t="shared" si="12"/>
        <v>1.3628899032203101E-4</v>
      </c>
      <c r="M212" s="16">
        <v>43871</v>
      </c>
      <c r="N212" s="26">
        <f t="shared" si="13"/>
        <v>-5.645875771313493E-3</v>
      </c>
      <c r="O212" s="26">
        <f>'Part 2 - CAPM 2.1, 2.2 and 2.3'!C212-'Part 2 - CAPM 2.1, 2.2 and 2.3'!K212</f>
        <v>-2.8053909127621776E-2</v>
      </c>
    </row>
    <row r="213" spans="1:15" x14ac:dyDescent="0.4">
      <c r="A213" s="16">
        <v>43872</v>
      </c>
      <c r="B213" s="14">
        <v>106.8</v>
      </c>
      <c r="C213" s="25">
        <f t="shared" si="14"/>
        <v>5.64971751412424E-3</v>
      </c>
      <c r="E213" s="16">
        <v>43872</v>
      </c>
      <c r="F213" s="15">
        <v>9987.0499999999993</v>
      </c>
      <c r="G213" s="25">
        <f t="shared" si="15"/>
        <v>4.1626238606827749E-3</v>
      </c>
      <c r="I213" s="16">
        <v>43872</v>
      </c>
      <c r="J213" s="17">
        <v>5.0900000000000001E-2</v>
      </c>
      <c r="K213" s="25">
        <f t="shared" si="12"/>
        <v>1.3602826440117788E-4</v>
      </c>
      <c r="M213" s="16">
        <v>43872</v>
      </c>
      <c r="N213" s="26">
        <f t="shared" si="13"/>
        <v>4.026595596281597E-3</v>
      </c>
      <c r="O213" s="26">
        <f>'Part 2 - CAPM 2.1, 2.2 and 2.3'!C213-'Part 2 - CAPM 2.1, 2.2 and 2.3'!K213</f>
        <v>5.5136892497230621E-3</v>
      </c>
    </row>
    <row r="214" spans="1:15" x14ac:dyDescent="0.4">
      <c r="A214" s="16">
        <v>43873</v>
      </c>
      <c r="B214" s="14">
        <v>106.7</v>
      </c>
      <c r="C214" s="25">
        <f t="shared" si="14"/>
        <v>-9.3632958801492805E-4</v>
      </c>
      <c r="E214" s="16">
        <v>43873</v>
      </c>
      <c r="F214" s="15">
        <v>10037.1</v>
      </c>
      <c r="G214" s="25">
        <f t="shared" si="15"/>
        <v>5.0114898793939249E-3</v>
      </c>
      <c r="I214" s="16">
        <v>43873</v>
      </c>
      <c r="J214" s="17">
        <v>5.1200000000000002E-2</v>
      </c>
      <c r="K214" s="25">
        <f t="shared" si="12"/>
        <v>1.3681036795398782E-4</v>
      </c>
      <c r="M214" s="16">
        <v>43873</v>
      </c>
      <c r="N214" s="26">
        <f t="shared" si="13"/>
        <v>4.8746795114399371E-3</v>
      </c>
      <c r="O214" s="26">
        <f>'Part 2 - CAPM 2.1, 2.2 and 2.3'!C214-'Part 2 - CAPM 2.1, 2.2 and 2.3'!K214</f>
        <v>-1.0731399559689159E-3</v>
      </c>
    </row>
    <row r="215" spans="1:15" x14ac:dyDescent="0.4">
      <c r="A215" s="16">
        <v>43874</v>
      </c>
      <c r="B215" s="14">
        <v>105.35</v>
      </c>
      <c r="C215" s="25">
        <f t="shared" si="14"/>
        <v>-1.2652296157450876E-2</v>
      </c>
      <c r="E215" s="16">
        <v>43874</v>
      </c>
      <c r="F215" s="15">
        <v>10017.75</v>
      </c>
      <c r="G215" s="25">
        <f t="shared" si="15"/>
        <v>-1.9278476850883585E-3</v>
      </c>
      <c r="I215" s="16">
        <v>43874</v>
      </c>
      <c r="J215" s="17">
        <v>5.1100000000000007E-2</v>
      </c>
      <c r="K215" s="25">
        <f t="shared" si="12"/>
        <v>1.3654969150489471E-4</v>
      </c>
      <c r="M215" s="16">
        <v>43874</v>
      </c>
      <c r="N215" s="26">
        <f t="shared" si="13"/>
        <v>-2.064397376593253E-3</v>
      </c>
      <c r="O215" s="26">
        <f>'Part 2 - CAPM 2.1, 2.2 and 2.3'!C215-'Part 2 - CAPM 2.1, 2.2 and 2.3'!K215</f>
        <v>-1.278884584895577E-2</v>
      </c>
    </row>
    <row r="216" spans="1:15" x14ac:dyDescent="0.4">
      <c r="A216" s="16">
        <v>43875</v>
      </c>
      <c r="B216" s="14">
        <v>103.3</v>
      </c>
      <c r="C216" s="25">
        <f t="shared" si="14"/>
        <v>-1.9458946369245347E-2</v>
      </c>
      <c r="E216" s="16">
        <v>43875</v>
      </c>
      <c r="F216" s="15">
        <v>9961.0499999999993</v>
      </c>
      <c r="G216" s="25">
        <f t="shared" si="15"/>
        <v>-5.6599535823913284E-3</v>
      </c>
      <c r="I216" s="16">
        <v>43875</v>
      </c>
      <c r="J216" s="17">
        <v>5.1100000000000007E-2</v>
      </c>
      <c r="K216" s="25">
        <f t="shared" si="12"/>
        <v>1.3654969150489471E-4</v>
      </c>
      <c r="M216" s="16">
        <v>43875</v>
      </c>
      <c r="N216" s="26">
        <f t="shared" si="13"/>
        <v>-5.7965032738962231E-3</v>
      </c>
      <c r="O216" s="26">
        <f>'Part 2 - CAPM 2.1, 2.2 and 2.3'!C216-'Part 2 - CAPM 2.1, 2.2 and 2.3'!K216</f>
        <v>-1.9595496060750242E-2</v>
      </c>
    </row>
    <row r="217" spans="1:15" x14ac:dyDescent="0.4">
      <c r="A217" s="16">
        <v>43878</v>
      </c>
      <c r="B217" s="14">
        <v>99.95</v>
      </c>
      <c r="C217" s="25">
        <f t="shared" si="14"/>
        <v>-3.242981606969985E-2</v>
      </c>
      <c r="E217" s="16">
        <v>43878</v>
      </c>
      <c r="F217" s="15">
        <v>9891</v>
      </c>
      <c r="G217" s="25">
        <f t="shared" si="15"/>
        <v>-7.03239116358208E-3</v>
      </c>
      <c r="I217" s="16">
        <v>43878</v>
      </c>
      <c r="J217" s="17">
        <v>5.1200000000000002E-2</v>
      </c>
      <c r="K217" s="25">
        <f t="shared" si="12"/>
        <v>1.3681036795398782E-4</v>
      </c>
      <c r="M217" s="16">
        <v>43878</v>
      </c>
      <c r="N217" s="26">
        <f t="shared" si="13"/>
        <v>-7.1692015315360678E-3</v>
      </c>
      <c r="O217" s="26">
        <f>'Part 2 - CAPM 2.1, 2.2 and 2.3'!C217-'Part 2 - CAPM 2.1, 2.2 and 2.3'!K217</f>
        <v>-3.2566626437653838E-2</v>
      </c>
    </row>
    <row r="218" spans="1:15" x14ac:dyDescent="0.4">
      <c r="A218" s="16">
        <v>43879</v>
      </c>
      <c r="B218" s="14">
        <v>99.3</v>
      </c>
      <c r="C218" s="25">
        <f t="shared" si="14"/>
        <v>-6.5032516258129629E-3</v>
      </c>
      <c r="E218" s="16">
        <v>43879</v>
      </c>
      <c r="F218" s="15">
        <v>9845.5499999999993</v>
      </c>
      <c r="G218" s="25">
        <f t="shared" si="15"/>
        <v>-4.5950864422202734E-3</v>
      </c>
      <c r="I218" s="16">
        <v>43879</v>
      </c>
      <c r="J218" s="17">
        <v>5.0799999999999998E-2</v>
      </c>
      <c r="K218" s="25">
        <f t="shared" si="12"/>
        <v>1.3576751373700624E-4</v>
      </c>
      <c r="M218" s="16">
        <v>43879</v>
      </c>
      <c r="N218" s="26">
        <f t="shared" si="13"/>
        <v>-4.7308539559572796E-3</v>
      </c>
      <c r="O218" s="26">
        <f>'Part 2 - CAPM 2.1, 2.2 and 2.3'!C218-'Part 2 - CAPM 2.1, 2.2 and 2.3'!K218</f>
        <v>-6.6390191395499691E-3</v>
      </c>
    </row>
    <row r="219" spans="1:15" x14ac:dyDescent="0.4">
      <c r="A219" s="16">
        <v>43881</v>
      </c>
      <c r="B219" s="14">
        <v>102.8</v>
      </c>
      <c r="C219" s="25">
        <f t="shared" si="14"/>
        <v>3.5246727089627394E-2</v>
      </c>
      <c r="E219" s="16">
        <v>43881</v>
      </c>
      <c r="F219" s="15">
        <v>9958.65</v>
      </c>
      <c r="G219" s="25">
        <f t="shared" si="15"/>
        <v>1.1487423252129172E-2</v>
      </c>
      <c r="I219" s="16">
        <v>43881</v>
      </c>
      <c r="J219" s="17">
        <v>5.0700000000000002E-2</v>
      </c>
      <c r="K219" s="25">
        <f t="shared" si="12"/>
        <v>1.3550673832551929E-4</v>
      </c>
      <c r="M219" s="16">
        <v>43881</v>
      </c>
      <c r="N219" s="26">
        <f t="shared" si="13"/>
        <v>1.1351916513803652E-2</v>
      </c>
      <c r="O219" s="26">
        <f>'Part 2 - CAPM 2.1, 2.2 and 2.3'!C219-'Part 2 - CAPM 2.1, 2.2 and 2.3'!K219</f>
        <v>3.5111220351301875E-2</v>
      </c>
    </row>
    <row r="220" spans="1:15" x14ac:dyDescent="0.4">
      <c r="A220" s="16">
        <v>43885</v>
      </c>
      <c r="B220" s="14">
        <v>98.05</v>
      </c>
      <c r="C220" s="25">
        <f t="shared" si="14"/>
        <v>-4.6206225680933855E-2</v>
      </c>
      <c r="E220" s="16">
        <v>43885</v>
      </c>
      <c r="F220" s="15">
        <v>9758.2000000000007</v>
      </c>
      <c r="G220" s="25">
        <f t="shared" si="15"/>
        <v>-2.0128230232009249E-2</v>
      </c>
      <c r="I220" s="16">
        <v>43885</v>
      </c>
      <c r="J220" s="17">
        <v>5.0599999999999999E-2</v>
      </c>
      <c r="K220" s="25">
        <f t="shared" si="12"/>
        <v>1.3524593816138797E-4</v>
      </c>
      <c r="M220" s="16">
        <v>43885</v>
      </c>
      <c r="N220" s="26">
        <f t="shared" si="13"/>
        <v>-2.0263476170170637E-2</v>
      </c>
      <c r="O220" s="26">
        <f>'Part 2 - CAPM 2.1, 2.2 and 2.3'!C220-'Part 2 - CAPM 2.1, 2.2 and 2.3'!K220</f>
        <v>-4.6341471619095242E-2</v>
      </c>
    </row>
    <row r="221" spans="1:15" x14ac:dyDescent="0.4">
      <c r="A221" s="16">
        <v>43886</v>
      </c>
      <c r="B221" s="14">
        <v>97.55</v>
      </c>
      <c r="C221" s="25">
        <f t="shared" si="14"/>
        <v>-5.0994390617032127E-3</v>
      </c>
      <c r="E221" s="16">
        <v>43886</v>
      </c>
      <c r="F221" s="15">
        <v>9724.7000000000007</v>
      </c>
      <c r="G221" s="25">
        <f t="shared" si="15"/>
        <v>-3.4330101863048511E-3</v>
      </c>
      <c r="I221" s="16">
        <v>43886</v>
      </c>
      <c r="J221" s="17">
        <v>5.0700000000000002E-2</v>
      </c>
      <c r="K221" s="25">
        <f t="shared" si="12"/>
        <v>1.3550673832551929E-4</v>
      </c>
      <c r="M221" s="16">
        <v>43886</v>
      </c>
      <c r="N221" s="26">
        <f t="shared" si="13"/>
        <v>-3.5685169246303704E-3</v>
      </c>
      <c r="O221" s="26">
        <f>'Part 2 - CAPM 2.1, 2.2 and 2.3'!C221-'Part 2 - CAPM 2.1, 2.2 and 2.3'!K221</f>
        <v>-5.234945800028732E-3</v>
      </c>
    </row>
    <row r="222" spans="1:15" x14ac:dyDescent="0.4">
      <c r="A222" s="16">
        <v>43887</v>
      </c>
      <c r="B222" s="14">
        <v>95.8</v>
      </c>
      <c r="C222" s="25">
        <f t="shared" si="14"/>
        <v>-1.7939518195797029E-2</v>
      </c>
      <c r="E222" s="16">
        <v>43887</v>
      </c>
      <c r="F222" s="15">
        <v>9622.7000000000007</v>
      </c>
      <c r="G222" s="25">
        <f t="shared" si="15"/>
        <v>-1.0488755437185722E-2</v>
      </c>
      <c r="I222" s="16">
        <v>43887</v>
      </c>
      <c r="J222" s="17">
        <v>5.0900000000000001E-2</v>
      </c>
      <c r="K222" s="25">
        <f t="shared" si="12"/>
        <v>1.3602826440117788E-4</v>
      </c>
      <c r="M222" s="16">
        <v>43887</v>
      </c>
      <c r="N222" s="26">
        <f t="shared" si="13"/>
        <v>-1.06247837015869E-2</v>
      </c>
      <c r="O222" s="26">
        <f>'Part 2 - CAPM 2.1, 2.2 and 2.3'!C222-'Part 2 - CAPM 2.1, 2.2 and 2.3'!K222</f>
        <v>-1.8075546460198207E-2</v>
      </c>
    </row>
    <row r="223" spans="1:15" x14ac:dyDescent="0.4">
      <c r="A223" s="16">
        <v>43888</v>
      </c>
      <c r="B223" s="14">
        <v>93.35</v>
      </c>
      <c r="C223" s="25">
        <f t="shared" si="14"/>
        <v>-2.5574112734864332E-2</v>
      </c>
      <c r="E223" s="16">
        <v>43888</v>
      </c>
      <c r="F223" s="15">
        <v>9579.35</v>
      </c>
      <c r="G223" s="25">
        <f t="shared" si="15"/>
        <v>-4.5049726168331508E-3</v>
      </c>
      <c r="I223" s="16">
        <v>43888</v>
      </c>
      <c r="J223" s="17">
        <v>5.0799999999999998E-2</v>
      </c>
      <c r="K223" s="25">
        <f t="shared" si="12"/>
        <v>1.3576751373700624E-4</v>
      </c>
      <c r="M223" s="16">
        <v>43888</v>
      </c>
      <c r="N223" s="26">
        <f t="shared" si="13"/>
        <v>-4.6407401305701571E-3</v>
      </c>
      <c r="O223" s="26">
        <f>'Part 2 - CAPM 2.1, 2.2 and 2.3'!C223-'Part 2 - CAPM 2.1, 2.2 and 2.3'!K223</f>
        <v>-2.5709880248601338E-2</v>
      </c>
    </row>
    <row r="224" spans="1:15" x14ac:dyDescent="0.4">
      <c r="A224" s="16">
        <v>43889</v>
      </c>
      <c r="B224" s="14">
        <v>91.95</v>
      </c>
      <c r="C224" s="25">
        <f t="shared" si="14"/>
        <v>-1.4997321906802266E-2</v>
      </c>
      <c r="E224" s="16">
        <v>43889</v>
      </c>
      <c r="F224" s="15">
        <v>9236.0499999999993</v>
      </c>
      <c r="G224" s="25">
        <f t="shared" si="15"/>
        <v>-3.5837504632360344E-2</v>
      </c>
      <c r="I224" s="16">
        <v>43889</v>
      </c>
      <c r="J224" s="17">
        <v>5.0799999999999998E-2</v>
      </c>
      <c r="K224" s="25">
        <f t="shared" si="12"/>
        <v>1.3576751373700624E-4</v>
      </c>
      <c r="M224" s="16">
        <v>43889</v>
      </c>
      <c r="N224" s="26">
        <f t="shared" si="13"/>
        <v>-3.597327214609735E-2</v>
      </c>
      <c r="O224" s="26">
        <f>'Part 2 - CAPM 2.1, 2.2 and 2.3'!C224-'Part 2 - CAPM 2.1, 2.2 and 2.3'!K224</f>
        <v>-1.5133089420539272E-2</v>
      </c>
    </row>
    <row r="225" spans="1:15" x14ac:dyDescent="0.4">
      <c r="A225" s="16">
        <v>43892</v>
      </c>
      <c r="B225" s="14">
        <v>89.1</v>
      </c>
      <c r="C225" s="25">
        <f t="shared" si="14"/>
        <v>-3.0995106035889161E-2</v>
      </c>
      <c r="E225" s="16">
        <v>43892</v>
      </c>
      <c r="F225" s="15">
        <v>9178.7999999999993</v>
      </c>
      <c r="G225" s="25">
        <f t="shared" si="15"/>
        <v>-6.198537253479572E-3</v>
      </c>
      <c r="I225" s="16">
        <v>43892</v>
      </c>
      <c r="J225" s="17">
        <v>5.0799999999999998E-2</v>
      </c>
      <c r="K225" s="25">
        <f t="shared" si="12"/>
        <v>1.3576751373700624E-4</v>
      </c>
      <c r="M225" s="16">
        <v>43892</v>
      </c>
      <c r="N225" s="26">
        <f t="shared" si="13"/>
        <v>-6.3343047672165783E-3</v>
      </c>
      <c r="O225" s="26">
        <f>'Part 2 - CAPM 2.1, 2.2 and 2.3'!C225-'Part 2 - CAPM 2.1, 2.2 and 2.3'!K225</f>
        <v>-3.1130873549626167E-2</v>
      </c>
    </row>
    <row r="226" spans="1:15" x14ac:dyDescent="0.4">
      <c r="A226" s="16">
        <v>43893</v>
      </c>
      <c r="B226" s="14">
        <v>93.35</v>
      </c>
      <c r="C226" s="25">
        <f t="shared" si="14"/>
        <v>4.7699214365881037E-2</v>
      </c>
      <c r="E226" s="16">
        <v>43893</v>
      </c>
      <c r="F226" s="15">
        <v>9324.2999999999993</v>
      </c>
      <c r="G226" s="25">
        <f t="shared" si="15"/>
        <v>1.5851745326186432E-2</v>
      </c>
      <c r="I226" s="16">
        <v>43893</v>
      </c>
      <c r="J226" s="17">
        <v>5.1200000000000002E-2</v>
      </c>
      <c r="K226" s="25">
        <f t="shared" si="12"/>
        <v>1.3681036795398782E-4</v>
      </c>
      <c r="M226" s="16">
        <v>43893</v>
      </c>
      <c r="N226" s="26">
        <f t="shared" si="13"/>
        <v>1.5714934958232445E-2</v>
      </c>
      <c r="O226" s="26">
        <f>'Part 2 - CAPM 2.1, 2.2 and 2.3'!C226-'Part 2 - CAPM 2.1, 2.2 and 2.3'!K226</f>
        <v>4.756240399792705E-2</v>
      </c>
    </row>
    <row r="227" spans="1:15" x14ac:dyDescent="0.4">
      <c r="A227" s="16">
        <v>43894</v>
      </c>
      <c r="B227" s="14">
        <v>92.8</v>
      </c>
      <c r="C227" s="25">
        <f t="shared" si="14"/>
        <v>-5.8918050348151811E-3</v>
      </c>
      <c r="E227" s="16">
        <v>43894</v>
      </c>
      <c r="F227" s="15">
        <v>9258.25</v>
      </c>
      <c r="G227" s="25">
        <f t="shared" si="15"/>
        <v>-7.0836416674709395E-3</v>
      </c>
      <c r="I227" s="16">
        <v>43894</v>
      </c>
      <c r="J227" s="17">
        <v>5.0199999999999995E-2</v>
      </c>
      <c r="K227" s="25">
        <f t="shared" si="12"/>
        <v>1.3420248988715855E-4</v>
      </c>
      <c r="M227" s="16">
        <v>43894</v>
      </c>
      <c r="N227" s="26">
        <f t="shared" si="13"/>
        <v>-7.2178441573580981E-3</v>
      </c>
      <c r="O227" s="26">
        <f>'Part 2 - CAPM 2.1, 2.2 and 2.3'!C227-'Part 2 - CAPM 2.1, 2.2 and 2.3'!K227</f>
        <v>-6.0260075247023396E-3</v>
      </c>
    </row>
    <row r="228" spans="1:15" x14ac:dyDescent="0.4">
      <c r="A228" s="16">
        <v>43895</v>
      </c>
      <c r="B228" s="14">
        <v>92.6</v>
      </c>
      <c r="C228" s="25">
        <f t="shared" si="14"/>
        <v>-2.1551724137931342E-3</v>
      </c>
      <c r="E228" s="16">
        <v>43895</v>
      </c>
      <c r="F228" s="15">
        <v>9280.15</v>
      </c>
      <c r="G228" s="25">
        <f t="shared" si="15"/>
        <v>2.365457834903965E-3</v>
      </c>
      <c r="I228" s="16">
        <v>43895</v>
      </c>
      <c r="J228" s="17">
        <v>4.9200000000000001E-2</v>
      </c>
      <c r="K228" s="25">
        <f t="shared" si="12"/>
        <v>1.3159213422664351E-4</v>
      </c>
      <c r="M228" s="16">
        <v>43895</v>
      </c>
      <c r="N228" s="26">
        <f t="shared" si="13"/>
        <v>2.2338657006773215E-3</v>
      </c>
      <c r="O228" s="26">
        <f>'Part 2 - CAPM 2.1, 2.2 and 2.3'!C228-'Part 2 - CAPM 2.1, 2.2 and 2.3'!K228</f>
        <v>-2.2867645480197777E-3</v>
      </c>
    </row>
    <row r="229" spans="1:15" x14ac:dyDescent="0.4">
      <c r="A229" s="16">
        <v>43896</v>
      </c>
      <c r="B229" s="14">
        <v>88.5</v>
      </c>
      <c r="C229" s="25">
        <f t="shared" si="14"/>
        <v>-4.4276457883369272E-2</v>
      </c>
      <c r="E229" s="16">
        <v>43896</v>
      </c>
      <c r="F229" s="15">
        <v>9059.9500000000007</v>
      </c>
      <c r="G229" s="25">
        <f t="shared" si="15"/>
        <v>-2.3728064740332743E-2</v>
      </c>
      <c r="I229" s="16">
        <v>43896</v>
      </c>
      <c r="J229" s="17">
        <v>4.9599999999999998E-2</v>
      </c>
      <c r="K229" s="25">
        <f t="shared" si="12"/>
        <v>1.3263657410389484E-4</v>
      </c>
      <c r="M229" s="16">
        <v>43896</v>
      </c>
      <c r="N229" s="26">
        <f t="shared" si="13"/>
        <v>-2.3860701314436638E-2</v>
      </c>
      <c r="O229" s="26">
        <f>'Part 2 - CAPM 2.1, 2.2 and 2.3'!C229-'Part 2 - CAPM 2.1, 2.2 and 2.3'!K229</f>
        <v>-4.4409094457473167E-2</v>
      </c>
    </row>
    <row r="230" spans="1:15" x14ac:dyDescent="0.4">
      <c r="A230" s="16">
        <v>43899</v>
      </c>
      <c r="B230" s="14">
        <v>74.55</v>
      </c>
      <c r="C230" s="25">
        <f t="shared" si="14"/>
        <v>-0.15762711864406784</v>
      </c>
      <c r="E230" s="16">
        <v>43899</v>
      </c>
      <c r="F230" s="15">
        <v>8631.35</v>
      </c>
      <c r="G230" s="25">
        <f t="shared" si="15"/>
        <v>-4.7307104343842991E-2</v>
      </c>
      <c r="I230" s="16">
        <v>43899</v>
      </c>
      <c r="J230" s="17">
        <v>4.9000000000000002E-2</v>
      </c>
      <c r="K230" s="25">
        <f t="shared" si="12"/>
        <v>1.3106976536825243E-4</v>
      </c>
      <c r="M230" s="16">
        <v>43899</v>
      </c>
      <c r="N230" s="26">
        <f t="shared" si="13"/>
        <v>-4.7438174109211244E-2</v>
      </c>
      <c r="O230" s="26">
        <f>'Part 2 - CAPM 2.1, 2.2 and 2.3'!C230-'Part 2 - CAPM 2.1, 2.2 and 2.3'!K230</f>
        <v>-0.15775818840943609</v>
      </c>
    </row>
    <row r="231" spans="1:15" x14ac:dyDescent="0.4">
      <c r="A231" s="16">
        <v>43901</v>
      </c>
      <c r="B231" s="14">
        <v>71.7</v>
      </c>
      <c r="C231" s="25">
        <f t="shared" si="14"/>
        <v>-3.8229376257545196E-2</v>
      </c>
      <c r="E231" s="16">
        <v>43901</v>
      </c>
      <c r="F231" s="15">
        <v>8618.0499999999993</v>
      </c>
      <c r="G231" s="25">
        <f t="shared" si="15"/>
        <v>-1.5408945298245455E-3</v>
      </c>
      <c r="I231" s="16">
        <v>43901</v>
      </c>
      <c r="J231" s="17">
        <v>4.8499999999999995E-2</v>
      </c>
      <c r="K231" s="25">
        <f t="shared" si="12"/>
        <v>1.2976340856973856E-4</v>
      </c>
      <c r="M231" s="16">
        <v>43901</v>
      </c>
      <c r="N231" s="26">
        <f t="shared" si="13"/>
        <v>-1.670657938394284E-3</v>
      </c>
      <c r="O231" s="26">
        <f>'Part 2 - CAPM 2.1, 2.2 and 2.3'!C231-'Part 2 - CAPM 2.1, 2.2 and 2.3'!K231</f>
        <v>-3.8359139666114934E-2</v>
      </c>
    </row>
    <row r="232" spans="1:15" x14ac:dyDescent="0.4">
      <c r="A232" s="16">
        <v>43902</v>
      </c>
      <c r="B232" s="14">
        <v>62.5</v>
      </c>
      <c r="C232" s="25">
        <f t="shared" si="14"/>
        <v>-0.12831241283124131</v>
      </c>
      <c r="E232" s="16">
        <v>43902</v>
      </c>
      <c r="F232" s="15">
        <v>7901.35</v>
      </c>
      <c r="G232" s="25">
        <f t="shared" si="15"/>
        <v>-8.3162664407841563E-2</v>
      </c>
      <c r="I232" s="16">
        <v>43902</v>
      </c>
      <c r="J232" s="17">
        <v>4.8799999999999996E-2</v>
      </c>
      <c r="K232" s="25">
        <f t="shared" si="12"/>
        <v>1.3054729717976166E-4</v>
      </c>
      <c r="M232" s="16">
        <v>43902</v>
      </c>
      <c r="N232" s="26">
        <f t="shared" si="13"/>
        <v>-8.3293211705021325E-2</v>
      </c>
      <c r="O232" s="26">
        <f>'Part 2 - CAPM 2.1, 2.2 and 2.3'!C232-'Part 2 - CAPM 2.1, 2.2 and 2.3'!K232</f>
        <v>-0.12844296012842107</v>
      </c>
    </row>
    <row r="233" spans="1:15" x14ac:dyDescent="0.4">
      <c r="A233" s="16">
        <v>43903</v>
      </c>
      <c r="B233" s="14">
        <v>65.900000000000006</v>
      </c>
      <c r="C233" s="25">
        <f t="shared" si="14"/>
        <v>5.4400000000000094E-2</v>
      </c>
      <c r="E233" s="16">
        <v>43903</v>
      </c>
      <c r="F233" s="15">
        <v>8163</v>
      </c>
      <c r="G233" s="25">
        <f t="shared" si="15"/>
        <v>3.3114594341473243E-2</v>
      </c>
      <c r="I233" s="16">
        <v>43903</v>
      </c>
      <c r="J233" s="17">
        <v>4.8799999999999996E-2</v>
      </c>
      <c r="K233" s="25">
        <f t="shared" si="12"/>
        <v>1.3054729717976166E-4</v>
      </c>
      <c r="M233" s="16">
        <v>43903</v>
      </c>
      <c r="N233" s="26">
        <f t="shared" si="13"/>
        <v>3.2984047044293481E-2</v>
      </c>
      <c r="O233" s="26">
        <f>'Part 2 - CAPM 2.1, 2.2 and 2.3'!C233-'Part 2 - CAPM 2.1, 2.2 and 2.3'!K233</f>
        <v>5.4269452702820332E-2</v>
      </c>
    </row>
    <row r="234" spans="1:15" x14ac:dyDescent="0.4">
      <c r="A234" s="16">
        <v>43906</v>
      </c>
      <c r="B234" s="14">
        <v>60.15</v>
      </c>
      <c r="C234" s="25">
        <f t="shared" si="14"/>
        <v>-8.7253414264036516E-2</v>
      </c>
      <c r="E234" s="16">
        <v>43906</v>
      </c>
      <c r="F234" s="15">
        <v>7591.9</v>
      </c>
      <c r="G234" s="25">
        <f t="shared" si="15"/>
        <v>-6.996202376577243E-2</v>
      </c>
      <c r="I234" s="16">
        <v>43906</v>
      </c>
      <c r="J234" s="17">
        <v>4.7300000000000002E-2</v>
      </c>
      <c r="K234" s="25">
        <f t="shared" si="12"/>
        <v>1.2662561579035447E-4</v>
      </c>
      <c r="M234" s="16">
        <v>43906</v>
      </c>
      <c r="N234" s="26">
        <f t="shared" si="13"/>
        <v>-7.0088649381562784E-2</v>
      </c>
      <c r="O234" s="26">
        <f>'Part 2 - CAPM 2.1, 2.2 and 2.3'!C234-'Part 2 - CAPM 2.1, 2.2 and 2.3'!K234</f>
        <v>-8.7380039879826871E-2</v>
      </c>
    </row>
    <row r="235" spans="1:15" x14ac:dyDescent="0.4">
      <c r="A235" s="16">
        <v>43907</v>
      </c>
      <c r="B235" s="14">
        <v>60</v>
      </c>
      <c r="C235" s="25">
        <f t="shared" si="14"/>
        <v>-2.4937655860348892E-3</v>
      </c>
      <c r="E235" s="16">
        <v>43907</v>
      </c>
      <c r="F235" s="15">
        <v>7417.65</v>
      </c>
      <c r="G235" s="25">
        <f t="shared" si="15"/>
        <v>-2.2952093678789236E-2</v>
      </c>
      <c r="I235" s="16">
        <v>43907</v>
      </c>
      <c r="J235" s="17">
        <v>4.8000000000000001E-2</v>
      </c>
      <c r="K235" s="25">
        <f t="shared" si="12"/>
        <v>1.2845643036563104E-4</v>
      </c>
      <c r="M235" s="16">
        <v>43907</v>
      </c>
      <c r="N235" s="26">
        <f t="shared" si="13"/>
        <v>-2.3080550109154867E-2</v>
      </c>
      <c r="O235" s="26">
        <f>'Part 2 - CAPM 2.1, 2.2 and 2.3'!C235-'Part 2 - CAPM 2.1, 2.2 and 2.3'!K235</f>
        <v>-2.6222220164005203E-3</v>
      </c>
    </row>
    <row r="236" spans="1:15" x14ac:dyDescent="0.4">
      <c r="A236" s="16">
        <v>43908</v>
      </c>
      <c r="B236" s="14">
        <v>68.150000000000006</v>
      </c>
      <c r="C236" s="25">
        <f t="shared" si="14"/>
        <v>0.13583333333333342</v>
      </c>
      <c r="E236" s="16">
        <v>43908</v>
      </c>
      <c r="F236" s="15">
        <v>7010.55</v>
      </c>
      <c r="G236" s="25">
        <f t="shared" si="15"/>
        <v>-5.4882611069543515E-2</v>
      </c>
      <c r="I236" s="16">
        <v>43908</v>
      </c>
      <c r="J236" s="17">
        <v>4.8799999999999996E-2</v>
      </c>
      <c r="K236" s="25">
        <f t="shared" si="12"/>
        <v>1.3054729717976166E-4</v>
      </c>
      <c r="M236" s="16">
        <v>43908</v>
      </c>
      <c r="N236" s="26">
        <f t="shared" si="13"/>
        <v>-5.5013158366723276E-2</v>
      </c>
      <c r="O236" s="26">
        <f>'Part 2 - CAPM 2.1, 2.2 and 2.3'!C236-'Part 2 - CAPM 2.1, 2.2 and 2.3'!K236</f>
        <v>0.13570278603615366</v>
      </c>
    </row>
    <row r="237" spans="1:15" x14ac:dyDescent="0.4">
      <c r="A237" s="16">
        <v>43909</v>
      </c>
      <c r="B237" s="14">
        <v>61.05</v>
      </c>
      <c r="C237" s="25">
        <f t="shared" si="14"/>
        <v>-0.1041819515774029</v>
      </c>
      <c r="E237" s="16">
        <v>43909</v>
      </c>
      <c r="F237" s="15">
        <v>6807.2</v>
      </c>
      <c r="G237" s="25">
        <f t="shared" si="15"/>
        <v>-2.9006283387180799E-2</v>
      </c>
      <c r="I237" s="16">
        <v>43909</v>
      </c>
      <c r="J237" s="17">
        <v>4.8799999999999996E-2</v>
      </c>
      <c r="K237" s="25">
        <f t="shared" si="12"/>
        <v>1.3054729717976166E-4</v>
      </c>
      <c r="M237" s="16">
        <v>43909</v>
      </c>
      <c r="N237" s="26">
        <f t="shared" si="13"/>
        <v>-2.913683068436056E-2</v>
      </c>
      <c r="O237" s="26">
        <f>'Part 2 - CAPM 2.1, 2.2 and 2.3'!C237-'Part 2 - CAPM 2.1, 2.2 and 2.3'!K237</f>
        <v>-0.10431249887458266</v>
      </c>
    </row>
    <row r="238" spans="1:15" x14ac:dyDescent="0.4">
      <c r="A238" s="16">
        <v>43910</v>
      </c>
      <c r="B238" s="14">
        <v>72.349999999999994</v>
      </c>
      <c r="C238" s="25">
        <f t="shared" si="14"/>
        <v>0.18509418509418504</v>
      </c>
      <c r="E238" s="16">
        <v>43910</v>
      </c>
      <c r="F238" s="15">
        <v>7160.1</v>
      </c>
      <c r="G238" s="25">
        <f t="shared" si="15"/>
        <v>5.1842167117170136E-2</v>
      </c>
      <c r="I238" s="16">
        <v>43910</v>
      </c>
      <c r="J238" s="17">
        <v>4.7899999999999998E-2</v>
      </c>
      <c r="K238" s="25">
        <f t="shared" si="12"/>
        <v>1.2819496010396669E-4</v>
      </c>
      <c r="M238" s="16">
        <v>43910</v>
      </c>
      <c r="N238" s="26">
        <f t="shared" si="13"/>
        <v>5.171397215706617E-2</v>
      </c>
      <c r="O238" s="26">
        <f>'Part 2 - CAPM 2.1, 2.2 and 2.3'!C238-'Part 2 - CAPM 2.1, 2.2 and 2.3'!K238</f>
        <v>0.18496599013408108</v>
      </c>
    </row>
    <row r="239" spans="1:15" x14ac:dyDescent="0.4">
      <c r="A239" s="16">
        <v>43913</v>
      </c>
      <c r="B239" s="14">
        <v>60.4</v>
      </c>
      <c r="C239" s="25">
        <f t="shared" si="14"/>
        <v>-0.16516931582584654</v>
      </c>
      <c r="E239" s="16">
        <v>43913</v>
      </c>
      <c r="F239" s="15">
        <v>6243</v>
      </c>
      <c r="G239" s="25">
        <f t="shared" si="15"/>
        <v>-0.12808480328487037</v>
      </c>
      <c r="I239" s="16">
        <v>43913</v>
      </c>
      <c r="J239" s="17">
        <v>4.7199999999999999E-2</v>
      </c>
      <c r="K239" s="25">
        <f t="shared" si="12"/>
        <v>1.2636397123633181E-4</v>
      </c>
      <c r="M239" s="16">
        <v>43913</v>
      </c>
      <c r="N239" s="26">
        <f t="shared" si="13"/>
        <v>-0.12821116725610671</v>
      </c>
      <c r="O239" s="26">
        <f>'Part 2 - CAPM 2.1, 2.2 and 2.3'!C239-'Part 2 - CAPM 2.1, 2.2 and 2.3'!K239</f>
        <v>-0.16529567979708287</v>
      </c>
    </row>
    <row r="240" spans="1:15" x14ac:dyDescent="0.4">
      <c r="A240" s="16">
        <v>43914</v>
      </c>
      <c r="B240" s="14">
        <v>62.5</v>
      </c>
      <c r="C240" s="25">
        <f t="shared" si="14"/>
        <v>3.4768211920529826E-2</v>
      </c>
      <c r="E240" s="16">
        <v>43914</v>
      </c>
      <c r="F240" s="15">
        <v>6365.45</v>
      </c>
      <c r="G240" s="25">
        <f t="shared" si="15"/>
        <v>1.9613967643760982E-2</v>
      </c>
      <c r="I240" s="16">
        <v>43914</v>
      </c>
      <c r="J240" s="17">
        <v>5.0499999999999996E-2</v>
      </c>
      <c r="K240" s="25">
        <f t="shared" si="12"/>
        <v>1.3498511324017137E-4</v>
      </c>
      <c r="M240" s="16">
        <v>43914</v>
      </c>
      <c r="N240" s="26">
        <f t="shared" si="13"/>
        <v>1.947898253052081E-2</v>
      </c>
      <c r="O240" s="26">
        <f>'Part 2 - CAPM 2.1, 2.2 and 2.3'!C240-'Part 2 - CAPM 2.1, 2.2 and 2.3'!K240</f>
        <v>3.4633226807289655E-2</v>
      </c>
    </row>
    <row r="241" spans="1:15" x14ac:dyDescent="0.4">
      <c r="A241" s="16">
        <v>43916</v>
      </c>
      <c r="B241" s="14">
        <v>64.75</v>
      </c>
      <c r="C241" s="25">
        <f t="shared" si="14"/>
        <v>3.5999999999999997E-2</v>
      </c>
      <c r="E241" s="16">
        <v>43916</v>
      </c>
      <c r="F241" s="15">
        <v>6993.85</v>
      </c>
      <c r="G241" s="25">
        <f t="shared" si="15"/>
        <v>9.87204361042818E-2</v>
      </c>
      <c r="I241" s="16">
        <v>43916</v>
      </c>
      <c r="J241" s="17">
        <v>5.04E-2</v>
      </c>
      <c r="K241" s="25">
        <f t="shared" si="12"/>
        <v>1.3472426355742861E-4</v>
      </c>
      <c r="M241" s="16">
        <v>43916</v>
      </c>
      <c r="N241" s="26">
        <f t="shared" si="13"/>
        <v>9.8585711840724372E-2</v>
      </c>
      <c r="O241" s="26">
        <f>'Part 2 - CAPM 2.1, 2.2 and 2.3'!C241-'Part 2 - CAPM 2.1, 2.2 and 2.3'!K241</f>
        <v>3.5865275736442569E-2</v>
      </c>
    </row>
    <row r="242" spans="1:15" x14ac:dyDescent="0.4">
      <c r="A242" s="16">
        <v>43917</v>
      </c>
      <c r="B242" s="14">
        <v>64.45</v>
      </c>
      <c r="C242" s="25">
        <f t="shared" si="14"/>
        <v>-4.6332046332045896E-3</v>
      </c>
      <c r="E242" s="16">
        <v>43917</v>
      </c>
      <c r="F242" s="15">
        <v>7003.3</v>
      </c>
      <c r="G242" s="25">
        <f t="shared" si="15"/>
        <v>1.3511871143933338E-3</v>
      </c>
      <c r="I242" s="16">
        <v>43917</v>
      </c>
      <c r="J242" s="17">
        <v>4.2599999999999999E-2</v>
      </c>
      <c r="K242" s="25">
        <f t="shared" si="12"/>
        <v>1.1430130820322404E-4</v>
      </c>
      <c r="M242" s="16">
        <v>43917</v>
      </c>
      <c r="N242" s="26">
        <f t="shared" si="13"/>
        <v>1.2368858061901097E-3</v>
      </c>
      <c r="O242" s="26">
        <f>'Part 2 - CAPM 2.1, 2.2 and 2.3'!C242-'Part 2 - CAPM 2.1, 2.2 and 2.3'!K242</f>
        <v>-4.7475059414078136E-3</v>
      </c>
    </row>
    <row r="243" spans="1:15" x14ac:dyDescent="0.4">
      <c r="A243" s="16">
        <v>43920</v>
      </c>
      <c r="B243" s="14">
        <v>63.35</v>
      </c>
      <c r="C243" s="25">
        <f t="shared" si="14"/>
        <v>-1.7067494181536094E-2</v>
      </c>
      <c r="E243" s="16">
        <v>43920</v>
      </c>
      <c r="F243" s="15">
        <v>6749.2</v>
      </c>
      <c r="G243" s="25">
        <f t="shared" si="15"/>
        <v>-3.628289520654554E-2</v>
      </c>
      <c r="I243" s="16">
        <v>43920</v>
      </c>
      <c r="J243" s="17">
        <v>4.2999999999999997E-2</v>
      </c>
      <c r="K243" s="25">
        <f t="shared" si="12"/>
        <v>1.1535234029191876E-4</v>
      </c>
      <c r="M243" s="16">
        <v>43920</v>
      </c>
      <c r="N243" s="26">
        <f t="shared" si="13"/>
        <v>-3.6398247546837459E-2</v>
      </c>
      <c r="O243" s="26">
        <f>'Part 2 - CAPM 2.1, 2.2 and 2.3'!C243-'Part 2 - CAPM 2.1, 2.2 and 2.3'!K243</f>
        <v>-1.7182846521828013E-2</v>
      </c>
    </row>
    <row r="244" spans="1:15" x14ac:dyDescent="0.4">
      <c r="A244" s="16">
        <v>43921</v>
      </c>
      <c r="B244" s="14">
        <v>68.3</v>
      </c>
      <c r="C244" s="25">
        <f t="shared" si="14"/>
        <v>7.8137332280978619E-2</v>
      </c>
      <c r="E244" s="16">
        <v>43921</v>
      </c>
      <c r="F244" s="15">
        <v>6996.75</v>
      </c>
      <c r="G244" s="25">
        <f t="shared" si="15"/>
        <v>3.667842114620995E-2</v>
      </c>
      <c r="I244" s="16">
        <v>43921</v>
      </c>
      <c r="J244" s="17">
        <v>4.2500000000000003E-2</v>
      </c>
      <c r="K244" s="25">
        <f t="shared" si="12"/>
        <v>1.1403848734836686E-4</v>
      </c>
      <c r="M244" s="16">
        <v>43921</v>
      </c>
      <c r="N244" s="26">
        <f t="shared" si="13"/>
        <v>3.6564382658861583E-2</v>
      </c>
      <c r="O244" s="26">
        <f>'Part 2 - CAPM 2.1, 2.2 and 2.3'!C244-'Part 2 - CAPM 2.1, 2.2 and 2.3'!K244</f>
        <v>7.8023293793630252E-2</v>
      </c>
    </row>
    <row r="245" spans="1:15" x14ac:dyDescent="0.4">
      <c r="A245" s="16">
        <v>43924</v>
      </c>
      <c r="B245" s="14">
        <v>69.849999999999994</v>
      </c>
      <c r="C245" s="25">
        <f t="shared" si="14"/>
        <v>2.2693997071742272E-2</v>
      </c>
      <c r="E245" s="16">
        <v>43924</v>
      </c>
      <c r="F245" s="15">
        <v>6638.45</v>
      </c>
      <c r="G245" s="25">
        <f t="shared" si="15"/>
        <v>-5.1209490120413072E-2</v>
      </c>
      <c r="I245" s="16">
        <v>43924</v>
      </c>
      <c r="J245" s="17">
        <v>4.2900000000000001E-2</v>
      </c>
      <c r="K245" s="25">
        <f t="shared" si="12"/>
        <v>1.1508961995976286E-4</v>
      </c>
      <c r="M245" s="16">
        <v>43924</v>
      </c>
      <c r="N245" s="26">
        <f t="shared" si="13"/>
        <v>-5.1324579740372835E-2</v>
      </c>
      <c r="O245" s="26">
        <f>'Part 2 - CAPM 2.1, 2.2 and 2.3'!C245-'Part 2 - CAPM 2.1, 2.2 and 2.3'!K245</f>
        <v>2.2578907451782509E-2</v>
      </c>
    </row>
    <row r="246" spans="1:15" x14ac:dyDescent="0.4">
      <c r="A246" s="16">
        <v>43928</v>
      </c>
      <c r="B246" s="14">
        <v>72.900000000000006</v>
      </c>
      <c r="C246" s="25">
        <f t="shared" si="14"/>
        <v>4.3664996420902102E-2</v>
      </c>
      <c r="E246" s="16">
        <v>43928</v>
      </c>
      <c r="F246" s="15">
        <v>7149</v>
      </c>
      <c r="G246" s="25">
        <f t="shared" si="15"/>
        <v>7.690801316572396E-2</v>
      </c>
      <c r="I246" s="16">
        <v>43928</v>
      </c>
      <c r="J246" s="17">
        <v>4.0999999999999995E-2</v>
      </c>
      <c r="K246" s="25">
        <f t="shared" si="12"/>
        <v>1.1009315469112657E-4</v>
      </c>
      <c r="M246" s="16">
        <v>43928</v>
      </c>
      <c r="N246" s="26">
        <f t="shared" si="13"/>
        <v>7.6797920011032833E-2</v>
      </c>
      <c r="O246" s="26">
        <f>'Part 2 - CAPM 2.1, 2.2 and 2.3'!C246-'Part 2 - CAPM 2.1, 2.2 and 2.3'!K246</f>
        <v>4.3554903266210976E-2</v>
      </c>
    </row>
    <row r="247" spans="1:15" x14ac:dyDescent="0.4">
      <c r="A247" s="16">
        <v>43929</v>
      </c>
      <c r="B247" s="14">
        <v>74.45</v>
      </c>
      <c r="C247" s="25">
        <f t="shared" si="14"/>
        <v>2.1262002743484186E-2</v>
      </c>
      <c r="E247" s="16">
        <v>43929</v>
      </c>
      <c r="F247" s="15">
        <v>7161.45</v>
      </c>
      <c r="G247" s="25">
        <f t="shared" si="15"/>
        <v>1.7415023080150816E-3</v>
      </c>
      <c r="I247" s="16">
        <v>43929</v>
      </c>
      <c r="J247" s="17">
        <v>4.0999999999999995E-2</v>
      </c>
      <c r="K247" s="25">
        <f t="shared" si="12"/>
        <v>1.1009315469112657E-4</v>
      </c>
      <c r="M247" s="16">
        <v>43929</v>
      </c>
      <c r="N247" s="26">
        <f t="shared" si="13"/>
        <v>1.631409153323955E-3</v>
      </c>
      <c r="O247" s="26">
        <f>'Part 2 - CAPM 2.1, 2.2 and 2.3'!C247-'Part 2 - CAPM 2.1, 2.2 and 2.3'!K247</f>
        <v>2.1151909588793059E-2</v>
      </c>
    </row>
    <row r="248" spans="1:15" x14ac:dyDescent="0.4">
      <c r="A248" s="16">
        <v>43930</v>
      </c>
      <c r="B248" s="14">
        <v>77.3</v>
      </c>
      <c r="C248" s="25">
        <f t="shared" si="14"/>
        <v>3.8280725319005969E-2</v>
      </c>
      <c r="E248" s="16">
        <v>43930</v>
      </c>
      <c r="F248" s="15">
        <v>7441.65</v>
      </c>
      <c r="G248" s="25">
        <f t="shared" si="15"/>
        <v>3.9126154619525351E-2</v>
      </c>
      <c r="I248" s="16">
        <v>43930</v>
      </c>
      <c r="J248" s="17">
        <v>4.2500000000000003E-2</v>
      </c>
      <c r="K248" s="25">
        <f t="shared" si="12"/>
        <v>1.1403848734836686E-4</v>
      </c>
      <c r="M248" s="16">
        <v>43930</v>
      </c>
      <c r="N248" s="26">
        <f t="shared" si="13"/>
        <v>3.9012116132176984E-2</v>
      </c>
      <c r="O248" s="26">
        <f>'Part 2 - CAPM 2.1, 2.2 and 2.3'!C248-'Part 2 - CAPM 2.1, 2.2 and 2.3'!K248</f>
        <v>3.8166686831657602E-2</v>
      </c>
    </row>
    <row r="249" spans="1:15" x14ac:dyDescent="0.4">
      <c r="A249" s="16">
        <v>43934</v>
      </c>
      <c r="B249" s="14">
        <v>75.05</v>
      </c>
      <c r="C249" s="25">
        <f t="shared" si="14"/>
        <v>-2.9107373868046574E-2</v>
      </c>
      <c r="E249" s="16">
        <v>43934</v>
      </c>
      <c r="F249" s="15">
        <v>7360.35</v>
      </c>
      <c r="G249" s="25">
        <f t="shared" si="15"/>
        <v>-1.0924996472556393E-2</v>
      </c>
      <c r="I249" s="16">
        <v>43934</v>
      </c>
      <c r="J249" s="17">
        <v>4.1900000000000007E-2</v>
      </c>
      <c r="K249" s="25">
        <f t="shared" si="12"/>
        <v>1.1246103405149199E-4</v>
      </c>
      <c r="M249" s="16">
        <v>43934</v>
      </c>
      <c r="N249" s="26">
        <f t="shared" si="13"/>
        <v>-1.1037457506607885E-2</v>
      </c>
      <c r="O249" s="26">
        <f>'Part 2 - CAPM 2.1, 2.2 and 2.3'!C249-'Part 2 - CAPM 2.1, 2.2 and 2.3'!K249</f>
        <v>-2.9219834902098066E-2</v>
      </c>
    </row>
    <row r="250" spans="1:15" x14ac:dyDescent="0.4">
      <c r="A250" s="16">
        <v>43936</v>
      </c>
      <c r="B250" s="14">
        <v>74.349999999999994</v>
      </c>
      <c r="C250" s="25">
        <f t="shared" si="14"/>
        <v>-9.327115256495707E-3</v>
      </c>
      <c r="E250" s="16">
        <v>43936</v>
      </c>
      <c r="F250" s="15">
        <v>7344.35</v>
      </c>
      <c r="G250" s="25">
        <f t="shared" si="15"/>
        <v>-2.1738096693771354E-3</v>
      </c>
      <c r="I250" s="16">
        <v>43936</v>
      </c>
      <c r="J250" s="17">
        <v>4.0800000000000003E-2</v>
      </c>
      <c r="K250" s="25">
        <f t="shared" si="12"/>
        <v>1.0956668203476738E-4</v>
      </c>
      <c r="M250" s="16">
        <v>43936</v>
      </c>
      <c r="N250" s="26">
        <f t="shared" si="13"/>
        <v>-2.2833763514119028E-3</v>
      </c>
      <c r="O250" s="26">
        <f>'Part 2 - CAPM 2.1, 2.2 and 2.3'!C250-'Part 2 - CAPM 2.1, 2.2 and 2.3'!K250</f>
        <v>-9.4366819385304744E-3</v>
      </c>
    </row>
    <row r="251" spans="1:15" x14ac:dyDescent="0.4">
      <c r="A251" s="16">
        <v>43937</v>
      </c>
      <c r="B251" s="14">
        <v>75.45</v>
      </c>
      <c r="C251" s="25">
        <f t="shared" si="14"/>
        <v>1.4794889038332329E-2</v>
      </c>
      <c r="E251" s="16">
        <v>43937</v>
      </c>
      <c r="F251" s="15">
        <v>7412.3</v>
      </c>
      <c r="G251" s="25">
        <f t="shared" si="15"/>
        <v>9.2520100485406903E-3</v>
      </c>
      <c r="I251" s="16">
        <v>43937</v>
      </c>
      <c r="J251" s="17">
        <v>4.0599999999999997E-2</v>
      </c>
      <c r="K251" s="25">
        <f t="shared" si="12"/>
        <v>1.0904010847911927E-4</v>
      </c>
      <c r="M251" s="16">
        <v>43937</v>
      </c>
      <c r="N251" s="26">
        <f t="shared" si="13"/>
        <v>9.142969940061571E-3</v>
      </c>
      <c r="O251" s="26">
        <f>'Part 2 - CAPM 2.1, 2.2 and 2.3'!C251-'Part 2 - CAPM 2.1, 2.2 and 2.3'!K251</f>
        <v>1.468584892985321E-2</v>
      </c>
    </row>
    <row r="252" spans="1:15" x14ac:dyDescent="0.4">
      <c r="A252" s="16">
        <v>43938</v>
      </c>
      <c r="B252" s="14">
        <v>76.3</v>
      </c>
      <c r="C252" s="25">
        <f t="shared" si="14"/>
        <v>1.1265738899933654E-2</v>
      </c>
      <c r="E252" s="16">
        <v>43938</v>
      </c>
      <c r="F252" s="15">
        <v>7614.4</v>
      </c>
      <c r="G252" s="25">
        <f t="shared" si="15"/>
        <v>2.726549114309991E-2</v>
      </c>
      <c r="I252" s="16">
        <v>43938</v>
      </c>
      <c r="J252" s="17">
        <v>3.9E-2</v>
      </c>
      <c r="K252" s="25">
        <f t="shared" si="12"/>
        <v>1.0482388300125933E-4</v>
      </c>
      <c r="M252" s="16">
        <v>43938</v>
      </c>
      <c r="N252" s="26">
        <f t="shared" si="13"/>
        <v>2.716066726009865E-2</v>
      </c>
      <c r="O252" s="26">
        <f>'Part 2 - CAPM 2.1, 2.2 and 2.3'!C252-'Part 2 - CAPM 2.1, 2.2 and 2.3'!K252</f>
        <v>1.1160915016932395E-2</v>
      </c>
    </row>
    <row r="253" spans="1:15" x14ac:dyDescent="0.4">
      <c r="A253" s="16">
        <v>43941</v>
      </c>
      <c r="B253" s="14">
        <v>74</v>
      </c>
      <c r="C253" s="25">
        <f t="shared" si="14"/>
        <v>-3.014416775884662E-2</v>
      </c>
      <c r="E253" s="16">
        <v>43941</v>
      </c>
      <c r="F253" s="15">
        <v>7614.6</v>
      </c>
      <c r="G253" s="25">
        <f t="shared" si="15"/>
        <v>2.6266022273682443E-5</v>
      </c>
      <c r="I253" s="16">
        <v>43941</v>
      </c>
      <c r="J253" s="17">
        <v>3.85E-2</v>
      </c>
      <c r="K253" s="25">
        <f t="shared" si="12"/>
        <v>1.0350498458366886E-4</v>
      </c>
      <c r="M253" s="16">
        <v>43941</v>
      </c>
      <c r="N253" s="26">
        <f t="shared" si="13"/>
        <v>-7.7238962309986411E-5</v>
      </c>
      <c r="O253" s="26">
        <f>'Part 2 - CAPM 2.1, 2.2 and 2.3'!C253-'Part 2 - CAPM 2.1, 2.2 and 2.3'!K253</f>
        <v>-3.0247672743430289E-2</v>
      </c>
    </row>
    <row r="254" spans="1:15" x14ac:dyDescent="0.4">
      <c r="A254" s="16">
        <v>43942</v>
      </c>
      <c r="B254" s="14">
        <v>69.349999999999994</v>
      </c>
      <c r="C254" s="25">
        <f t="shared" si="14"/>
        <v>-6.2837837837837918E-2</v>
      </c>
      <c r="E254" s="16">
        <v>43942</v>
      </c>
      <c r="F254" s="15">
        <v>7395.85</v>
      </c>
      <c r="G254" s="25">
        <f t="shared" si="15"/>
        <v>-2.872770729913587E-2</v>
      </c>
      <c r="I254" s="16">
        <v>43942</v>
      </c>
      <c r="J254" s="17">
        <v>3.7999999999999999E-2</v>
      </c>
      <c r="K254" s="25">
        <f t="shared" si="12"/>
        <v>1.021854527523125E-4</v>
      </c>
      <c r="M254" s="16">
        <v>43942</v>
      </c>
      <c r="N254" s="26">
        <f t="shared" si="13"/>
        <v>-2.8829892751888183E-2</v>
      </c>
      <c r="O254" s="26">
        <f>'Part 2 - CAPM 2.1, 2.2 and 2.3'!C254-'Part 2 - CAPM 2.1, 2.2 and 2.3'!K254</f>
        <v>-6.294002329059023E-2</v>
      </c>
    </row>
    <row r="255" spans="1:15" x14ac:dyDescent="0.4">
      <c r="A255" s="16">
        <v>43943</v>
      </c>
      <c r="B255" s="14">
        <v>65.349999999999994</v>
      </c>
      <c r="C255" s="25">
        <f t="shared" si="14"/>
        <v>-5.7678442682047588E-2</v>
      </c>
      <c r="E255" s="16">
        <v>43943</v>
      </c>
      <c r="F255" s="15">
        <v>7533.8</v>
      </c>
      <c r="G255" s="25">
        <f t="shared" si="15"/>
        <v>1.8652352332727114E-2</v>
      </c>
      <c r="I255" s="16">
        <v>43943</v>
      </c>
      <c r="J255" s="17">
        <v>3.6499999999999998E-2</v>
      </c>
      <c r="K255" s="25">
        <f t="shared" si="12"/>
        <v>9.8223050674084433E-5</v>
      </c>
      <c r="M255" s="16">
        <v>43943</v>
      </c>
      <c r="N255" s="26">
        <f t="shared" si="13"/>
        <v>1.8554129282053029E-2</v>
      </c>
      <c r="O255" s="26">
        <f>'Part 2 - CAPM 2.1, 2.2 and 2.3'!C255-'Part 2 - CAPM 2.1, 2.2 and 2.3'!K255</f>
        <v>-5.7776665732721673E-2</v>
      </c>
    </row>
    <row r="256" spans="1:15" x14ac:dyDescent="0.4">
      <c r="A256" s="16">
        <v>43944</v>
      </c>
      <c r="B256" s="14">
        <v>67.349999999999994</v>
      </c>
      <c r="C256" s="25">
        <f t="shared" si="14"/>
        <v>3.0604437643458306E-2</v>
      </c>
      <c r="E256" s="16">
        <v>43944</v>
      </c>
      <c r="F256" s="15">
        <v>7625.3</v>
      </c>
      <c r="G256" s="25">
        <f t="shared" si="15"/>
        <v>1.2145265337545461E-2</v>
      </c>
      <c r="I256" s="16">
        <v>43944</v>
      </c>
      <c r="J256" s="17">
        <v>3.6600000000000001E-2</v>
      </c>
      <c r="K256" s="25">
        <f t="shared" si="12"/>
        <v>9.8487388669799003E-5</v>
      </c>
      <c r="M256" s="16">
        <v>43944</v>
      </c>
      <c r="N256" s="26">
        <f t="shared" si="13"/>
        <v>1.2046777948875662E-2</v>
      </c>
      <c r="O256" s="26">
        <f>'Part 2 - CAPM 2.1, 2.2 and 2.3'!C256-'Part 2 - CAPM 2.1, 2.2 and 2.3'!K256</f>
        <v>3.0505950254788507E-2</v>
      </c>
    </row>
    <row r="257" spans="1:15" x14ac:dyDescent="0.4">
      <c r="A257" s="16">
        <v>43945</v>
      </c>
      <c r="B257" s="14">
        <v>67.599999999999994</v>
      </c>
      <c r="C257" s="25">
        <f t="shared" si="14"/>
        <v>3.7119524870081666E-3</v>
      </c>
      <c r="E257" s="16">
        <v>43945</v>
      </c>
      <c r="F257" s="15">
        <v>7493.45</v>
      </c>
      <c r="G257" s="25">
        <f t="shared" si="15"/>
        <v>-1.7291122972210977E-2</v>
      </c>
      <c r="I257" s="16">
        <v>43945</v>
      </c>
      <c r="J257" s="17">
        <v>3.6499999999999998E-2</v>
      </c>
      <c r="K257" s="25">
        <f t="shared" si="12"/>
        <v>9.8223050674084433E-5</v>
      </c>
      <c r="M257" s="16">
        <v>43945</v>
      </c>
      <c r="N257" s="26">
        <f t="shared" si="13"/>
        <v>-1.7389346022885062E-2</v>
      </c>
      <c r="O257" s="26">
        <f>'Part 2 - CAPM 2.1, 2.2 and 2.3'!C257-'Part 2 - CAPM 2.1, 2.2 and 2.3'!K257</f>
        <v>3.6137294363340821E-3</v>
      </c>
    </row>
    <row r="258" spans="1:15" x14ac:dyDescent="0.4">
      <c r="A258" s="16">
        <v>43948</v>
      </c>
      <c r="B258" s="14">
        <v>68.45</v>
      </c>
      <c r="C258" s="25">
        <f t="shared" si="14"/>
        <v>1.2573964497041547E-2</v>
      </c>
      <c r="E258" s="16">
        <v>43948</v>
      </c>
      <c r="F258" s="15">
        <v>7603.95</v>
      </c>
      <c r="G258" s="25">
        <f t="shared" si="15"/>
        <v>1.4746211691543949E-2</v>
      </c>
      <c r="I258" s="16">
        <v>43948</v>
      </c>
      <c r="J258" s="17">
        <v>3.6200000000000003E-2</v>
      </c>
      <c r="K258" s="25">
        <f t="shared" si="12"/>
        <v>9.7429884061028815E-5</v>
      </c>
      <c r="M258" s="16">
        <v>43948</v>
      </c>
      <c r="N258" s="26">
        <f t="shared" si="13"/>
        <v>1.464878180748292E-2</v>
      </c>
      <c r="O258" s="26">
        <f>'Part 2 - CAPM 2.1, 2.2 and 2.3'!C258-'Part 2 - CAPM 2.1, 2.2 and 2.3'!K258</f>
        <v>1.2476534612980518E-2</v>
      </c>
    </row>
    <row r="259" spans="1:15" x14ac:dyDescent="0.4">
      <c r="A259" s="16">
        <v>43949</v>
      </c>
      <c r="B259" s="14">
        <v>69.2</v>
      </c>
      <c r="C259" s="25">
        <f t="shared" si="14"/>
        <v>1.095690284879474E-2</v>
      </c>
      <c r="E259" s="16">
        <v>43949</v>
      </c>
      <c r="F259" s="15">
        <v>7672.45</v>
      </c>
      <c r="G259" s="25">
        <f t="shared" si="15"/>
        <v>9.0084758579422539E-3</v>
      </c>
      <c r="I259" s="16">
        <v>43949</v>
      </c>
      <c r="J259" s="17">
        <v>3.6499999999999998E-2</v>
      </c>
      <c r="K259" s="25">
        <f t="shared" si="12"/>
        <v>9.8223050674084433E-5</v>
      </c>
      <c r="M259" s="16">
        <v>43949</v>
      </c>
      <c r="N259" s="26">
        <f t="shared" si="13"/>
        <v>8.9102528072681694E-3</v>
      </c>
      <c r="O259" s="26">
        <f>'Part 2 - CAPM 2.1, 2.2 and 2.3'!C259-'Part 2 - CAPM 2.1, 2.2 and 2.3'!K259</f>
        <v>1.0858679798120656E-2</v>
      </c>
    </row>
    <row r="260" spans="1:15" x14ac:dyDescent="0.4">
      <c r="A260" s="16">
        <v>43950</v>
      </c>
      <c r="B260" s="14">
        <v>70.5</v>
      </c>
      <c r="C260" s="25">
        <f t="shared" si="14"/>
        <v>1.8786127167630017E-2</v>
      </c>
      <c r="E260" s="16">
        <v>43950</v>
      </c>
      <c r="F260" s="15">
        <v>7797.2</v>
      </c>
      <c r="G260" s="25">
        <f t="shared" si="15"/>
        <v>1.6259473831696524E-2</v>
      </c>
      <c r="I260" s="16">
        <v>43950</v>
      </c>
      <c r="J260" s="17">
        <v>3.6799999999999999E-2</v>
      </c>
      <c r="K260" s="25">
        <f t="shared" ref="K260:K323" si="16">((1+J260)^(1/365))-1</f>
        <v>9.901598837824821E-5</v>
      </c>
      <c r="M260" s="16">
        <v>43950</v>
      </c>
      <c r="N260" s="26">
        <f t="shared" ref="N260:N323" si="17">G260-K260</f>
        <v>1.6160457843318276E-2</v>
      </c>
      <c r="O260" s="26">
        <f>'Part 2 - CAPM 2.1, 2.2 and 2.3'!C260-'Part 2 - CAPM 2.1, 2.2 and 2.3'!K260</f>
        <v>1.8687111179251769E-2</v>
      </c>
    </row>
    <row r="261" spans="1:15" x14ac:dyDescent="0.4">
      <c r="A261" s="16">
        <v>43951</v>
      </c>
      <c r="B261" s="14">
        <v>79.900000000000006</v>
      </c>
      <c r="C261" s="25">
        <f t="shared" ref="C261:C324" si="18">(B261-B260)/B260</f>
        <v>0.13333333333333341</v>
      </c>
      <c r="E261" s="16">
        <v>43951</v>
      </c>
      <c r="F261" s="15">
        <v>8012.9</v>
      </c>
      <c r="G261" s="25">
        <f t="shared" ref="G261:G324" si="19">(F261-F260)/F260</f>
        <v>2.7663776740368316E-2</v>
      </c>
      <c r="I261" s="16">
        <v>43951</v>
      </c>
      <c r="J261" s="17">
        <v>3.6400000000000002E-2</v>
      </c>
      <c r="K261" s="25">
        <f t="shared" si="16"/>
        <v>9.7958687243826503E-5</v>
      </c>
      <c r="M261" s="16">
        <v>43951</v>
      </c>
      <c r="N261" s="26">
        <f t="shared" si="17"/>
        <v>2.756581805312449E-2</v>
      </c>
      <c r="O261" s="26">
        <f>'Part 2 - CAPM 2.1, 2.2 and 2.3'!C261-'Part 2 - CAPM 2.1, 2.2 and 2.3'!K261</f>
        <v>0.13323537464608959</v>
      </c>
    </row>
    <row r="262" spans="1:15" x14ac:dyDescent="0.4">
      <c r="A262" s="16">
        <v>43955</v>
      </c>
      <c r="B262" s="14">
        <v>76.55</v>
      </c>
      <c r="C262" s="25">
        <f t="shared" si="18"/>
        <v>-4.1927409261577078E-2</v>
      </c>
      <c r="E262" s="16">
        <v>43955</v>
      </c>
      <c r="F262" s="15">
        <v>7596.9</v>
      </c>
      <c r="G262" s="25">
        <f t="shared" si="19"/>
        <v>-5.19162849904529E-2</v>
      </c>
      <c r="I262" s="16">
        <v>43955</v>
      </c>
      <c r="J262" s="17">
        <v>3.6299999999999999E-2</v>
      </c>
      <c r="K262" s="25">
        <f t="shared" si="16"/>
        <v>9.7694298374584321E-5</v>
      </c>
      <c r="M262" s="16">
        <v>43955</v>
      </c>
      <c r="N262" s="26">
        <f t="shared" si="17"/>
        <v>-5.2013979288827485E-2</v>
      </c>
      <c r="O262" s="26">
        <f>'Part 2 - CAPM 2.1, 2.2 and 2.3'!C262-'Part 2 - CAPM 2.1, 2.2 and 2.3'!K262</f>
        <v>-4.2025103559951663E-2</v>
      </c>
    </row>
    <row r="263" spans="1:15" x14ac:dyDescent="0.4">
      <c r="A263" s="16">
        <v>43956</v>
      </c>
      <c r="B263" s="14">
        <v>78.45</v>
      </c>
      <c r="C263" s="25">
        <f t="shared" si="18"/>
        <v>2.4820378837361278E-2</v>
      </c>
      <c r="E263" s="16">
        <v>43956</v>
      </c>
      <c r="F263" s="15">
        <v>7523.05</v>
      </c>
      <c r="G263" s="25">
        <f t="shared" si="19"/>
        <v>-9.7210704366253939E-3</v>
      </c>
      <c r="I263" s="16">
        <v>43956</v>
      </c>
      <c r="J263" s="17">
        <v>3.6499999999999998E-2</v>
      </c>
      <c r="K263" s="25">
        <f t="shared" si="16"/>
        <v>9.8223050674084433E-5</v>
      </c>
      <c r="M263" s="16">
        <v>43956</v>
      </c>
      <c r="N263" s="26">
        <f t="shared" si="17"/>
        <v>-9.8192934872994783E-3</v>
      </c>
      <c r="O263" s="26">
        <f>'Part 2 - CAPM 2.1, 2.2 and 2.3'!C263-'Part 2 - CAPM 2.1, 2.2 and 2.3'!K263</f>
        <v>2.4722155786687194E-2</v>
      </c>
    </row>
    <row r="264" spans="1:15" x14ac:dyDescent="0.4">
      <c r="A264" s="16">
        <v>43957</v>
      </c>
      <c r="B264" s="14">
        <v>79.25</v>
      </c>
      <c r="C264" s="25">
        <f t="shared" si="18"/>
        <v>1.0197578075207102E-2</v>
      </c>
      <c r="E264" s="16">
        <v>43957</v>
      </c>
      <c r="F264" s="15">
        <v>7575.5</v>
      </c>
      <c r="G264" s="25">
        <f t="shared" si="19"/>
        <v>6.9719063411780883E-3</v>
      </c>
      <c r="I264" s="16">
        <v>43957</v>
      </c>
      <c r="J264" s="17">
        <v>3.5499999999999997E-2</v>
      </c>
      <c r="K264" s="25">
        <f t="shared" si="16"/>
        <v>9.557827102013583E-5</v>
      </c>
      <c r="M264" s="16">
        <v>43957</v>
      </c>
      <c r="N264" s="26">
        <f t="shared" si="17"/>
        <v>6.8763280701579525E-3</v>
      </c>
      <c r="O264" s="26">
        <f>'Part 2 - CAPM 2.1, 2.2 and 2.3'!C264-'Part 2 - CAPM 2.1, 2.2 and 2.3'!K264</f>
        <v>1.0101999804186966E-2</v>
      </c>
    </row>
    <row r="265" spans="1:15" x14ac:dyDescent="0.4">
      <c r="A265" s="16">
        <v>43959</v>
      </c>
      <c r="B265" s="14">
        <v>76</v>
      </c>
      <c r="C265" s="25">
        <f t="shared" si="18"/>
        <v>-4.1009463722397478E-2</v>
      </c>
      <c r="E265" s="16">
        <v>43959</v>
      </c>
      <c r="F265" s="15">
        <v>7552</v>
      </c>
      <c r="G265" s="25">
        <f t="shared" si="19"/>
        <v>-3.1021054715860341E-3</v>
      </c>
      <c r="I265" s="16">
        <v>43959</v>
      </c>
      <c r="J265" s="17">
        <v>3.5400000000000001E-2</v>
      </c>
      <c r="K265" s="25">
        <f t="shared" si="16"/>
        <v>9.5313652977324637E-5</v>
      </c>
      <c r="M265" s="16">
        <v>43959</v>
      </c>
      <c r="N265" s="26">
        <f t="shared" si="17"/>
        <v>-3.1974191245633587E-3</v>
      </c>
      <c r="O265" s="26">
        <f>'Part 2 - CAPM 2.1, 2.2 and 2.3'!C265-'Part 2 - CAPM 2.1, 2.2 and 2.3'!K265</f>
        <v>-4.1104777375374803E-2</v>
      </c>
    </row>
    <row r="266" spans="1:15" x14ac:dyDescent="0.4">
      <c r="A266" s="16">
        <v>43962</v>
      </c>
      <c r="B266" s="14">
        <v>77.05</v>
      </c>
      <c r="C266" s="25">
        <f t="shared" si="18"/>
        <v>1.3815789473684174E-2</v>
      </c>
      <c r="E266" s="16">
        <v>43962</v>
      </c>
      <c r="F266" s="15">
        <v>7556.4</v>
      </c>
      <c r="G266" s="25">
        <f t="shared" si="19"/>
        <v>5.8262711864401958E-4</v>
      </c>
      <c r="I266" s="16">
        <v>43962</v>
      </c>
      <c r="J266" s="17">
        <v>3.5699999999999996E-2</v>
      </c>
      <c r="K266" s="25">
        <f t="shared" si="16"/>
        <v>9.6107430660685722E-5</v>
      </c>
      <c r="M266" s="16">
        <v>43962</v>
      </c>
      <c r="N266" s="26">
        <f t="shared" si="17"/>
        <v>4.8651968798333386E-4</v>
      </c>
      <c r="O266" s="26">
        <f>'Part 2 - CAPM 2.1, 2.2 and 2.3'!C266-'Part 2 - CAPM 2.1, 2.2 and 2.3'!K266</f>
        <v>1.3719682043023488E-2</v>
      </c>
    </row>
    <row r="267" spans="1:15" x14ac:dyDescent="0.4">
      <c r="A267" s="16">
        <v>43963</v>
      </c>
      <c r="B267" s="14">
        <v>76.3</v>
      </c>
      <c r="C267" s="25">
        <f t="shared" si="18"/>
        <v>-9.7339390006489293E-3</v>
      </c>
      <c r="E267" s="16">
        <v>43963</v>
      </c>
      <c r="F267" s="15">
        <v>7520.9</v>
      </c>
      <c r="G267" s="25">
        <f t="shared" si="19"/>
        <v>-4.6980043406913349E-3</v>
      </c>
      <c r="I267" s="16">
        <v>43963</v>
      </c>
      <c r="J267" s="17">
        <v>3.5000000000000003E-2</v>
      </c>
      <c r="K267" s="25">
        <f t="shared" si="16"/>
        <v>9.4254925873560325E-5</v>
      </c>
      <c r="M267" s="16">
        <v>43963</v>
      </c>
      <c r="N267" s="26">
        <f t="shared" si="17"/>
        <v>-4.7922592665648953E-3</v>
      </c>
      <c r="O267" s="26">
        <f>'Part 2 - CAPM 2.1, 2.2 and 2.3'!C267-'Part 2 - CAPM 2.1, 2.2 and 2.3'!K267</f>
        <v>-9.8281939265224896E-3</v>
      </c>
    </row>
    <row r="268" spans="1:15" x14ac:dyDescent="0.4">
      <c r="A268" s="16">
        <v>43964</v>
      </c>
      <c r="B268" s="14">
        <v>78.2</v>
      </c>
      <c r="C268" s="25">
        <f t="shared" si="18"/>
        <v>2.4901703800786445E-2</v>
      </c>
      <c r="E268" s="16">
        <v>43964</v>
      </c>
      <c r="F268" s="15">
        <v>7667</v>
      </c>
      <c r="G268" s="25">
        <f t="shared" si="19"/>
        <v>1.9425866585116192E-2</v>
      </c>
      <c r="I268" s="16">
        <v>43964</v>
      </c>
      <c r="J268" s="17">
        <v>3.4500000000000003E-2</v>
      </c>
      <c r="K268" s="25">
        <f t="shared" si="16"/>
        <v>9.2930943027536017E-5</v>
      </c>
      <c r="M268" s="16">
        <v>43964</v>
      </c>
      <c r="N268" s="26">
        <f t="shared" si="17"/>
        <v>1.9332935642088656E-2</v>
      </c>
      <c r="O268" s="26">
        <f>'Part 2 - CAPM 2.1, 2.2 and 2.3'!C268-'Part 2 - CAPM 2.1, 2.2 and 2.3'!K268</f>
        <v>2.4808772857758909E-2</v>
      </c>
    </row>
    <row r="269" spans="1:15" x14ac:dyDescent="0.4">
      <c r="A269" s="16">
        <v>43965</v>
      </c>
      <c r="B269" s="14">
        <v>76.150000000000006</v>
      </c>
      <c r="C269" s="25">
        <f t="shared" si="18"/>
        <v>-2.6214833759590755E-2</v>
      </c>
      <c r="E269" s="16">
        <v>43965</v>
      </c>
      <c r="F269" s="15">
        <v>7514.55</v>
      </c>
      <c r="G269" s="25">
        <f t="shared" si="19"/>
        <v>-1.9883918090517781E-2</v>
      </c>
      <c r="I269" s="16">
        <v>43965</v>
      </c>
      <c r="J269" s="17">
        <v>3.4500000000000003E-2</v>
      </c>
      <c r="K269" s="25">
        <f t="shared" si="16"/>
        <v>9.2930943027536017E-5</v>
      </c>
      <c r="M269" s="16">
        <v>43965</v>
      </c>
      <c r="N269" s="26">
        <f t="shared" si="17"/>
        <v>-1.9976849033545317E-2</v>
      </c>
      <c r="O269" s="26">
        <f>'Part 2 - CAPM 2.1, 2.2 and 2.3'!C269-'Part 2 - CAPM 2.1, 2.2 and 2.3'!K269</f>
        <v>-2.6307764702618291E-2</v>
      </c>
    </row>
    <row r="270" spans="1:15" x14ac:dyDescent="0.4">
      <c r="A270" s="16">
        <v>43966</v>
      </c>
      <c r="B270" s="14">
        <v>76.150000000000006</v>
      </c>
      <c r="C270" s="25">
        <f t="shared" si="18"/>
        <v>0</v>
      </c>
      <c r="E270" s="16">
        <v>43966</v>
      </c>
      <c r="F270" s="15">
        <v>7504.05</v>
      </c>
      <c r="G270" s="25">
        <f t="shared" si="19"/>
        <v>-1.3972892588378545E-3</v>
      </c>
      <c r="I270" s="16">
        <v>43966</v>
      </c>
      <c r="J270" s="17">
        <v>3.4099999999999998E-2</v>
      </c>
      <c r="K270" s="25">
        <f t="shared" si="16"/>
        <v>9.187129719356868E-5</v>
      </c>
      <c r="M270" s="16">
        <v>43966</v>
      </c>
      <c r="N270" s="26">
        <f t="shared" si="17"/>
        <v>-1.4891605560314232E-3</v>
      </c>
      <c r="O270" s="26">
        <f>'Part 2 - CAPM 2.1, 2.2 and 2.3'!C270-'Part 2 - CAPM 2.1, 2.2 and 2.3'!K270</f>
        <v>-9.187129719356868E-5</v>
      </c>
    </row>
    <row r="271" spans="1:15" x14ac:dyDescent="0.4">
      <c r="A271" s="16">
        <v>43969</v>
      </c>
      <c r="B271" s="14">
        <v>72.900000000000006</v>
      </c>
      <c r="C271" s="25">
        <f t="shared" si="18"/>
        <v>-4.2678923177938276E-2</v>
      </c>
      <c r="E271" s="16">
        <v>43969</v>
      </c>
      <c r="F271" s="15">
        <v>7245.25</v>
      </c>
      <c r="G271" s="25">
        <f t="shared" si="19"/>
        <v>-3.4488043123380066E-2</v>
      </c>
      <c r="I271" s="16">
        <v>43969</v>
      </c>
      <c r="J271" s="17">
        <v>3.4000000000000002E-2</v>
      </c>
      <c r="K271" s="25">
        <f t="shared" si="16"/>
        <v>9.1606321866555263E-5</v>
      </c>
      <c r="M271" s="16">
        <v>43969</v>
      </c>
      <c r="N271" s="26">
        <f t="shared" si="17"/>
        <v>-3.4579649445246621E-2</v>
      </c>
      <c r="O271" s="26">
        <f>'Part 2 - CAPM 2.1, 2.2 and 2.3'!C271-'Part 2 - CAPM 2.1, 2.2 and 2.3'!K271</f>
        <v>-4.2770529499804831E-2</v>
      </c>
    </row>
    <row r="272" spans="1:15" x14ac:dyDescent="0.4">
      <c r="A272" s="16">
        <v>43970</v>
      </c>
      <c r="B272" s="14">
        <v>77.150000000000006</v>
      </c>
      <c r="C272" s="25">
        <f t="shared" si="18"/>
        <v>5.8299039780521256E-2</v>
      </c>
      <c r="E272" s="16">
        <v>43970</v>
      </c>
      <c r="F272" s="15">
        <v>7284.5</v>
      </c>
      <c r="G272" s="25">
        <f t="shared" si="19"/>
        <v>5.4173423967426937E-3</v>
      </c>
      <c r="I272" s="16">
        <v>43970</v>
      </c>
      <c r="J272" s="17">
        <v>3.3700000000000001E-2</v>
      </c>
      <c r="K272" s="25">
        <f t="shared" si="16"/>
        <v>9.081124252219297E-5</v>
      </c>
      <c r="M272" s="16">
        <v>43970</v>
      </c>
      <c r="N272" s="26">
        <f t="shared" si="17"/>
        <v>5.3265311542205008E-3</v>
      </c>
      <c r="O272" s="26">
        <f>'Part 2 - CAPM 2.1, 2.2 and 2.3'!C272-'Part 2 - CAPM 2.1, 2.2 and 2.3'!K272</f>
        <v>5.8208228537999063E-2</v>
      </c>
    </row>
    <row r="273" spans="1:15" x14ac:dyDescent="0.4">
      <c r="A273" s="16">
        <v>43971</v>
      </c>
      <c r="B273" s="14">
        <v>78</v>
      </c>
      <c r="C273" s="25">
        <f t="shared" si="18"/>
        <v>1.1017498379779575E-2</v>
      </c>
      <c r="E273" s="16">
        <v>43971</v>
      </c>
      <c r="F273" s="15">
        <v>7426.85</v>
      </c>
      <c r="G273" s="25">
        <f t="shared" si="19"/>
        <v>1.9541492209485943E-2</v>
      </c>
      <c r="I273" s="16">
        <v>43971</v>
      </c>
      <c r="J273" s="17">
        <v>3.2500000000000001E-2</v>
      </c>
      <c r="K273" s="25">
        <f t="shared" si="16"/>
        <v>8.7628622322588612E-5</v>
      </c>
      <c r="M273" s="16">
        <v>43971</v>
      </c>
      <c r="N273" s="26">
        <f t="shared" si="17"/>
        <v>1.9453863587163354E-2</v>
      </c>
      <c r="O273" s="26">
        <f>'Part 2 - CAPM 2.1, 2.2 and 2.3'!C273-'Part 2 - CAPM 2.1, 2.2 and 2.3'!K273</f>
        <v>1.0929869757456986E-2</v>
      </c>
    </row>
    <row r="274" spans="1:15" x14ac:dyDescent="0.4">
      <c r="A274" s="16">
        <v>43972</v>
      </c>
      <c r="B274" s="14">
        <v>77</v>
      </c>
      <c r="C274" s="25">
        <f t="shared" si="18"/>
        <v>-1.282051282051282E-2</v>
      </c>
      <c r="E274" s="16">
        <v>43972</v>
      </c>
      <c r="F274" s="15">
        <v>7470.6</v>
      </c>
      <c r="G274" s="25">
        <f t="shared" si="19"/>
        <v>5.8907881537933306E-3</v>
      </c>
      <c r="I274" s="16">
        <v>43972</v>
      </c>
      <c r="J274" s="17">
        <v>3.27E-2</v>
      </c>
      <c r="K274" s="25">
        <f t="shared" si="16"/>
        <v>8.8159315106084435E-5</v>
      </c>
      <c r="M274" s="16">
        <v>43972</v>
      </c>
      <c r="N274" s="26">
        <f t="shared" si="17"/>
        <v>5.8026288386872462E-3</v>
      </c>
      <c r="O274" s="26">
        <f>'Part 2 - CAPM 2.1, 2.2 and 2.3'!C274-'Part 2 - CAPM 2.1, 2.2 and 2.3'!K274</f>
        <v>-1.2908672135618905E-2</v>
      </c>
    </row>
    <row r="275" spans="1:15" x14ac:dyDescent="0.4">
      <c r="A275" s="16">
        <v>43973</v>
      </c>
      <c r="B275" s="14">
        <v>76.150000000000006</v>
      </c>
      <c r="C275" s="25">
        <f t="shared" si="18"/>
        <v>-1.1038961038960965E-2</v>
      </c>
      <c r="E275" s="16">
        <v>43973</v>
      </c>
      <c r="F275" s="15">
        <v>7416</v>
      </c>
      <c r="G275" s="25">
        <f t="shared" si="19"/>
        <v>-7.3086499076379895E-3</v>
      </c>
      <c r="I275" s="16">
        <v>43973</v>
      </c>
      <c r="J275" s="17">
        <v>2.7000000000000003E-2</v>
      </c>
      <c r="K275" s="25">
        <f t="shared" si="16"/>
        <v>7.299425558504602E-5</v>
      </c>
      <c r="M275" s="16">
        <v>43973</v>
      </c>
      <c r="N275" s="26">
        <f t="shared" si="17"/>
        <v>-7.3816441632230355E-3</v>
      </c>
      <c r="O275" s="26">
        <f>'Part 2 - CAPM 2.1, 2.2 and 2.3'!C275-'Part 2 - CAPM 2.1, 2.2 and 2.3'!K275</f>
        <v>-1.1111955294546011E-2</v>
      </c>
    </row>
    <row r="276" spans="1:15" x14ac:dyDescent="0.4">
      <c r="A276" s="16">
        <v>43977</v>
      </c>
      <c r="B276" s="14">
        <v>77</v>
      </c>
      <c r="C276" s="25">
        <f t="shared" si="18"/>
        <v>1.116217990807609E-2</v>
      </c>
      <c r="E276" s="16">
        <v>43977</v>
      </c>
      <c r="F276" s="15">
        <v>7424.5</v>
      </c>
      <c r="G276" s="25">
        <f t="shared" si="19"/>
        <v>1.146170442286947E-3</v>
      </c>
      <c r="I276" s="16">
        <v>43977</v>
      </c>
      <c r="J276" s="17">
        <v>3.0499999999999999E-2</v>
      </c>
      <c r="K276" s="25">
        <f t="shared" si="16"/>
        <v>8.2316049008435144E-5</v>
      </c>
      <c r="M276" s="16">
        <v>43977</v>
      </c>
      <c r="N276" s="26">
        <f t="shared" si="17"/>
        <v>1.0638543932785119E-3</v>
      </c>
      <c r="O276" s="26">
        <f>'Part 2 - CAPM 2.1, 2.2 and 2.3'!C276-'Part 2 - CAPM 2.1, 2.2 and 2.3'!K276</f>
        <v>1.1079863859067654E-2</v>
      </c>
    </row>
    <row r="277" spans="1:15" x14ac:dyDescent="0.4">
      <c r="A277" s="16">
        <v>43978</v>
      </c>
      <c r="B277" s="14">
        <v>77.95</v>
      </c>
      <c r="C277" s="25">
        <f t="shared" si="18"/>
        <v>1.2337662337662375E-2</v>
      </c>
      <c r="E277" s="16">
        <v>43978</v>
      </c>
      <c r="F277" s="15">
        <v>7595.55</v>
      </c>
      <c r="G277" s="25">
        <f t="shared" si="19"/>
        <v>2.3038588457135186E-2</v>
      </c>
      <c r="I277" s="16">
        <v>43978</v>
      </c>
      <c r="J277" s="17">
        <v>3.1E-2</v>
      </c>
      <c r="K277" s="25">
        <f t="shared" si="16"/>
        <v>8.3645155690703632E-5</v>
      </c>
      <c r="M277" s="16">
        <v>43978</v>
      </c>
      <c r="N277" s="26">
        <f t="shared" si="17"/>
        <v>2.2954943301444482E-2</v>
      </c>
      <c r="O277" s="26">
        <f>'Part 2 - CAPM 2.1, 2.2 and 2.3'!C277-'Part 2 - CAPM 2.1, 2.2 and 2.3'!K277</f>
        <v>1.2254017181971671E-2</v>
      </c>
    </row>
    <row r="278" spans="1:15" x14ac:dyDescent="0.4">
      <c r="A278" s="16">
        <v>43979</v>
      </c>
      <c r="B278" s="14">
        <v>78.849999999999994</v>
      </c>
      <c r="C278" s="25">
        <f t="shared" si="18"/>
        <v>1.1545862732520737E-2</v>
      </c>
      <c r="E278" s="16">
        <v>43979</v>
      </c>
      <c r="F278" s="15">
        <v>7732.25</v>
      </c>
      <c r="G278" s="25">
        <f t="shared" si="19"/>
        <v>1.7997380044894682E-2</v>
      </c>
      <c r="I278" s="16">
        <v>43979</v>
      </c>
      <c r="J278" s="17">
        <v>3.2300000000000002E-2</v>
      </c>
      <c r="K278" s="25">
        <f t="shared" si="16"/>
        <v>8.7097827013105089E-5</v>
      </c>
      <c r="M278" s="16">
        <v>43979</v>
      </c>
      <c r="N278" s="26">
        <f t="shared" si="17"/>
        <v>1.7910282217881577E-2</v>
      </c>
      <c r="O278" s="26">
        <f>'Part 2 - CAPM 2.1, 2.2 and 2.3'!C278-'Part 2 - CAPM 2.1, 2.2 and 2.3'!K278</f>
        <v>1.1458764905507632E-2</v>
      </c>
    </row>
    <row r="279" spans="1:15" x14ac:dyDescent="0.4">
      <c r="A279" s="16">
        <v>43980</v>
      </c>
      <c r="B279" s="14">
        <v>83.2</v>
      </c>
      <c r="C279" s="25">
        <f t="shared" si="18"/>
        <v>5.5168040583386285E-2</v>
      </c>
      <c r="E279" s="16">
        <v>43980</v>
      </c>
      <c r="F279" s="15">
        <v>7822.4</v>
      </c>
      <c r="G279" s="25">
        <f t="shared" si="19"/>
        <v>1.1658960845808095E-2</v>
      </c>
      <c r="I279" s="16">
        <v>43980</v>
      </c>
      <c r="J279" s="17">
        <v>3.27E-2</v>
      </c>
      <c r="K279" s="25">
        <f t="shared" si="16"/>
        <v>8.8159315106084435E-5</v>
      </c>
      <c r="M279" s="16">
        <v>43980</v>
      </c>
      <c r="N279" s="26">
        <f t="shared" si="17"/>
        <v>1.157080153070201E-2</v>
      </c>
      <c r="O279" s="26">
        <f>'Part 2 - CAPM 2.1, 2.2 and 2.3'!C279-'Part 2 - CAPM 2.1, 2.2 and 2.3'!K279</f>
        <v>5.5079881268280201E-2</v>
      </c>
    </row>
    <row r="280" spans="1:15" x14ac:dyDescent="0.4">
      <c r="A280" s="16">
        <v>43983</v>
      </c>
      <c r="B280" s="14">
        <v>83.95</v>
      </c>
      <c r="C280" s="25">
        <f t="shared" si="18"/>
        <v>9.0144230769230761E-3</v>
      </c>
      <c r="E280" s="16">
        <v>43983</v>
      </c>
      <c r="F280" s="15">
        <v>8020.1</v>
      </c>
      <c r="G280" s="25">
        <f t="shared" si="19"/>
        <v>2.5273573327879006E-2</v>
      </c>
      <c r="I280" s="16">
        <v>43983</v>
      </c>
      <c r="J280" s="17">
        <v>3.2899999999999999E-2</v>
      </c>
      <c r="K280" s="25">
        <f t="shared" si="16"/>
        <v>8.8689905403338543E-5</v>
      </c>
      <c r="M280" s="16">
        <v>43983</v>
      </c>
      <c r="N280" s="26">
        <f t="shared" si="17"/>
        <v>2.5184883422475667E-2</v>
      </c>
      <c r="O280" s="26">
        <f>'Part 2 - CAPM 2.1, 2.2 and 2.3'!C280-'Part 2 - CAPM 2.1, 2.2 and 2.3'!K280</f>
        <v>8.9257331715197376E-3</v>
      </c>
    </row>
    <row r="281" spans="1:15" x14ac:dyDescent="0.4">
      <c r="A281" s="16">
        <v>43984</v>
      </c>
      <c r="B281" s="14">
        <v>84.3</v>
      </c>
      <c r="C281" s="25">
        <f t="shared" si="18"/>
        <v>4.1691483025609807E-3</v>
      </c>
      <c r="E281" s="16">
        <v>43984</v>
      </c>
      <c r="F281" s="15">
        <v>8137.45</v>
      </c>
      <c r="G281" s="25">
        <f t="shared" si="19"/>
        <v>1.4631987132329952E-2</v>
      </c>
      <c r="I281" s="16">
        <v>43984</v>
      </c>
      <c r="J281" s="17">
        <v>3.3000000000000002E-2</v>
      </c>
      <c r="K281" s="25">
        <f t="shared" si="16"/>
        <v>8.8955162131920673E-5</v>
      </c>
      <c r="M281" s="16">
        <v>43984</v>
      </c>
      <c r="N281" s="26">
        <f t="shared" si="17"/>
        <v>1.4543031970198031E-2</v>
      </c>
      <c r="O281" s="26">
        <f>'Part 2 - CAPM 2.1, 2.2 and 2.3'!C281-'Part 2 - CAPM 2.1, 2.2 and 2.3'!K281</f>
        <v>4.0801931404290601E-3</v>
      </c>
    </row>
    <row r="282" spans="1:15" x14ac:dyDescent="0.4">
      <c r="A282" s="16">
        <v>43985</v>
      </c>
      <c r="B282" s="14">
        <v>86.3</v>
      </c>
      <c r="C282" s="25">
        <f t="shared" si="18"/>
        <v>2.3724792408066429E-2</v>
      </c>
      <c r="E282" s="16">
        <v>43985</v>
      </c>
      <c r="F282" s="15">
        <v>8203</v>
      </c>
      <c r="G282" s="25">
        <f t="shared" si="19"/>
        <v>8.0553490344026923E-3</v>
      </c>
      <c r="I282" s="16">
        <v>43985</v>
      </c>
      <c r="J282" s="17">
        <v>3.3500000000000002E-2</v>
      </c>
      <c r="K282" s="25">
        <f t="shared" si="16"/>
        <v>9.0281061773778148E-5</v>
      </c>
      <c r="M282" s="16">
        <v>43985</v>
      </c>
      <c r="N282" s="26">
        <f t="shared" si="17"/>
        <v>7.9650679726289142E-3</v>
      </c>
      <c r="O282" s="26">
        <f>'Part 2 - CAPM 2.1, 2.2 and 2.3'!C282-'Part 2 - CAPM 2.1, 2.2 and 2.3'!K282</f>
        <v>2.3634511346292651E-2</v>
      </c>
    </row>
    <row r="283" spans="1:15" x14ac:dyDescent="0.4">
      <c r="A283" s="16">
        <v>43986</v>
      </c>
      <c r="B283" s="14">
        <v>84.9</v>
      </c>
      <c r="C283" s="25">
        <f t="shared" si="18"/>
        <v>-1.6222479721900249E-2</v>
      </c>
      <c r="E283" s="16">
        <v>43986</v>
      </c>
      <c r="F283" s="15">
        <v>8185.9</v>
      </c>
      <c r="G283" s="25">
        <f t="shared" si="19"/>
        <v>-2.0846031939534761E-3</v>
      </c>
      <c r="I283" s="16">
        <v>43986</v>
      </c>
      <c r="J283" s="17">
        <v>3.44E-2</v>
      </c>
      <c r="K283" s="25">
        <f t="shared" si="16"/>
        <v>9.2666069880342761E-5</v>
      </c>
      <c r="M283" s="16">
        <v>43986</v>
      </c>
      <c r="N283" s="26">
        <f t="shared" si="17"/>
        <v>-2.1772692638338188E-3</v>
      </c>
      <c r="O283" s="26">
        <f>'Part 2 - CAPM 2.1, 2.2 and 2.3'!C283-'Part 2 - CAPM 2.1, 2.2 and 2.3'!K283</f>
        <v>-1.6315145791780592E-2</v>
      </c>
    </row>
    <row r="284" spans="1:15" x14ac:dyDescent="0.4">
      <c r="A284" s="16">
        <v>43987</v>
      </c>
      <c r="B284" s="14">
        <v>86.95</v>
      </c>
      <c r="C284" s="25">
        <f t="shared" si="18"/>
        <v>2.4146054181389834E-2</v>
      </c>
      <c r="E284" s="16">
        <v>43987</v>
      </c>
      <c r="F284" s="15">
        <v>8299.35</v>
      </c>
      <c r="G284" s="25">
        <f t="shared" si="19"/>
        <v>1.3859196911762999E-2</v>
      </c>
      <c r="I284" s="16">
        <v>43987</v>
      </c>
      <c r="J284" s="17">
        <v>3.49E-2</v>
      </c>
      <c r="K284" s="25">
        <f t="shared" si="16"/>
        <v>9.3990180339842411E-5</v>
      </c>
      <c r="M284" s="16">
        <v>43987</v>
      </c>
      <c r="N284" s="26">
        <f t="shared" si="17"/>
        <v>1.3765206731423157E-2</v>
      </c>
      <c r="O284" s="26">
        <f>'Part 2 - CAPM 2.1, 2.2 and 2.3'!C284-'Part 2 - CAPM 2.1, 2.2 and 2.3'!K284</f>
        <v>2.4052064001049991E-2</v>
      </c>
    </row>
    <row r="285" spans="1:15" x14ac:dyDescent="0.4">
      <c r="A285" s="16">
        <v>43990</v>
      </c>
      <c r="B285" s="14">
        <v>90.95</v>
      </c>
      <c r="C285" s="25">
        <f t="shared" si="18"/>
        <v>4.6003450258769403E-2</v>
      </c>
      <c r="E285" s="16">
        <v>43990</v>
      </c>
      <c r="F285" s="15">
        <v>8323.9500000000007</v>
      </c>
      <c r="G285" s="25">
        <f t="shared" si="19"/>
        <v>2.9640875490249672E-3</v>
      </c>
      <c r="I285" s="16">
        <v>43990</v>
      </c>
      <c r="J285" s="17">
        <v>3.4599999999999999E-2</v>
      </c>
      <c r="K285" s="25">
        <f t="shared" si="16"/>
        <v>9.3195790642264242E-5</v>
      </c>
      <c r="M285" s="16">
        <v>43990</v>
      </c>
      <c r="N285" s="26">
        <f t="shared" si="17"/>
        <v>2.870891758382703E-3</v>
      </c>
      <c r="O285" s="26">
        <f>'Part 2 - CAPM 2.1, 2.2 and 2.3'!C285-'Part 2 - CAPM 2.1, 2.2 and 2.3'!K285</f>
        <v>4.5910254468127139E-2</v>
      </c>
    </row>
    <row r="286" spans="1:15" x14ac:dyDescent="0.4">
      <c r="A286" s="16">
        <v>43991</v>
      </c>
      <c r="B286" s="14">
        <v>90</v>
      </c>
      <c r="C286" s="25">
        <f t="shared" si="18"/>
        <v>-1.0445299615173202E-2</v>
      </c>
      <c r="E286" s="16">
        <v>43991</v>
      </c>
      <c r="F286" s="15">
        <v>8238.1</v>
      </c>
      <c r="G286" s="25">
        <f t="shared" si="19"/>
        <v>-1.0313613128382602E-2</v>
      </c>
      <c r="I286" s="16">
        <v>43991</v>
      </c>
      <c r="J286" s="17">
        <v>3.4500000000000003E-2</v>
      </c>
      <c r="K286" s="25">
        <f t="shared" si="16"/>
        <v>9.2930943027536017E-5</v>
      </c>
      <c r="M286" s="16">
        <v>43991</v>
      </c>
      <c r="N286" s="26">
        <f t="shared" si="17"/>
        <v>-1.0406544071410138E-2</v>
      </c>
      <c r="O286" s="26">
        <f>'Part 2 - CAPM 2.1, 2.2 and 2.3'!C286-'Part 2 - CAPM 2.1, 2.2 and 2.3'!K286</f>
        <v>-1.0538230558200738E-2</v>
      </c>
    </row>
    <row r="287" spans="1:15" x14ac:dyDescent="0.4">
      <c r="A287" s="16">
        <v>43992</v>
      </c>
      <c r="B287" s="14">
        <v>88.25</v>
      </c>
      <c r="C287" s="25">
        <f t="shared" si="18"/>
        <v>-1.9444444444444445E-2</v>
      </c>
      <c r="E287" s="16">
        <v>43992</v>
      </c>
      <c r="F287" s="15">
        <v>8293.35</v>
      </c>
      <c r="G287" s="25">
        <f t="shared" si="19"/>
        <v>6.7066435221713738E-3</v>
      </c>
      <c r="I287" s="16">
        <v>43992</v>
      </c>
      <c r="J287" s="17">
        <v>3.4300000000000004E-2</v>
      </c>
      <c r="K287" s="25">
        <f t="shared" si="16"/>
        <v>9.2401171195355403E-5</v>
      </c>
      <c r="M287" s="16">
        <v>43992</v>
      </c>
      <c r="N287" s="26">
        <f t="shared" si="17"/>
        <v>6.6142423509760184E-3</v>
      </c>
      <c r="O287" s="26">
        <f>'Part 2 - CAPM 2.1, 2.2 and 2.3'!C287-'Part 2 - CAPM 2.1, 2.2 and 2.3'!K287</f>
        <v>-1.95368456156398E-2</v>
      </c>
    </row>
    <row r="288" spans="1:15" x14ac:dyDescent="0.4">
      <c r="A288" s="16">
        <v>43993</v>
      </c>
      <c r="B288" s="14">
        <v>86.9</v>
      </c>
      <c r="C288" s="25">
        <f t="shared" si="18"/>
        <v>-1.5297450424929113E-2</v>
      </c>
      <c r="E288" s="16">
        <v>43993</v>
      </c>
      <c r="F288" s="15">
        <v>8137</v>
      </c>
      <c r="G288" s="25">
        <f t="shared" si="19"/>
        <v>-1.8852454074650214E-2</v>
      </c>
      <c r="I288" s="16">
        <v>43993</v>
      </c>
      <c r="J288" s="17">
        <v>3.3700000000000001E-2</v>
      </c>
      <c r="K288" s="25">
        <f t="shared" si="16"/>
        <v>9.081124252219297E-5</v>
      </c>
      <c r="M288" s="16">
        <v>43993</v>
      </c>
      <c r="N288" s="26">
        <f t="shared" si="17"/>
        <v>-1.8943265317172407E-2</v>
      </c>
      <c r="O288" s="26">
        <f>'Part 2 - CAPM 2.1, 2.2 and 2.3'!C288-'Part 2 - CAPM 2.1, 2.2 and 2.3'!K288</f>
        <v>-1.5388261667451306E-2</v>
      </c>
    </row>
    <row r="289" spans="1:15" x14ac:dyDescent="0.4">
      <c r="A289" s="16">
        <v>43994</v>
      </c>
      <c r="B289" s="14">
        <v>83.9</v>
      </c>
      <c r="C289" s="25">
        <f t="shared" si="18"/>
        <v>-3.4522439585730723E-2</v>
      </c>
      <c r="E289" s="16">
        <v>43994</v>
      </c>
      <c r="F289" s="15">
        <v>8196.4</v>
      </c>
      <c r="G289" s="25">
        <f t="shared" si="19"/>
        <v>7.2999877104583553E-3</v>
      </c>
      <c r="I289" s="16">
        <v>43994</v>
      </c>
      <c r="J289" s="17">
        <v>3.3500000000000002E-2</v>
      </c>
      <c r="K289" s="25">
        <f t="shared" si="16"/>
        <v>9.0281061773778148E-5</v>
      </c>
      <c r="M289" s="16">
        <v>43994</v>
      </c>
      <c r="N289" s="26">
        <f t="shared" si="17"/>
        <v>7.2097066486845772E-3</v>
      </c>
      <c r="O289" s="26">
        <f>'Part 2 - CAPM 2.1, 2.2 and 2.3'!C289-'Part 2 - CAPM 2.1, 2.2 and 2.3'!K289</f>
        <v>-3.4612720647504501E-2</v>
      </c>
    </row>
    <row r="290" spans="1:15" x14ac:dyDescent="0.4">
      <c r="A290" s="16">
        <v>43997</v>
      </c>
      <c r="B290" s="14">
        <v>84.1</v>
      </c>
      <c r="C290" s="25">
        <f t="shared" si="18"/>
        <v>2.3837902264599357E-3</v>
      </c>
      <c r="E290" s="16">
        <v>43997</v>
      </c>
      <c r="F290" s="15">
        <v>8086.45</v>
      </c>
      <c r="G290" s="25">
        <f t="shared" si="19"/>
        <v>-1.3414425845493122E-2</v>
      </c>
      <c r="I290" s="16">
        <v>43997</v>
      </c>
      <c r="J290" s="17">
        <v>3.3500000000000002E-2</v>
      </c>
      <c r="K290" s="25">
        <f t="shared" si="16"/>
        <v>9.0281061773778148E-5</v>
      </c>
      <c r="M290" s="16">
        <v>43997</v>
      </c>
      <c r="N290" s="26">
        <f t="shared" si="17"/>
        <v>-1.35047069072669E-2</v>
      </c>
      <c r="O290" s="26">
        <f>'Part 2 - CAPM 2.1, 2.2 and 2.3'!C290-'Part 2 - CAPM 2.1, 2.2 and 2.3'!K290</f>
        <v>2.2935091646861575E-3</v>
      </c>
    </row>
    <row r="291" spans="1:15" x14ac:dyDescent="0.4">
      <c r="A291" s="16">
        <v>43998</v>
      </c>
      <c r="B291" s="14">
        <v>83.9</v>
      </c>
      <c r="C291" s="25">
        <f t="shared" si="18"/>
        <v>-2.3781212841853584E-3</v>
      </c>
      <c r="E291" s="16">
        <v>43998</v>
      </c>
      <c r="F291" s="15">
        <v>8152.3</v>
      </c>
      <c r="G291" s="25">
        <f t="shared" si="19"/>
        <v>8.143251983255986E-3</v>
      </c>
      <c r="I291" s="16">
        <v>43998</v>
      </c>
      <c r="J291" s="17">
        <v>3.3500000000000002E-2</v>
      </c>
      <c r="K291" s="25">
        <f t="shared" si="16"/>
        <v>9.0281061773778148E-5</v>
      </c>
      <c r="M291" s="16">
        <v>43998</v>
      </c>
      <c r="N291" s="26">
        <f t="shared" si="17"/>
        <v>8.0529709214822078E-3</v>
      </c>
      <c r="O291" s="26">
        <f>'Part 2 - CAPM 2.1, 2.2 and 2.3'!C291-'Part 2 - CAPM 2.1, 2.2 and 2.3'!K291</f>
        <v>-2.4684023459591365E-3</v>
      </c>
    </row>
    <row r="292" spans="1:15" x14ac:dyDescent="0.4">
      <c r="A292" s="16">
        <v>43999</v>
      </c>
      <c r="B292" s="14">
        <v>84.2</v>
      </c>
      <c r="C292" s="25">
        <f t="shared" si="18"/>
        <v>3.5756853396900733E-3</v>
      </c>
      <c r="E292" s="16">
        <v>43999</v>
      </c>
      <c r="F292" s="15">
        <v>8140.45</v>
      </c>
      <c r="G292" s="25">
        <f t="shared" si="19"/>
        <v>-1.4535775180010994E-3</v>
      </c>
      <c r="I292" s="16">
        <v>43999</v>
      </c>
      <c r="J292" s="17">
        <v>3.3000000000000002E-2</v>
      </c>
      <c r="K292" s="25">
        <f t="shared" si="16"/>
        <v>8.8955162131920673E-5</v>
      </c>
      <c r="M292" s="16">
        <v>43999</v>
      </c>
      <c r="N292" s="26">
        <f t="shared" si="17"/>
        <v>-1.5425326801330201E-3</v>
      </c>
      <c r="O292" s="26">
        <f>'Part 2 - CAPM 2.1, 2.2 and 2.3'!C292-'Part 2 - CAPM 2.1, 2.2 and 2.3'!K292</f>
        <v>3.4867301775581526E-3</v>
      </c>
    </row>
    <row r="293" spans="1:15" x14ac:dyDescent="0.4">
      <c r="A293" s="16">
        <v>44000</v>
      </c>
      <c r="B293" s="14">
        <v>83.6</v>
      </c>
      <c r="C293" s="25">
        <f t="shared" si="18"/>
        <v>-7.1258907363421437E-3</v>
      </c>
      <c r="E293" s="16">
        <v>44000</v>
      </c>
      <c r="F293" s="15">
        <v>8283.65</v>
      </c>
      <c r="G293" s="25">
        <f t="shared" si="19"/>
        <v>1.7591165107580027E-2</v>
      </c>
      <c r="I293" s="16">
        <v>44000</v>
      </c>
      <c r="J293" s="17">
        <v>3.2799999999999996E-2</v>
      </c>
      <c r="K293" s="25">
        <f t="shared" si="16"/>
        <v>8.8424623063021457E-5</v>
      </c>
      <c r="M293" s="16">
        <v>44000</v>
      </c>
      <c r="N293" s="26">
        <f t="shared" si="17"/>
        <v>1.7502740484517006E-2</v>
      </c>
      <c r="O293" s="26">
        <f>'Part 2 - CAPM 2.1, 2.2 and 2.3'!C293-'Part 2 - CAPM 2.1, 2.2 and 2.3'!K293</f>
        <v>-7.2143153594051651E-3</v>
      </c>
    </row>
    <row r="294" spans="1:15" x14ac:dyDescent="0.4">
      <c r="A294" s="16">
        <v>44001</v>
      </c>
      <c r="B294" s="14">
        <v>85.75</v>
      </c>
      <c r="C294" s="25">
        <f t="shared" si="18"/>
        <v>2.5717703349282365E-2</v>
      </c>
      <c r="E294" s="16">
        <v>44001</v>
      </c>
      <c r="F294" s="15">
        <v>8403.4</v>
      </c>
      <c r="G294" s="25">
        <f t="shared" si="19"/>
        <v>1.4456187791613602E-2</v>
      </c>
      <c r="I294" s="16">
        <v>44001</v>
      </c>
      <c r="J294" s="17">
        <v>3.2799999999999996E-2</v>
      </c>
      <c r="K294" s="25">
        <f t="shared" si="16"/>
        <v>8.8424623063021457E-5</v>
      </c>
      <c r="M294" s="16">
        <v>44001</v>
      </c>
      <c r="N294" s="26">
        <f t="shared" si="17"/>
        <v>1.436776316855058E-2</v>
      </c>
      <c r="O294" s="26">
        <f>'Part 2 - CAPM 2.1, 2.2 and 2.3'!C294-'Part 2 - CAPM 2.1, 2.2 and 2.3'!K294</f>
        <v>2.5629278726219343E-2</v>
      </c>
    </row>
    <row r="295" spans="1:15" x14ac:dyDescent="0.4">
      <c r="A295" s="16">
        <v>44004</v>
      </c>
      <c r="B295" s="14">
        <v>84.85</v>
      </c>
      <c r="C295" s="25">
        <f t="shared" si="18"/>
        <v>-1.0495626822157501E-2</v>
      </c>
      <c r="E295" s="16">
        <v>44004</v>
      </c>
      <c r="F295" s="15">
        <v>8486.4500000000007</v>
      </c>
      <c r="G295" s="25">
        <f t="shared" si="19"/>
        <v>9.8829045386392526E-3</v>
      </c>
      <c r="I295" s="16">
        <v>44004</v>
      </c>
      <c r="J295" s="17">
        <v>3.3099999999999997E-2</v>
      </c>
      <c r="K295" s="25">
        <f t="shared" si="16"/>
        <v>8.9220393253874875E-5</v>
      </c>
      <c r="M295" s="16">
        <v>44004</v>
      </c>
      <c r="N295" s="26">
        <f t="shared" si="17"/>
        <v>9.7936841453853778E-3</v>
      </c>
      <c r="O295" s="26">
        <f>'Part 2 - CAPM 2.1, 2.2 and 2.3'!C295-'Part 2 - CAPM 2.1, 2.2 and 2.3'!K295</f>
        <v>-1.0584847215411376E-2</v>
      </c>
    </row>
    <row r="296" spans="1:15" x14ac:dyDescent="0.4">
      <c r="A296" s="16">
        <v>44005</v>
      </c>
      <c r="B296" s="14">
        <v>85.65</v>
      </c>
      <c r="C296" s="25">
        <f t="shared" si="18"/>
        <v>9.428403064231131E-3</v>
      </c>
      <c r="E296" s="16">
        <v>44005</v>
      </c>
      <c r="F296" s="15">
        <v>8621.1</v>
      </c>
      <c r="G296" s="25">
        <f t="shared" si="19"/>
        <v>1.5866469489598078E-2</v>
      </c>
      <c r="I296" s="16">
        <v>44005</v>
      </c>
      <c r="J296" s="17">
        <v>3.2799999999999996E-2</v>
      </c>
      <c r="K296" s="25">
        <f t="shared" si="16"/>
        <v>8.8424623063021457E-5</v>
      </c>
      <c r="M296" s="16">
        <v>44005</v>
      </c>
      <c r="N296" s="26">
        <f t="shared" si="17"/>
        <v>1.5778044866535057E-2</v>
      </c>
      <c r="O296" s="26">
        <f>'Part 2 - CAPM 2.1, 2.2 and 2.3'!C296-'Part 2 - CAPM 2.1, 2.2 and 2.3'!K296</f>
        <v>9.3399784411681095E-3</v>
      </c>
    </row>
    <row r="297" spans="1:15" x14ac:dyDescent="0.4">
      <c r="A297" s="16">
        <v>44006</v>
      </c>
      <c r="B297" s="14">
        <v>83.1</v>
      </c>
      <c r="C297" s="25">
        <f t="shared" si="18"/>
        <v>-2.9772329246935333E-2</v>
      </c>
      <c r="E297" s="16">
        <v>44006</v>
      </c>
      <c r="F297" s="15">
        <v>8496.25</v>
      </c>
      <c r="G297" s="25">
        <f t="shared" si="19"/>
        <v>-1.4481910661052576E-2</v>
      </c>
      <c r="I297" s="16">
        <v>44006</v>
      </c>
      <c r="J297" s="17">
        <v>3.2099999999999997E-2</v>
      </c>
      <c r="K297" s="25">
        <f t="shared" si="16"/>
        <v>8.6566929138109927E-5</v>
      </c>
      <c r="M297" s="16">
        <v>44006</v>
      </c>
      <c r="N297" s="26">
        <f t="shared" si="17"/>
        <v>-1.4568477590190686E-2</v>
      </c>
      <c r="O297" s="26">
        <f>'Part 2 - CAPM 2.1, 2.2 and 2.3'!C297-'Part 2 - CAPM 2.1, 2.2 and 2.3'!K297</f>
        <v>-2.9858896176073443E-2</v>
      </c>
    </row>
    <row r="298" spans="1:15" x14ac:dyDescent="0.4">
      <c r="A298" s="16">
        <v>44007</v>
      </c>
      <c r="B298" s="14">
        <v>81.599999999999994</v>
      </c>
      <c r="C298" s="25">
        <f t="shared" si="18"/>
        <v>-1.8050541516245487E-2</v>
      </c>
      <c r="E298" s="16">
        <v>44007</v>
      </c>
      <c r="F298" s="15">
        <v>8499.9</v>
      </c>
      <c r="G298" s="25">
        <f t="shared" si="19"/>
        <v>4.2960129468879051E-4</v>
      </c>
      <c r="I298" s="16">
        <v>44007</v>
      </c>
      <c r="J298" s="17">
        <v>3.1800000000000002E-2</v>
      </c>
      <c r="K298" s="25">
        <f t="shared" si="16"/>
        <v>8.5770389928185864E-5</v>
      </c>
      <c r="M298" s="16">
        <v>44007</v>
      </c>
      <c r="N298" s="26">
        <f t="shared" si="17"/>
        <v>3.4383090476060465E-4</v>
      </c>
      <c r="O298" s="26">
        <f>'Part 2 - CAPM 2.1, 2.2 and 2.3'!C298-'Part 2 - CAPM 2.1, 2.2 and 2.3'!K298</f>
        <v>-1.8136311906173673E-2</v>
      </c>
    </row>
    <row r="299" spans="1:15" x14ac:dyDescent="0.4">
      <c r="A299" s="16">
        <v>44008</v>
      </c>
      <c r="B299" s="14">
        <v>84.15</v>
      </c>
      <c r="C299" s="25">
        <f t="shared" si="18"/>
        <v>3.1250000000000139E-2</v>
      </c>
      <c r="E299" s="16">
        <v>44008</v>
      </c>
      <c r="F299" s="15">
        <v>8559</v>
      </c>
      <c r="G299" s="25">
        <f t="shared" si="19"/>
        <v>6.9530229767409456E-3</v>
      </c>
      <c r="I299" s="16">
        <v>44008</v>
      </c>
      <c r="J299" s="17">
        <v>3.1800000000000002E-2</v>
      </c>
      <c r="K299" s="25">
        <f t="shared" si="16"/>
        <v>8.5770389928185864E-5</v>
      </c>
      <c r="M299" s="16">
        <v>44008</v>
      </c>
      <c r="N299" s="26">
        <f t="shared" si="17"/>
        <v>6.8672525868127597E-3</v>
      </c>
      <c r="O299" s="26">
        <f>'Part 2 - CAPM 2.1, 2.2 and 2.3'!C299-'Part 2 - CAPM 2.1, 2.2 and 2.3'!K299</f>
        <v>3.1164229610071953E-2</v>
      </c>
    </row>
    <row r="300" spans="1:15" x14ac:dyDescent="0.4">
      <c r="A300" s="16">
        <v>44011</v>
      </c>
      <c r="B300" s="14">
        <v>82.4</v>
      </c>
      <c r="C300" s="25">
        <f t="shared" si="18"/>
        <v>-2.0796197266785502E-2</v>
      </c>
      <c r="E300" s="16">
        <v>44011</v>
      </c>
      <c r="F300" s="15">
        <v>8488.0499999999993</v>
      </c>
      <c r="G300" s="25">
        <f t="shared" si="19"/>
        <v>-8.289519803715473E-3</v>
      </c>
      <c r="I300" s="16">
        <v>44011</v>
      </c>
      <c r="J300" s="17">
        <v>3.1699999999999999E-2</v>
      </c>
      <c r="K300" s="25">
        <f t="shared" si="16"/>
        <v>8.5504825532600748E-5</v>
      </c>
      <c r="M300" s="16">
        <v>44011</v>
      </c>
      <c r="N300" s="26">
        <f t="shared" si="17"/>
        <v>-8.3750246292480738E-3</v>
      </c>
      <c r="O300" s="26">
        <f>'Part 2 - CAPM 2.1, 2.2 and 2.3'!C300-'Part 2 - CAPM 2.1, 2.2 and 2.3'!K300</f>
        <v>-2.0881702092318103E-2</v>
      </c>
    </row>
    <row r="301" spans="1:15" x14ac:dyDescent="0.4">
      <c r="A301" s="16">
        <v>44012</v>
      </c>
      <c r="B301" s="14">
        <v>81.349999999999994</v>
      </c>
      <c r="C301" s="25">
        <f t="shared" si="18"/>
        <v>-1.2742718446602078E-2</v>
      </c>
      <c r="E301" s="16">
        <v>44012</v>
      </c>
      <c r="F301" s="15">
        <v>8474.7999999999993</v>
      </c>
      <c r="G301" s="25">
        <f t="shared" si="19"/>
        <v>-1.5610181372635648E-3</v>
      </c>
      <c r="I301" s="16">
        <v>44012</v>
      </c>
      <c r="J301" s="17">
        <v>3.15E-2</v>
      </c>
      <c r="K301" s="25">
        <f t="shared" si="16"/>
        <v>8.4973619722372717E-5</v>
      </c>
      <c r="M301" s="16">
        <v>44012</v>
      </c>
      <c r="N301" s="26">
        <f t="shared" si="17"/>
        <v>-1.6459917569859376E-3</v>
      </c>
      <c r="O301" s="26">
        <f>'Part 2 - CAPM 2.1, 2.2 and 2.3'!C301-'Part 2 - CAPM 2.1, 2.2 and 2.3'!K301</f>
        <v>-1.2827692066324451E-2</v>
      </c>
    </row>
    <row r="302" spans="1:15" x14ac:dyDescent="0.4">
      <c r="A302" s="16">
        <v>44013</v>
      </c>
      <c r="B302" s="14">
        <v>80.45</v>
      </c>
      <c r="C302" s="25">
        <f t="shared" si="18"/>
        <v>-1.106330669944673E-2</v>
      </c>
      <c r="E302" s="16">
        <v>44013</v>
      </c>
      <c r="F302" s="15">
        <v>8554.75</v>
      </c>
      <c r="G302" s="25">
        <f t="shared" si="19"/>
        <v>9.4338509463351029E-3</v>
      </c>
      <c r="I302" s="16">
        <v>44013</v>
      </c>
      <c r="J302" s="17">
        <v>3.1400000000000004E-2</v>
      </c>
      <c r="K302" s="25">
        <f t="shared" si="16"/>
        <v>8.4707978298181885E-5</v>
      </c>
      <c r="M302" s="16">
        <v>44013</v>
      </c>
      <c r="N302" s="26">
        <f t="shared" si="17"/>
        <v>9.349142968036921E-3</v>
      </c>
      <c r="O302" s="26">
        <f>'Part 2 - CAPM 2.1, 2.2 and 2.3'!C302-'Part 2 - CAPM 2.1, 2.2 and 2.3'!K302</f>
        <v>-1.1148014677744912E-2</v>
      </c>
    </row>
    <row r="303" spans="1:15" x14ac:dyDescent="0.4">
      <c r="A303" s="16">
        <v>44014</v>
      </c>
      <c r="B303" s="14">
        <v>81.849999999999994</v>
      </c>
      <c r="C303" s="25">
        <f t="shared" si="18"/>
        <v>1.7402113113735133E-2</v>
      </c>
      <c r="E303" s="16">
        <v>44014</v>
      </c>
      <c r="F303" s="15">
        <v>8647.85</v>
      </c>
      <c r="G303" s="25">
        <f t="shared" si="19"/>
        <v>1.0882842865075001E-2</v>
      </c>
      <c r="I303" s="16">
        <v>44014</v>
      </c>
      <c r="J303" s="17">
        <v>3.15E-2</v>
      </c>
      <c r="K303" s="25">
        <f t="shared" si="16"/>
        <v>8.4973619722372717E-5</v>
      </c>
      <c r="M303" s="16">
        <v>44014</v>
      </c>
      <c r="N303" s="26">
        <f t="shared" si="17"/>
        <v>1.0797869245352629E-2</v>
      </c>
      <c r="O303" s="26">
        <f>'Part 2 - CAPM 2.1, 2.2 and 2.3'!C303-'Part 2 - CAPM 2.1, 2.2 and 2.3'!K303</f>
        <v>1.731713949401276E-2</v>
      </c>
    </row>
    <row r="304" spans="1:15" x14ac:dyDescent="0.4">
      <c r="A304" s="16">
        <v>44015</v>
      </c>
      <c r="B304" s="14">
        <v>82.4</v>
      </c>
      <c r="C304" s="25">
        <f t="shared" si="18"/>
        <v>6.7196090409286672E-3</v>
      </c>
      <c r="E304" s="16">
        <v>44015</v>
      </c>
      <c r="F304" s="15">
        <v>8696.25</v>
      </c>
      <c r="G304" s="25">
        <f t="shared" si="19"/>
        <v>5.5967668264365862E-3</v>
      </c>
      <c r="I304" s="16">
        <v>44015</v>
      </c>
      <c r="J304" s="17">
        <v>3.1699999999999999E-2</v>
      </c>
      <c r="K304" s="25">
        <f t="shared" si="16"/>
        <v>8.5504825532600748E-5</v>
      </c>
      <c r="M304" s="16">
        <v>44015</v>
      </c>
      <c r="N304" s="26">
        <f t="shared" si="17"/>
        <v>5.5112620009039855E-3</v>
      </c>
      <c r="O304" s="26">
        <f>'Part 2 - CAPM 2.1, 2.2 and 2.3'!C304-'Part 2 - CAPM 2.1, 2.2 and 2.3'!K304</f>
        <v>6.6341042153960665E-3</v>
      </c>
    </row>
    <row r="305" spans="1:15" x14ac:dyDescent="0.4">
      <c r="A305" s="16">
        <v>44018</v>
      </c>
      <c r="B305" s="14">
        <v>83.75</v>
      </c>
      <c r="C305" s="25">
        <f t="shared" si="18"/>
        <v>1.6383495145630998E-2</v>
      </c>
      <c r="E305" s="16">
        <v>44018</v>
      </c>
      <c r="F305" s="15">
        <v>8815.7000000000007</v>
      </c>
      <c r="G305" s="25">
        <f t="shared" si="19"/>
        <v>1.3735805663360728E-2</v>
      </c>
      <c r="I305" s="16">
        <v>44018</v>
      </c>
      <c r="J305" s="17">
        <v>3.1699999999999999E-2</v>
      </c>
      <c r="K305" s="25">
        <f t="shared" si="16"/>
        <v>8.5504825532600748E-5</v>
      </c>
      <c r="M305" s="16">
        <v>44018</v>
      </c>
      <c r="N305" s="26">
        <f t="shared" si="17"/>
        <v>1.3650300837828127E-2</v>
      </c>
      <c r="O305" s="26">
        <f>'Part 2 - CAPM 2.1, 2.2 and 2.3'!C305-'Part 2 - CAPM 2.1, 2.2 and 2.3'!K305</f>
        <v>1.6297990320098397E-2</v>
      </c>
    </row>
    <row r="306" spans="1:15" x14ac:dyDescent="0.4">
      <c r="A306" s="16">
        <v>44019</v>
      </c>
      <c r="B306" s="14">
        <v>81.95</v>
      </c>
      <c r="C306" s="25">
        <f t="shared" si="18"/>
        <v>-2.1492537313432803E-2</v>
      </c>
      <c r="E306" s="16">
        <v>44019</v>
      </c>
      <c r="F306" s="15">
        <v>8850.2999999999993</v>
      </c>
      <c r="G306" s="25">
        <f t="shared" si="19"/>
        <v>3.9248159533557788E-3</v>
      </c>
      <c r="I306" s="16">
        <v>44019</v>
      </c>
      <c r="J306" s="17">
        <v>3.2000000000000001E-2</v>
      </c>
      <c r="K306" s="25">
        <f t="shared" si="16"/>
        <v>8.6301441726055472E-5</v>
      </c>
      <c r="M306" s="16">
        <v>44019</v>
      </c>
      <c r="N306" s="26">
        <f t="shared" si="17"/>
        <v>3.8385145116297233E-3</v>
      </c>
      <c r="O306" s="26">
        <f>'Part 2 - CAPM 2.1, 2.2 and 2.3'!C306-'Part 2 - CAPM 2.1, 2.2 and 2.3'!K306</f>
        <v>-2.1578838755158859E-2</v>
      </c>
    </row>
    <row r="307" spans="1:15" x14ac:dyDescent="0.4">
      <c r="A307" s="16">
        <v>44020</v>
      </c>
      <c r="B307" s="14">
        <v>81.3</v>
      </c>
      <c r="C307" s="25">
        <f t="shared" si="18"/>
        <v>-7.9316656497865241E-3</v>
      </c>
      <c r="E307" s="16">
        <v>44020</v>
      </c>
      <c r="F307" s="15">
        <v>8785</v>
      </c>
      <c r="G307" s="25">
        <f t="shared" si="19"/>
        <v>-7.3782809622271878E-3</v>
      </c>
      <c r="I307" s="16">
        <v>44020</v>
      </c>
      <c r="J307" s="17">
        <v>3.1800000000000002E-2</v>
      </c>
      <c r="K307" s="25">
        <f t="shared" si="16"/>
        <v>8.5770389928185864E-5</v>
      </c>
      <c r="M307" s="16">
        <v>44020</v>
      </c>
      <c r="N307" s="26">
        <f t="shared" si="17"/>
        <v>-7.4640513521553736E-3</v>
      </c>
      <c r="O307" s="26">
        <f>'Part 2 - CAPM 2.1, 2.2 and 2.3'!C307-'Part 2 - CAPM 2.1, 2.2 and 2.3'!K307</f>
        <v>-8.01743603971471E-3</v>
      </c>
    </row>
    <row r="308" spans="1:15" x14ac:dyDescent="0.4">
      <c r="A308" s="16">
        <v>44021</v>
      </c>
      <c r="B308" s="14">
        <v>80.2</v>
      </c>
      <c r="C308" s="25">
        <f t="shared" si="18"/>
        <v>-1.3530135301352945E-2</v>
      </c>
      <c r="E308" s="16">
        <v>44021</v>
      </c>
      <c r="F308" s="15">
        <v>8851.5</v>
      </c>
      <c r="G308" s="25">
        <f t="shared" si="19"/>
        <v>7.569721115537849E-3</v>
      </c>
      <c r="I308" s="16">
        <v>44021</v>
      </c>
      <c r="J308" s="17">
        <v>3.2099999999999997E-2</v>
      </c>
      <c r="K308" s="25">
        <f t="shared" si="16"/>
        <v>8.6566929138109927E-5</v>
      </c>
      <c r="M308" s="16">
        <v>44021</v>
      </c>
      <c r="N308" s="26">
        <f t="shared" si="17"/>
        <v>7.4831541863997391E-3</v>
      </c>
      <c r="O308" s="26">
        <f>'Part 2 - CAPM 2.1, 2.2 and 2.3'!C308-'Part 2 - CAPM 2.1, 2.2 and 2.3'!K308</f>
        <v>-1.3616702230491055E-2</v>
      </c>
    </row>
    <row r="309" spans="1:15" x14ac:dyDescent="0.4">
      <c r="A309" s="16">
        <v>44022</v>
      </c>
      <c r="B309" s="14">
        <v>78.55</v>
      </c>
      <c r="C309" s="25">
        <f t="shared" si="18"/>
        <v>-2.0573566084788102E-2</v>
      </c>
      <c r="E309" s="16">
        <v>44022</v>
      </c>
      <c r="F309" s="15">
        <v>8813.9500000000007</v>
      </c>
      <c r="G309" s="25">
        <f t="shared" si="19"/>
        <v>-4.2422188329660814E-3</v>
      </c>
      <c r="I309" s="16">
        <v>44022</v>
      </c>
      <c r="J309" s="17">
        <v>3.1899999999999998E-2</v>
      </c>
      <c r="K309" s="25">
        <f t="shared" si="16"/>
        <v>8.6035928657857141E-5</v>
      </c>
      <c r="M309" s="16">
        <v>44022</v>
      </c>
      <c r="N309" s="26">
        <f t="shared" si="17"/>
        <v>-4.3282547616239385E-3</v>
      </c>
      <c r="O309" s="26">
        <f>'Part 2 - CAPM 2.1, 2.2 and 2.3'!C309-'Part 2 - CAPM 2.1, 2.2 and 2.3'!K309</f>
        <v>-2.0659602013445959E-2</v>
      </c>
    </row>
    <row r="310" spans="1:15" x14ac:dyDescent="0.4">
      <c r="A310" s="16">
        <v>44025</v>
      </c>
      <c r="B310" s="14">
        <v>78.900000000000006</v>
      </c>
      <c r="C310" s="25">
        <f t="shared" si="18"/>
        <v>4.4557606619988355E-3</v>
      </c>
      <c r="E310" s="16">
        <v>44025</v>
      </c>
      <c r="F310" s="15">
        <v>8834.2000000000007</v>
      </c>
      <c r="G310" s="25">
        <f t="shared" si="19"/>
        <v>2.297494312992472E-3</v>
      </c>
      <c r="I310" s="16">
        <v>44025</v>
      </c>
      <c r="J310" s="17">
        <v>3.2099999999999997E-2</v>
      </c>
      <c r="K310" s="25">
        <f t="shared" si="16"/>
        <v>8.6566929138109927E-5</v>
      </c>
      <c r="M310" s="16">
        <v>44025</v>
      </c>
      <c r="N310" s="26">
        <f t="shared" si="17"/>
        <v>2.210927383854362E-3</v>
      </c>
      <c r="O310" s="26">
        <f>'Part 2 - CAPM 2.1, 2.2 and 2.3'!C310-'Part 2 - CAPM 2.1, 2.2 and 2.3'!K310</f>
        <v>4.3691937328607256E-3</v>
      </c>
    </row>
    <row r="311" spans="1:15" x14ac:dyDescent="0.4">
      <c r="A311" s="16">
        <v>44026</v>
      </c>
      <c r="B311" s="14">
        <v>77.349999999999994</v>
      </c>
      <c r="C311" s="25">
        <f t="shared" si="18"/>
        <v>-1.9645120405576821E-2</v>
      </c>
      <c r="E311" s="16">
        <v>44026</v>
      </c>
      <c r="F311" s="15">
        <v>8693.35</v>
      </c>
      <c r="G311" s="25">
        <f t="shared" si="19"/>
        <v>-1.5943718729483185E-2</v>
      </c>
      <c r="I311" s="16">
        <v>44026</v>
      </c>
      <c r="J311" s="17">
        <v>3.2199999999999999E-2</v>
      </c>
      <c r="K311" s="25">
        <f t="shared" si="16"/>
        <v>8.6832390898683443E-5</v>
      </c>
      <c r="M311" s="16">
        <v>44026</v>
      </c>
      <c r="N311" s="26">
        <f t="shared" si="17"/>
        <v>-1.6030551120381868E-2</v>
      </c>
      <c r="O311" s="26">
        <f>'Part 2 - CAPM 2.1, 2.2 and 2.3'!C311-'Part 2 - CAPM 2.1, 2.2 and 2.3'!K311</f>
        <v>-1.9731952796475504E-2</v>
      </c>
    </row>
    <row r="312" spans="1:15" x14ac:dyDescent="0.4">
      <c r="A312" s="16">
        <v>44027</v>
      </c>
      <c r="B312" s="14">
        <v>76.25</v>
      </c>
      <c r="C312" s="25">
        <f t="shared" si="18"/>
        <v>-1.4221073044602383E-2</v>
      </c>
      <c r="E312" s="16">
        <v>44027</v>
      </c>
      <c r="F312" s="15">
        <v>8689.85</v>
      </c>
      <c r="G312" s="25">
        <f t="shared" si="19"/>
        <v>-4.0260659009472754E-4</v>
      </c>
      <c r="I312" s="16">
        <v>44027</v>
      </c>
      <c r="J312" s="17">
        <v>3.2300000000000002E-2</v>
      </c>
      <c r="K312" s="25">
        <f t="shared" si="16"/>
        <v>8.7097827013105089E-5</v>
      </c>
      <c r="M312" s="16">
        <v>44027</v>
      </c>
      <c r="N312" s="26">
        <f t="shared" si="17"/>
        <v>-4.8970441710783263E-4</v>
      </c>
      <c r="O312" s="26">
        <f>'Part 2 - CAPM 2.1, 2.2 and 2.3'!C312-'Part 2 - CAPM 2.1, 2.2 and 2.3'!K312</f>
        <v>-1.4308170871615488E-2</v>
      </c>
    </row>
    <row r="313" spans="1:15" x14ac:dyDescent="0.4">
      <c r="A313" s="16">
        <v>44028</v>
      </c>
      <c r="B313" s="14">
        <v>76.150000000000006</v>
      </c>
      <c r="C313" s="25">
        <f t="shared" si="18"/>
        <v>-1.311475409835991E-3</v>
      </c>
      <c r="E313" s="16">
        <v>44028</v>
      </c>
      <c r="F313" s="15">
        <v>8766.6</v>
      </c>
      <c r="G313" s="25">
        <f t="shared" si="19"/>
        <v>8.8321432475819486E-3</v>
      </c>
      <c r="I313" s="16">
        <v>44028</v>
      </c>
      <c r="J313" s="17">
        <v>3.2400000000000005E-2</v>
      </c>
      <c r="K313" s="25">
        <f t="shared" si="16"/>
        <v>8.7363237486037804E-5</v>
      </c>
      <c r="M313" s="16">
        <v>44028</v>
      </c>
      <c r="N313" s="26">
        <f t="shared" si="17"/>
        <v>8.7447800100959108E-3</v>
      </c>
      <c r="O313" s="26">
        <f>'Part 2 - CAPM 2.1, 2.2 and 2.3'!C313-'Part 2 - CAPM 2.1, 2.2 and 2.3'!K313</f>
        <v>-1.3988386473220288E-3</v>
      </c>
    </row>
    <row r="314" spans="1:15" x14ac:dyDescent="0.4">
      <c r="A314" s="16">
        <v>44029</v>
      </c>
      <c r="B314" s="14">
        <v>80.349999999999994</v>
      </c>
      <c r="C314" s="25">
        <f t="shared" si="18"/>
        <v>5.5154300722258548E-2</v>
      </c>
      <c r="E314" s="16">
        <v>44029</v>
      </c>
      <c r="F314" s="15">
        <v>8895.2999999999993</v>
      </c>
      <c r="G314" s="25">
        <f t="shared" si="19"/>
        <v>1.4680720005475201E-2</v>
      </c>
      <c r="I314" s="16">
        <v>44029</v>
      </c>
      <c r="J314" s="17">
        <v>3.2400000000000005E-2</v>
      </c>
      <c r="K314" s="25">
        <f t="shared" si="16"/>
        <v>8.7363237486037804E-5</v>
      </c>
      <c r="M314" s="16">
        <v>44029</v>
      </c>
      <c r="N314" s="26">
        <f t="shared" si="17"/>
        <v>1.4593356767989164E-2</v>
      </c>
      <c r="O314" s="26">
        <f>'Part 2 - CAPM 2.1, 2.2 and 2.3'!C314-'Part 2 - CAPM 2.1, 2.2 and 2.3'!K314</f>
        <v>5.506693748477251E-2</v>
      </c>
    </row>
    <row r="315" spans="1:15" x14ac:dyDescent="0.4">
      <c r="A315" s="16">
        <v>44032</v>
      </c>
      <c r="B315" s="14">
        <v>80.3</v>
      </c>
      <c r="C315" s="25">
        <f t="shared" si="18"/>
        <v>-6.2227753578092296E-4</v>
      </c>
      <c r="E315" s="16">
        <v>44032</v>
      </c>
      <c r="F315" s="15">
        <v>8985.1</v>
      </c>
      <c r="G315" s="25">
        <f t="shared" si="19"/>
        <v>1.009521882342373E-2</v>
      </c>
      <c r="I315" s="16">
        <v>44032</v>
      </c>
      <c r="J315" s="17">
        <v>3.27E-2</v>
      </c>
      <c r="K315" s="25">
        <f t="shared" si="16"/>
        <v>8.8159315106084435E-5</v>
      </c>
      <c r="M315" s="16">
        <v>44032</v>
      </c>
      <c r="N315" s="26">
        <f t="shared" si="17"/>
        <v>1.0007059508317645E-2</v>
      </c>
      <c r="O315" s="26">
        <f>'Part 2 - CAPM 2.1, 2.2 and 2.3'!C315-'Part 2 - CAPM 2.1, 2.2 and 2.3'!K315</f>
        <v>-7.1043685088700739E-4</v>
      </c>
    </row>
    <row r="316" spans="1:15" x14ac:dyDescent="0.4">
      <c r="A316" s="16">
        <v>44033</v>
      </c>
      <c r="B316" s="14">
        <v>82.45</v>
      </c>
      <c r="C316" s="25">
        <f t="shared" si="18"/>
        <v>2.6774595267746025E-2</v>
      </c>
      <c r="E316" s="16">
        <v>44033</v>
      </c>
      <c r="F316" s="15">
        <v>9070.6</v>
      </c>
      <c r="G316" s="25">
        <f t="shared" si="19"/>
        <v>9.5157538591668419E-3</v>
      </c>
      <c r="I316" s="16">
        <v>44033</v>
      </c>
      <c r="J316" s="17">
        <v>3.2500000000000001E-2</v>
      </c>
      <c r="K316" s="25">
        <f t="shared" si="16"/>
        <v>8.7628622322588612E-5</v>
      </c>
      <c r="M316" s="16">
        <v>44033</v>
      </c>
      <c r="N316" s="26">
        <f t="shared" si="17"/>
        <v>9.4281252368442533E-3</v>
      </c>
      <c r="O316" s="26">
        <f>'Part 2 - CAPM 2.1, 2.2 and 2.3'!C316-'Part 2 - CAPM 2.1, 2.2 and 2.3'!K316</f>
        <v>2.6686966645423436E-2</v>
      </c>
    </row>
    <row r="317" spans="1:15" x14ac:dyDescent="0.4">
      <c r="A317" s="16">
        <v>44034</v>
      </c>
      <c r="B317" s="14">
        <v>82.6</v>
      </c>
      <c r="C317" s="25">
        <f t="shared" si="18"/>
        <v>1.8192844147967432E-3</v>
      </c>
      <c r="E317" s="16">
        <v>44034</v>
      </c>
      <c r="F317" s="15">
        <v>9046.6</v>
      </c>
      <c r="G317" s="25">
        <f t="shared" si="19"/>
        <v>-2.6459109650960244E-3</v>
      </c>
      <c r="I317" s="16">
        <v>44034</v>
      </c>
      <c r="J317" s="17">
        <v>3.2500000000000001E-2</v>
      </c>
      <c r="K317" s="25">
        <f t="shared" si="16"/>
        <v>8.7628622322588612E-5</v>
      </c>
      <c r="M317" s="16">
        <v>44034</v>
      </c>
      <c r="N317" s="26">
        <f t="shared" si="17"/>
        <v>-2.733539587418613E-3</v>
      </c>
      <c r="O317" s="26">
        <f>'Part 2 - CAPM 2.1, 2.2 and 2.3'!C317-'Part 2 - CAPM 2.1, 2.2 and 2.3'!K317</f>
        <v>1.7316557924741546E-3</v>
      </c>
    </row>
    <row r="318" spans="1:15" x14ac:dyDescent="0.4">
      <c r="A318" s="16">
        <v>44035</v>
      </c>
      <c r="B318" s="14">
        <v>82.65</v>
      </c>
      <c r="C318" s="25">
        <f t="shared" si="18"/>
        <v>6.0532687651345491E-4</v>
      </c>
      <c r="E318" s="16">
        <v>44035</v>
      </c>
      <c r="F318" s="15">
        <v>9114.0499999999993</v>
      </c>
      <c r="G318" s="25">
        <f t="shared" si="19"/>
        <v>7.455839763004765E-3</v>
      </c>
      <c r="I318" s="16">
        <v>44035</v>
      </c>
      <c r="J318" s="17">
        <v>3.2799999999999996E-2</v>
      </c>
      <c r="K318" s="25">
        <f t="shared" si="16"/>
        <v>8.8424623063021457E-5</v>
      </c>
      <c r="M318" s="16">
        <v>44035</v>
      </c>
      <c r="N318" s="26">
        <f t="shared" si="17"/>
        <v>7.3674151399417435E-3</v>
      </c>
      <c r="O318" s="26">
        <f>'Part 2 - CAPM 2.1, 2.2 and 2.3'!C318-'Part 2 - CAPM 2.1, 2.2 and 2.3'!K318</f>
        <v>5.1690225345043346E-4</v>
      </c>
    </row>
    <row r="319" spans="1:15" x14ac:dyDescent="0.4">
      <c r="A319" s="16">
        <v>44036</v>
      </c>
      <c r="B319" s="14">
        <v>81</v>
      </c>
      <c r="C319" s="25">
        <f t="shared" si="18"/>
        <v>-1.9963702359346708E-2</v>
      </c>
      <c r="E319" s="16">
        <v>44036</v>
      </c>
      <c r="F319" s="15">
        <v>9085.9500000000007</v>
      </c>
      <c r="G319" s="25">
        <f t="shared" si="19"/>
        <v>-3.0831518369987599E-3</v>
      </c>
      <c r="I319" s="16">
        <v>44036</v>
      </c>
      <c r="J319" s="17">
        <v>3.2899999999999999E-2</v>
      </c>
      <c r="K319" s="25">
        <f t="shared" si="16"/>
        <v>8.8689905403338543E-5</v>
      </c>
      <c r="M319" s="16">
        <v>44036</v>
      </c>
      <c r="N319" s="26">
        <f t="shared" si="17"/>
        <v>-3.1718417424020985E-3</v>
      </c>
      <c r="O319" s="26">
        <f>'Part 2 - CAPM 2.1, 2.2 and 2.3'!C319-'Part 2 - CAPM 2.1, 2.2 and 2.3'!K319</f>
        <v>-2.0052392264750047E-2</v>
      </c>
    </row>
    <row r="320" spans="1:15" x14ac:dyDescent="0.4">
      <c r="A320" s="16">
        <v>44039</v>
      </c>
      <c r="B320" s="14">
        <v>80.8</v>
      </c>
      <c r="C320" s="25">
        <f t="shared" si="18"/>
        <v>-2.4691358024691709E-3</v>
      </c>
      <c r="E320" s="16">
        <v>44039</v>
      </c>
      <c r="F320" s="15">
        <v>9024.9</v>
      </c>
      <c r="G320" s="25">
        <f t="shared" si="19"/>
        <v>-6.7191653046738192E-3</v>
      </c>
      <c r="I320" s="16">
        <v>44039</v>
      </c>
      <c r="J320" s="17">
        <v>3.3000000000000002E-2</v>
      </c>
      <c r="K320" s="25">
        <f t="shared" si="16"/>
        <v>8.8955162131920673E-5</v>
      </c>
      <c r="M320" s="16">
        <v>44039</v>
      </c>
      <c r="N320" s="26">
        <f t="shared" si="17"/>
        <v>-6.8081204668057399E-3</v>
      </c>
      <c r="O320" s="26">
        <f>'Part 2 - CAPM 2.1, 2.2 and 2.3'!C320-'Part 2 - CAPM 2.1, 2.2 and 2.3'!K320</f>
        <v>-2.5580909646010916E-3</v>
      </c>
    </row>
    <row r="321" spans="1:15" x14ac:dyDescent="0.4">
      <c r="A321" s="16">
        <v>44040</v>
      </c>
      <c r="B321" s="14">
        <v>79.900000000000006</v>
      </c>
      <c r="C321" s="25">
        <f t="shared" si="18"/>
        <v>-1.1138613861386034E-2</v>
      </c>
      <c r="E321" s="16">
        <v>44040</v>
      </c>
      <c r="F321" s="15">
        <v>9141.75</v>
      </c>
      <c r="G321" s="25">
        <f t="shared" si="19"/>
        <v>1.2947511883788227E-2</v>
      </c>
      <c r="I321" s="16">
        <v>44040</v>
      </c>
      <c r="J321" s="17">
        <v>3.32E-2</v>
      </c>
      <c r="K321" s="25">
        <f t="shared" si="16"/>
        <v>8.9485598774308173E-5</v>
      </c>
      <c r="M321" s="16">
        <v>44040</v>
      </c>
      <c r="N321" s="26">
        <f t="shared" si="17"/>
        <v>1.2858026285013919E-2</v>
      </c>
      <c r="O321" s="26">
        <f>'Part 2 - CAPM 2.1, 2.2 and 2.3'!C321-'Part 2 - CAPM 2.1, 2.2 and 2.3'!K321</f>
        <v>-1.1228099460160342E-2</v>
      </c>
    </row>
    <row r="322" spans="1:15" x14ac:dyDescent="0.4">
      <c r="A322" s="16">
        <v>44041</v>
      </c>
      <c r="B322" s="14">
        <v>79.5</v>
      </c>
      <c r="C322" s="25">
        <f t="shared" si="18"/>
        <v>-5.0062578222779177E-3</v>
      </c>
      <c r="E322" s="16">
        <v>44041</v>
      </c>
      <c r="F322" s="15">
        <v>9096.1</v>
      </c>
      <c r="G322" s="25">
        <f t="shared" si="19"/>
        <v>-4.9935734405337747E-3</v>
      </c>
      <c r="I322" s="16">
        <v>44041</v>
      </c>
      <c r="J322" s="17">
        <v>3.32E-2</v>
      </c>
      <c r="K322" s="25">
        <f t="shared" si="16"/>
        <v>8.9485598774308173E-5</v>
      </c>
      <c r="M322" s="16">
        <v>44041</v>
      </c>
      <c r="N322" s="26">
        <f t="shared" si="17"/>
        <v>-5.0830590393080828E-3</v>
      </c>
      <c r="O322" s="26">
        <f>'Part 2 - CAPM 2.1, 2.2 and 2.3'!C322-'Part 2 - CAPM 2.1, 2.2 and 2.3'!K322</f>
        <v>-5.0957434210522259E-3</v>
      </c>
    </row>
    <row r="323" spans="1:15" x14ac:dyDescent="0.4">
      <c r="A323" s="16">
        <v>44042</v>
      </c>
      <c r="B323" s="14">
        <v>77.7</v>
      </c>
      <c r="C323" s="25">
        <f t="shared" si="18"/>
        <v>-2.2641509433962228E-2</v>
      </c>
      <c r="E323" s="16">
        <v>44042</v>
      </c>
      <c r="F323" s="15">
        <v>9031.7000000000007</v>
      </c>
      <c r="G323" s="25">
        <f t="shared" si="19"/>
        <v>-7.0799573443563321E-3</v>
      </c>
      <c r="I323" s="16">
        <v>44042</v>
      </c>
      <c r="J323" s="17">
        <v>3.32E-2</v>
      </c>
      <c r="K323" s="25">
        <f t="shared" si="16"/>
        <v>8.9485598774308173E-5</v>
      </c>
      <c r="M323" s="16">
        <v>44042</v>
      </c>
      <c r="N323" s="26">
        <f t="shared" si="17"/>
        <v>-7.1694429431306403E-3</v>
      </c>
      <c r="O323" s="26">
        <f>'Part 2 - CAPM 2.1, 2.2 and 2.3'!C323-'Part 2 - CAPM 2.1, 2.2 and 2.3'!K323</f>
        <v>-2.2730995032736536E-2</v>
      </c>
    </row>
    <row r="324" spans="1:15" x14ac:dyDescent="0.4">
      <c r="A324" s="16">
        <v>44043</v>
      </c>
      <c r="B324" s="14">
        <v>78.3</v>
      </c>
      <c r="C324" s="25">
        <f t="shared" si="18"/>
        <v>7.7220077220076485E-3</v>
      </c>
      <c r="E324" s="16">
        <v>44043</v>
      </c>
      <c r="F324" s="15">
        <v>9035.75</v>
      </c>
      <c r="G324" s="25">
        <f t="shared" si="19"/>
        <v>4.484205631275698E-4</v>
      </c>
      <c r="I324" s="16">
        <v>44043</v>
      </c>
      <c r="J324" s="17">
        <v>3.3099999999999997E-2</v>
      </c>
      <c r="K324" s="25">
        <f t="shared" ref="K324:K387" si="20">((1+J324)^(1/365))-1</f>
        <v>8.9220393253874875E-5</v>
      </c>
      <c r="M324" s="16">
        <v>44043</v>
      </c>
      <c r="N324" s="26">
        <f t="shared" ref="N324:N387" si="21">G324-K324</f>
        <v>3.5920016987369492E-4</v>
      </c>
      <c r="O324" s="26">
        <f>'Part 2 - CAPM 2.1, 2.2 and 2.3'!C324-'Part 2 - CAPM 2.1, 2.2 and 2.3'!K324</f>
        <v>7.6327873287537736E-3</v>
      </c>
    </row>
    <row r="325" spans="1:15" x14ac:dyDescent="0.4">
      <c r="A325" s="16">
        <v>44046</v>
      </c>
      <c r="B325" s="14">
        <v>75.900000000000006</v>
      </c>
      <c r="C325" s="25">
        <f t="shared" ref="C325:C388" si="22">(B325-B324)/B324</f>
        <v>-3.0651340996168473E-2</v>
      </c>
      <c r="E325" s="16">
        <v>44046</v>
      </c>
      <c r="F325" s="15">
        <v>8932.0499999999993</v>
      </c>
      <c r="G325" s="25">
        <f t="shared" ref="G325:G388" si="23">(F325-F324)/F324</f>
        <v>-1.1476634479705695E-2</v>
      </c>
      <c r="I325" s="16">
        <v>44046</v>
      </c>
      <c r="J325" s="17">
        <v>3.3000000000000002E-2</v>
      </c>
      <c r="K325" s="25">
        <f t="shared" si="20"/>
        <v>8.8955162131920673E-5</v>
      </c>
      <c r="M325" s="16">
        <v>44046</v>
      </c>
      <c r="N325" s="26">
        <f t="shared" si="21"/>
        <v>-1.1565589641837615E-2</v>
      </c>
      <c r="O325" s="26">
        <f>'Part 2 - CAPM 2.1, 2.2 and 2.3'!C325-'Part 2 - CAPM 2.1, 2.2 and 2.3'!K325</f>
        <v>-3.0740296158300394E-2</v>
      </c>
    </row>
    <row r="326" spans="1:15" x14ac:dyDescent="0.4">
      <c r="A326" s="16">
        <v>44047</v>
      </c>
      <c r="B326" s="14">
        <v>76.099999999999994</v>
      </c>
      <c r="C326" s="25">
        <f t="shared" si="22"/>
        <v>2.6350461133068329E-3</v>
      </c>
      <c r="E326" s="16">
        <v>44047</v>
      </c>
      <c r="F326" s="15">
        <v>9074.9500000000007</v>
      </c>
      <c r="G326" s="25">
        <f t="shared" si="23"/>
        <v>1.5998566958313205E-2</v>
      </c>
      <c r="I326" s="16">
        <v>44047</v>
      </c>
      <c r="J326" s="17">
        <v>3.3000000000000002E-2</v>
      </c>
      <c r="K326" s="25">
        <f t="shared" si="20"/>
        <v>8.8955162131920673E-5</v>
      </c>
      <c r="M326" s="16">
        <v>44047</v>
      </c>
      <c r="N326" s="26">
        <f t="shared" si="21"/>
        <v>1.5909611796181285E-2</v>
      </c>
      <c r="O326" s="26">
        <f>'Part 2 - CAPM 2.1, 2.2 and 2.3'!C326-'Part 2 - CAPM 2.1, 2.2 and 2.3'!K326</f>
        <v>2.5460909511749123E-3</v>
      </c>
    </row>
    <row r="327" spans="1:15" x14ac:dyDescent="0.4">
      <c r="A327" s="16">
        <v>44048</v>
      </c>
      <c r="B327" s="14">
        <v>76.95</v>
      </c>
      <c r="C327" s="25">
        <f t="shared" si="22"/>
        <v>1.1169513797634804E-2</v>
      </c>
      <c r="E327" s="16">
        <v>44048</v>
      </c>
      <c r="F327" s="15">
        <v>9088.75</v>
      </c>
      <c r="G327" s="25">
        <f t="shared" si="23"/>
        <v>1.5206695353692605E-3</v>
      </c>
      <c r="I327" s="16">
        <v>44048</v>
      </c>
      <c r="J327" s="17">
        <v>3.3000000000000002E-2</v>
      </c>
      <c r="K327" s="25">
        <f t="shared" si="20"/>
        <v>8.8955162131920673E-5</v>
      </c>
      <c r="M327" s="16">
        <v>44048</v>
      </c>
      <c r="N327" s="26">
        <f t="shared" si="21"/>
        <v>1.4317143732373399E-3</v>
      </c>
      <c r="O327" s="26">
        <f>'Part 2 - CAPM 2.1, 2.2 and 2.3'!C327-'Part 2 - CAPM 2.1, 2.2 and 2.3'!K327</f>
        <v>1.1080558635502884E-2</v>
      </c>
    </row>
    <row r="328" spans="1:15" x14ac:dyDescent="0.4">
      <c r="A328" s="16">
        <v>44049</v>
      </c>
      <c r="B328" s="14">
        <v>78.05</v>
      </c>
      <c r="C328" s="25">
        <f t="shared" si="22"/>
        <v>1.4294996751137028E-2</v>
      </c>
      <c r="E328" s="16">
        <v>44049</v>
      </c>
      <c r="F328" s="15">
        <v>9169.1</v>
      </c>
      <c r="G328" s="25">
        <f t="shared" si="23"/>
        <v>8.8405996424151135E-3</v>
      </c>
      <c r="I328" s="16">
        <v>44049</v>
      </c>
      <c r="J328" s="17">
        <v>3.3000000000000002E-2</v>
      </c>
      <c r="K328" s="25">
        <f t="shared" si="20"/>
        <v>8.8955162131920673E-5</v>
      </c>
      <c r="M328" s="16">
        <v>44049</v>
      </c>
      <c r="N328" s="26">
        <f t="shared" si="21"/>
        <v>8.7516444802831928E-3</v>
      </c>
      <c r="O328" s="26">
        <f>'Part 2 - CAPM 2.1, 2.2 and 2.3'!C328-'Part 2 - CAPM 2.1, 2.2 and 2.3'!K328</f>
        <v>1.4206041589005108E-2</v>
      </c>
    </row>
    <row r="329" spans="1:15" x14ac:dyDescent="0.4">
      <c r="A329" s="16">
        <v>44050</v>
      </c>
      <c r="B329" s="14">
        <v>78.650000000000006</v>
      </c>
      <c r="C329" s="25">
        <f t="shared" si="22"/>
        <v>7.6873798846894114E-3</v>
      </c>
      <c r="E329" s="16">
        <v>44050</v>
      </c>
      <c r="F329" s="15">
        <v>9198.65</v>
      </c>
      <c r="G329" s="25">
        <f t="shared" si="23"/>
        <v>3.2227808618075135E-3</v>
      </c>
      <c r="I329" s="16">
        <v>44050</v>
      </c>
      <c r="J329" s="17">
        <v>3.3000000000000002E-2</v>
      </c>
      <c r="K329" s="25">
        <f t="shared" si="20"/>
        <v>8.8955162131920673E-5</v>
      </c>
      <c r="M329" s="16">
        <v>44050</v>
      </c>
      <c r="N329" s="26">
        <f t="shared" si="21"/>
        <v>3.1338256996755929E-3</v>
      </c>
      <c r="O329" s="26">
        <f>'Part 2 - CAPM 2.1, 2.2 and 2.3'!C329-'Part 2 - CAPM 2.1, 2.2 and 2.3'!K329</f>
        <v>7.5984247225574907E-3</v>
      </c>
    </row>
    <row r="330" spans="1:15" x14ac:dyDescent="0.4">
      <c r="A330" s="16">
        <v>44053</v>
      </c>
      <c r="B330" s="14">
        <v>79.05</v>
      </c>
      <c r="C330" s="25">
        <f t="shared" si="22"/>
        <v>5.0858232676413411E-3</v>
      </c>
      <c r="E330" s="16">
        <v>44053</v>
      </c>
      <c r="F330" s="15">
        <v>9268.5499999999993</v>
      </c>
      <c r="G330" s="25">
        <f t="shared" si="23"/>
        <v>7.5989411489729075E-3</v>
      </c>
      <c r="I330" s="16">
        <v>44053</v>
      </c>
      <c r="J330" s="17">
        <v>3.32E-2</v>
      </c>
      <c r="K330" s="25">
        <f t="shared" si="20"/>
        <v>8.9485598774308173E-5</v>
      </c>
      <c r="M330" s="16">
        <v>44053</v>
      </c>
      <c r="N330" s="26">
        <f t="shared" si="21"/>
        <v>7.5094555501985993E-3</v>
      </c>
      <c r="O330" s="26">
        <f>'Part 2 - CAPM 2.1, 2.2 and 2.3'!C330-'Part 2 - CAPM 2.1, 2.2 and 2.3'!K330</f>
        <v>4.9963376688670329E-3</v>
      </c>
    </row>
    <row r="331" spans="1:15" x14ac:dyDescent="0.4">
      <c r="A331" s="16">
        <v>44054</v>
      </c>
      <c r="B331" s="14">
        <v>78.45</v>
      </c>
      <c r="C331" s="25">
        <f t="shared" si="22"/>
        <v>-7.5901328273244063E-3</v>
      </c>
      <c r="E331" s="16">
        <v>44054</v>
      </c>
      <c r="F331" s="15">
        <v>9291</v>
      </c>
      <c r="G331" s="25">
        <f t="shared" si="23"/>
        <v>2.4221695950284272E-3</v>
      </c>
      <c r="I331" s="16">
        <v>44054</v>
      </c>
      <c r="J331" s="17">
        <v>3.3099999999999997E-2</v>
      </c>
      <c r="K331" s="25">
        <f t="shared" si="20"/>
        <v>8.9220393253874875E-5</v>
      </c>
      <c r="M331" s="16">
        <v>44054</v>
      </c>
      <c r="N331" s="26">
        <f t="shared" si="21"/>
        <v>2.3329492017745523E-3</v>
      </c>
      <c r="O331" s="26">
        <f>'Part 2 - CAPM 2.1, 2.2 and 2.3'!C331-'Part 2 - CAPM 2.1, 2.2 and 2.3'!K331</f>
        <v>-7.6793532205782812E-3</v>
      </c>
    </row>
    <row r="332" spans="1:15" x14ac:dyDescent="0.4">
      <c r="A332" s="16">
        <v>44055</v>
      </c>
      <c r="B332" s="14">
        <v>78.099999999999994</v>
      </c>
      <c r="C332" s="25">
        <f t="shared" si="22"/>
        <v>-4.4614404079032317E-3</v>
      </c>
      <c r="E332" s="16">
        <v>44055</v>
      </c>
      <c r="F332" s="15">
        <v>9284.7999999999993</v>
      </c>
      <c r="G332" s="25">
        <f t="shared" si="23"/>
        <v>-6.67312452911498E-4</v>
      </c>
      <c r="I332" s="16">
        <v>44055</v>
      </c>
      <c r="J332" s="17">
        <v>3.32E-2</v>
      </c>
      <c r="K332" s="25">
        <f t="shared" si="20"/>
        <v>8.9485598774308173E-5</v>
      </c>
      <c r="M332" s="16">
        <v>44055</v>
      </c>
      <c r="N332" s="26">
        <f t="shared" si="21"/>
        <v>-7.5679805168580618E-4</v>
      </c>
      <c r="O332" s="26">
        <f>'Part 2 - CAPM 2.1, 2.2 and 2.3'!C332-'Part 2 - CAPM 2.1, 2.2 and 2.3'!K332</f>
        <v>-4.5509260066775399E-3</v>
      </c>
    </row>
    <row r="333" spans="1:15" x14ac:dyDescent="0.4">
      <c r="A333" s="16">
        <v>44056</v>
      </c>
      <c r="B333" s="14">
        <v>78.599999999999994</v>
      </c>
      <c r="C333" s="25">
        <f t="shared" si="22"/>
        <v>6.4020486555697829E-3</v>
      </c>
      <c r="E333" s="16">
        <v>44056</v>
      </c>
      <c r="F333" s="15">
        <v>9307.85</v>
      </c>
      <c r="G333" s="25">
        <f t="shared" si="23"/>
        <v>2.4825521282096645E-3</v>
      </c>
      <c r="I333" s="16">
        <v>44056</v>
      </c>
      <c r="J333" s="17">
        <v>3.2899999999999999E-2</v>
      </c>
      <c r="K333" s="25">
        <f t="shared" si="20"/>
        <v>8.8689905403338543E-5</v>
      </c>
      <c r="M333" s="16">
        <v>44056</v>
      </c>
      <c r="N333" s="26">
        <f t="shared" si="21"/>
        <v>2.393862222806326E-3</v>
      </c>
      <c r="O333" s="26">
        <f>'Part 2 - CAPM 2.1, 2.2 and 2.3'!C333-'Part 2 - CAPM 2.1, 2.2 and 2.3'!K333</f>
        <v>6.3133587501664444E-3</v>
      </c>
    </row>
    <row r="334" spans="1:15" x14ac:dyDescent="0.4">
      <c r="A334" s="16">
        <v>44057</v>
      </c>
      <c r="B334" s="14">
        <v>77.099999999999994</v>
      </c>
      <c r="C334" s="25">
        <f t="shared" si="22"/>
        <v>-1.9083969465648856E-2</v>
      </c>
      <c r="E334" s="16">
        <v>44057</v>
      </c>
      <c r="F334" s="15">
        <v>9214.4</v>
      </c>
      <c r="G334" s="25">
        <f t="shared" si="23"/>
        <v>-1.0039912546936267E-2</v>
      </c>
      <c r="I334" s="16">
        <v>44057</v>
      </c>
      <c r="J334" s="17">
        <v>3.3000000000000002E-2</v>
      </c>
      <c r="K334" s="25">
        <f t="shared" si="20"/>
        <v>8.8955162131920673E-5</v>
      </c>
      <c r="M334" s="16">
        <v>44057</v>
      </c>
      <c r="N334" s="26">
        <f t="shared" si="21"/>
        <v>-1.0128867709068188E-2</v>
      </c>
      <c r="O334" s="26">
        <f>'Part 2 - CAPM 2.1, 2.2 and 2.3'!C334-'Part 2 - CAPM 2.1, 2.2 and 2.3'!K334</f>
        <v>-1.9172924627780776E-2</v>
      </c>
    </row>
    <row r="335" spans="1:15" x14ac:dyDescent="0.4">
      <c r="A335" s="16">
        <v>44060</v>
      </c>
      <c r="B335" s="14">
        <v>79.3</v>
      </c>
      <c r="C335" s="25">
        <f t="shared" si="22"/>
        <v>2.8534370946822346E-2</v>
      </c>
      <c r="E335" s="16">
        <v>44060</v>
      </c>
      <c r="F335" s="15">
        <v>9267.9</v>
      </c>
      <c r="G335" s="25">
        <f t="shared" si="23"/>
        <v>5.8061295363778433E-3</v>
      </c>
      <c r="I335" s="16">
        <v>44060</v>
      </c>
      <c r="J335" s="17">
        <v>3.3099999999999997E-2</v>
      </c>
      <c r="K335" s="25">
        <f t="shared" si="20"/>
        <v>8.9220393253874875E-5</v>
      </c>
      <c r="M335" s="16">
        <v>44060</v>
      </c>
      <c r="N335" s="26">
        <f t="shared" si="21"/>
        <v>5.7169091431239685E-3</v>
      </c>
      <c r="O335" s="26">
        <f>'Part 2 - CAPM 2.1, 2.2 and 2.3'!C335-'Part 2 - CAPM 2.1, 2.2 and 2.3'!K335</f>
        <v>2.8445150553568471E-2</v>
      </c>
    </row>
    <row r="336" spans="1:15" x14ac:dyDescent="0.4">
      <c r="A336" s="16">
        <v>44061</v>
      </c>
      <c r="B336" s="14">
        <v>80.650000000000006</v>
      </c>
      <c r="C336" s="25">
        <f t="shared" si="22"/>
        <v>1.7023959646910575E-2</v>
      </c>
      <c r="E336" s="16">
        <v>44061</v>
      </c>
      <c r="F336" s="15">
        <v>9382.0499999999993</v>
      </c>
      <c r="G336" s="25">
        <f t="shared" si="23"/>
        <v>1.2316706049914181E-2</v>
      </c>
      <c r="I336" s="16">
        <v>44061</v>
      </c>
      <c r="J336" s="17">
        <v>3.2899999999999999E-2</v>
      </c>
      <c r="K336" s="25">
        <f t="shared" si="20"/>
        <v>8.8689905403338543E-5</v>
      </c>
      <c r="M336" s="16">
        <v>44061</v>
      </c>
      <c r="N336" s="26">
        <f t="shared" si="21"/>
        <v>1.2228016144510842E-2</v>
      </c>
      <c r="O336" s="26">
        <f>'Part 2 - CAPM 2.1, 2.2 and 2.3'!C336-'Part 2 - CAPM 2.1, 2.2 and 2.3'!K336</f>
        <v>1.6935269741507237E-2</v>
      </c>
    </row>
    <row r="337" spans="1:15" x14ac:dyDescent="0.4">
      <c r="A337" s="16">
        <v>44062</v>
      </c>
      <c r="B337" s="14">
        <v>79.55</v>
      </c>
      <c r="C337" s="25">
        <f t="shared" si="22"/>
        <v>-1.3639181649101158E-2</v>
      </c>
      <c r="E337" s="16">
        <v>44062</v>
      </c>
      <c r="F337" s="15">
        <v>9412.5499999999993</v>
      </c>
      <c r="G337" s="25">
        <f t="shared" si="23"/>
        <v>3.2508886650572106E-3</v>
      </c>
      <c r="I337" s="16">
        <v>44062</v>
      </c>
      <c r="J337" s="17">
        <v>3.27E-2</v>
      </c>
      <c r="K337" s="25">
        <f t="shared" si="20"/>
        <v>8.8159315106084435E-5</v>
      </c>
      <c r="M337" s="16">
        <v>44062</v>
      </c>
      <c r="N337" s="26">
        <f t="shared" si="21"/>
        <v>3.1627293499511262E-3</v>
      </c>
      <c r="O337" s="26">
        <f>'Part 2 - CAPM 2.1, 2.2 and 2.3'!C337-'Part 2 - CAPM 2.1, 2.2 and 2.3'!K337</f>
        <v>-1.3727340964207243E-2</v>
      </c>
    </row>
    <row r="338" spans="1:15" x14ac:dyDescent="0.4">
      <c r="A338" s="16">
        <v>44063</v>
      </c>
      <c r="B338" s="14">
        <v>82.15</v>
      </c>
      <c r="C338" s="25">
        <f t="shared" si="22"/>
        <v>3.2683846637335118E-2</v>
      </c>
      <c r="E338" s="16">
        <v>44063</v>
      </c>
      <c r="F338" s="15">
        <v>9368.75</v>
      </c>
      <c r="G338" s="25">
        <f t="shared" si="23"/>
        <v>-4.6533617351301486E-3</v>
      </c>
      <c r="I338" s="16">
        <v>44063</v>
      </c>
      <c r="J338" s="17">
        <v>3.1699999999999999E-2</v>
      </c>
      <c r="K338" s="25">
        <f t="shared" si="20"/>
        <v>8.5504825532600748E-5</v>
      </c>
      <c r="M338" s="16">
        <v>44063</v>
      </c>
      <c r="N338" s="26">
        <f t="shared" si="21"/>
        <v>-4.7388665606627493E-3</v>
      </c>
      <c r="O338" s="26">
        <f>'Part 2 - CAPM 2.1, 2.2 and 2.3'!C338-'Part 2 - CAPM 2.1, 2.2 and 2.3'!K338</f>
        <v>3.2598341811802517E-2</v>
      </c>
    </row>
    <row r="339" spans="1:15" x14ac:dyDescent="0.4">
      <c r="A339" s="16">
        <v>44064</v>
      </c>
      <c r="B339" s="14">
        <v>81.05</v>
      </c>
      <c r="C339" s="25">
        <f t="shared" si="22"/>
        <v>-1.3390139987827248E-2</v>
      </c>
      <c r="E339" s="16">
        <v>44064</v>
      </c>
      <c r="F339" s="15">
        <v>9423.5499999999993</v>
      </c>
      <c r="G339" s="25">
        <f t="shared" si="23"/>
        <v>5.8492328218811762E-3</v>
      </c>
      <c r="I339" s="16">
        <v>44064</v>
      </c>
      <c r="J339" s="17">
        <v>3.1899999999999998E-2</v>
      </c>
      <c r="K339" s="25">
        <f t="shared" si="20"/>
        <v>8.6035928657857141E-5</v>
      </c>
      <c r="M339" s="16">
        <v>44064</v>
      </c>
      <c r="N339" s="26">
        <f t="shared" si="21"/>
        <v>5.763196893223319E-3</v>
      </c>
      <c r="O339" s="26">
        <f>'Part 2 - CAPM 2.1, 2.2 and 2.3'!C339-'Part 2 - CAPM 2.1, 2.2 and 2.3'!K339</f>
        <v>-1.3476175916485105E-2</v>
      </c>
    </row>
    <row r="340" spans="1:15" x14ac:dyDescent="0.4">
      <c r="A340" s="16">
        <v>44067</v>
      </c>
      <c r="B340" s="14">
        <v>81.25</v>
      </c>
      <c r="C340" s="25">
        <f t="shared" si="22"/>
        <v>2.4676125848242178E-3</v>
      </c>
      <c r="E340" s="16">
        <v>44067</v>
      </c>
      <c r="F340" s="15">
        <v>9498.35</v>
      </c>
      <c r="G340" s="25">
        <f t="shared" si="23"/>
        <v>7.937560685728956E-3</v>
      </c>
      <c r="I340" s="16">
        <v>44067</v>
      </c>
      <c r="J340" s="17">
        <v>3.2500000000000001E-2</v>
      </c>
      <c r="K340" s="25">
        <f t="shared" si="20"/>
        <v>8.7628622322588612E-5</v>
      </c>
      <c r="M340" s="16">
        <v>44067</v>
      </c>
      <c r="N340" s="26">
        <f t="shared" si="21"/>
        <v>7.8499320634063674E-3</v>
      </c>
      <c r="O340" s="26">
        <f>'Part 2 - CAPM 2.1, 2.2 and 2.3'!C340-'Part 2 - CAPM 2.1, 2.2 and 2.3'!K340</f>
        <v>2.3799839625016292E-3</v>
      </c>
    </row>
    <row r="341" spans="1:15" x14ac:dyDescent="0.4">
      <c r="A341" s="16">
        <v>44068</v>
      </c>
      <c r="B341" s="14">
        <v>80.5</v>
      </c>
      <c r="C341" s="25">
        <f t="shared" si="22"/>
        <v>-9.2307692307692316E-3</v>
      </c>
      <c r="E341" s="16">
        <v>44068</v>
      </c>
      <c r="F341" s="15">
        <v>9509.25</v>
      </c>
      <c r="G341" s="25">
        <f t="shared" si="23"/>
        <v>1.14756773544875E-3</v>
      </c>
      <c r="I341" s="16">
        <v>44068</v>
      </c>
      <c r="J341" s="17">
        <v>3.27E-2</v>
      </c>
      <c r="K341" s="25">
        <f t="shared" si="20"/>
        <v>8.8159315106084435E-5</v>
      </c>
      <c r="M341" s="16">
        <v>44068</v>
      </c>
      <c r="N341" s="26">
        <f t="shared" si="21"/>
        <v>1.0594084203426656E-3</v>
      </c>
      <c r="O341" s="26">
        <f>'Part 2 - CAPM 2.1, 2.2 and 2.3'!C341-'Part 2 - CAPM 2.1, 2.2 and 2.3'!K341</f>
        <v>-9.3189285458753161E-3</v>
      </c>
    </row>
    <row r="342" spans="1:15" x14ac:dyDescent="0.4">
      <c r="A342" s="16">
        <v>44069</v>
      </c>
      <c r="B342" s="14">
        <v>81.400000000000006</v>
      </c>
      <c r="C342" s="25">
        <f t="shared" si="22"/>
        <v>1.1180124223602554E-2</v>
      </c>
      <c r="E342" s="16">
        <v>44069</v>
      </c>
      <c r="F342" s="15">
        <v>9567.15</v>
      </c>
      <c r="G342" s="25">
        <f t="shared" si="23"/>
        <v>6.0888082656360533E-3</v>
      </c>
      <c r="I342" s="16">
        <v>44069</v>
      </c>
      <c r="J342" s="17">
        <v>3.2799999999999996E-2</v>
      </c>
      <c r="K342" s="25">
        <f t="shared" si="20"/>
        <v>8.8424623063021457E-5</v>
      </c>
      <c r="M342" s="16">
        <v>44069</v>
      </c>
      <c r="N342" s="26">
        <f t="shared" si="21"/>
        <v>6.0003836425730319E-3</v>
      </c>
      <c r="O342" s="26">
        <f>'Part 2 - CAPM 2.1, 2.2 and 2.3'!C342-'Part 2 - CAPM 2.1, 2.2 and 2.3'!K342</f>
        <v>1.1091699600539533E-2</v>
      </c>
    </row>
    <row r="343" spans="1:15" x14ac:dyDescent="0.4">
      <c r="A343" s="16">
        <v>44070</v>
      </c>
      <c r="B343" s="14">
        <v>80.150000000000006</v>
      </c>
      <c r="C343" s="25">
        <f t="shared" si="22"/>
        <v>-1.5356265356265355E-2</v>
      </c>
      <c r="E343" s="16">
        <v>44070</v>
      </c>
      <c r="F343" s="15">
        <v>9580.7000000000007</v>
      </c>
      <c r="G343" s="25">
        <f t="shared" si="23"/>
        <v>1.4163047511538014E-3</v>
      </c>
      <c r="I343" s="16">
        <v>44070</v>
      </c>
      <c r="J343" s="17">
        <v>3.3099999999999997E-2</v>
      </c>
      <c r="K343" s="25">
        <f t="shared" si="20"/>
        <v>8.9220393253874875E-5</v>
      </c>
      <c r="M343" s="16">
        <v>44070</v>
      </c>
      <c r="N343" s="26">
        <f t="shared" si="21"/>
        <v>1.3270843578999266E-3</v>
      </c>
      <c r="O343" s="26">
        <f>'Part 2 - CAPM 2.1, 2.2 and 2.3'!C343-'Part 2 - CAPM 2.1, 2.2 and 2.3'!K343</f>
        <v>-1.544548574951923E-2</v>
      </c>
    </row>
    <row r="344" spans="1:15" x14ac:dyDescent="0.4">
      <c r="A344" s="16">
        <v>44071</v>
      </c>
      <c r="B344" s="14">
        <v>80.349999999999994</v>
      </c>
      <c r="C344" s="25">
        <f t="shared" si="22"/>
        <v>2.4953212726137072E-3</v>
      </c>
      <c r="E344" s="16">
        <v>44071</v>
      </c>
      <c r="F344" s="15">
        <v>9641.0499999999993</v>
      </c>
      <c r="G344" s="25">
        <f t="shared" si="23"/>
        <v>6.2991221935765175E-3</v>
      </c>
      <c r="I344" s="16">
        <v>44071</v>
      </c>
      <c r="J344" s="17">
        <v>3.3099999999999997E-2</v>
      </c>
      <c r="K344" s="25">
        <f t="shared" si="20"/>
        <v>8.9220393253874875E-5</v>
      </c>
      <c r="M344" s="16">
        <v>44071</v>
      </c>
      <c r="N344" s="26">
        <f t="shared" si="21"/>
        <v>6.2099018003226427E-3</v>
      </c>
      <c r="O344" s="26">
        <f>'Part 2 - CAPM 2.1, 2.2 and 2.3'!C344-'Part 2 - CAPM 2.1, 2.2 and 2.3'!K344</f>
        <v>2.4061008793598323E-3</v>
      </c>
    </row>
    <row r="345" spans="1:15" x14ac:dyDescent="0.4">
      <c r="A345" s="16">
        <v>44074</v>
      </c>
      <c r="B345" s="14">
        <v>81.95</v>
      </c>
      <c r="C345" s="25">
        <f t="shared" si="22"/>
        <v>1.9912881144990773E-2</v>
      </c>
      <c r="E345" s="16">
        <v>44074</v>
      </c>
      <c r="F345" s="15">
        <v>9372.0499999999993</v>
      </c>
      <c r="G345" s="25">
        <f t="shared" si="23"/>
        <v>-2.7901525248805889E-2</v>
      </c>
      <c r="I345" s="16">
        <v>44074</v>
      </c>
      <c r="J345" s="17">
        <v>3.2899999999999999E-2</v>
      </c>
      <c r="K345" s="25">
        <f t="shared" si="20"/>
        <v>8.8689905403338543E-5</v>
      </c>
      <c r="M345" s="16">
        <v>44074</v>
      </c>
      <c r="N345" s="26">
        <f t="shared" si="21"/>
        <v>-2.7990215154209228E-2</v>
      </c>
      <c r="O345" s="26">
        <f>'Part 2 - CAPM 2.1, 2.2 and 2.3'!C345-'Part 2 - CAPM 2.1, 2.2 and 2.3'!K345</f>
        <v>1.9824191239587435E-2</v>
      </c>
    </row>
    <row r="346" spans="1:15" x14ac:dyDescent="0.4">
      <c r="A346" s="16">
        <v>44075</v>
      </c>
      <c r="B346" s="14">
        <v>79.349999999999994</v>
      </c>
      <c r="C346" s="25">
        <f t="shared" si="22"/>
        <v>-3.1726662599145923E-2</v>
      </c>
      <c r="E346" s="16">
        <v>44075</v>
      </c>
      <c r="F346" s="15">
        <v>9442.25</v>
      </c>
      <c r="G346" s="25">
        <f t="shared" si="23"/>
        <v>7.4903569656586053E-3</v>
      </c>
      <c r="I346" s="16">
        <v>44075</v>
      </c>
      <c r="J346" s="17">
        <v>3.2799999999999996E-2</v>
      </c>
      <c r="K346" s="25">
        <f t="shared" si="20"/>
        <v>8.8424623063021457E-5</v>
      </c>
      <c r="M346" s="16">
        <v>44075</v>
      </c>
      <c r="N346" s="26">
        <f t="shared" si="21"/>
        <v>7.4019323425955838E-3</v>
      </c>
      <c r="O346" s="26">
        <f>'Part 2 - CAPM 2.1, 2.2 and 2.3'!C346-'Part 2 - CAPM 2.1, 2.2 and 2.3'!K346</f>
        <v>-3.1815087222208945E-2</v>
      </c>
    </row>
    <row r="347" spans="1:15" x14ac:dyDescent="0.4">
      <c r="A347" s="16">
        <v>44076</v>
      </c>
      <c r="B347" s="14">
        <v>80.3</v>
      </c>
      <c r="C347" s="25">
        <f t="shared" si="22"/>
        <v>1.1972274732199155E-2</v>
      </c>
      <c r="E347" s="16">
        <v>44076</v>
      </c>
      <c r="F347" s="15">
        <v>9518.4</v>
      </c>
      <c r="G347" s="25">
        <f t="shared" si="23"/>
        <v>8.0648150599697786E-3</v>
      </c>
      <c r="I347" s="16">
        <v>44076</v>
      </c>
      <c r="J347" s="17">
        <v>3.2599999999999997E-2</v>
      </c>
      <c r="K347" s="25">
        <f t="shared" si="20"/>
        <v>8.7893981527420451E-5</v>
      </c>
      <c r="M347" s="16">
        <v>44076</v>
      </c>
      <c r="N347" s="26">
        <f t="shared" si="21"/>
        <v>7.9769210784423582E-3</v>
      </c>
      <c r="O347" s="26">
        <f>'Part 2 - CAPM 2.1, 2.2 and 2.3'!C347-'Part 2 - CAPM 2.1, 2.2 and 2.3'!K347</f>
        <v>1.1884380750671735E-2</v>
      </c>
    </row>
    <row r="348" spans="1:15" x14ac:dyDescent="0.4">
      <c r="A348" s="16">
        <v>44077</v>
      </c>
      <c r="B348" s="14">
        <v>79.05</v>
      </c>
      <c r="C348" s="25">
        <f t="shared" si="22"/>
        <v>-1.5566625155666251E-2</v>
      </c>
      <c r="E348" s="16">
        <v>44077</v>
      </c>
      <c r="F348" s="15">
        <v>9534.65</v>
      </c>
      <c r="G348" s="25">
        <f t="shared" si="23"/>
        <v>1.7072197007900489E-3</v>
      </c>
      <c r="I348" s="16">
        <v>44077</v>
      </c>
      <c r="J348" s="17">
        <v>3.2599999999999997E-2</v>
      </c>
      <c r="K348" s="25">
        <f t="shared" si="20"/>
        <v>8.7893981527420451E-5</v>
      </c>
      <c r="M348" s="16">
        <v>44077</v>
      </c>
      <c r="N348" s="26">
        <f t="shared" si="21"/>
        <v>1.6193257192626284E-3</v>
      </c>
      <c r="O348" s="26">
        <f>'Part 2 - CAPM 2.1, 2.2 and 2.3'!C348-'Part 2 - CAPM 2.1, 2.2 and 2.3'!K348</f>
        <v>-1.5654519137193672E-2</v>
      </c>
    </row>
    <row r="349" spans="1:15" x14ac:dyDescent="0.4">
      <c r="A349" s="16">
        <v>44078</v>
      </c>
      <c r="B349" s="14">
        <v>77.900000000000006</v>
      </c>
      <c r="C349" s="25">
        <f t="shared" si="22"/>
        <v>-1.4547754585705142E-2</v>
      </c>
      <c r="E349" s="16">
        <v>44078</v>
      </c>
      <c r="F349" s="15">
        <v>9377.9500000000007</v>
      </c>
      <c r="G349" s="25">
        <f t="shared" si="23"/>
        <v>-1.6434793096757501E-2</v>
      </c>
      <c r="I349" s="16">
        <v>44078</v>
      </c>
      <c r="J349" s="17">
        <v>3.27E-2</v>
      </c>
      <c r="K349" s="25">
        <f t="shared" si="20"/>
        <v>8.8159315106084435E-5</v>
      </c>
      <c r="M349" s="16">
        <v>44078</v>
      </c>
      <c r="N349" s="26">
        <f t="shared" si="21"/>
        <v>-1.6522952411863585E-2</v>
      </c>
      <c r="O349" s="26">
        <f>'Part 2 - CAPM 2.1, 2.2 and 2.3'!C349-'Part 2 - CAPM 2.1, 2.2 and 2.3'!K349</f>
        <v>-1.4635913900811226E-2</v>
      </c>
    </row>
    <row r="350" spans="1:15" x14ac:dyDescent="0.4">
      <c r="A350" s="16">
        <v>44081</v>
      </c>
      <c r="B350" s="14">
        <v>76.45</v>
      </c>
      <c r="C350" s="25">
        <f t="shared" si="22"/>
        <v>-1.8613607188703502E-2</v>
      </c>
      <c r="E350" s="16">
        <v>44081</v>
      </c>
      <c r="F350" s="15">
        <v>9379.1</v>
      </c>
      <c r="G350" s="25">
        <f t="shared" si="23"/>
        <v>1.226280796975497E-4</v>
      </c>
      <c r="I350" s="16">
        <v>44081</v>
      </c>
      <c r="J350" s="17">
        <v>3.2599999999999997E-2</v>
      </c>
      <c r="K350" s="25">
        <f t="shared" si="20"/>
        <v>8.7893981527420451E-5</v>
      </c>
      <c r="M350" s="16">
        <v>44081</v>
      </c>
      <c r="N350" s="26">
        <f t="shared" si="21"/>
        <v>3.4734098170129249E-5</v>
      </c>
      <c r="O350" s="26">
        <f>'Part 2 - CAPM 2.1, 2.2 and 2.3'!C350-'Part 2 - CAPM 2.1, 2.2 and 2.3'!K350</f>
        <v>-1.8701501170230922E-2</v>
      </c>
    </row>
    <row r="351" spans="1:15" x14ac:dyDescent="0.4">
      <c r="A351" s="16">
        <v>44082</v>
      </c>
      <c r="B351" s="14">
        <v>74.45</v>
      </c>
      <c r="C351" s="25">
        <f t="shared" si="22"/>
        <v>-2.6160889470241987E-2</v>
      </c>
      <c r="E351" s="16">
        <v>44082</v>
      </c>
      <c r="F351" s="15">
        <v>9329.85</v>
      </c>
      <c r="G351" s="25">
        <f t="shared" si="23"/>
        <v>-5.2510368798712025E-3</v>
      </c>
      <c r="I351" s="16">
        <v>44082</v>
      </c>
      <c r="J351" s="17">
        <v>3.27E-2</v>
      </c>
      <c r="K351" s="25">
        <f t="shared" si="20"/>
        <v>8.8159315106084435E-5</v>
      </c>
      <c r="M351" s="16">
        <v>44082</v>
      </c>
      <c r="N351" s="26">
        <f t="shared" si="21"/>
        <v>-5.339196194977287E-3</v>
      </c>
      <c r="O351" s="26">
        <f>'Part 2 - CAPM 2.1, 2.2 and 2.3'!C351-'Part 2 - CAPM 2.1, 2.2 and 2.3'!K351</f>
        <v>-2.6249048785348072E-2</v>
      </c>
    </row>
    <row r="352" spans="1:15" x14ac:dyDescent="0.4">
      <c r="A352" s="16">
        <v>44083</v>
      </c>
      <c r="B352" s="14">
        <v>72.7</v>
      </c>
      <c r="C352" s="25">
        <f t="shared" si="22"/>
        <v>-2.3505708529214239E-2</v>
      </c>
      <c r="E352" s="16">
        <v>44083</v>
      </c>
      <c r="F352" s="15">
        <v>9290.2000000000007</v>
      </c>
      <c r="G352" s="25">
        <f t="shared" si="23"/>
        <v>-4.2498003719244823E-3</v>
      </c>
      <c r="I352" s="16">
        <v>44083</v>
      </c>
      <c r="J352" s="17">
        <v>3.2599999999999997E-2</v>
      </c>
      <c r="K352" s="25">
        <f t="shared" si="20"/>
        <v>8.7893981527420451E-5</v>
      </c>
      <c r="M352" s="16">
        <v>44083</v>
      </c>
      <c r="N352" s="26">
        <f t="shared" si="21"/>
        <v>-4.3376943534519027E-3</v>
      </c>
      <c r="O352" s="26">
        <f>'Part 2 - CAPM 2.1, 2.2 and 2.3'!C352-'Part 2 - CAPM 2.1, 2.2 and 2.3'!K352</f>
        <v>-2.3593602510741659E-2</v>
      </c>
    </row>
    <row r="353" spans="1:15" x14ac:dyDescent="0.4">
      <c r="A353" s="16">
        <v>44084</v>
      </c>
      <c r="B353" s="14">
        <v>73.650000000000006</v>
      </c>
      <c r="C353" s="25">
        <f t="shared" si="22"/>
        <v>1.3067400275103202E-2</v>
      </c>
      <c r="E353" s="16">
        <v>44084</v>
      </c>
      <c r="F353" s="15">
        <v>9420.25</v>
      </c>
      <c r="G353" s="25">
        <f t="shared" si="23"/>
        <v>1.3998622204042891E-2</v>
      </c>
      <c r="I353" s="16">
        <v>44084</v>
      </c>
      <c r="J353" s="17">
        <v>3.32E-2</v>
      </c>
      <c r="K353" s="25">
        <f t="shared" si="20"/>
        <v>8.9485598774308173E-5</v>
      </c>
      <c r="M353" s="16">
        <v>44084</v>
      </c>
      <c r="N353" s="26">
        <f t="shared" si="21"/>
        <v>1.3909136605268583E-2</v>
      </c>
      <c r="O353" s="26">
        <f>'Part 2 - CAPM 2.1, 2.2 and 2.3'!C353-'Part 2 - CAPM 2.1, 2.2 and 2.3'!K353</f>
        <v>1.2977914676328894E-2</v>
      </c>
    </row>
    <row r="354" spans="1:15" x14ac:dyDescent="0.4">
      <c r="A354" s="16">
        <v>44085</v>
      </c>
      <c r="B354" s="14">
        <v>73.3</v>
      </c>
      <c r="C354" s="25">
        <f t="shared" si="22"/>
        <v>-4.7522063815343988E-3</v>
      </c>
      <c r="E354" s="16">
        <v>44085</v>
      </c>
      <c r="F354" s="15">
        <v>9446.4</v>
      </c>
      <c r="G354" s="25">
        <f t="shared" si="23"/>
        <v>2.7759348212626667E-3</v>
      </c>
      <c r="I354" s="16">
        <v>44085</v>
      </c>
      <c r="J354" s="17">
        <v>3.3399999999999999E-2</v>
      </c>
      <c r="K354" s="25">
        <f t="shared" si="20"/>
        <v>9.0015933029263806E-5</v>
      </c>
      <c r="M354" s="16">
        <v>44085</v>
      </c>
      <c r="N354" s="26">
        <f t="shared" si="21"/>
        <v>2.6859188882334029E-3</v>
      </c>
      <c r="O354" s="26">
        <f>'Part 2 - CAPM 2.1, 2.2 and 2.3'!C354-'Part 2 - CAPM 2.1, 2.2 and 2.3'!K354</f>
        <v>-4.8422223145636626E-3</v>
      </c>
    </row>
    <row r="355" spans="1:15" x14ac:dyDescent="0.4">
      <c r="A355" s="16">
        <v>44088</v>
      </c>
      <c r="B355" s="14">
        <v>73.650000000000006</v>
      </c>
      <c r="C355" s="25">
        <f t="shared" si="22"/>
        <v>4.7748976807640998E-3</v>
      </c>
      <c r="E355" s="16">
        <v>44088</v>
      </c>
      <c r="F355" s="15">
        <v>9493.2999999999993</v>
      </c>
      <c r="G355" s="25">
        <f t="shared" si="23"/>
        <v>4.964854336043322E-3</v>
      </c>
      <c r="I355" s="16">
        <v>44088</v>
      </c>
      <c r="J355" s="17">
        <v>3.3500000000000002E-2</v>
      </c>
      <c r="K355" s="25">
        <f t="shared" si="20"/>
        <v>9.0281061773778148E-5</v>
      </c>
      <c r="M355" s="16">
        <v>44088</v>
      </c>
      <c r="N355" s="26">
        <f t="shared" si="21"/>
        <v>4.8745732742695438E-3</v>
      </c>
      <c r="O355" s="26">
        <f>'Part 2 - CAPM 2.1, 2.2 and 2.3'!C355-'Part 2 - CAPM 2.1, 2.2 and 2.3'!K355</f>
        <v>4.6846166189903216E-3</v>
      </c>
    </row>
    <row r="356" spans="1:15" x14ac:dyDescent="0.4">
      <c r="A356" s="16">
        <v>44089</v>
      </c>
      <c r="B356" s="14">
        <v>73.8</v>
      </c>
      <c r="C356" s="25">
        <f t="shared" si="22"/>
        <v>2.0366598778002913E-3</v>
      </c>
      <c r="E356" s="16">
        <v>44089</v>
      </c>
      <c r="F356" s="15">
        <v>9573.35</v>
      </c>
      <c r="G356" s="25">
        <f t="shared" si="23"/>
        <v>8.4322627537316945E-3</v>
      </c>
      <c r="I356" s="16">
        <v>44089</v>
      </c>
      <c r="J356" s="17">
        <v>3.3300000000000003E-2</v>
      </c>
      <c r="K356" s="25">
        <f t="shared" si="20"/>
        <v>8.975077869766146E-5</v>
      </c>
      <c r="M356" s="16">
        <v>44089</v>
      </c>
      <c r="N356" s="26">
        <f t="shared" si="21"/>
        <v>8.3425119750340331E-3</v>
      </c>
      <c r="O356" s="26">
        <f>'Part 2 - CAPM 2.1, 2.2 and 2.3'!C356-'Part 2 - CAPM 2.1, 2.2 and 2.3'!K356</f>
        <v>1.9469090991026299E-3</v>
      </c>
    </row>
    <row r="357" spans="1:15" x14ac:dyDescent="0.4">
      <c r="A357" s="16">
        <v>44090</v>
      </c>
      <c r="B357" s="14">
        <v>73.05</v>
      </c>
      <c r="C357" s="25">
        <f t="shared" si="22"/>
        <v>-1.016260162601626E-2</v>
      </c>
      <c r="E357" s="16">
        <v>44090</v>
      </c>
      <c r="F357" s="15">
        <v>9632.5</v>
      </c>
      <c r="G357" s="25">
        <f t="shared" si="23"/>
        <v>6.1786104132826687E-3</v>
      </c>
      <c r="I357" s="16">
        <v>44090</v>
      </c>
      <c r="J357" s="17">
        <v>3.3500000000000002E-2</v>
      </c>
      <c r="K357" s="25">
        <f t="shared" si="20"/>
        <v>9.0281061773778148E-5</v>
      </c>
      <c r="M357" s="16">
        <v>44090</v>
      </c>
      <c r="N357" s="26">
        <f t="shared" si="21"/>
        <v>6.0883293515088905E-3</v>
      </c>
      <c r="O357" s="26">
        <f>'Part 2 - CAPM 2.1, 2.2 and 2.3'!C357-'Part 2 - CAPM 2.1, 2.2 and 2.3'!K357</f>
        <v>-1.0252882687790038E-2</v>
      </c>
    </row>
    <row r="358" spans="1:15" x14ac:dyDescent="0.4">
      <c r="A358" s="16">
        <v>44091</v>
      </c>
      <c r="B358" s="14">
        <v>73.150000000000006</v>
      </c>
      <c r="C358" s="25">
        <f t="shared" si="22"/>
        <v>1.3689253935661675E-3</v>
      </c>
      <c r="E358" s="16">
        <v>44091</v>
      </c>
      <c r="F358" s="15">
        <v>9566.75</v>
      </c>
      <c r="G358" s="25">
        <f t="shared" si="23"/>
        <v>-6.8258499870230988E-3</v>
      </c>
      <c r="I358" s="16">
        <v>44091</v>
      </c>
      <c r="J358" s="17">
        <v>3.3500000000000002E-2</v>
      </c>
      <c r="K358" s="25">
        <f t="shared" si="20"/>
        <v>9.0281061773778148E-5</v>
      </c>
      <c r="M358" s="16">
        <v>44091</v>
      </c>
      <c r="N358" s="26">
        <f t="shared" si="21"/>
        <v>-6.916131048796877E-3</v>
      </c>
      <c r="O358" s="26">
        <f>'Part 2 - CAPM 2.1, 2.2 and 2.3'!C358-'Part 2 - CAPM 2.1, 2.2 and 2.3'!K358</f>
        <v>1.2786443317923894E-3</v>
      </c>
    </row>
    <row r="359" spans="1:15" x14ac:dyDescent="0.4">
      <c r="A359" s="16">
        <v>44092</v>
      </c>
      <c r="B359" s="14">
        <v>74.3</v>
      </c>
      <c r="C359" s="25">
        <f t="shared" si="22"/>
        <v>1.5721120984278761E-2</v>
      </c>
      <c r="E359" s="16">
        <v>44092</v>
      </c>
      <c r="F359" s="15">
        <v>9559.5</v>
      </c>
      <c r="G359" s="25">
        <f t="shared" si="23"/>
        <v>-7.5783311992055815E-4</v>
      </c>
      <c r="I359" s="16">
        <v>44092</v>
      </c>
      <c r="J359" s="17">
        <v>3.3500000000000002E-2</v>
      </c>
      <c r="K359" s="25">
        <f t="shared" si="20"/>
        <v>9.0281061773778148E-5</v>
      </c>
      <c r="M359" s="16">
        <v>44092</v>
      </c>
      <c r="N359" s="26">
        <f t="shared" si="21"/>
        <v>-8.481141816943363E-4</v>
      </c>
      <c r="O359" s="26">
        <f>'Part 2 - CAPM 2.1, 2.2 and 2.3'!C359-'Part 2 - CAPM 2.1, 2.2 and 2.3'!K359</f>
        <v>1.5630839922504983E-2</v>
      </c>
    </row>
    <row r="360" spans="1:15" x14ac:dyDescent="0.4">
      <c r="A360" s="16">
        <v>44095</v>
      </c>
      <c r="B360" s="14">
        <v>71.150000000000006</v>
      </c>
      <c r="C360" s="25">
        <f t="shared" si="22"/>
        <v>-4.2395693135935282E-2</v>
      </c>
      <c r="E360" s="16">
        <v>44095</v>
      </c>
      <c r="F360" s="15">
        <v>9313</v>
      </c>
      <c r="G360" s="25">
        <f t="shared" si="23"/>
        <v>-2.5785867461687328E-2</v>
      </c>
      <c r="I360" s="16">
        <v>44095</v>
      </c>
      <c r="J360" s="17">
        <v>3.3700000000000001E-2</v>
      </c>
      <c r="K360" s="25">
        <f t="shared" si="20"/>
        <v>9.081124252219297E-5</v>
      </c>
      <c r="M360" s="16">
        <v>44095</v>
      </c>
      <c r="N360" s="26">
        <f t="shared" si="21"/>
        <v>-2.5876678704209521E-2</v>
      </c>
      <c r="O360" s="26">
        <f>'Part 2 - CAPM 2.1, 2.2 and 2.3'!C360-'Part 2 - CAPM 2.1, 2.2 and 2.3'!K360</f>
        <v>-4.2486504378457475E-2</v>
      </c>
    </row>
    <row r="361" spans="1:15" x14ac:dyDescent="0.4">
      <c r="A361" s="16">
        <v>44096</v>
      </c>
      <c r="B361" s="14">
        <v>69.5</v>
      </c>
      <c r="C361" s="25">
        <f t="shared" si="22"/>
        <v>-2.319044272663395E-2</v>
      </c>
      <c r="E361" s="16">
        <v>44096</v>
      </c>
      <c r="F361" s="15">
        <v>9213.9</v>
      </c>
      <c r="G361" s="25">
        <f t="shared" si="23"/>
        <v>-1.0641039407280185E-2</v>
      </c>
      <c r="I361" s="16">
        <v>44096</v>
      </c>
      <c r="J361" s="17">
        <v>3.39E-2</v>
      </c>
      <c r="K361" s="25">
        <f t="shared" si="20"/>
        <v>9.1341320982207819E-5</v>
      </c>
      <c r="M361" s="16">
        <v>44096</v>
      </c>
      <c r="N361" s="26">
        <f t="shared" si="21"/>
        <v>-1.0732380728262393E-2</v>
      </c>
      <c r="O361" s="26">
        <f>'Part 2 - CAPM 2.1, 2.2 and 2.3'!C361-'Part 2 - CAPM 2.1, 2.2 and 2.3'!K361</f>
        <v>-2.3281784047616157E-2</v>
      </c>
    </row>
    <row r="362" spans="1:15" x14ac:dyDescent="0.4">
      <c r="A362" s="16">
        <v>44097</v>
      </c>
      <c r="B362" s="14">
        <v>67.650000000000006</v>
      </c>
      <c r="C362" s="25">
        <f t="shared" si="22"/>
        <v>-2.6618705035971142E-2</v>
      </c>
      <c r="E362" s="16">
        <v>44097</v>
      </c>
      <c r="F362" s="15">
        <v>9194.35</v>
      </c>
      <c r="G362" s="25">
        <f t="shared" si="23"/>
        <v>-2.1217942456505145E-3</v>
      </c>
      <c r="I362" s="16">
        <v>44097</v>
      </c>
      <c r="J362" s="17">
        <v>3.3799999999999997E-2</v>
      </c>
      <c r="K362" s="25">
        <f t="shared" si="20"/>
        <v>9.1076294535863411E-5</v>
      </c>
      <c r="M362" s="16">
        <v>44097</v>
      </c>
      <c r="N362" s="26">
        <f t="shared" si="21"/>
        <v>-2.2128705401863779E-3</v>
      </c>
      <c r="O362" s="26">
        <f>'Part 2 - CAPM 2.1, 2.2 and 2.3'!C362-'Part 2 - CAPM 2.1, 2.2 and 2.3'!K362</f>
        <v>-2.6709781330507006E-2</v>
      </c>
    </row>
    <row r="363" spans="1:15" x14ac:dyDescent="0.4">
      <c r="A363" s="16">
        <v>44098</v>
      </c>
      <c r="B363" s="14">
        <v>66.650000000000006</v>
      </c>
      <c r="C363" s="25">
        <f t="shared" si="22"/>
        <v>-1.4781966001478195E-2</v>
      </c>
      <c r="E363" s="16">
        <v>44098</v>
      </c>
      <c r="F363" s="15">
        <v>8944.75</v>
      </c>
      <c r="G363" s="25">
        <f t="shared" si="23"/>
        <v>-2.7147106647016958E-2</v>
      </c>
      <c r="I363" s="16">
        <v>44098</v>
      </c>
      <c r="J363" s="17">
        <v>3.39E-2</v>
      </c>
      <c r="K363" s="25">
        <f t="shared" si="20"/>
        <v>9.1341320982207819E-5</v>
      </c>
      <c r="M363" s="16">
        <v>44098</v>
      </c>
      <c r="N363" s="26">
        <f t="shared" si="21"/>
        <v>-2.7238447967999166E-2</v>
      </c>
      <c r="O363" s="26">
        <f>'Part 2 - CAPM 2.1, 2.2 and 2.3'!C363-'Part 2 - CAPM 2.1, 2.2 and 2.3'!K363</f>
        <v>-1.4873307322460403E-2</v>
      </c>
    </row>
    <row r="364" spans="1:15" x14ac:dyDescent="0.4">
      <c r="A364" s="16">
        <v>44099</v>
      </c>
      <c r="B364" s="14">
        <v>68.900000000000006</v>
      </c>
      <c r="C364" s="25">
        <f t="shared" si="22"/>
        <v>3.375843960990247E-2</v>
      </c>
      <c r="E364" s="16">
        <v>44099</v>
      </c>
      <c r="F364" s="15">
        <v>9156.1</v>
      </c>
      <c r="G364" s="25">
        <f t="shared" si="23"/>
        <v>2.3628385365717361E-2</v>
      </c>
      <c r="I364" s="16">
        <v>44099</v>
      </c>
      <c r="J364" s="17">
        <v>3.39E-2</v>
      </c>
      <c r="K364" s="25">
        <f t="shared" si="20"/>
        <v>9.1341320982207819E-5</v>
      </c>
      <c r="M364" s="16">
        <v>44099</v>
      </c>
      <c r="N364" s="26">
        <f t="shared" si="21"/>
        <v>2.3537044044735153E-2</v>
      </c>
      <c r="O364" s="26">
        <f>'Part 2 - CAPM 2.1, 2.2 and 2.3'!C364-'Part 2 - CAPM 2.1, 2.2 and 2.3'!K364</f>
        <v>3.3667098288920262E-2</v>
      </c>
    </row>
    <row r="365" spans="1:15" x14ac:dyDescent="0.4">
      <c r="A365" s="16">
        <v>44102</v>
      </c>
      <c r="B365" s="14">
        <v>71.849999999999994</v>
      </c>
      <c r="C365" s="25">
        <f t="shared" si="22"/>
        <v>4.2815674891146419E-2</v>
      </c>
      <c r="E365" s="16">
        <v>44102</v>
      </c>
      <c r="F365" s="15">
        <v>9330.25</v>
      </c>
      <c r="G365" s="25">
        <f t="shared" si="23"/>
        <v>1.9020106814036503E-2</v>
      </c>
      <c r="I365" s="16">
        <v>44102</v>
      </c>
      <c r="J365" s="17">
        <v>3.3799999999999997E-2</v>
      </c>
      <c r="K365" s="25">
        <f t="shared" si="20"/>
        <v>9.1076294535863411E-5</v>
      </c>
      <c r="M365" s="16">
        <v>44102</v>
      </c>
      <c r="N365" s="26">
        <f t="shared" si="21"/>
        <v>1.892903051950064E-2</v>
      </c>
      <c r="O365" s="26">
        <f>'Part 2 - CAPM 2.1, 2.2 and 2.3'!C365-'Part 2 - CAPM 2.1, 2.2 and 2.3'!K365</f>
        <v>4.2724598596610555E-2</v>
      </c>
    </row>
    <row r="366" spans="1:15" x14ac:dyDescent="0.4">
      <c r="A366" s="16">
        <v>44103</v>
      </c>
      <c r="B366" s="14">
        <v>69.150000000000006</v>
      </c>
      <c r="C366" s="25">
        <f t="shared" si="22"/>
        <v>-3.7578288100208614E-2</v>
      </c>
      <c r="E366" s="16">
        <v>44103</v>
      </c>
      <c r="F366" s="15">
        <v>9319.7000000000007</v>
      </c>
      <c r="G366" s="25">
        <f t="shared" si="23"/>
        <v>-1.1307306878164329E-3</v>
      </c>
      <c r="I366" s="16">
        <v>44103</v>
      </c>
      <c r="J366" s="17">
        <v>3.3700000000000001E-2</v>
      </c>
      <c r="K366" s="25">
        <f t="shared" si="20"/>
        <v>9.081124252219297E-5</v>
      </c>
      <c r="M366" s="16">
        <v>44103</v>
      </c>
      <c r="N366" s="26">
        <f t="shared" si="21"/>
        <v>-1.2215419303386258E-3</v>
      </c>
      <c r="O366" s="26">
        <f>'Part 2 - CAPM 2.1, 2.2 and 2.3'!C366-'Part 2 - CAPM 2.1, 2.2 and 2.3'!K366</f>
        <v>-3.7669099342730807E-2</v>
      </c>
    </row>
    <row r="367" spans="1:15" x14ac:dyDescent="0.4">
      <c r="A367" s="16">
        <v>44104</v>
      </c>
      <c r="B367" s="14">
        <v>69.25</v>
      </c>
      <c r="C367" s="25">
        <f t="shared" si="22"/>
        <v>1.4461315979753333E-3</v>
      </c>
      <c r="E367" s="16">
        <v>44104</v>
      </c>
      <c r="F367" s="15">
        <v>9341.75</v>
      </c>
      <c r="G367" s="25">
        <f t="shared" si="23"/>
        <v>2.3659559857076161E-3</v>
      </c>
      <c r="I367" s="16">
        <v>44104</v>
      </c>
      <c r="J367" s="17">
        <v>3.3099999999999997E-2</v>
      </c>
      <c r="K367" s="25">
        <f t="shared" si="20"/>
        <v>8.9220393253874875E-5</v>
      </c>
      <c r="M367" s="16">
        <v>44104</v>
      </c>
      <c r="N367" s="26">
        <f t="shared" si="21"/>
        <v>2.2767355924537412E-3</v>
      </c>
      <c r="O367" s="26">
        <f>'Part 2 - CAPM 2.1, 2.2 and 2.3'!C367-'Part 2 - CAPM 2.1, 2.2 and 2.3'!K367</f>
        <v>1.3569112047214585E-3</v>
      </c>
    </row>
    <row r="368" spans="1:15" x14ac:dyDescent="0.4">
      <c r="A368" s="16">
        <v>44105</v>
      </c>
      <c r="B368" s="14">
        <v>69.150000000000006</v>
      </c>
      <c r="C368" s="25">
        <f t="shared" si="22"/>
        <v>-1.4440433212995569E-3</v>
      </c>
      <c r="E368" s="16">
        <v>44105</v>
      </c>
      <c r="F368" s="15">
        <v>9461.7000000000007</v>
      </c>
      <c r="G368" s="25">
        <f t="shared" si="23"/>
        <v>1.2840206599405971E-2</v>
      </c>
      <c r="I368" s="16">
        <v>44105</v>
      </c>
      <c r="J368" s="17">
        <v>3.2599999999999997E-2</v>
      </c>
      <c r="K368" s="25">
        <f t="shared" si="20"/>
        <v>8.7893981527420451E-5</v>
      </c>
      <c r="M368" s="16">
        <v>44105</v>
      </c>
      <c r="N368" s="26">
        <f t="shared" si="21"/>
        <v>1.275231261787855E-2</v>
      </c>
      <c r="O368" s="26">
        <f>'Part 2 - CAPM 2.1, 2.2 and 2.3'!C368-'Part 2 - CAPM 2.1, 2.2 and 2.3'!K368</f>
        <v>-1.5319373028269774E-3</v>
      </c>
    </row>
    <row r="369" spans="1:15" x14ac:dyDescent="0.4">
      <c r="A369" s="16">
        <v>44109</v>
      </c>
      <c r="B369" s="14">
        <v>69.2</v>
      </c>
      <c r="C369" s="25">
        <f t="shared" si="22"/>
        <v>7.2306579898766667E-4</v>
      </c>
      <c r="E369" s="16">
        <v>44109</v>
      </c>
      <c r="F369" s="15">
        <v>9516.2999999999993</v>
      </c>
      <c r="G369" s="25">
        <f t="shared" si="23"/>
        <v>5.7706331843113334E-3</v>
      </c>
      <c r="I369" s="16">
        <v>44109</v>
      </c>
      <c r="J369" s="17">
        <v>3.32E-2</v>
      </c>
      <c r="K369" s="25">
        <f t="shared" si="20"/>
        <v>8.9485598774308173E-5</v>
      </c>
      <c r="M369" s="16">
        <v>44109</v>
      </c>
      <c r="N369" s="26">
        <f t="shared" si="21"/>
        <v>5.6811475855370252E-3</v>
      </c>
      <c r="O369" s="26">
        <f>'Part 2 - CAPM 2.1, 2.2 and 2.3'!C369-'Part 2 - CAPM 2.1, 2.2 and 2.3'!K369</f>
        <v>6.3358020021335849E-4</v>
      </c>
    </row>
    <row r="370" spans="1:15" x14ac:dyDescent="0.4">
      <c r="A370" s="16">
        <v>44110</v>
      </c>
      <c r="B370" s="14">
        <v>69.349999999999994</v>
      </c>
      <c r="C370" s="25">
        <f t="shared" si="22"/>
        <v>2.1676300578033448E-3</v>
      </c>
      <c r="E370" s="16">
        <v>44110</v>
      </c>
      <c r="F370" s="15">
        <v>9622.35</v>
      </c>
      <c r="G370" s="25">
        <f t="shared" si="23"/>
        <v>1.1144037073232358E-2</v>
      </c>
      <c r="I370" s="16">
        <v>44110</v>
      </c>
      <c r="J370" s="17">
        <v>3.32E-2</v>
      </c>
      <c r="K370" s="25">
        <f t="shared" si="20"/>
        <v>8.9485598774308173E-5</v>
      </c>
      <c r="M370" s="16">
        <v>44110</v>
      </c>
      <c r="N370" s="26">
        <f t="shared" si="21"/>
        <v>1.105455147445805E-2</v>
      </c>
      <c r="O370" s="26">
        <f>'Part 2 - CAPM 2.1, 2.2 and 2.3'!C370-'Part 2 - CAPM 2.1, 2.2 and 2.3'!K370</f>
        <v>2.0781444590290367E-3</v>
      </c>
    </row>
    <row r="371" spans="1:15" x14ac:dyDescent="0.4">
      <c r="A371" s="16">
        <v>44111</v>
      </c>
      <c r="B371" s="14">
        <v>70.5</v>
      </c>
      <c r="C371" s="25">
        <f t="shared" si="22"/>
        <v>1.6582552271088763E-2</v>
      </c>
      <c r="E371" s="16">
        <v>44111</v>
      </c>
      <c r="F371" s="15">
        <v>9654.5</v>
      </c>
      <c r="G371" s="25">
        <f t="shared" si="23"/>
        <v>3.3411796494618919E-3</v>
      </c>
      <c r="I371" s="16">
        <v>44111</v>
      </c>
      <c r="J371" s="17">
        <v>3.2799999999999996E-2</v>
      </c>
      <c r="K371" s="25">
        <f t="shared" si="20"/>
        <v>8.8424623063021457E-5</v>
      </c>
      <c r="M371" s="16">
        <v>44111</v>
      </c>
      <c r="N371" s="26">
        <f t="shared" si="21"/>
        <v>3.2527550263988705E-3</v>
      </c>
      <c r="O371" s="26">
        <f>'Part 2 - CAPM 2.1, 2.2 and 2.3'!C371-'Part 2 - CAPM 2.1, 2.2 and 2.3'!K371</f>
        <v>1.6494127648025741E-2</v>
      </c>
    </row>
    <row r="372" spans="1:15" x14ac:dyDescent="0.4">
      <c r="A372" s="16">
        <v>44112</v>
      </c>
      <c r="B372" s="14">
        <v>68.45</v>
      </c>
      <c r="C372" s="25">
        <f t="shared" si="22"/>
        <v>-2.9078014184397122E-2</v>
      </c>
      <c r="E372" s="16">
        <v>44112</v>
      </c>
      <c r="F372" s="15">
        <v>9711.7999999999993</v>
      </c>
      <c r="G372" s="25">
        <f t="shared" si="23"/>
        <v>5.9350561914132552E-3</v>
      </c>
      <c r="I372" s="16">
        <v>44112</v>
      </c>
      <c r="J372" s="17">
        <v>3.2799999999999996E-2</v>
      </c>
      <c r="K372" s="25">
        <f t="shared" si="20"/>
        <v>8.8424623063021457E-5</v>
      </c>
      <c r="M372" s="16">
        <v>44112</v>
      </c>
      <c r="N372" s="26">
        <f t="shared" si="21"/>
        <v>5.8466315683502338E-3</v>
      </c>
      <c r="O372" s="26">
        <f>'Part 2 - CAPM 2.1, 2.2 and 2.3'!C372-'Part 2 - CAPM 2.1, 2.2 and 2.3'!K372</f>
        <v>-2.9166438807460143E-2</v>
      </c>
    </row>
    <row r="373" spans="1:15" x14ac:dyDescent="0.4">
      <c r="A373" s="16">
        <v>44113</v>
      </c>
      <c r="B373" s="14">
        <v>70.3</v>
      </c>
      <c r="C373" s="25">
        <f t="shared" si="22"/>
        <v>2.7027027027026942E-2</v>
      </c>
      <c r="E373" s="16">
        <v>44113</v>
      </c>
      <c r="F373" s="15">
        <v>9750.15</v>
      </c>
      <c r="G373" s="25">
        <f t="shared" si="23"/>
        <v>3.9488045470458992E-3</v>
      </c>
      <c r="I373" s="16">
        <v>44113</v>
      </c>
      <c r="J373" s="17">
        <v>3.2899999999999999E-2</v>
      </c>
      <c r="K373" s="25">
        <f t="shared" si="20"/>
        <v>8.8689905403338543E-5</v>
      </c>
      <c r="M373" s="16">
        <v>44113</v>
      </c>
      <c r="N373" s="26">
        <f t="shared" si="21"/>
        <v>3.8601146416425607E-3</v>
      </c>
      <c r="O373" s="26">
        <f>'Part 2 - CAPM 2.1, 2.2 and 2.3'!C373-'Part 2 - CAPM 2.1, 2.2 and 2.3'!K373</f>
        <v>2.6938337121623603E-2</v>
      </c>
    </row>
    <row r="374" spans="1:15" x14ac:dyDescent="0.4">
      <c r="A374" s="16">
        <v>44116</v>
      </c>
      <c r="B374" s="14">
        <v>69.150000000000006</v>
      </c>
      <c r="C374" s="25">
        <f t="shared" si="22"/>
        <v>-1.635846372688466E-2</v>
      </c>
      <c r="E374" s="16">
        <v>44116</v>
      </c>
      <c r="F374" s="15">
        <v>9745.35</v>
      </c>
      <c r="G374" s="25">
        <f t="shared" si="23"/>
        <v>-4.9230011845964139E-4</v>
      </c>
      <c r="I374" s="16">
        <v>44116</v>
      </c>
      <c r="J374" s="17">
        <v>3.2899999999999999E-2</v>
      </c>
      <c r="K374" s="25">
        <f t="shared" si="20"/>
        <v>8.8689905403338543E-5</v>
      </c>
      <c r="M374" s="16">
        <v>44116</v>
      </c>
      <c r="N374" s="26">
        <f t="shared" si="21"/>
        <v>-5.8099002386297993E-4</v>
      </c>
      <c r="O374" s="26">
        <f>'Part 2 - CAPM 2.1, 2.2 and 2.3'!C374-'Part 2 - CAPM 2.1, 2.2 and 2.3'!K374</f>
        <v>-1.6447153632287999E-2</v>
      </c>
    </row>
    <row r="375" spans="1:15" x14ac:dyDescent="0.4">
      <c r="A375" s="16">
        <v>44117</v>
      </c>
      <c r="B375" s="14">
        <v>69.099999999999994</v>
      </c>
      <c r="C375" s="25">
        <f t="shared" si="22"/>
        <v>-7.2306579898787223E-4</v>
      </c>
      <c r="E375" s="16">
        <v>44117</v>
      </c>
      <c r="F375" s="15">
        <v>9736.4500000000007</v>
      </c>
      <c r="G375" s="25">
        <f t="shared" si="23"/>
        <v>-9.1325606571335412E-4</v>
      </c>
      <c r="I375" s="16">
        <v>44117</v>
      </c>
      <c r="J375" s="17">
        <v>3.2899999999999999E-2</v>
      </c>
      <c r="K375" s="25">
        <f t="shared" si="20"/>
        <v>8.8689905403338543E-5</v>
      </c>
      <c r="M375" s="16">
        <v>44117</v>
      </c>
      <c r="N375" s="26">
        <f t="shared" si="21"/>
        <v>-1.0019459711166927E-3</v>
      </c>
      <c r="O375" s="26">
        <f>'Part 2 - CAPM 2.1, 2.2 and 2.3'!C375-'Part 2 - CAPM 2.1, 2.2 and 2.3'!K375</f>
        <v>-8.1175570439121077E-4</v>
      </c>
    </row>
    <row r="376" spans="1:15" x14ac:dyDescent="0.4">
      <c r="A376" s="16">
        <v>44118</v>
      </c>
      <c r="B376" s="14">
        <v>67</v>
      </c>
      <c r="C376" s="25">
        <f t="shared" si="22"/>
        <v>-3.0390738060781398E-2</v>
      </c>
      <c r="E376" s="16">
        <v>44118</v>
      </c>
      <c r="F376" s="15">
        <v>9763.4</v>
      </c>
      <c r="G376" s="25">
        <f t="shared" si="23"/>
        <v>2.767949303904288E-3</v>
      </c>
      <c r="I376" s="16">
        <v>44118</v>
      </c>
      <c r="J376" s="17">
        <v>3.2899999999999999E-2</v>
      </c>
      <c r="K376" s="25">
        <f t="shared" si="20"/>
        <v>8.8689905403338543E-5</v>
      </c>
      <c r="M376" s="16">
        <v>44118</v>
      </c>
      <c r="N376" s="26">
        <f t="shared" si="21"/>
        <v>2.6792593985009495E-3</v>
      </c>
      <c r="O376" s="26">
        <f>'Part 2 - CAPM 2.1, 2.2 and 2.3'!C376-'Part 2 - CAPM 2.1, 2.2 and 2.3'!K376</f>
        <v>-3.0479427966184736E-2</v>
      </c>
    </row>
    <row r="377" spans="1:15" x14ac:dyDescent="0.4">
      <c r="A377" s="16">
        <v>44119</v>
      </c>
      <c r="B377" s="14">
        <v>66.05</v>
      </c>
      <c r="C377" s="25">
        <f t="shared" si="22"/>
        <v>-1.4179104477611983E-2</v>
      </c>
      <c r="E377" s="16">
        <v>44119</v>
      </c>
      <c r="F377" s="15">
        <v>9550.0499999999993</v>
      </c>
      <c r="G377" s="25">
        <f t="shared" si="23"/>
        <v>-2.1852018763955216E-2</v>
      </c>
      <c r="I377" s="16">
        <v>44119</v>
      </c>
      <c r="J377" s="17">
        <v>3.2400000000000005E-2</v>
      </c>
      <c r="K377" s="25">
        <f t="shared" si="20"/>
        <v>8.7363237486037804E-5</v>
      </c>
      <c r="M377" s="16">
        <v>44119</v>
      </c>
      <c r="N377" s="26">
        <f t="shared" si="21"/>
        <v>-2.1939382001441254E-2</v>
      </c>
      <c r="O377" s="26">
        <f>'Part 2 - CAPM 2.1, 2.2 and 2.3'!C377-'Part 2 - CAPM 2.1, 2.2 and 2.3'!K377</f>
        <v>-1.426646771509802E-2</v>
      </c>
    </row>
    <row r="378" spans="1:15" x14ac:dyDescent="0.4">
      <c r="A378" s="16">
        <v>44120</v>
      </c>
      <c r="B378" s="14">
        <v>67.25</v>
      </c>
      <c r="C378" s="25">
        <f t="shared" si="22"/>
        <v>1.8168054504163558E-2</v>
      </c>
      <c r="E378" s="16">
        <v>44120</v>
      </c>
      <c r="F378" s="15">
        <v>9626.25</v>
      </c>
      <c r="G378" s="25">
        <f t="shared" si="23"/>
        <v>7.9790158166711932E-3</v>
      </c>
      <c r="I378" s="16">
        <v>44120</v>
      </c>
      <c r="J378" s="17">
        <v>3.2400000000000005E-2</v>
      </c>
      <c r="K378" s="25">
        <f t="shared" si="20"/>
        <v>8.7363237486037804E-5</v>
      </c>
      <c r="M378" s="16">
        <v>44120</v>
      </c>
      <c r="N378" s="26">
        <f t="shared" si="21"/>
        <v>7.8916525791851554E-3</v>
      </c>
      <c r="O378" s="26">
        <f>'Part 2 - CAPM 2.1, 2.2 and 2.3'!C378-'Part 2 - CAPM 2.1, 2.2 and 2.3'!K378</f>
        <v>1.808069126667752E-2</v>
      </c>
    </row>
    <row r="379" spans="1:15" x14ac:dyDescent="0.4">
      <c r="A379" s="16">
        <v>44123</v>
      </c>
      <c r="B379" s="14">
        <v>69.3</v>
      </c>
      <c r="C379" s="25">
        <f t="shared" si="22"/>
        <v>3.0483271375464641E-2</v>
      </c>
      <c r="E379" s="16">
        <v>44123</v>
      </c>
      <c r="F379" s="15">
        <v>9709.2999999999993</v>
      </c>
      <c r="G379" s="25">
        <f t="shared" si="23"/>
        <v>8.6274509803920818E-3</v>
      </c>
      <c r="I379" s="16">
        <v>44123</v>
      </c>
      <c r="J379" s="17">
        <v>3.2500000000000001E-2</v>
      </c>
      <c r="K379" s="25">
        <f t="shared" si="20"/>
        <v>8.7628622322588612E-5</v>
      </c>
      <c r="M379" s="16">
        <v>44123</v>
      </c>
      <c r="N379" s="26">
        <f t="shared" si="21"/>
        <v>8.5398223580694932E-3</v>
      </c>
      <c r="O379" s="26">
        <f>'Part 2 - CAPM 2.1, 2.2 and 2.3'!C379-'Part 2 - CAPM 2.1, 2.2 and 2.3'!K379</f>
        <v>3.0395642753142053E-2</v>
      </c>
    </row>
    <row r="380" spans="1:15" x14ac:dyDescent="0.4">
      <c r="A380" s="16">
        <v>44124</v>
      </c>
      <c r="B380" s="14">
        <v>67.400000000000006</v>
      </c>
      <c r="C380" s="25">
        <f t="shared" si="22"/>
        <v>-2.7417027417027295E-2</v>
      </c>
      <c r="E380" s="16">
        <v>44124</v>
      </c>
      <c r="F380" s="15">
        <v>9733</v>
      </c>
      <c r="G380" s="25">
        <f t="shared" si="23"/>
        <v>2.4409586684931693E-3</v>
      </c>
      <c r="I380" s="16">
        <v>44124</v>
      </c>
      <c r="J380" s="17">
        <v>3.2500000000000001E-2</v>
      </c>
      <c r="K380" s="25">
        <f t="shared" si="20"/>
        <v>8.7628622322588612E-5</v>
      </c>
      <c r="M380" s="16">
        <v>44124</v>
      </c>
      <c r="N380" s="26">
        <f t="shared" si="21"/>
        <v>2.3533300461705806E-3</v>
      </c>
      <c r="O380" s="26">
        <f>'Part 2 - CAPM 2.1, 2.2 and 2.3'!C380-'Part 2 - CAPM 2.1, 2.2 and 2.3'!K380</f>
        <v>-2.7504656039349883E-2</v>
      </c>
    </row>
    <row r="381" spans="1:15" x14ac:dyDescent="0.4">
      <c r="A381" s="16">
        <v>44125</v>
      </c>
      <c r="B381" s="14">
        <v>67.8</v>
      </c>
      <c r="C381" s="25">
        <f t="shared" si="22"/>
        <v>5.9347181008900804E-3</v>
      </c>
      <c r="E381" s="16">
        <v>44125</v>
      </c>
      <c r="F381" s="15">
        <v>9756.6</v>
      </c>
      <c r="G381" s="25">
        <f t="shared" si="23"/>
        <v>2.4247405733073425E-3</v>
      </c>
      <c r="I381" s="16">
        <v>44125</v>
      </c>
      <c r="J381" s="17">
        <v>3.1899999999999998E-2</v>
      </c>
      <c r="K381" s="25">
        <f t="shared" si="20"/>
        <v>8.6035928657857141E-5</v>
      </c>
      <c r="M381" s="16">
        <v>44125</v>
      </c>
      <c r="N381" s="26">
        <f t="shared" si="21"/>
        <v>2.3387046446494853E-3</v>
      </c>
      <c r="O381" s="26">
        <f>'Part 2 - CAPM 2.1, 2.2 and 2.3'!C381-'Part 2 - CAPM 2.1, 2.2 and 2.3'!K381</f>
        <v>5.8486821722322233E-3</v>
      </c>
    </row>
    <row r="382" spans="1:15" x14ac:dyDescent="0.4">
      <c r="A382" s="16">
        <v>44126</v>
      </c>
      <c r="B382" s="14">
        <v>68.849999999999994</v>
      </c>
      <c r="C382" s="25">
        <f t="shared" si="22"/>
        <v>1.5486725663716772E-2</v>
      </c>
      <c r="E382" s="16">
        <v>44126</v>
      </c>
      <c r="F382" s="15">
        <v>9745.0499999999993</v>
      </c>
      <c r="G382" s="25">
        <f t="shared" si="23"/>
        <v>-1.1838140335773827E-3</v>
      </c>
      <c r="I382" s="16">
        <v>44126</v>
      </c>
      <c r="J382" s="17">
        <v>3.2099999999999997E-2</v>
      </c>
      <c r="K382" s="25">
        <f t="shared" si="20"/>
        <v>8.6566929138109927E-5</v>
      </c>
      <c r="M382" s="16">
        <v>44126</v>
      </c>
      <c r="N382" s="26">
        <f t="shared" si="21"/>
        <v>-1.2703809627154926E-3</v>
      </c>
      <c r="O382" s="26">
        <f>'Part 2 - CAPM 2.1, 2.2 and 2.3'!C382-'Part 2 - CAPM 2.1, 2.2 and 2.3'!K382</f>
        <v>1.5400158734578662E-2</v>
      </c>
    </row>
    <row r="383" spans="1:15" x14ac:dyDescent="0.4">
      <c r="A383" s="16">
        <v>44127</v>
      </c>
      <c r="B383" s="14">
        <v>69</v>
      </c>
      <c r="C383" s="25">
        <f t="shared" si="22"/>
        <v>2.1786492374728495E-3</v>
      </c>
      <c r="E383" s="16">
        <v>44127</v>
      </c>
      <c r="F383" s="15">
        <v>9780.35</v>
      </c>
      <c r="G383" s="25">
        <f t="shared" si="23"/>
        <v>3.6223518606883589E-3</v>
      </c>
      <c r="I383" s="16">
        <v>44127</v>
      </c>
      <c r="J383" s="17">
        <v>3.2099999999999997E-2</v>
      </c>
      <c r="K383" s="25">
        <f t="shared" si="20"/>
        <v>8.6566929138109927E-5</v>
      </c>
      <c r="M383" s="16">
        <v>44127</v>
      </c>
      <c r="N383" s="26">
        <f t="shared" si="21"/>
        <v>3.535784931550249E-3</v>
      </c>
      <c r="O383" s="26">
        <f>'Part 2 - CAPM 2.1, 2.2 and 2.3'!C383-'Part 2 - CAPM 2.1, 2.2 and 2.3'!K383</f>
        <v>2.0920823083347396E-3</v>
      </c>
    </row>
    <row r="384" spans="1:15" x14ac:dyDescent="0.4">
      <c r="A384" s="16">
        <v>44130</v>
      </c>
      <c r="B384" s="14">
        <v>68.2</v>
      </c>
      <c r="C384" s="25">
        <f t="shared" si="22"/>
        <v>-1.1594202898550683E-2</v>
      </c>
      <c r="E384" s="16">
        <v>44130</v>
      </c>
      <c r="F384" s="15">
        <v>9647.65</v>
      </c>
      <c r="G384" s="25">
        <f t="shared" si="23"/>
        <v>-1.3568021594319296E-2</v>
      </c>
      <c r="I384" s="16">
        <v>44130</v>
      </c>
      <c r="J384" s="17">
        <v>3.2400000000000005E-2</v>
      </c>
      <c r="K384" s="25">
        <f t="shared" si="20"/>
        <v>8.7363237486037804E-5</v>
      </c>
      <c r="M384" s="16">
        <v>44130</v>
      </c>
      <c r="N384" s="26">
        <f t="shared" si="21"/>
        <v>-1.3655384831805334E-2</v>
      </c>
      <c r="O384" s="26">
        <f>'Part 2 - CAPM 2.1, 2.2 and 2.3'!C384-'Part 2 - CAPM 2.1, 2.2 and 2.3'!K384</f>
        <v>-1.1681566136036721E-2</v>
      </c>
    </row>
    <row r="385" spans="1:15" x14ac:dyDescent="0.4">
      <c r="A385" s="16">
        <v>44131</v>
      </c>
      <c r="B385" s="14">
        <v>66.849999999999994</v>
      </c>
      <c r="C385" s="25">
        <f t="shared" si="22"/>
        <v>-1.9794721407624758E-2</v>
      </c>
      <c r="E385" s="16">
        <v>44131</v>
      </c>
      <c r="F385" s="15">
        <v>9748.2999999999993</v>
      </c>
      <c r="G385" s="25">
        <f t="shared" si="23"/>
        <v>1.0432592392966126E-2</v>
      </c>
      <c r="I385" s="16">
        <v>44131</v>
      </c>
      <c r="J385" s="17">
        <v>3.2000000000000001E-2</v>
      </c>
      <c r="K385" s="25">
        <f t="shared" si="20"/>
        <v>8.6301441726055472E-5</v>
      </c>
      <c r="M385" s="16">
        <v>44131</v>
      </c>
      <c r="N385" s="26">
        <f t="shared" si="21"/>
        <v>1.034629095124007E-2</v>
      </c>
      <c r="O385" s="26">
        <f>'Part 2 - CAPM 2.1, 2.2 and 2.3'!C385-'Part 2 - CAPM 2.1, 2.2 and 2.3'!K385</f>
        <v>-1.9881022849350814E-2</v>
      </c>
    </row>
    <row r="386" spans="1:15" x14ac:dyDescent="0.4">
      <c r="A386" s="16">
        <v>44132</v>
      </c>
      <c r="B386" s="14">
        <v>66.349999999999994</v>
      </c>
      <c r="C386" s="25">
        <f t="shared" si="22"/>
        <v>-7.4794315632011974E-3</v>
      </c>
      <c r="E386" s="16">
        <v>44132</v>
      </c>
      <c r="F386" s="15">
        <v>9632.35</v>
      </c>
      <c r="G386" s="25">
        <f t="shared" si="23"/>
        <v>-1.1894381584481285E-2</v>
      </c>
      <c r="I386" s="16">
        <v>44132</v>
      </c>
      <c r="J386" s="17">
        <v>3.2199999999999999E-2</v>
      </c>
      <c r="K386" s="25">
        <f t="shared" si="20"/>
        <v>8.6832390898683443E-5</v>
      </c>
      <c r="M386" s="16">
        <v>44132</v>
      </c>
      <c r="N386" s="26">
        <f t="shared" si="21"/>
        <v>-1.1981213975379969E-2</v>
      </c>
      <c r="O386" s="26">
        <f>'Part 2 - CAPM 2.1, 2.2 and 2.3'!C386-'Part 2 - CAPM 2.1, 2.2 and 2.3'!K386</f>
        <v>-7.5662639540998809E-3</v>
      </c>
    </row>
    <row r="387" spans="1:15" x14ac:dyDescent="0.4">
      <c r="A387" s="16">
        <v>44133</v>
      </c>
      <c r="B387" s="14">
        <v>64.400000000000006</v>
      </c>
      <c r="C387" s="25">
        <f t="shared" si="22"/>
        <v>-2.9389600602863435E-2</v>
      </c>
      <c r="E387" s="16">
        <v>44133</v>
      </c>
      <c r="F387" s="15">
        <v>9593.4</v>
      </c>
      <c r="G387" s="25">
        <f t="shared" si="23"/>
        <v>-4.0436653568444595E-3</v>
      </c>
      <c r="I387" s="16">
        <v>44133</v>
      </c>
      <c r="J387" s="17">
        <v>3.2300000000000002E-2</v>
      </c>
      <c r="K387" s="25">
        <f t="shared" si="20"/>
        <v>8.7097827013105089E-5</v>
      </c>
      <c r="M387" s="16">
        <v>44133</v>
      </c>
      <c r="N387" s="26">
        <f t="shared" si="21"/>
        <v>-4.1307631838575646E-3</v>
      </c>
      <c r="O387" s="26">
        <f>'Part 2 - CAPM 2.1, 2.2 and 2.3'!C387-'Part 2 - CAPM 2.1, 2.2 and 2.3'!K387</f>
        <v>-2.947669842987654E-2</v>
      </c>
    </row>
    <row r="388" spans="1:15" x14ac:dyDescent="0.4">
      <c r="A388" s="16">
        <v>44137</v>
      </c>
      <c r="B388" s="14">
        <v>65.7</v>
      </c>
      <c r="C388" s="25">
        <f t="shared" si="22"/>
        <v>2.0186335403726663E-2</v>
      </c>
      <c r="E388" s="16">
        <v>44137</v>
      </c>
      <c r="F388" s="15">
        <v>9595.9500000000007</v>
      </c>
      <c r="G388" s="25">
        <f t="shared" si="23"/>
        <v>2.6580774282330472E-4</v>
      </c>
      <c r="I388" s="16">
        <v>44137</v>
      </c>
      <c r="J388" s="17">
        <v>3.2400000000000005E-2</v>
      </c>
      <c r="K388" s="25">
        <f t="shared" ref="K388:K451" si="24">((1+J388)^(1/365))-1</f>
        <v>8.7363237486037804E-5</v>
      </c>
      <c r="M388" s="16">
        <v>44137</v>
      </c>
      <c r="N388" s="26">
        <f t="shared" ref="N388:N451" si="25">G388-K388</f>
        <v>1.7844450533726692E-4</v>
      </c>
      <c r="O388" s="26">
        <f>'Part 2 - CAPM 2.1, 2.2 and 2.3'!C388-'Part 2 - CAPM 2.1, 2.2 and 2.3'!K388</f>
        <v>2.0098972166240625E-2</v>
      </c>
    </row>
    <row r="389" spans="1:15" x14ac:dyDescent="0.4">
      <c r="A389" s="16">
        <v>44138</v>
      </c>
      <c r="B389" s="14">
        <v>66.3</v>
      </c>
      <c r="C389" s="25">
        <f t="shared" ref="C389:C452" si="26">(B389-B388)/B388</f>
        <v>9.1324200913241137E-3</v>
      </c>
      <c r="E389" s="16">
        <v>44138</v>
      </c>
      <c r="F389" s="15">
        <v>9696.2999999999993</v>
      </c>
      <c r="G389" s="25">
        <f t="shared" ref="G389:G452" si="27">(F389-F388)/F388</f>
        <v>1.0457536773326094E-2</v>
      </c>
      <c r="I389" s="16">
        <v>44138</v>
      </c>
      <c r="J389" s="17">
        <v>3.2199999999999999E-2</v>
      </c>
      <c r="K389" s="25">
        <f t="shared" si="24"/>
        <v>8.6832390898683443E-5</v>
      </c>
      <c r="M389" s="16">
        <v>44138</v>
      </c>
      <c r="N389" s="26">
        <f t="shared" si="25"/>
        <v>1.0370704382427411E-2</v>
      </c>
      <c r="O389" s="26">
        <f>'Part 2 - CAPM 2.1, 2.2 and 2.3'!C389-'Part 2 - CAPM 2.1, 2.2 and 2.3'!K389</f>
        <v>9.0455877004254302E-3</v>
      </c>
    </row>
    <row r="390" spans="1:15" x14ac:dyDescent="0.4">
      <c r="A390" s="16">
        <v>44139</v>
      </c>
      <c r="B390" s="14">
        <v>66.45</v>
      </c>
      <c r="C390" s="25">
        <f t="shared" si="26"/>
        <v>2.2624434389141128E-3</v>
      </c>
      <c r="E390" s="16">
        <v>44139</v>
      </c>
      <c r="F390" s="15">
        <v>9764.6</v>
      </c>
      <c r="G390" s="25">
        <f t="shared" si="27"/>
        <v>7.0439239709993605E-3</v>
      </c>
      <c r="I390" s="16">
        <v>44139</v>
      </c>
      <c r="J390" s="17">
        <v>3.2300000000000002E-2</v>
      </c>
      <c r="K390" s="25">
        <f t="shared" si="24"/>
        <v>8.7097827013105089E-5</v>
      </c>
      <c r="M390" s="16">
        <v>44139</v>
      </c>
      <c r="N390" s="26">
        <f t="shared" si="25"/>
        <v>6.9568261439862554E-3</v>
      </c>
      <c r="O390" s="26">
        <f>'Part 2 - CAPM 2.1, 2.2 and 2.3'!C390-'Part 2 - CAPM 2.1, 2.2 and 2.3'!K390</f>
        <v>2.1753456119010077E-3</v>
      </c>
    </row>
    <row r="391" spans="1:15" x14ac:dyDescent="0.4">
      <c r="A391" s="16">
        <v>44140</v>
      </c>
      <c r="B391" s="14">
        <v>67.599999999999994</v>
      </c>
      <c r="C391" s="25">
        <f t="shared" si="26"/>
        <v>1.7306245297215823E-2</v>
      </c>
      <c r="E391" s="16">
        <v>44140</v>
      </c>
      <c r="F391" s="15">
        <v>9935.35</v>
      </c>
      <c r="G391" s="25">
        <f t="shared" si="27"/>
        <v>1.7486635397251295E-2</v>
      </c>
      <c r="I391" s="16">
        <v>44140</v>
      </c>
      <c r="J391" s="17">
        <v>3.2099999999999997E-2</v>
      </c>
      <c r="K391" s="25">
        <f t="shared" si="24"/>
        <v>8.6566929138109927E-5</v>
      </c>
      <c r="M391" s="16">
        <v>44140</v>
      </c>
      <c r="N391" s="26">
        <f t="shared" si="25"/>
        <v>1.7400068468113185E-2</v>
      </c>
      <c r="O391" s="26">
        <f>'Part 2 - CAPM 2.1, 2.2 and 2.3'!C391-'Part 2 - CAPM 2.1, 2.2 and 2.3'!K391</f>
        <v>1.7219678368077713E-2</v>
      </c>
    </row>
    <row r="392" spans="1:15" x14ac:dyDescent="0.4">
      <c r="A392" s="16">
        <v>44141</v>
      </c>
      <c r="B392" s="14">
        <v>68</v>
      </c>
      <c r="C392" s="25">
        <f t="shared" si="26"/>
        <v>5.9171597633136943E-3</v>
      </c>
      <c r="E392" s="16">
        <v>44141</v>
      </c>
      <c r="F392" s="15">
        <v>10033.5</v>
      </c>
      <c r="G392" s="25">
        <f t="shared" si="27"/>
        <v>9.878866874342588E-3</v>
      </c>
      <c r="I392" s="16">
        <v>44141</v>
      </c>
      <c r="J392" s="17">
        <v>3.1600000000000003E-2</v>
      </c>
      <c r="K392" s="25">
        <f t="shared" si="24"/>
        <v>8.5239235465550678E-5</v>
      </c>
      <c r="M392" s="16">
        <v>44141</v>
      </c>
      <c r="N392" s="26">
        <f t="shared" si="25"/>
        <v>9.7936276388770373E-3</v>
      </c>
      <c r="O392" s="26">
        <f>'Part 2 - CAPM 2.1, 2.2 and 2.3'!C392-'Part 2 - CAPM 2.1, 2.2 and 2.3'!K392</f>
        <v>5.8319205278481437E-3</v>
      </c>
    </row>
    <row r="393" spans="1:15" x14ac:dyDescent="0.4">
      <c r="A393" s="16">
        <v>44144</v>
      </c>
      <c r="B393" s="14">
        <v>68.45</v>
      </c>
      <c r="C393" s="25">
        <f t="shared" si="26"/>
        <v>6.617647058823571E-3</v>
      </c>
      <c r="E393" s="16">
        <v>44144</v>
      </c>
      <c r="F393" s="15">
        <v>10176.35</v>
      </c>
      <c r="G393" s="25">
        <f t="shared" si="27"/>
        <v>1.4237305028155714E-2</v>
      </c>
      <c r="I393" s="16">
        <v>44144</v>
      </c>
      <c r="J393" s="17">
        <v>3.15E-2</v>
      </c>
      <c r="K393" s="25">
        <f t="shared" si="24"/>
        <v>8.4973619722372717E-5</v>
      </c>
      <c r="M393" s="16">
        <v>44144</v>
      </c>
      <c r="N393" s="26">
        <f t="shared" si="25"/>
        <v>1.4152331408433342E-2</v>
      </c>
      <c r="O393" s="26">
        <f>'Part 2 - CAPM 2.1, 2.2 and 2.3'!C393-'Part 2 - CAPM 2.1, 2.2 and 2.3'!K393</f>
        <v>6.5326734391011982E-3</v>
      </c>
    </row>
    <row r="394" spans="1:15" x14ac:dyDescent="0.4">
      <c r="A394" s="16">
        <v>44145</v>
      </c>
      <c r="B394" s="14">
        <v>70.75</v>
      </c>
      <c r="C394" s="25">
        <f t="shared" si="26"/>
        <v>3.3601168736303831E-2</v>
      </c>
      <c r="E394" s="16">
        <v>44145</v>
      </c>
      <c r="F394" s="15">
        <v>10269</v>
      </c>
      <c r="G394" s="25">
        <f t="shared" si="27"/>
        <v>9.1044431451354994E-3</v>
      </c>
      <c r="I394" s="16">
        <v>44145</v>
      </c>
      <c r="J394" s="17">
        <v>3.2300000000000002E-2</v>
      </c>
      <c r="K394" s="25">
        <f t="shared" si="24"/>
        <v>8.7097827013105089E-5</v>
      </c>
      <c r="M394" s="16">
        <v>44145</v>
      </c>
      <c r="N394" s="26">
        <f t="shared" si="25"/>
        <v>9.0173453181223943E-3</v>
      </c>
      <c r="O394" s="26">
        <f>'Part 2 - CAPM 2.1, 2.2 and 2.3'!C394-'Part 2 - CAPM 2.1, 2.2 and 2.3'!K394</f>
        <v>3.3514070909290726E-2</v>
      </c>
    </row>
    <row r="395" spans="1:15" x14ac:dyDescent="0.4">
      <c r="A395" s="16">
        <v>44146</v>
      </c>
      <c r="B395" s="14">
        <v>72.349999999999994</v>
      </c>
      <c r="C395" s="25">
        <f t="shared" si="26"/>
        <v>2.2614840989399213E-2</v>
      </c>
      <c r="E395" s="16">
        <v>44146</v>
      </c>
      <c r="F395" s="15">
        <v>10356.5</v>
      </c>
      <c r="G395" s="25">
        <f t="shared" si="27"/>
        <v>8.5207907293796872E-3</v>
      </c>
      <c r="I395" s="16">
        <v>44146</v>
      </c>
      <c r="J395" s="17">
        <v>3.2099999999999997E-2</v>
      </c>
      <c r="K395" s="25">
        <f t="shared" si="24"/>
        <v>8.6566929138109927E-5</v>
      </c>
      <c r="M395" s="16">
        <v>44146</v>
      </c>
      <c r="N395" s="26">
        <f t="shared" si="25"/>
        <v>8.4342238002415772E-3</v>
      </c>
      <c r="O395" s="26">
        <f>'Part 2 - CAPM 2.1, 2.2 and 2.3'!C395-'Part 2 - CAPM 2.1, 2.2 and 2.3'!K395</f>
        <v>2.2528274060261103E-2</v>
      </c>
    </row>
    <row r="396" spans="1:15" x14ac:dyDescent="0.4">
      <c r="A396" s="16">
        <v>44147</v>
      </c>
      <c r="B396" s="14">
        <v>71.55</v>
      </c>
      <c r="C396" s="25">
        <f t="shared" si="26"/>
        <v>-1.1057360055286762E-2</v>
      </c>
      <c r="E396" s="16">
        <v>44147</v>
      </c>
      <c r="F396" s="15">
        <v>10342.700000000001</v>
      </c>
      <c r="G396" s="25">
        <f t="shared" si="27"/>
        <v>-1.332496499782675E-3</v>
      </c>
      <c r="I396" s="16">
        <v>44147</v>
      </c>
      <c r="J396" s="17">
        <v>3.1400000000000004E-2</v>
      </c>
      <c r="K396" s="25">
        <f t="shared" si="24"/>
        <v>8.4707978298181885E-5</v>
      </c>
      <c r="M396" s="16">
        <v>44147</v>
      </c>
      <c r="N396" s="26">
        <f t="shared" si="25"/>
        <v>-1.4172044780808568E-3</v>
      </c>
      <c r="O396" s="26">
        <f>'Part 2 - CAPM 2.1, 2.2 and 2.3'!C396-'Part 2 - CAPM 2.1, 2.2 and 2.3'!K396</f>
        <v>-1.1142068033584944E-2</v>
      </c>
    </row>
    <row r="397" spans="1:15" x14ac:dyDescent="0.4">
      <c r="A397" s="16">
        <v>44148</v>
      </c>
      <c r="B397" s="14">
        <v>72.150000000000006</v>
      </c>
      <c r="C397" s="25">
        <f t="shared" si="26"/>
        <v>8.3857442348009587E-3</v>
      </c>
      <c r="E397" s="16">
        <v>44148</v>
      </c>
      <c r="F397" s="15">
        <v>10387.200000000001</v>
      </c>
      <c r="G397" s="25">
        <f t="shared" si="27"/>
        <v>4.3025515581037828E-3</v>
      </c>
      <c r="I397" s="16">
        <v>44148</v>
      </c>
      <c r="J397" s="17">
        <v>3.1400000000000004E-2</v>
      </c>
      <c r="K397" s="25">
        <f t="shared" si="24"/>
        <v>8.4707978298181885E-5</v>
      </c>
      <c r="M397" s="16">
        <v>44148</v>
      </c>
      <c r="N397" s="26">
        <f t="shared" si="25"/>
        <v>4.2178435798056009E-3</v>
      </c>
      <c r="O397" s="26">
        <f>'Part 2 - CAPM 2.1, 2.2 and 2.3'!C397-'Part 2 - CAPM 2.1, 2.2 and 2.3'!K397</f>
        <v>8.3010362565027768E-3</v>
      </c>
    </row>
    <row r="398" spans="1:15" x14ac:dyDescent="0.4">
      <c r="A398" s="16">
        <v>44152</v>
      </c>
      <c r="B398" s="14">
        <v>71.3</v>
      </c>
      <c r="C398" s="25">
        <f t="shared" si="26"/>
        <v>-1.1781011781011898E-2</v>
      </c>
      <c r="E398" s="16">
        <v>44152</v>
      </c>
      <c r="F398" s="15">
        <v>10524</v>
      </c>
      <c r="G398" s="25">
        <f t="shared" si="27"/>
        <v>1.3170055452864994E-2</v>
      </c>
      <c r="I398" s="16">
        <v>44152</v>
      </c>
      <c r="J398" s="17">
        <v>3.1400000000000004E-2</v>
      </c>
      <c r="K398" s="25">
        <f t="shared" si="24"/>
        <v>8.4707978298181885E-5</v>
      </c>
      <c r="M398" s="16">
        <v>44152</v>
      </c>
      <c r="N398" s="26">
        <f t="shared" si="25"/>
        <v>1.3085347474566812E-2</v>
      </c>
      <c r="O398" s="26">
        <f>'Part 2 - CAPM 2.1, 2.2 and 2.3'!C398-'Part 2 - CAPM 2.1, 2.2 and 2.3'!K398</f>
        <v>-1.186571975931008E-2</v>
      </c>
    </row>
    <row r="399" spans="1:15" x14ac:dyDescent="0.4">
      <c r="A399" s="16">
        <v>44153</v>
      </c>
      <c r="B399" s="14">
        <v>71.95</v>
      </c>
      <c r="C399" s="25">
        <f t="shared" si="26"/>
        <v>9.11640953716698E-3</v>
      </c>
      <c r="E399" s="16">
        <v>44153</v>
      </c>
      <c r="F399" s="15">
        <v>10588.35</v>
      </c>
      <c r="G399" s="25">
        <f t="shared" si="27"/>
        <v>6.1145952109464431E-3</v>
      </c>
      <c r="I399" s="16">
        <v>44153</v>
      </c>
      <c r="J399" s="17">
        <v>3.0899999999999997E-2</v>
      </c>
      <c r="K399" s="25">
        <f t="shared" si="24"/>
        <v>8.337938578617532E-5</v>
      </c>
      <c r="M399" s="16">
        <v>44153</v>
      </c>
      <c r="N399" s="26">
        <f t="shared" si="25"/>
        <v>6.0312158251602677E-3</v>
      </c>
      <c r="O399" s="26">
        <f>'Part 2 - CAPM 2.1, 2.2 and 2.3'!C399-'Part 2 - CAPM 2.1, 2.2 and 2.3'!K399</f>
        <v>9.0330301513808046E-3</v>
      </c>
    </row>
    <row r="400" spans="1:15" x14ac:dyDescent="0.4">
      <c r="A400" s="16">
        <v>44154</v>
      </c>
      <c r="B400" s="14">
        <v>72.150000000000006</v>
      </c>
      <c r="C400" s="25">
        <f t="shared" si="26"/>
        <v>2.7797081306463215E-3</v>
      </c>
      <c r="E400" s="16">
        <v>44154</v>
      </c>
      <c r="F400" s="15">
        <v>10477.5</v>
      </c>
      <c r="G400" s="25">
        <f t="shared" si="27"/>
        <v>-1.0469053251923138E-2</v>
      </c>
      <c r="I400" s="16">
        <v>44154</v>
      </c>
      <c r="J400" s="17">
        <v>2.98E-2</v>
      </c>
      <c r="K400" s="25">
        <f t="shared" si="24"/>
        <v>8.0454218814862699E-5</v>
      </c>
      <c r="M400" s="16">
        <v>44154</v>
      </c>
      <c r="N400" s="26">
        <f t="shared" si="25"/>
        <v>-1.0549507470738E-2</v>
      </c>
      <c r="O400" s="26">
        <f>'Part 2 - CAPM 2.1, 2.2 and 2.3'!C400-'Part 2 - CAPM 2.1, 2.2 and 2.3'!K400</f>
        <v>2.6992539118314588E-3</v>
      </c>
    </row>
    <row r="401" spans="1:15" x14ac:dyDescent="0.4">
      <c r="A401" s="16">
        <v>44155</v>
      </c>
      <c r="B401" s="14">
        <v>71.650000000000006</v>
      </c>
      <c r="C401" s="25">
        <f t="shared" si="26"/>
        <v>-6.9300069300069298E-3</v>
      </c>
      <c r="E401" s="16">
        <v>44155</v>
      </c>
      <c r="F401" s="15">
        <v>10560.55</v>
      </c>
      <c r="G401" s="25">
        <f t="shared" si="27"/>
        <v>7.9265091863516372E-3</v>
      </c>
      <c r="I401" s="16">
        <v>44155</v>
      </c>
      <c r="J401" s="17">
        <v>2.9900000000000003E-2</v>
      </c>
      <c r="K401" s="25">
        <f t="shared" si="24"/>
        <v>8.0720271814271882E-5</v>
      </c>
      <c r="M401" s="16">
        <v>44155</v>
      </c>
      <c r="N401" s="26">
        <f t="shared" si="25"/>
        <v>7.8457889145373653E-3</v>
      </c>
      <c r="O401" s="26">
        <f>'Part 2 - CAPM 2.1, 2.2 and 2.3'!C401-'Part 2 - CAPM 2.1, 2.2 and 2.3'!K401</f>
        <v>-7.0107272018212017E-3</v>
      </c>
    </row>
    <row r="402" spans="1:15" x14ac:dyDescent="0.4">
      <c r="A402" s="16">
        <v>44158</v>
      </c>
      <c r="B402" s="14">
        <v>76.5</v>
      </c>
      <c r="C402" s="25">
        <f t="shared" si="26"/>
        <v>6.7690160502442337E-2</v>
      </c>
      <c r="E402" s="16">
        <v>44158</v>
      </c>
      <c r="F402" s="15">
        <v>10635.95</v>
      </c>
      <c r="G402" s="25">
        <f t="shared" si="27"/>
        <v>7.1397796516281314E-3</v>
      </c>
      <c r="I402" s="16">
        <v>44158</v>
      </c>
      <c r="J402" s="17">
        <v>0.03</v>
      </c>
      <c r="K402" s="25">
        <f t="shared" si="24"/>
        <v>8.0986299053176225E-5</v>
      </c>
      <c r="M402" s="16">
        <v>44158</v>
      </c>
      <c r="N402" s="26">
        <f t="shared" si="25"/>
        <v>7.0587933525749552E-3</v>
      </c>
      <c r="O402" s="26">
        <f>'Part 2 - CAPM 2.1, 2.2 and 2.3'!C402-'Part 2 - CAPM 2.1, 2.2 and 2.3'!K402</f>
        <v>6.7609174203389161E-2</v>
      </c>
    </row>
    <row r="403" spans="1:15" x14ac:dyDescent="0.4">
      <c r="A403" s="16">
        <v>44159</v>
      </c>
      <c r="B403" s="14">
        <v>76.099999999999994</v>
      </c>
      <c r="C403" s="25">
        <f t="shared" si="26"/>
        <v>-5.2287581699347148E-3</v>
      </c>
      <c r="E403" s="16">
        <v>44159</v>
      </c>
      <c r="F403" s="15">
        <v>10733.6</v>
      </c>
      <c r="G403" s="25">
        <f t="shared" si="27"/>
        <v>9.1811262745687631E-3</v>
      </c>
      <c r="I403" s="16">
        <v>44159</v>
      </c>
      <c r="J403" s="17">
        <v>3.04E-2</v>
      </c>
      <c r="K403" s="25">
        <f t="shared" si="24"/>
        <v>8.2050150499224372E-5</v>
      </c>
      <c r="M403" s="16">
        <v>44159</v>
      </c>
      <c r="N403" s="26">
        <f t="shared" si="25"/>
        <v>9.0990761240695387E-3</v>
      </c>
      <c r="O403" s="26">
        <f>'Part 2 - CAPM 2.1, 2.2 and 2.3'!C403-'Part 2 - CAPM 2.1, 2.2 and 2.3'!K403</f>
        <v>-5.3108083204339391E-3</v>
      </c>
    </row>
    <row r="404" spans="1:15" x14ac:dyDescent="0.4">
      <c r="A404" s="16">
        <v>44160</v>
      </c>
      <c r="B404" s="14">
        <v>80.8</v>
      </c>
      <c r="C404" s="25">
        <f t="shared" si="26"/>
        <v>6.1760840998685979E-2</v>
      </c>
      <c r="E404" s="16">
        <v>44160</v>
      </c>
      <c r="F404" s="15">
        <v>10574.95</v>
      </c>
      <c r="G404" s="25">
        <f t="shared" si="27"/>
        <v>-1.4780688678542113E-2</v>
      </c>
      <c r="I404" s="16">
        <v>44160</v>
      </c>
      <c r="J404" s="17">
        <v>2.98E-2</v>
      </c>
      <c r="K404" s="25">
        <f t="shared" si="24"/>
        <v>8.0454218814862699E-5</v>
      </c>
      <c r="M404" s="16">
        <v>44160</v>
      </c>
      <c r="N404" s="26">
        <f t="shared" si="25"/>
        <v>-1.4861142897356976E-2</v>
      </c>
      <c r="O404" s="26">
        <f>'Part 2 - CAPM 2.1, 2.2 and 2.3'!C404-'Part 2 - CAPM 2.1, 2.2 and 2.3'!K404</f>
        <v>6.1680386779871116E-2</v>
      </c>
    </row>
    <row r="405" spans="1:15" x14ac:dyDescent="0.4">
      <c r="A405" s="16">
        <v>44161</v>
      </c>
      <c r="B405" s="14">
        <v>80.2</v>
      </c>
      <c r="C405" s="25">
        <f t="shared" si="26"/>
        <v>-7.425742574257356E-3</v>
      </c>
      <c r="E405" s="16">
        <v>44161</v>
      </c>
      <c r="F405" s="15">
        <v>10674.05</v>
      </c>
      <c r="G405" s="25">
        <f t="shared" si="27"/>
        <v>9.3712027007218507E-3</v>
      </c>
      <c r="I405" s="16">
        <v>44161</v>
      </c>
      <c r="J405" s="17">
        <v>2.9399999999999999E-2</v>
      </c>
      <c r="K405" s="25">
        <f t="shared" si="24"/>
        <v>7.9389749107594554E-5</v>
      </c>
      <c r="M405" s="16">
        <v>44161</v>
      </c>
      <c r="N405" s="26">
        <f t="shared" si="25"/>
        <v>9.2918129516142561E-3</v>
      </c>
      <c r="O405" s="26">
        <f>'Part 2 - CAPM 2.1, 2.2 and 2.3'!C405-'Part 2 - CAPM 2.1, 2.2 and 2.3'!K405</f>
        <v>-7.5051323233649506E-3</v>
      </c>
    </row>
    <row r="406" spans="1:15" x14ac:dyDescent="0.4">
      <c r="A406" s="16">
        <v>44162</v>
      </c>
      <c r="B406" s="14">
        <v>78.5</v>
      </c>
      <c r="C406" s="25">
        <f t="shared" si="26"/>
        <v>-2.1197007481296794E-2</v>
      </c>
      <c r="E406" s="16">
        <v>44162</v>
      </c>
      <c r="F406" s="15">
        <v>10719.05</v>
      </c>
      <c r="G406" s="25">
        <f t="shared" si="27"/>
        <v>4.2158318538886366E-3</v>
      </c>
      <c r="I406" s="16">
        <v>44162</v>
      </c>
      <c r="J406" s="17">
        <v>2.9300000000000003E-2</v>
      </c>
      <c r="K406" s="25">
        <f t="shared" si="24"/>
        <v>7.9123567228611691E-5</v>
      </c>
      <c r="M406" s="16">
        <v>44162</v>
      </c>
      <c r="N406" s="26">
        <f t="shared" si="25"/>
        <v>4.1367082866600249E-3</v>
      </c>
      <c r="O406" s="26">
        <f>'Part 2 - CAPM 2.1, 2.2 and 2.3'!C406-'Part 2 - CAPM 2.1, 2.2 and 2.3'!K406</f>
        <v>-2.1276131048525406E-2</v>
      </c>
    </row>
    <row r="407" spans="1:15" x14ac:dyDescent="0.4">
      <c r="A407" s="16">
        <v>44166</v>
      </c>
      <c r="B407" s="14">
        <v>81.55</v>
      </c>
      <c r="C407" s="25">
        <f t="shared" si="26"/>
        <v>3.8853503184713339E-2</v>
      </c>
      <c r="E407" s="16">
        <v>44166</v>
      </c>
      <c r="F407" s="15">
        <v>10835.15</v>
      </c>
      <c r="G407" s="25">
        <f t="shared" si="27"/>
        <v>1.0831183733633145E-2</v>
      </c>
      <c r="I407" s="16">
        <v>44166</v>
      </c>
      <c r="J407" s="17">
        <v>2.9600000000000001E-2</v>
      </c>
      <c r="K407" s="25">
        <f t="shared" si="24"/>
        <v>7.9922035512991485E-5</v>
      </c>
      <c r="M407" s="16">
        <v>44166</v>
      </c>
      <c r="N407" s="26">
        <f t="shared" si="25"/>
        <v>1.0751261698120154E-2</v>
      </c>
      <c r="O407" s="26">
        <f>'Part 2 - CAPM 2.1, 2.2 and 2.3'!C407-'Part 2 - CAPM 2.1, 2.2 and 2.3'!K407</f>
        <v>3.8773581149200348E-2</v>
      </c>
    </row>
    <row r="408" spans="1:15" x14ac:dyDescent="0.4">
      <c r="A408" s="16">
        <v>44167</v>
      </c>
      <c r="B408" s="14">
        <v>84.85</v>
      </c>
      <c r="C408" s="25">
        <f t="shared" si="26"/>
        <v>4.0465971796443866E-2</v>
      </c>
      <c r="E408" s="16">
        <v>44167</v>
      </c>
      <c r="F408" s="15">
        <v>10858.15</v>
      </c>
      <c r="G408" s="25">
        <f t="shared" si="27"/>
        <v>2.1227209591007049E-3</v>
      </c>
      <c r="I408" s="16">
        <v>44167</v>
      </c>
      <c r="J408" s="17">
        <v>3.0200000000000001E-2</v>
      </c>
      <c r="K408" s="25">
        <f t="shared" si="24"/>
        <v>8.1518276267900092E-5</v>
      </c>
      <c r="M408" s="16">
        <v>44167</v>
      </c>
      <c r="N408" s="26">
        <f t="shared" si="25"/>
        <v>2.0412026828328048E-3</v>
      </c>
      <c r="O408" s="26">
        <f>'Part 2 - CAPM 2.1, 2.2 and 2.3'!C408-'Part 2 - CAPM 2.1, 2.2 and 2.3'!K408</f>
        <v>4.0384453520175966E-2</v>
      </c>
    </row>
    <row r="409" spans="1:15" x14ac:dyDescent="0.4">
      <c r="A409" s="16">
        <v>44168</v>
      </c>
      <c r="B409" s="14">
        <v>88.7</v>
      </c>
      <c r="C409" s="25">
        <f t="shared" si="26"/>
        <v>4.5374189746611768E-2</v>
      </c>
      <c r="E409" s="16">
        <v>44168</v>
      </c>
      <c r="F409" s="15">
        <v>10893.6</v>
      </c>
      <c r="G409" s="25">
        <f t="shared" si="27"/>
        <v>3.2648287231250932E-3</v>
      </c>
      <c r="I409" s="16">
        <v>44168</v>
      </c>
      <c r="J409" s="17">
        <v>3.0499999999999999E-2</v>
      </c>
      <c r="K409" s="25">
        <f t="shared" si="24"/>
        <v>8.2316049008435144E-5</v>
      </c>
      <c r="M409" s="16">
        <v>44168</v>
      </c>
      <c r="N409" s="26">
        <f t="shared" si="25"/>
        <v>3.1825126741166581E-3</v>
      </c>
      <c r="O409" s="26">
        <f>'Part 2 - CAPM 2.1, 2.2 and 2.3'!C409-'Part 2 - CAPM 2.1, 2.2 and 2.3'!K409</f>
        <v>4.5291873697603333E-2</v>
      </c>
    </row>
    <row r="410" spans="1:15" x14ac:dyDescent="0.4">
      <c r="A410" s="16">
        <v>44169</v>
      </c>
      <c r="B410" s="14">
        <v>89.85</v>
      </c>
      <c r="C410" s="25">
        <f t="shared" si="26"/>
        <v>1.2965050732807119E-2</v>
      </c>
      <c r="E410" s="16">
        <v>44169</v>
      </c>
      <c r="F410" s="15">
        <v>10978.85</v>
      </c>
      <c r="G410" s="25">
        <f t="shared" si="27"/>
        <v>7.8256958213997214E-3</v>
      </c>
      <c r="I410" s="16">
        <v>44169</v>
      </c>
      <c r="J410" s="17">
        <v>3.0099999999999998E-2</v>
      </c>
      <c r="K410" s="25">
        <f t="shared" si="24"/>
        <v>8.125230053601662E-5</v>
      </c>
      <c r="M410" s="16">
        <v>44169</v>
      </c>
      <c r="N410" s="26">
        <f t="shared" si="25"/>
        <v>7.7444435208637048E-3</v>
      </c>
      <c r="O410" s="26">
        <f>'Part 2 - CAPM 2.1, 2.2 and 2.3'!C410-'Part 2 - CAPM 2.1, 2.2 and 2.3'!K410</f>
        <v>1.2883798432271103E-2</v>
      </c>
    </row>
    <row r="411" spans="1:15" x14ac:dyDescent="0.4">
      <c r="A411" s="16">
        <v>44172</v>
      </c>
      <c r="B411" s="14">
        <v>91.55</v>
      </c>
      <c r="C411" s="25">
        <f t="shared" si="26"/>
        <v>1.8920422927100757E-2</v>
      </c>
      <c r="E411" s="16">
        <v>44172</v>
      </c>
      <c r="F411" s="15">
        <v>11070.25</v>
      </c>
      <c r="G411" s="25">
        <f t="shared" si="27"/>
        <v>8.3250978016822918E-3</v>
      </c>
      <c r="I411" s="16">
        <v>44172</v>
      </c>
      <c r="J411" s="17">
        <v>3.0299999999999997E-2</v>
      </c>
      <c r="K411" s="25">
        <f t="shared" si="24"/>
        <v>8.1784226253933667E-5</v>
      </c>
      <c r="M411" s="16">
        <v>44172</v>
      </c>
      <c r="N411" s="26">
        <f t="shared" si="25"/>
        <v>8.2433135754283581E-3</v>
      </c>
      <c r="O411" s="26">
        <f>'Part 2 - CAPM 2.1, 2.2 and 2.3'!C411-'Part 2 - CAPM 2.1, 2.2 and 2.3'!K411</f>
        <v>1.8838638700846823E-2</v>
      </c>
    </row>
    <row r="412" spans="1:15" x14ac:dyDescent="0.4">
      <c r="A412" s="16">
        <v>44173</v>
      </c>
      <c r="B412" s="14">
        <v>90.75</v>
      </c>
      <c r="C412" s="25">
        <f t="shared" si="26"/>
        <v>-8.7383943200436617E-3</v>
      </c>
      <c r="E412" s="16">
        <v>44173</v>
      </c>
      <c r="F412" s="15">
        <v>11088.65</v>
      </c>
      <c r="G412" s="25">
        <f t="shared" si="27"/>
        <v>1.6621124184187021E-3</v>
      </c>
      <c r="I412" s="16">
        <v>44173</v>
      </c>
      <c r="J412" s="17">
        <v>3.0299999999999997E-2</v>
      </c>
      <c r="K412" s="25">
        <f t="shared" si="24"/>
        <v>8.1784226253933667E-5</v>
      </c>
      <c r="M412" s="16">
        <v>44173</v>
      </c>
      <c r="N412" s="26">
        <f t="shared" si="25"/>
        <v>1.5803281921647685E-3</v>
      </c>
      <c r="O412" s="26">
        <f>'Part 2 - CAPM 2.1, 2.2 and 2.3'!C412-'Part 2 - CAPM 2.1, 2.2 and 2.3'!K412</f>
        <v>-8.8201785462975954E-3</v>
      </c>
    </row>
    <row r="413" spans="1:15" x14ac:dyDescent="0.4">
      <c r="A413" s="16">
        <v>44174</v>
      </c>
      <c r="B413" s="14">
        <v>91.2</v>
      </c>
      <c r="C413" s="25">
        <f t="shared" si="26"/>
        <v>4.9586776859504448E-3</v>
      </c>
      <c r="E413" s="16">
        <v>44174</v>
      </c>
      <c r="F413" s="15">
        <v>11181.2</v>
      </c>
      <c r="G413" s="25">
        <f t="shared" si="27"/>
        <v>8.3463721913849837E-3</v>
      </c>
      <c r="I413" s="16">
        <v>44174</v>
      </c>
      <c r="J413" s="17">
        <v>3.0699999999999998E-2</v>
      </c>
      <c r="K413" s="25">
        <f t="shared" si="24"/>
        <v>8.2847768839267033E-5</v>
      </c>
      <c r="M413" s="16">
        <v>44174</v>
      </c>
      <c r="N413" s="26">
        <f t="shared" si="25"/>
        <v>8.2635244225457167E-3</v>
      </c>
      <c r="O413" s="26">
        <f>'Part 2 - CAPM 2.1, 2.2 and 2.3'!C413-'Part 2 - CAPM 2.1, 2.2 and 2.3'!K413</f>
        <v>4.8758299171111777E-3</v>
      </c>
    </row>
    <row r="414" spans="1:15" x14ac:dyDescent="0.4">
      <c r="A414" s="16">
        <v>44175</v>
      </c>
      <c r="B414" s="14">
        <v>91.65</v>
      </c>
      <c r="C414" s="25">
        <f t="shared" si="26"/>
        <v>4.9342105263158204E-3</v>
      </c>
      <c r="E414" s="16">
        <v>44175</v>
      </c>
      <c r="F414" s="15">
        <v>11141.35</v>
      </c>
      <c r="G414" s="25">
        <f t="shared" si="27"/>
        <v>-3.5640181733624619E-3</v>
      </c>
      <c r="I414" s="16">
        <v>44175</v>
      </c>
      <c r="J414" s="17">
        <v>3.0800000000000001E-2</v>
      </c>
      <c r="K414" s="25">
        <f t="shared" si="24"/>
        <v>8.3113590170658114E-5</v>
      </c>
      <c r="M414" s="16">
        <v>44175</v>
      </c>
      <c r="N414" s="26">
        <f t="shared" si="25"/>
        <v>-3.64713176353312E-3</v>
      </c>
      <c r="O414" s="26">
        <f>'Part 2 - CAPM 2.1, 2.2 and 2.3'!C414-'Part 2 - CAPM 2.1, 2.2 and 2.3'!K414</f>
        <v>4.8510969361451623E-3</v>
      </c>
    </row>
    <row r="415" spans="1:15" x14ac:dyDescent="0.4">
      <c r="A415" s="16">
        <v>44176</v>
      </c>
      <c r="B415" s="14">
        <v>96.8</v>
      </c>
      <c r="C415" s="25">
        <f t="shared" si="26"/>
        <v>5.6192034915439074E-2</v>
      </c>
      <c r="E415" s="16">
        <v>44176</v>
      </c>
      <c r="F415" s="15">
        <v>11171.4</v>
      </c>
      <c r="G415" s="25">
        <f t="shared" si="27"/>
        <v>2.6971596799310023E-3</v>
      </c>
      <c r="I415" s="16">
        <v>44176</v>
      </c>
      <c r="J415" s="17">
        <v>3.1099999999999999E-2</v>
      </c>
      <c r="K415" s="25">
        <f t="shared" si="24"/>
        <v>8.3910899889128032E-5</v>
      </c>
      <c r="M415" s="16">
        <v>44176</v>
      </c>
      <c r="N415" s="26">
        <f t="shared" si="25"/>
        <v>2.6132487800418743E-3</v>
      </c>
      <c r="O415" s="26">
        <f>'Part 2 - CAPM 2.1, 2.2 and 2.3'!C415-'Part 2 - CAPM 2.1, 2.2 and 2.3'!K415</f>
        <v>5.6108124015549946E-2</v>
      </c>
    </row>
    <row r="416" spans="1:15" x14ac:dyDescent="0.4">
      <c r="A416" s="16">
        <v>44179</v>
      </c>
      <c r="B416" s="14">
        <v>101.5</v>
      </c>
      <c r="C416" s="25">
        <f t="shared" si="26"/>
        <v>4.8553719008264495E-2</v>
      </c>
      <c r="E416" s="16">
        <v>44179</v>
      </c>
      <c r="F416" s="15">
        <v>11215.25</v>
      </c>
      <c r="G416" s="25">
        <f t="shared" si="27"/>
        <v>3.9252018547362337E-3</v>
      </c>
      <c r="I416" s="16">
        <v>44179</v>
      </c>
      <c r="J416" s="17">
        <v>3.1099999999999999E-2</v>
      </c>
      <c r="K416" s="25">
        <f t="shared" si="24"/>
        <v>8.3910899889128032E-5</v>
      </c>
      <c r="M416" s="16">
        <v>44179</v>
      </c>
      <c r="N416" s="26">
        <f t="shared" si="25"/>
        <v>3.8412909548471057E-3</v>
      </c>
      <c r="O416" s="26">
        <f>'Part 2 - CAPM 2.1, 2.2 and 2.3'!C416-'Part 2 - CAPM 2.1, 2.2 and 2.3'!K416</f>
        <v>4.8469808108375367E-2</v>
      </c>
    </row>
    <row r="417" spans="1:15" x14ac:dyDescent="0.4">
      <c r="A417" s="16">
        <v>44180</v>
      </c>
      <c r="B417" s="14">
        <v>100.45</v>
      </c>
      <c r="C417" s="25">
        <f t="shared" si="26"/>
        <v>-1.0344827586206869E-2</v>
      </c>
      <c r="E417" s="16">
        <v>44180</v>
      </c>
      <c r="F417" s="15">
        <v>11223.9</v>
      </c>
      <c r="G417" s="25">
        <f t="shared" si="27"/>
        <v>7.7127126011454375E-4</v>
      </c>
      <c r="I417" s="16">
        <v>44180</v>
      </c>
      <c r="J417" s="17">
        <v>3.1099999999999999E-2</v>
      </c>
      <c r="K417" s="25">
        <f t="shared" si="24"/>
        <v>8.3910899889128032E-5</v>
      </c>
      <c r="M417" s="16">
        <v>44180</v>
      </c>
      <c r="N417" s="26">
        <f t="shared" si="25"/>
        <v>6.8736036022541572E-4</v>
      </c>
      <c r="O417" s="26">
        <f>'Part 2 - CAPM 2.1, 2.2 and 2.3'!C417-'Part 2 - CAPM 2.1, 2.2 and 2.3'!K417</f>
        <v>-1.0428738486095997E-2</v>
      </c>
    </row>
    <row r="418" spans="1:15" x14ac:dyDescent="0.4">
      <c r="A418" s="16">
        <v>44181</v>
      </c>
      <c r="B418" s="14">
        <v>102.9</v>
      </c>
      <c r="C418" s="25">
        <f t="shared" si="26"/>
        <v>2.4390243902439053E-2</v>
      </c>
      <c r="E418" s="16">
        <v>44181</v>
      </c>
      <c r="F418" s="15">
        <v>11320.1</v>
      </c>
      <c r="G418" s="25">
        <f t="shared" si="27"/>
        <v>8.570995821416863E-3</v>
      </c>
      <c r="I418" s="16">
        <v>44181</v>
      </c>
      <c r="J418" s="17">
        <v>3.1200000000000002E-2</v>
      </c>
      <c r="K418" s="25">
        <f t="shared" si="24"/>
        <v>8.4176618386555546E-5</v>
      </c>
      <c r="M418" s="16">
        <v>44181</v>
      </c>
      <c r="N418" s="26">
        <f t="shared" si="25"/>
        <v>8.4868192030303075E-3</v>
      </c>
      <c r="O418" s="26">
        <f>'Part 2 - CAPM 2.1, 2.2 and 2.3'!C418-'Part 2 - CAPM 2.1, 2.2 and 2.3'!K418</f>
        <v>2.4306067284052497E-2</v>
      </c>
    </row>
    <row r="419" spans="1:15" x14ac:dyDescent="0.4">
      <c r="A419" s="16">
        <v>44182</v>
      </c>
      <c r="B419" s="14">
        <v>101.5</v>
      </c>
      <c r="C419" s="25">
        <f t="shared" si="26"/>
        <v>-1.3605442176870803E-2</v>
      </c>
      <c r="E419" s="16">
        <v>44182</v>
      </c>
      <c r="F419" s="15">
        <v>11346.35</v>
      </c>
      <c r="G419" s="25">
        <f t="shared" si="27"/>
        <v>2.3188841087976252E-3</v>
      </c>
      <c r="I419" s="16">
        <v>44182</v>
      </c>
      <c r="J419" s="17">
        <v>3.1300000000000001E-2</v>
      </c>
      <c r="K419" s="25">
        <f t="shared" si="24"/>
        <v>8.4442311187871155E-5</v>
      </c>
      <c r="M419" s="16">
        <v>44182</v>
      </c>
      <c r="N419" s="26">
        <f t="shared" si="25"/>
        <v>2.2344417976097541E-3</v>
      </c>
      <c r="O419" s="26">
        <f>'Part 2 - CAPM 2.1, 2.2 and 2.3'!C419-'Part 2 - CAPM 2.1, 2.2 and 2.3'!K419</f>
        <v>-1.3689884488058674E-2</v>
      </c>
    </row>
    <row r="420" spans="1:15" x14ac:dyDescent="0.4">
      <c r="A420" s="16">
        <v>44183</v>
      </c>
      <c r="B420" s="14">
        <v>99</v>
      </c>
      <c r="C420" s="25">
        <f t="shared" si="26"/>
        <v>-2.4630541871921183E-2</v>
      </c>
      <c r="E420" s="16">
        <v>44183</v>
      </c>
      <c r="F420" s="15">
        <v>11355</v>
      </c>
      <c r="G420" s="25">
        <f t="shared" si="27"/>
        <v>7.6235970157800847E-4</v>
      </c>
      <c r="I420" s="16">
        <v>44183</v>
      </c>
      <c r="J420" s="17">
        <v>3.1099999999999999E-2</v>
      </c>
      <c r="K420" s="25">
        <f t="shared" si="24"/>
        <v>8.3910899889128032E-5</v>
      </c>
      <c r="M420" s="16">
        <v>44183</v>
      </c>
      <c r="N420" s="26">
        <f t="shared" si="25"/>
        <v>6.7844880168888044E-4</v>
      </c>
      <c r="O420" s="26">
        <f>'Part 2 - CAPM 2.1, 2.2 and 2.3'!C420-'Part 2 - CAPM 2.1, 2.2 and 2.3'!K420</f>
        <v>-2.4714452771810311E-2</v>
      </c>
    </row>
    <row r="421" spans="1:15" x14ac:dyDescent="0.4">
      <c r="A421" s="16">
        <v>44186</v>
      </c>
      <c r="B421" s="14">
        <v>89.85</v>
      </c>
      <c r="C421" s="25">
        <f t="shared" si="26"/>
        <v>-9.2424242424242478E-2</v>
      </c>
      <c r="E421" s="16">
        <v>44186</v>
      </c>
      <c r="F421" s="15">
        <v>10964.25</v>
      </c>
      <c r="G421" s="25">
        <f t="shared" si="27"/>
        <v>-3.4412153236459707E-2</v>
      </c>
      <c r="I421" s="16">
        <v>44186</v>
      </c>
      <c r="J421" s="17">
        <v>3.1300000000000001E-2</v>
      </c>
      <c r="K421" s="25">
        <f t="shared" si="24"/>
        <v>8.4442311187871155E-5</v>
      </c>
      <c r="M421" s="16">
        <v>44186</v>
      </c>
      <c r="N421" s="26">
        <f t="shared" si="25"/>
        <v>-3.4496595547647578E-2</v>
      </c>
      <c r="O421" s="26">
        <f>'Part 2 - CAPM 2.1, 2.2 and 2.3'!C421-'Part 2 - CAPM 2.1, 2.2 and 2.3'!K421</f>
        <v>-9.2508684735430349E-2</v>
      </c>
    </row>
    <row r="422" spans="1:15" x14ac:dyDescent="0.4">
      <c r="A422" s="16">
        <v>44187</v>
      </c>
      <c r="B422" s="14">
        <v>90.55</v>
      </c>
      <c r="C422" s="25">
        <f t="shared" si="26"/>
        <v>7.7907623817473886E-3</v>
      </c>
      <c r="E422" s="16">
        <v>44187</v>
      </c>
      <c r="F422" s="15">
        <v>11075.75</v>
      </c>
      <c r="G422" s="25">
        <f t="shared" si="27"/>
        <v>1.0169414232619651E-2</v>
      </c>
      <c r="I422" s="16">
        <v>44187</v>
      </c>
      <c r="J422" s="17">
        <v>3.1400000000000004E-2</v>
      </c>
      <c r="K422" s="25">
        <f t="shared" si="24"/>
        <v>8.4707978298181885E-5</v>
      </c>
      <c r="M422" s="16">
        <v>44187</v>
      </c>
      <c r="N422" s="26">
        <f t="shared" si="25"/>
        <v>1.0084706254321469E-2</v>
      </c>
      <c r="O422" s="26">
        <f>'Part 2 - CAPM 2.1, 2.2 and 2.3'!C422-'Part 2 - CAPM 2.1, 2.2 and 2.3'!K422</f>
        <v>7.7060544034492067E-3</v>
      </c>
    </row>
    <row r="423" spans="1:15" x14ac:dyDescent="0.4">
      <c r="A423" s="16">
        <v>44188</v>
      </c>
      <c r="B423" s="14">
        <v>90.8</v>
      </c>
      <c r="C423" s="25">
        <f t="shared" si="26"/>
        <v>2.7609055770292656E-3</v>
      </c>
      <c r="E423" s="16">
        <v>44188</v>
      </c>
      <c r="F423" s="15">
        <v>11225.55</v>
      </c>
      <c r="G423" s="25">
        <f t="shared" si="27"/>
        <v>1.3525043450782048E-2</v>
      </c>
      <c r="I423" s="16">
        <v>44188</v>
      </c>
      <c r="J423" s="17">
        <v>3.1300000000000001E-2</v>
      </c>
      <c r="K423" s="25">
        <f t="shared" si="24"/>
        <v>8.4442311187871155E-5</v>
      </c>
      <c r="M423" s="16">
        <v>44188</v>
      </c>
      <c r="N423" s="26">
        <f t="shared" si="25"/>
        <v>1.3440601139594176E-2</v>
      </c>
      <c r="O423" s="26">
        <f>'Part 2 - CAPM 2.1, 2.2 and 2.3'!C423-'Part 2 - CAPM 2.1, 2.2 and 2.3'!K423</f>
        <v>2.6764632658413945E-3</v>
      </c>
    </row>
    <row r="424" spans="1:15" x14ac:dyDescent="0.4">
      <c r="A424" s="16">
        <v>44189</v>
      </c>
      <c r="B424" s="14">
        <v>93.15</v>
      </c>
      <c r="C424" s="25">
        <f t="shared" si="26"/>
        <v>2.5881057268722561E-2</v>
      </c>
      <c r="E424" s="16">
        <v>44189</v>
      </c>
      <c r="F424" s="15">
        <v>11325.25</v>
      </c>
      <c r="G424" s="25">
        <f t="shared" si="27"/>
        <v>8.8815247359818206E-3</v>
      </c>
      <c r="I424" s="16">
        <v>44189</v>
      </c>
      <c r="J424" s="17">
        <v>3.1300000000000001E-2</v>
      </c>
      <c r="K424" s="25">
        <f t="shared" si="24"/>
        <v>8.4442311187871155E-5</v>
      </c>
      <c r="M424" s="16">
        <v>44189</v>
      </c>
      <c r="N424" s="26">
        <f t="shared" si="25"/>
        <v>8.7970824247939495E-3</v>
      </c>
      <c r="O424" s="26">
        <f>'Part 2 - CAPM 2.1, 2.2 and 2.3'!C424-'Part 2 - CAPM 2.1, 2.2 and 2.3'!K424</f>
        <v>2.5796614957534689E-2</v>
      </c>
    </row>
    <row r="425" spans="1:15" x14ac:dyDescent="0.4">
      <c r="A425" s="16">
        <v>44193</v>
      </c>
      <c r="B425" s="14">
        <v>93.8</v>
      </c>
      <c r="C425" s="25">
        <f t="shared" si="26"/>
        <v>6.9779924852387699E-3</v>
      </c>
      <c r="E425" s="16">
        <v>44193</v>
      </c>
      <c r="F425" s="15">
        <v>11434.7</v>
      </c>
      <c r="G425" s="25">
        <f t="shared" si="27"/>
        <v>9.6642458223880918E-3</v>
      </c>
      <c r="I425" s="16">
        <v>44193</v>
      </c>
      <c r="J425" s="17">
        <v>3.1200000000000002E-2</v>
      </c>
      <c r="K425" s="25">
        <f t="shared" si="24"/>
        <v>8.4176618386555546E-5</v>
      </c>
      <c r="M425" s="16">
        <v>44193</v>
      </c>
      <c r="N425" s="26">
        <f t="shared" si="25"/>
        <v>9.5800692040015362E-3</v>
      </c>
      <c r="O425" s="26">
        <f>'Part 2 - CAPM 2.1, 2.2 and 2.3'!C425-'Part 2 - CAPM 2.1, 2.2 and 2.3'!K425</f>
        <v>6.8938158668522143E-3</v>
      </c>
    </row>
    <row r="426" spans="1:15" x14ac:dyDescent="0.4">
      <c r="A426" s="16">
        <v>44194</v>
      </c>
      <c r="B426" s="14">
        <v>93.15</v>
      </c>
      <c r="C426" s="25">
        <f t="shared" si="26"/>
        <v>-6.9296375266523613E-3</v>
      </c>
      <c r="E426" s="16">
        <v>44194</v>
      </c>
      <c r="F426" s="15">
        <v>11467</v>
      </c>
      <c r="G426" s="25">
        <f t="shared" si="27"/>
        <v>2.8247352357297761E-3</v>
      </c>
      <c r="I426" s="16">
        <v>44194</v>
      </c>
      <c r="J426" s="17">
        <v>3.1099999999999999E-2</v>
      </c>
      <c r="K426" s="25">
        <f t="shared" si="24"/>
        <v>8.3910899889128032E-5</v>
      </c>
      <c r="M426" s="16">
        <v>44194</v>
      </c>
      <c r="N426" s="26">
        <f t="shared" si="25"/>
        <v>2.740824335840648E-3</v>
      </c>
      <c r="O426" s="26">
        <f>'Part 2 - CAPM 2.1, 2.2 and 2.3'!C426-'Part 2 - CAPM 2.1, 2.2 and 2.3'!K426</f>
        <v>-7.0135484265414893E-3</v>
      </c>
    </row>
    <row r="427" spans="1:15" x14ac:dyDescent="0.4">
      <c r="A427" s="16">
        <v>44195</v>
      </c>
      <c r="B427" s="14">
        <v>93.25</v>
      </c>
      <c r="C427" s="25">
        <f t="shared" si="26"/>
        <v>1.0735373054213022E-3</v>
      </c>
      <c r="E427" s="16">
        <v>44195</v>
      </c>
      <c r="F427" s="15">
        <v>11509.65</v>
      </c>
      <c r="G427" s="25">
        <f t="shared" si="27"/>
        <v>3.7193686230051135E-3</v>
      </c>
      <c r="I427" s="16">
        <v>44195</v>
      </c>
      <c r="J427" s="17">
        <v>3.0699999999999998E-2</v>
      </c>
      <c r="K427" s="25">
        <f t="shared" si="24"/>
        <v>8.2847768839267033E-5</v>
      </c>
      <c r="M427" s="16">
        <v>44195</v>
      </c>
      <c r="N427" s="26">
        <f t="shared" si="25"/>
        <v>3.6365208541658464E-3</v>
      </c>
      <c r="O427" s="26">
        <f>'Part 2 - CAPM 2.1, 2.2 and 2.3'!C427-'Part 2 - CAPM 2.1, 2.2 and 2.3'!K427</f>
        <v>9.9068953658203521E-4</v>
      </c>
    </row>
    <row r="428" spans="1:15" x14ac:dyDescent="0.4">
      <c r="A428" s="16">
        <v>44196</v>
      </c>
      <c r="B428" s="14">
        <v>93.05</v>
      </c>
      <c r="C428" s="25">
        <f t="shared" si="26"/>
        <v>-2.1447721179624971E-3</v>
      </c>
      <c r="E428" s="16">
        <v>44196</v>
      </c>
      <c r="F428" s="15">
        <v>11518.3</v>
      </c>
      <c r="G428" s="25">
        <f t="shared" si="27"/>
        <v>7.5154327021235545E-4</v>
      </c>
      <c r="I428" s="16">
        <v>44196</v>
      </c>
      <c r="J428" s="17">
        <v>3.0699999999999998E-2</v>
      </c>
      <c r="K428" s="25">
        <f t="shared" si="24"/>
        <v>8.2847768839267033E-5</v>
      </c>
      <c r="M428" s="16">
        <v>44196</v>
      </c>
      <c r="N428" s="26">
        <f t="shared" si="25"/>
        <v>6.6869550137308841E-4</v>
      </c>
      <c r="O428" s="26">
        <f>'Part 2 - CAPM 2.1, 2.2 and 2.3'!C428-'Part 2 - CAPM 2.1, 2.2 and 2.3'!K428</f>
        <v>-2.2276198868017641E-3</v>
      </c>
    </row>
    <row r="429" spans="1:15" x14ac:dyDescent="0.4">
      <c r="A429" s="16">
        <v>44197</v>
      </c>
      <c r="B429" s="14">
        <v>93.2</v>
      </c>
      <c r="C429" s="25">
        <f t="shared" si="26"/>
        <v>1.6120365394949564E-3</v>
      </c>
      <c r="E429" s="16">
        <v>44197</v>
      </c>
      <c r="F429" s="15">
        <v>11574.85</v>
      </c>
      <c r="G429" s="25">
        <f t="shared" si="27"/>
        <v>4.9095786704636182E-3</v>
      </c>
      <c r="I429" s="16">
        <v>44197</v>
      </c>
      <c r="J429" s="17">
        <v>3.0299999999999997E-2</v>
      </c>
      <c r="K429" s="25">
        <f t="shared" si="24"/>
        <v>8.1784226253933667E-5</v>
      </c>
      <c r="M429" s="16">
        <v>44197</v>
      </c>
      <c r="N429" s="26">
        <f t="shared" si="25"/>
        <v>4.8277944442096845E-3</v>
      </c>
      <c r="O429" s="26">
        <f>'Part 2 - CAPM 2.1, 2.2 and 2.3'!C429-'Part 2 - CAPM 2.1, 2.2 and 2.3'!K429</f>
        <v>1.5302523132410227E-3</v>
      </c>
    </row>
    <row r="430" spans="1:15" x14ac:dyDescent="0.4">
      <c r="A430" s="16">
        <v>44200</v>
      </c>
      <c r="B430" s="14">
        <v>96.95</v>
      </c>
      <c r="C430" s="25">
        <f t="shared" si="26"/>
        <v>4.0236051502145924E-2</v>
      </c>
      <c r="E430" s="16">
        <v>44200</v>
      </c>
      <c r="F430" s="15">
        <v>11691.8</v>
      </c>
      <c r="G430" s="25">
        <f t="shared" si="27"/>
        <v>1.0103802641070848E-2</v>
      </c>
      <c r="I430" s="16">
        <v>44200</v>
      </c>
      <c r="J430" s="17">
        <v>3.0299999999999997E-2</v>
      </c>
      <c r="K430" s="25">
        <f t="shared" si="24"/>
        <v>8.1784226253933667E-5</v>
      </c>
      <c r="M430" s="16">
        <v>44200</v>
      </c>
      <c r="N430" s="26">
        <f t="shared" si="25"/>
        <v>1.0022018414816914E-2</v>
      </c>
      <c r="O430" s="26">
        <f>'Part 2 - CAPM 2.1, 2.2 and 2.3'!C430-'Part 2 - CAPM 2.1, 2.2 and 2.3'!K430</f>
        <v>4.015426727589199E-2</v>
      </c>
    </row>
    <row r="431" spans="1:15" x14ac:dyDescent="0.4">
      <c r="A431" s="16">
        <v>44201</v>
      </c>
      <c r="B431" s="14">
        <v>94.95</v>
      </c>
      <c r="C431" s="25">
        <f t="shared" si="26"/>
        <v>-2.0629190304280558E-2</v>
      </c>
      <c r="E431" s="16">
        <v>44201</v>
      </c>
      <c r="F431" s="15">
        <v>11767</v>
      </c>
      <c r="G431" s="25">
        <f t="shared" si="27"/>
        <v>6.4318582254230088E-3</v>
      </c>
      <c r="I431" s="16">
        <v>44201</v>
      </c>
      <c r="J431" s="17">
        <v>3.0499999999999999E-2</v>
      </c>
      <c r="K431" s="25">
        <f t="shared" si="24"/>
        <v>8.2316049008435144E-5</v>
      </c>
      <c r="M431" s="16">
        <v>44201</v>
      </c>
      <c r="N431" s="26">
        <f t="shared" si="25"/>
        <v>6.3495421764145736E-3</v>
      </c>
      <c r="O431" s="26">
        <f>'Part 2 - CAPM 2.1, 2.2 and 2.3'!C431-'Part 2 - CAPM 2.1, 2.2 and 2.3'!K431</f>
        <v>-2.0711506353288993E-2</v>
      </c>
    </row>
    <row r="432" spans="1:15" x14ac:dyDescent="0.4">
      <c r="A432" s="16">
        <v>44202</v>
      </c>
      <c r="B432" s="14">
        <v>96.95</v>
      </c>
      <c r="C432" s="25">
        <f t="shared" si="26"/>
        <v>2.1063717746182202E-2</v>
      </c>
      <c r="E432" s="16">
        <v>44202</v>
      </c>
      <c r="F432" s="15">
        <v>11737.9</v>
      </c>
      <c r="G432" s="25">
        <f t="shared" si="27"/>
        <v>-2.4730177615365314E-3</v>
      </c>
      <c r="I432" s="16">
        <v>44202</v>
      </c>
      <c r="J432" s="17">
        <v>3.0800000000000001E-2</v>
      </c>
      <c r="K432" s="25">
        <f t="shared" si="24"/>
        <v>8.3113590170658114E-5</v>
      </c>
      <c r="M432" s="16">
        <v>44202</v>
      </c>
      <c r="N432" s="26">
        <f t="shared" si="25"/>
        <v>-2.5561313517071895E-3</v>
      </c>
      <c r="O432" s="26">
        <f>'Part 2 - CAPM 2.1, 2.2 and 2.3'!C432-'Part 2 - CAPM 2.1, 2.2 and 2.3'!K432</f>
        <v>2.0980604156011544E-2</v>
      </c>
    </row>
    <row r="433" spans="1:15" x14ac:dyDescent="0.4">
      <c r="A433" s="16">
        <v>44203</v>
      </c>
      <c r="B433" s="14">
        <v>97.9</v>
      </c>
      <c r="C433" s="25">
        <f t="shared" si="26"/>
        <v>9.7988653945332935E-3</v>
      </c>
      <c r="E433" s="16">
        <v>44203</v>
      </c>
      <c r="F433" s="15">
        <v>11766.1</v>
      </c>
      <c r="G433" s="25">
        <f t="shared" si="27"/>
        <v>2.4024740370935794E-3</v>
      </c>
      <c r="I433" s="16">
        <v>44203</v>
      </c>
      <c r="J433" s="17">
        <v>3.0499999999999999E-2</v>
      </c>
      <c r="K433" s="25">
        <f t="shared" si="24"/>
        <v>8.2316049008435144E-5</v>
      </c>
      <c r="M433" s="16">
        <v>44203</v>
      </c>
      <c r="N433" s="26">
        <f t="shared" si="25"/>
        <v>2.3201579880851443E-3</v>
      </c>
      <c r="O433" s="26">
        <f>'Part 2 - CAPM 2.1, 2.2 and 2.3'!C433-'Part 2 - CAPM 2.1, 2.2 and 2.3'!K433</f>
        <v>9.7165493455248584E-3</v>
      </c>
    </row>
    <row r="434" spans="1:15" x14ac:dyDescent="0.4">
      <c r="A434" s="16">
        <v>44204</v>
      </c>
      <c r="B434" s="14">
        <v>100.65</v>
      </c>
      <c r="C434" s="25">
        <f t="shared" si="26"/>
        <v>2.8089887640449437E-2</v>
      </c>
      <c r="E434" s="16">
        <v>44204</v>
      </c>
      <c r="F434" s="15">
        <v>11925.6</v>
      </c>
      <c r="G434" s="25">
        <f t="shared" si="27"/>
        <v>1.3555893626605246E-2</v>
      </c>
      <c r="I434" s="16">
        <v>44204</v>
      </c>
      <c r="J434" s="17">
        <v>3.0600000000000002E-2</v>
      </c>
      <c r="K434" s="25">
        <f t="shared" si="24"/>
        <v>8.2581921786895052E-5</v>
      </c>
      <c r="M434" s="16">
        <v>44204</v>
      </c>
      <c r="N434" s="26">
        <f t="shared" si="25"/>
        <v>1.3473311704818351E-2</v>
      </c>
      <c r="O434" s="26">
        <f>'Part 2 - CAPM 2.1, 2.2 and 2.3'!C434-'Part 2 - CAPM 2.1, 2.2 and 2.3'!K434</f>
        <v>2.8007305718662542E-2</v>
      </c>
    </row>
    <row r="435" spans="1:15" x14ac:dyDescent="0.4">
      <c r="A435" s="16">
        <v>44207</v>
      </c>
      <c r="B435" s="14">
        <v>102.55</v>
      </c>
      <c r="C435" s="25">
        <f t="shared" si="26"/>
        <v>1.8877297565822071E-2</v>
      </c>
      <c r="E435" s="16">
        <v>44207</v>
      </c>
      <c r="F435" s="15">
        <v>12006.5</v>
      </c>
      <c r="G435" s="25">
        <f t="shared" si="27"/>
        <v>6.7837257664184305E-3</v>
      </c>
      <c r="I435" s="16">
        <v>44207</v>
      </c>
      <c r="J435" s="17">
        <v>3.2799999999999996E-2</v>
      </c>
      <c r="K435" s="25">
        <f t="shared" si="24"/>
        <v>8.8424623063021457E-5</v>
      </c>
      <c r="M435" s="16">
        <v>44207</v>
      </c>
      <c r="N435" s="26">
        <f t="shared" si="25"/>
        <v>6.695301143355409E-3</v>
      </c>
      <c r="O435" s="26">
        <f>'Part 2 - CAPM 2.1, 2.2 and 2.3'!C435-'Part 2 - CAPM 2.1, 2.2 and 2.3'!K435</f>
        <v>1.878887294275905E-2</v>
      </c>
    </row>
    <row r="436" spans="1:15" x14ac:dyDescent="0.4">
      <c r="A436" s="16">
        <v>44208</v>
      </c>
      <c r="B436" s="14">
        <v>103.45</v>
      </c>
      <c r="C436" s="25">
        <f t="shared" si="26"/>
        <v>8.7762067284252142E-3</v>
      </c>
      <c r="E436" s="16">
        <v>44208</v>
      </c>
      <c r="F436" s="15">
        <v>12058.35</v>
      </c>
      <c r="G436" s="25">
        <f t="shared" si="27"/>
        <v>4.3184941490026539E-3</v>
      </c>
      <c r="I436" s="16">
        <v>44208</v>
      </c>
      <c r="J436" s="17">
        <v>3.2799999999999996E-2</v>
      </c>
      <c r="K436" s="25">
        <f t="shared" si="24"/>
        <v>8.8424623063021457E-5</v>
      </c>
      <c r="M436" s="16">
        <v>44208</v>
      </c>
      <c r="N436" s="26">
        <f t="shared" si="25"/>
        <v>4.2300695259396325E-3</v>
      </c>
      <c r="O436" s="26">
        <f>'Part 2 - CAPM 2.1, 2.2 and 2.3'!C436-'Part 2 - CAPM 2.1, 2.2 and 2.3'!K436</f>
        <v>8.6877821053621927E-3</v>
      </c>
    </row>
    <row r="437" spans="1:15" x14ac:dyDescent="0.4">
      <c r="A437" s="16">
        <v>44209</v>
      </c>
      <c r="B437" s="14">
        <v>105.25</v>
      </c>
      <c r="C437" s="25">
        <f t="shared" si="26"/>
        <v>1.7399710004833226E-2</v>
      </c>
      <c r="E437" s="16">
        <v>44209</v>
      </c>
      <c r="F437" s="15">
        <v>12041.1</v>
      </c>
      <c r="G437" s="25">
        <f t="shared" si="27"/>
        <v>-1.4305439798977472E-3</v>
      </c>
      <c r="I437" s="16">
        <v>44209</v>
      </c>
      <c r="J437" s="17">
        <v>3.27E-2</v>
      </c>
      <c r="K437" s="25">
        <f t="shared" si="24"/>
        <v>8.8159315106084435E-5</v>
      </c>
      <c r="M437" s="16">
        <v>44209</v>
      </c>
      <c r="N437" s="26">
        <f t="shared" si="25"/>
        <v>-1.5187032950038316E-3</v>
      </c>
      <c r="O437" s="26">
        <f>'Part 2 - CAPM 2.1, 2.2 and 2.3'!C437-'Part 2 - CAPM 2.1, 2.2 and 2.3'!K437</f>
        <v>1.7311550689727142E-2</v>
      </c>
    </row>
    <row r="438" spans="1:15" x14ac:dyDescent="0.4">
      <c r="A438" s="16">
        <v>44210</v>
      </c>
      <c r="B438" s="14">
        <v>105.05</v>
      </c>
      <c r="C438" s="25">
        <f t="shared" si="26"/>
        <v>-1.9002375296912385E-3</v>
      </c>
      <c r="E438" s="16">
        <v>44210</v>
      </c>
      <c r="F438" s="15">
        <v>12069.5</v>
      </c>
      <c r="G438" s="25">
        <f t="shared" si="27"/>
        <v>2.3585885010505383E-3</v>
      </c>
      <c r="I438" s="16">
        <v>44210</v>
      </c>
      <c r="J438" s="17">
        <v>3.3099999999999997E-2</v>
      </c>
      <c r="K438" s="25">
        <f t="shared" si="24"/>
        <v>8.9220393253874875E-5</v>
      </c>
      <c r="M438" s="16">
        <v>44210</v>
      </c>
      <c r="N438" s="26">
        <f t="shared" si="25"/>
        <v>2.2693681077966634E-3</v>
      </c>
      <c r="O438" s="26">
        <f>'Part 2 - CAPM 2.1, 2.2 and 2.3'!C438-'Part 2 - CAPM 2.1, 2.2 and 2.3'!K438</f>
        <v>-1.9894579229451136E-3</v>
      </c>
    </row>
    <row r="439" spans="1:15" x14ac:dyDescent="0.4">
      <c r="A439" s="16">
        <v>44211</v>
      </c>
      <c r="B439" s="14">
        <v>101.4</v>
      </c>
      <c r="C439" s="25">
        <f t="shared" si="26"/>
        <v>-3.4745359352689117E-2</v>
      </c>
      <c r="E439" s="16">
        <v>44211</v>
      </c>
      <c r="F439" s="15">
        <v>11931.2</v>
      </c>
      <c r="G439" s="25">
        <f t="shared" si="27"/>
        <v>-1.1458635403289223E-2</v>
      </c>
      <c r="I439" s="16">
        <v>44211</v>
      </c>
      <c r="J439" s="17">
        <v>3.2899999999999999E-2</v>
      </c>
      <c r="K439" s="25">
        <f t="shared" si="24"/>
        <v>8.8689905403338543E-5</v>
      </c>
      <c r="M439" s="16">
        <v>44211</v>
      </c>
      <c r="N439" s="26">
        <f t="shared" si="25"/>
        <v>-1.1547325308692562E-2</v>
      </c>
      <c r="O439" s="26">
        <f>'Part 2 - CAPM 2.1, 2.2 and 2.3'!C439-'Part 2 - CAPM 2.1, 2.2 and 2.3'!K439</f>
        <v>-3.4834049258092456E-2</v>
      </c>
    </row>
    <row r="440" spans="1:15" x14ac:dyDescent="0.4">
      <c r="A440" s="16">
        <v>44214</v>
      </c>
      <c r="B440" s="14">
        <v>96.65</v>
      </c>
      <c r="C440" s="25">
        <f t="shared" si="26"/>
        <v>-4.6844181459566071E-2</v>
      </c>
      <c r="E440" s="16">
        <v>44214</v>
      </c>
      <c r="F440" s="15">
        <v>11776.2</v>
      </c>
      <c r="G440" s="25">
        <f t="shared" si="27"/>
        <v>-1.2991149255732868E-2</v>
      </c>
      <c r="I440" s="16">
        <v>44214</v>
      </c>
      <c r="J440" s="17">
        <v>3.3099999999999997E-2</v>
      </c>
      <c r="K440" s="25">
        <f t="shared" si="24"/>
        <v>8.9220393253874875E-5</v>
      </c>
      <c r="M440" s="16">
        <v>44214</v>
      </c>
      <c r="N440" s="26">
        <f t="shared" si="25"/>
        <v>-1.3080369648986742E-2</v>
      </c>
      <c r="O440" s="26">
        <f>'Part 2 - CAPM 2.1, 2.2 and 2.3'!C440-'Part 2 - CAPM 2.1, 2.2 and 2.3'!K440</f>
        <v>-4.6933401852819946E-2</v>
      </c>
    </row>
    <row r="441" spans="1:15" x14ac:dyDescent="0.4">
      <c r="A441" s="16">
        <v>44215</v>
      </c>
      <c r="B441" s="14">
        <v>98.1</v>
      </c>
      <c r="C441" s="25">
        <f t="shared" si="26"/>
        <v>1.5002586652871066E-2</v>
      </c>
      <c r="E441" s="16">
        <v>44215</v>
      </c>
      <c r="F441" s="15">
        <v>11981.85</v>
      </c>
      <c r="G441" s="25">
        <f t="shared" si="27"/>
        <v>1.746318846486979E-2</v>
      </c>
      <c r="I441" s="16">
        <v>44215</v>
      </c>
      <c r="J441" s="17">
        <v>3.3300000000000003E-2</v>
      </c>
      <c r="K441" s="25">
        <f t="shared" si="24"/>
        <v>8.975077869766146E-5</v>
      </c>
      <c r="M441" s="16">
        <v>44215</v>
      </c>
      <c r="N441" s="26">
        <f t="shared" si="25"/>
        <v>1.7373437686172128E-2</v>
      </c>
      <c r="O441" s="26">
        <f>'Part 2 - CAPM 2.1, 2.2 and 2.3'!C441-'Part 2 - CAPM 2.1, 2.2 and 2.3'!K441</f>
        <v>1.4912835874173405E-2</v>
      </c>
    </row>
    <row r="442" spans="1:15" x14ac:dyDescent="0.4">
      <c r="A442" s="16">
        <v>44216</v>
      </c>
      <c r="B442" s="14">
        <v>98.85</v>
      </c>
      <c r="C442" s="25">
        <f t="shared" si="26"/>
        <v>7.6452599388379212E-3</v>
      </c>
      <c r="E442" s="16">
        <v>44216</v>
      </c>
      <c r="F442" s="15">
        <v>12078.35</v>
      </c>
      <c r="G442" s="25">
        <f t="shared" si="27"/>
        <v>8.0538481119359698E-3</v>
      </c>
      <c r="I442" s="16">
        <v>44216</v>
      </c>
      <c r="J442" s="17">
        <v>3.32E-2</v>
      </c>
      <c r="K442" s="25">
        <f t="shared" si="24"/>
        <v>8.9485598774308173E-5</v>
      </c>
      <c r="M442" s="16">
        <v>44216</v>
      </c>
      <c r="N442" s="26">
        <f t="shared" si="25"/>
        <v>7.9643625131616616E-3</v>
      </c>
      <c r="O442" s="26">
        <f>'Part 2 - CAPM 2.1, 2.2 and 2.3'!C442-'Part 2 - CAPM 2.1, 2.2 and 2.3'!K442</f>
        <v>7.555774340063613E-3</v>
      </c>
    </row>
    <row r="443" spans="1:15" x14ac:dyDescent="0.4">
      <c r="A443" s="16">
        <v>44217</v>
      </c>
      <c r="B443" s="14">
        <v>94.7</v>
      </c>
      <c r="C443" s="25">
        <f t="shared" si="26"/>
        <v>-4.1982802225594251E-2</v>
      </c>
      <c r="E443" s="16">
        <v>44217</v>
      </c>
      <c r="F443" s="15">
        <v>12015.95</v>
      </c>
      <c r="G443" s="25">
        <f t="shared" si="27"/>
        <v>-5.1662685714521962E-3</v>
      </c>
      <c r="I443" s="16">
        <v>44217</v>
      </c>
      <c r="J443" s="17">
        <v>3.32E-2</v>
      </c>
      <c r="K443" s="25">
        <f t="shared" si="24"/>
        <v>8.9485598774308173E-5</v>
      </c>
      <c r="M443" s="16">
        <v>44217</v>
      </c>
      <c r="N443" s="26">
        <f t="shared" si="25"/>
        <v>-5.2557541702265044E-3</v>
      </c>
      <c r="O443" s="26">
        <f>'Part 2 - CAPM 2.1, 2.2 and 2.3'!C443-'Part 2 - CAPM 2.1, 2.2 and 2.3'!K443</f>
        <v>-4.2072287824368559E-2</v>
      </c>
    </row>
    <row r="444" spans="1:15" x14ac:dyDescent="0.4">
      <c r="A444" s="16">
        <v>44218</v>
      </c>
      <c r="B444" s="14">
        <v>92.75</v>
      </c>
      <c r="C444" s="25">
        <f t="shared" si="26"/>
        <v>-2.0591341077085563E-2</v>
      </c>
      <c r="E444" s="16">
        <v>44218</v>
      </c>
      <c r="F444" s="15">
        <v>11854.5</v>
      </c>
      <c r="G444" s="25">
        <f t="shared" si="27"/>
        <v>-1.34363075745156E-2</v>
      </c>
      <c r="I444" s="16">
        <v>44218</v>
      </c>
      <c r="J444" s="17">
        <v>3.32E-2</v>
      </c>
      <c r="K444" s="25">
        <f t="shared" si="24"/>
        <v>8.9485598774308173E-5</v>
      </c>
      <c r="M444" s="16">
        <v>44218</v>
      </c>
      <c r="N444" s="26">
        <f t="shared" si="25"/>
        <v>-1.3525793173289908E-2</v>
      </c>
      <c r="O444" s="26">
        <f>'Part 2 - CAPM 2.1, 2.2 and 2.3'!C444-'Part 2 - CAPM 2.1, 2.2 and 2.3'!K444</f>
        <v>-2.0680826675859871E-2</v>
      </c>
    </row>
    <row r="445" spans="1:15" x14ac:dyDescent="0.4">
      <c r="A445" s="16">
        <v>44221</v>
      </c>
      <c r="B445" s="14">
        <v>91.35</v>
      </c>
      <c r="C445" s="25">
        <f t="shared" si="26"/>
        <v>-1.509433962264157E-2</v>
      </c>
      <c r="E445" s="16">
        <v>44221</v>
      </c>
      <c r="F445" s="15">
        <v>11743.7</v>
      </c>
      <c r="G445" s="25">
        <f t="shared" si="27"/>
        <v>-9.3466616052975057E-3</v>
      </c>
      <c r="I445" s="16">
        <v>44221</v>
      </c>
      <c r="J445" s="17">
        <v>3.3700000000000001E-2</v>
      </c>
      <c r="K445" s="25">
        <f t="shared" si="24"/>
        <v>9.081124252219297E-5</v>
      </c>
      <c r="M445" s="16">
        <v>44221</v>
      </c>
      <c r="N445" s="26">
        <f t="shared" si="25"/>
        <v>-9.4374728478196987E-3</v>
      </c>
      <c r="O445" s="26">
        <f>'Part 2 - CAPM 2.1, 2.2 and 2.3'!C445-'Part 2 - CAPM 2.1, 2.2 and 2.3'!K445</f>
        <v>-1.5185150865163763E-2</v>
      </c>
    </row>
    <row r="446" spans="1:15" x14ac:dyDescent="0.4">
      <c r="A446" s="16">
        <v>44223</v>
      </c>
      <c r="B446" s="14">
        <v>89.7</v>
      </c>
      <c r="C446" s="25">
        <f t="shared" si="26"/>
        <v>-1.8062397372742109E-2</v>
      </c>
      <c r="E446" s="16">
        <v>44223</v>
      </c>
      <c r="F446" s="15">
        <v>11546.35</v>
      </c>
      <c r="G446" s="25">
        <f t="shared" si="27"/>
        <v>-1.6804754889855868E-2</v>
      </c>
      <c r="I446" s="16">
        <v>44223</v>
      </c>
      <c r="J446" s="17">
        <v>3.3300000000000003E-2</v>
      </c>
      <c r="K446" s="25">
        <f t="shared" si="24"/>
        <v>8.975077869766146E-5</v>
      </c>
      <c r="M446" s="16">
        <v>44223</v>
      </c>
      <c r="N446" s="26">
        <f t="shared" si="25"/>
        <v>-1.6894505668553529E-2</v>
      </c>
      <c r="O446" s="26">
        <f>'Part 2 - CAPM 2.1, 2.2 and 2.3'!C446-'Part 2 - CAPM 2.1, 2.2 and 2.3'!K446</f>
        <v>-1.815214815143977E-2</v>
      </c>
    </row>
    <row r="447" spans="1:15" x14ac:dyDescent="0.4">
      <c r="A447" s="16">
        <v>44224</v>
      </c>
      <c r="B447" s="14">
        <v>90.65</v>
      </c>
      <c r="C447" s="25">
        <f t="shared" si="26"/>
        <v>1.0590858416945405E-2</v>
      </c>
      <c r="E447" s="16">
        <v>44224</v>
      </c>
      <c r="F447" s="15">
        <v>11442.55</v>
      </c>
      <c r="G447" s="25">
        <f t="shared" si="27"/>
        <v>-8.9898539365254899E-3</v>
      </c>
      <c r="I447" s="16">
        <v>44224</v>
      </c>
      <c r="J447" s="17">
        <v>3.3599999999999998E-2</v>
      </c>
      <c r="K447" s="25">
        <f t="shared" si="24"/>
        <v>9.0546164936533557E-5</v>
      </c>
      <c r="M447" s="16">
        <v>44224</v>
      </c>
      <c r="N447" s="26">
        <f t="shared" si="25"/>
        <v>-9.0804001014620234E-3</v>
      </c>
      <c r="O447" s="26">
        <f>'Part 2 - CAPM 2.1, 2.2 and 2.3'!C447-'Part 2 - CAPM 2.1, 2.2 and 2.3'!K447</f>
        <v>1.0500312252008872E-2</v>
      </c>
    </row>
    <row r="448" spans="1:15" x14ac:dyDescent="0.4">
      <c r="A448" s="16">
        <v>44225</v>
      </c>
      <c r="B448" s="14">
        <v>88.3</v>
      </c>
      <c r="C448" s="25">
        <f t="shared" si="26"/>
        <v>-2.5923883066740303E-2</v>
      </c>
      <c r="E448" s="16">
        <v>44225</v>
      </c>
      <c r="F448" s="15">
        <v>11302.4</v>
      </c>
      <c r="G448" s="25">
        <f t="shared" si="27"/>
        <v>-1.2248143988883567E-2</v>
      </c>
      <c r="I448" s="16">
        <v>44225</v>
      </c>
      <c r="J448" s="17">
        <v>3.3700000000000001E-2</v>
      </c>
      <c r="K448" s="25">
        <f t="shared" si="24"/>
        <v>9.081124252219297E-5</v>
      </c>
      <c r="M448" s="16">
        <v>44225</v>
      </c>
      <c r="N448" s="26">
        <f t="shared" si="25"/>
        <v>-1.233895523140576E-2</v>
      </c>
      <c r="O448" s="26">
        <f>'Part 2 - CAPM 2.1, 2.2 and 2.3'!C448-'Part 2 - CAPM 2.1, 2.2 and 2.3'!K448</f>
        <v>-2.6014694309262495E-2</v>
      </c>
    </row>
    <row r="449" spans="1:15" x14ac:dyDescent="0.4">
      <c r="A449" s="16">
        <v>44228</v>
      </c>
      <c r="B449" s="14">
        <v>90.85</v>
      </c>
      <c r="C449" s="25">
        <f t="shared" si="26"/>
        <v>2.8878822197055461E-2</v>
      </c>
      <c r="E449" s="16">
        <v>44228</v>
      </c>
      <c r="F449" s="15">
        <v>11770.15</v>
      </c>
      <c r="G449" s="25">
        <f t="shared" si="27"/>
        <v>4.138501557191393E-2</v>
      </c>
      <c r="I449" s="16">
        <v>44228</v>
      </c>
      <c r="J449" s="17">
        <v>3.3500000000000002E-2</v>
      </c>
      <c r="K449" s="25">
        <f t="shared" si="24"/>
        <v>9.0281061773778148E-5</v>
      </c>
      <c r="M449" s="16">
        <v>44228</v>
      </c>
      <c r="N449" s="26">
        <f t="shared" si="25"/>
        <v>4.1294734510140152E-2</v>
      </c>
      <c r="O449" s="26">
        <f>'Part 2 - CAPM 2.1, 2.2 and 2.3'!C449-'Part 2 - CAPM 2.1, 2.2 and 2.3'!K449</f>
        <v>2.8788541135281683E-2</v>
      </c>
    </row>
    <row r="450" spans="1:15" x14ac:dyDescent="0.4">
      <c r="A450" s="16">
        <v>44229</v>
      </c>
      <c r="B450" s="14">
        <v>92.85</v>
      </c>
      <c r="C450" s="25">
        <f t="shared" si="26"/>
        <v>2.2014309301045681E-2</v>
      </c>
      <c r="E450" s="16">
        <v>44229</v>
      </c>
      <c r="F450" s="15">
        <v>12053.25</v>
      </c>
      <c r="G450" s="25">
        <f t="shared" si="27"/>
        <v>2.4052369765890865E-2</v>
      </c>
      <c r="I450" s="16">
        <v>44229</v>
      </c>
      <c r="J450" s="17">
        <v>3.3599999999999998E-2</v>
      </c>
      <c r="K450" s="25">
        <f t="shared" si="24"/>
        <v>9.0546164936533557E-5</v>
      </c>
      <c r="M450" s="16">
        <v>44229</v>
      </c>
      <c r="N450" s="26">
        <f t="shared" si="25"/>
        <v>2.3961823600954332E-2</v>
      </c>
      <c r="O450" s="26">
        <f>'Part 2 - CAPM 2.1, 2.2 and 2.3'!C450-'Part 2 - CAPM 2.1, 2.2 and 2.3'!K450</f>
        <v>2.1923763136109147E-2</v>
      </c>
    </row>
    <row r="451" spans="1:15" x14ac:dyDescent="0.4">
      <c r="A451" s="16">
        <v>44230</v>
      </c>
      <c r="B451" s="14">
        <v>93.35</v>
      </c>
      <c r="C451" s="25">
        <f t="shared" si="26"/>
        <v>5.3850296176628978E-3</v>
      </c>
      <c r="E451" s="16">
        <v>44230</v>
      </c>
      <c r="F451" s="15">
        <v>12174.05</v>
      </c>
      <c r="G451" s="25">
        <f t="shared" si="27"/>
        <v>1.0022193184410784E-2</v>
      </c>
      <c r="I451" s="16">
        <v>44230</v>
      </c>
      <c r="J451" s="17">
        <v>3.3799999999999997E-2</v>
      </c>
      <c r="K451" s="25">
        <f t="shared" si="24"/>
        <v>9.1076294535863411E-5</v>
      </c>
      <c r="M451" s="16">
        <v>44230</v>
      </c>
      <c r="N451" s="26">
        <f t="shared" si="25"/>
        <v>9.9311168898749205E-3</v>
      </c>
      <c r="O451" s="26">
        <f>'Part 2 - CAPM 2.1, 2.2 and 2.3'!C451-'Part 2 - CAPM 2.1, 2.2 and 2.3'!K451</f>
        <v>5.2939533231270344E-3</v>
      </c>
    </row>
    <row r="452" spans="1:15" x14ac:dyDescent="0.4">
      <c r="A452" s="16">
        <v>44231</v>
      </c>
      <c r="B452" s="14">
        <v>97.65</v>
      </c>
      <c r="C452" s="25">
        <f t="shared" si="26"/>
        <v>4.6063202999464509E-2</v>
      </c>
      <c r="E452" s="16">
        <v>44231</v>
      </c>
      <c r="F452" s="15">
        <v>12285.85</v>
      </c>
      <c r="G452" s="25">
        <f t="shared" si="27"/>
        <v>9.1834681145552301E-3</v>
      </c>
      <c r="I452" s="16">
        <v>44231</v>
      </c>
      <c r="J452" s="17">
        <v>3.3799999999999997E-2</v>
      </c>
      <c r="K452" s="25">
        <f t="shared" ref="K452:K515" si="28">((1+J452)^(1/365))-1</f>
        <v>9.1076294535863411E-5</v>
      </c>
      <c r="M452" s="16">
        <v>44231</v>
      </c>
      <c r="N452" s="26">
        <f t="shared" ref="N452:N515" si="29">G452-K452</f>
        <v>9.0923918200193667E-3</v>
      </c>
      <c r="O452" s="26">
        <f>'Part 2 - CAPM 2.1, 2.2 and 2.3'!C452-'Part 2 - CAPM 2.1, 2.2 and 2.3'!K452</f>
        <v>4.5972126704928645E-2</v>
      </c>
    </row>
    <row r="453" spans="1:15" x14ac:dyDescent="0.4">
      <c r="A453" s="16">
        <v>44232</v>
      </c>
      <c r="B453" s="14">
        <v>97.65</v>
      </c>
      <c r="C453" s="25">
        <f t="shared" ref="C453:C516" si="30">(B453-B452)/B452</f>
        <v>0</v>
      </c>
      <c r="E453" s="16">
        <v>44232</v>
      </c>
      <c r="F453" s="15">
        <v>12279.85</v>
      </c>
      <c r="G453" s="25">
        <f t="shared" ref="G453:G516" si="31">(F453-F452)/F452</f>
        <v>-4.8836669827484458E-4</v>
      </c>
      <c r="I453" s="16">
        <v>44232</v>
      </c>
      <c r="J453" s="17">
        <v>3.3700000000000001E-2</v>
      </c>
      <c r="K453" s="25">
        <f t="shared" si="28"/>
        <v>9.081124252219297E-5</v>
      </c>
      <c r="M453" s="16">
        <v>44232</v>
      </c>
      <c r="N453" s="26">
        <f t="shared" si="29"/>
        <v>-5.7917794079703755E-4</v>
      </c>
      <c r="O453" s="26">
        <f>'Part 2 - CAPM 2.1, 2.2 and 2.3'!C453-'Part 2 - CAPM 2.1, 2.2 and 2.3'!K453</f>
        <v>-9.081124252219297E-5</v>
      </c>
    </row>
    <row r="454" spans="1:15" x14ac:dyDescent="0.4">
      <c r="A454" s="16">
        <v>44235</v>
      </c>
      <c r="B454" s="14">
        <v>99.65</v>
      </c>
      <c r="C454" s="25">
        <f t="shared" si="30"/>
        <v>2.0481310803891449E-2</v>
      </c>
      <c r="E454" s="16">
        <v>44235</v>
      </c>
      <c r="F454" s="15">
        <v>12441.3</v>
      </c>
      <c r="G454" s="25">
        <f t="shared" si="31"/>
        <v>1.3147554733974675E-2</v>
      </c>
      <c r="I454" s="16">
        <v>44235</v>
      </c>
      <c r="J454" s="17">
        <v>3.3700000000000001E-2</v>
      </c>
      <c r="K454" s="25">
        <f t="shared" si="28"/>
        <v>9.081124252219297E-5</v>
      </c>
      <c r="M454" s="16">
        <v>44235</v>
      </c>
      <c r="N454" s="26">
        <f t="shared" si="29"/>
        <v>1.3056743491452482E-2</v>
      </c>
      <c r="O454" s="26">
        <f>'Part 2 - CAPM 2.1, 2.2 and 2.3'!C454-'Part 2 - CAPM 2.1, 2.2 and 2.3'!K454</f>
        <v>2.0390499561369256E-2</v>
      </c>
    </row>
    <row r="455" spans="1:15" x14ac:dyDescent="0.4">
      <c r="A455" s="16">
        <v>44236</v>
      </c>
      <c r="B455" s="14">
        <v>101</v>
      </c>
      <c r="C455" s="25">
        <f t="shared" si="30"/>
        <v>1.3547415955845401E-2</v>
      </c>
      <c r="E455" s="16">
        <v>44236</v>
      </c>
      <c r="F455" s="15">
        <v>12434.2</v>
      </c>
      <c r="G455" s="25">
        <f t="shared" si="31"/>
        <v>-5.7067991287072458E-4</v>
      </c>
      <c r="I455" s="16">
        <v>44236</v>
      </c>
      <c r="J455" s="17">
        <v>3.3799999999999997E-2</v>
      </c>
      <c r="K455" s="25">
        <f t="shared" si="28"/>
        <v>9.1076294535863411E-5</v>
      </c>
      <c r="M455" s="16">
        <v>44236</v>
      </c>
      <c r="N455" s="26">
        <f t="shared" si="29"/>
        <v>-6.61756207406588E-4</v>
      </c>
      <c r="O455" s="26">
        <f>'Part 2 - CAPM 2.1, 2.2 and 2.3'!C455-'Part 2 - CAPM 2.1, 2.2 and 2.3'!K455</f>
        <v>1.3456339661309538E-2</v>
      </c>
    </row>
    <row r="456" spans="1:15" x14ac:dyDescent="0.4">
      <c r="A456" s="16">
        <v>44237</v>
      </c>
      <c r="B456" s="14">
        <v>100</v>
      </c>
      <c r="C456" s="25">
        <f t="shared" si="30"/>
        <v>-9.9009900990099011E-3</v>
      </c>
      <c r="E456" s="16">
        <v>44237</v>
      </c>
      <c r="F456" s="15">
        <v>12452.45</v>
      </c>
      <c r="G456" s="25">
        <f t="shared" si="31"/>
        <v>1.467726110244326E-3</v>
      </c>
      <c r="I456" s="16">
        <v>44237</v>
      </c>
      <c r="J456" s="17">
        <v>3.3799999999999997E-2</v>
      </c>
      <c r="K456" s="25">
        <f t="shared" si="28"/>
        <v>9.1076294535863411E-5</v>
      </c>
      <c r="M456" s="16">
        <v>44237</v>
      </c>
      <c r="N456" s="26">
        <f t="shared" si="29"/>
        <v>1.3766498157084626E-3</v>
      </c>
      <c r="O456" s="26">
        <f>'Part 2 - CAPM 2.1, 2.2 and 2.3'!C456-'Part 2 - CAPM 2.1, 2.2 and 2.3'!K456</f>
        <v>-9.9920663935457645E-3</v>
      </c>
    </row>
    <row r="457" spans="1:15" x14ac:dyDescent="0.4">
      <c r="A457" s="16">
        <v>44238</v>
      </c>
      <c r="B457" s="14">
        <v>99.45</v>
      </c>
      <c r="C457" s="25">
        <f t="shared" si="30"/>
        <v>-5.4999999999999719E-3</v>
      </c>
      <c r="E457" s="16">
        <v>44238</v>
      </c>
      <c r="F457" s="15">
        <v>12514.1</v>
      </c>
      <c r="G457" s="25">
        <f t="shared" si="31"/>
        <v>4.9508329686125726E-3</v>
      </c>
      <c r="I457" s="16">
        <v>44238</v>
      </c>
      <c r="J457" s="17">
        <v>3.3500000000000002E-2</v>
      </c>
      <c r="K457" s="25">
        <f t="shared" si="28"/>
        <v>9.0281061773778148E-5</v>
      </c>
      <c r="M457" s="16">
        <v>44238</v>
      </c>
      <c r="N457" s="26">
        <f t="shared" si="29"/>
        <v>4.8605519068387944E-3</v>
      </c>
      <c r="O457" s="26">
        <f>'Part 2 - CAPM 2.1, 2.2 and 2.3'!C457-'Part 2 - CAPM 2.1, 2.2 and 2.3'!K457</f>
        <v>-5.5902810617737501E-3</v>
      </c>
    </row>
    <row r="458" spans="1:15" x14ac:dyDescent="0.4">
      <c r="A458" s="16">
        <v>44239</v>
      </c>
      <c r="B458" s="14">
        <v>97</v>
      </c>
      <c r="C458" s="25">
        <f t="shared" si="30"/>
        <v>-2.4635495223730545E-2</v>
      </c>
      <c r="E458" s="16">
        <v>44239</v>
      </c>
      <c r="F458" s="15">
        <v>12508.55</v>
      </c>
      <c r="G458" s="25">
        <f t="shared" si="31"/>
        <v>-4.4349973230205057E-4</v>
      </c>
      <c r="I458" s="16">
        <v>44239</v>
      </c>
      <c r="J458" s="17">
        <v>3.3300000000000003E-2</v>
      </c>
      <c r="K458" s="25">
        <f t="shared" si="28"/>
        <v>8.975077869766146E-5</v>
      </c>
      <c r="M458" s="16">
        <v>44239</v>
      </c>
      <c r="N458" s="26">
        <f t="shared" si="29"/>
        <v>-5.3325051099971203E-4</v>
      </c>
      <c r="O458" s="26">
        <f>'Part 2 - CAPM 2.1, 2.2 and 2.3'!C458-'Part 2 - CAPM 2.1, 2.2 and 2.3'!K458</f>
        <v>-2.4725246002428206E-2</v>
      </c>
    </row>
    <row r="459" spans="1:15" x14ac:dyDescent="0.4">
      <c r="A459" s="16">
        <v>44242</v>
      </c>
      <c r="B459" s="14">
        <v>98.45</v>
      </c>
      <c r="C459" s="25">
        <f t="shared" si="30"/>
        <v>1.4948453608247453E-2</v>
      </c>
      <c r="E459" s="16">
        <v>44242</v>
      </c>
      <c r="F459" s="15">
        <v>12632.05</v>
      </c>
      <c r="G459" s="25">
        <f t="shared" si="31"/>
        <v>9.8732466992577077E-3</v>
      </c>
      <c r="I459" s="16">
        <v>44242</v>
      </c>
      <c r="J459" s="17">
        <v>3.32E-2</v>
      </c>
      <c r="K459" s="25">
        <f t="shared" si="28"/>
        <v>8.9485598774308173E-5</v>
      </c>
      <c r="M459" s="16">
        <v>44242</v>
      </c>
      <c r="N459" s="26">
        <f t="shared" si="29"/>
        <v>9.7837611004833996E-3</v>
      </c>
      <c r="O459" s="26">
        <f>'Part 2 - CAPM 2.1, 2.2 and 2.3'!C459-'Part 2 - CAPM 2.1, 2.2 and 2.3'!K459</f>
        <v>1.4858968009473145E-2</v>
      </c>
    </row>
    <row r="460" spans="1:15" x14ac:dyDescent="0.4">
      <c r="A460" s="16">
        <v>44243</v>
      </c>
      <c r="B460" s="14">
        <v>103.75</v>
      </c>
      <c r="C460" s="25">
        <f t="shared" si="30"/>
        <v>5.3834433722701851E-2</v>
      </c>
      <c r="E460" s="16">
        <v>44243</v>
      </c>
      <c r="F460" s="15">
        <v>12647.2</v>
      </c>
      <c r="G460" s="25">
        <f t="shared" si="31"/>
        <v>1.1993302749752775E-3</v>
      </c>
      <c r="I460" s="16">
        <v>44243</v>
      </c>
      <c r="J460" s="17">
        <v>3.3099999999999997E-2</v>
      </c>
      <c r="K460" s="25">
        <f t="shared" si="28"/>
        <v>8.9220393253874875E-5</v>
      </c>
      <c r="M460" s="16">
        <v>44243</v>
      </c>
      <c r="N460" s="26">
        <f t="shared" si="29"/>
        <v>1.1101098817214027E-3</v>
      </c>
      <c r="O460" s="26">
        <f>'Part 2 - CAPM 2.1, 2.2 and 2.3'!C460-'Part 2 - CAPM 2.1, 2.2 and 2.3'!K460</f>
        <v>5.3745213329447976E-2</v>
      </c>
    </row>
    <row r="461" spans="1:15" x14ac:dyDescent="0.4">
      <c r="A461" s="16">
        <v>44244</v>
      </c>
      <c r="B461" s="14">
        <v>102.25</v>
      </c>
      <c r="C461" s="25">
        <f t="shared" si="30"/>
        <v>-1.4457831325301205E-2</v>
      </c>
      <c r="E461" s="16">
        <v>44244</v>
      </c>
      <c r="F461" s="15">
        <v>12597.45</v>
      </c>
      <c r="G461" s="25">
        <f t="shared" si="31"/>
        <v>-3.9336770194193177E-3</v>
      </c>
      <c r="I461" s="16">
        <v>44244</v>
      </c>
      <c r="J461" s="17">
        <v>3.3099999999999997E-2</v>
      </c>
      <c r="K461" s="25">
        <f t="shared" si="28"/>
        <v>8.9220393253874875E-5</v>
      </c>
      <c r="M461" s="16">
        <v>44244</v>
      </c>
      <c r="N461" s="26">
        <f t="shared" si="29"/>
        <v>-4.0228974126731926E-3</v>
      </c>
      <c r="O461" s="26">
        <f>'Part 2 - CAPM 2.1, 2.2 and 2.3'!C461-'Part 2 - CAPM 2.1, 2.2 and 2.3'!K461</f>
        <v>-1.454705171855508E-2</v>
      </c>
    </row>
    <row r="462" spans="1:15" x14ac:dyDescent="0.4">
      <c r="A462" s="16">
        <v>44245</v>
      </c>
      <c r="B462" s="14">
        <v>110.7</v>
      </c>
      <c r="C462" s="25">
        <f t="shared" si="30"/>
        <v>8.264058679706604E-2</v>
      </c>
      <c r="E462" s="16">
        <v>44245</v>
      </c>
      <c r="F462" s="15">
        <v>12565.7</v>
      </c>
      <c r="G462" s="25">
        <f t="shared" si="31"/>
        <v>-2.5203513409459851E-3</v>
      </c>
      <c r="I462" s="16">
        <v>44245</v>
      </c>
      <c r="J462" s="17">
        <v>3.2300000000000002E-2</v>
      </c>
      <c r="K462" s="25">
        <f t="shared" si="28"/>
        <v>8.7097827013105089E-5</v>
      </c>
      <c r="M462" s="16">
        <v>44245</v>
      </c>
      <c r="N462" s="26">
        <f t="shared" si="29"/>
        <v>-2.6074491679590902E-3</v>
      </c>
      <c r="O462" s="26">
        <f>'Part 2 - CAPM 2.1, 2.2 and 2.3'!C462-'Part 2 - CAPM 2.1, 2.2 and 2.3'!K462</f>
        <v>8.2553488970052935E-2</v>
      </c>
    </row>
    <row r="463" spans="1:15" x14ac:dyDescent="0.4">
      <c r="A463" s="16">
        <v>44249</v>
      </c>
      <c r="B463" s="14">
        <v>106.3</v>
      </c>
      <c r="C463" s="25">
        <f t="shared" si="30"/>
        <v>-3.9747064137308087E-2</v>
      </c>
      <c r="E463" s="16">
        <v>44249</v>
      </c>
      <c r="F463" s="15">
        <v>12212.55</v>
      </c>
      <c r="G463" s="25">
        <f t="shared" si="31"/>
        <v>-2.8104283883906303E-2</v>
      </c>
      <c r="I463" s="16">
        <v>44249</v>
      </c>
      <c r="J463" s="17">
        <v>3.2099999999999997E-2</v>
      </c>
      <c r="K463" s="25">
        <f t="shared" si="28"/>
        <v>8.6566929138109927E-5</v>
      </c>
      <c r="M463" s="16">
        <v>44249</v>
      </c>
      <c r="N463" s="26">
        <f t="shared" si="29"/>
        <v>-2.8190850813044413E-2</v>
      </c>
      <c r="O463" s="26">
        <f>'Part 2 - CAPM 2.1, 2.2 and 2.3'!C463-'Part 2 - CAPM 2.1, 2.2 and 2.3'!K463</f>
        <v>-3.9833631066446197E-2</v>
      </c>
    </row>
    <row r="464" spans="1:15" x14ac:dyDescent="0.4">
      <c r="A464" s="16">
        <v>44250</v>
      </c>
      <c r="B464" s="14">
        <v>112.2</v>
      </c>
      <c r="C464" s="25">
        <f t="shared" si="30"/>
        <v>5.5503292568203251E-2</v>
      </c>
      <c r="E464" s="16">
        <v>44250</v>
      </c>
      <c r="F464" s="15">
        <v>12263.7</v>
      </c>
      <c r="G464" s="25">
        <f t="shared" si="31"/>
        <v>4.1883144797770699E-3</v>
      </c>
      <c r="I464" s="16">
        <v>44250</v>
      </c>
      <c r="J464" s="17">
        <v>3.2199999999999999E-2</v>
      </c>
      <c r="K464" s="25">
        <f t="shared" si="28"/>
        <v>8.6832390898683443E-5</v>
      </c>
      <c r="M464" s="16">
        <v>44250</v>
      </c>
      <c r="N464" s="26">
        <f t="shared" si="29"/>
        <v>4.1014820888783865E-3</v>
      </c>
      <c r="O464" s="26">
        <f>'Part 2 - CAPM 2.1, 2.2 and 2.3'!C464-'Part 2 - CAPM 2.1, 2.2 and 2.3'!K464</f>
        <v>5.5416460177304568E-2</v>
      </c>
    </row>
    <row r="465" spans="1:15" x14ac:dyDescent="0.4">
      <c r="A465" s="16">
        <v>44251</v>
      </c>
      <c r="B465" s="14">
        <v>113.6</v>
      </c>
      <c r="C465" s="25">
        <f t="shared" si="30"/>
        <v>1.2477718360071225E-2</v>
      </c>
      <c r="E465" s="16">
        <v>44251</v>
      </c>
      <c r="F465" s="15">
        <v>12455.2</v>
      </c>
      <c r="G465" s="25">
        <f t="shared" si="31"/>
        <v>1.5615189543123201E-2</v>
      </c>
      <c r="I465" s="16">
        <v>44251</v>
      </c>
      <c r="J465" s="17">
        <v>3.2099999999999997E-2</v>
      </c>
      <c r="K465" s="25">
        <f t="shared" si="28"/>
        <v>8.6566929138109927E-5</v>
      </c>
      <c r="M465" s="16">
        <v>44251</v>
      </c>
      <c r="N465" s="26">
        <f t="shared" si="29"/>
        <v>1.5528622613985091E-2</v>
      </c>
      <c r="O465" s="26">
        <f>'Part 2 - CAPM 2.1, 2.2 and 2.3'!C465-'Part 2 - CAPM 2.1, 2.2 and 2.3'!K465</f>
        <v>1.2391151430933115E-2</v>
      </c>
    </row>
    <row r="466" spans="1:15" x14ac:dyDescent="0.4">
      <c r="A466" s="16">
        <v>44252</v>
      </c>
      <c r="B466" s="14">
        <v>119.05</v>
      </c>
      <c r="C466" s="25">
        <f t="shared" si="30"/>
        <v>4.7975352112676083E-2</v>
      </c>
      <c r="E466" s="16">
        <v>44252</v>
      </c>
      <c r="F466" s="15">
        <v>12567.85</v>
      </c>
      <c r="G466" s="25">
        <f t="shared" si="31"/>
        <v>9.0444151840194959E-3</v>
      </c>
      <c r="I466" s="16">
        <v>44252</v>
      </c>
      <c r="J466" s="17">
        <v>3.1800000000000002E-2</v>
      </c>
      <c r="K466" s="25">
        <f t="shared" si="28"/>
        <v>8.5770389928185864E-5</v>
      </c>
      <c r="M466" s="16">
        <v>44252</v>
      </c>
      <c r="N466" s="26">
        <f t="shared" si="29"/>
        <v>8.9586447940913101E-3</v>
      </c>
      <c r="O466" s="26">
        <f>'Part 2 - CAPM 2.1, 2.2 and 2.3'!C466-'Part 2 - CAPM 2.1, 2.2 and 2.3'!K466</f>
        <v>4.7889581722747897E-2</v>
      </c>
    </row>
    <row r="467" spans="1:15" x14ac:dyDescent="0.4">
      <c r="A467" s="16">
        <v>44253</v>
      </c>
      <c r="B467" s="14">
        <v>111</v>
      </c>
      <c r="C467" s="25">
        <f t="shared" si="30"/>
        <v>-6.7618647627047432E-2</v>
      </c>
      <c r="E467" s="16">
        <v>44253</v>
      </c>
      <c r="F467" s="15">
        <v>12181.4</v>
      </c>
      <c r="G467" s="25">
        <f t="shared" si="31"/>
        <v>-3.0749093918212001E-2</v>
      </c>
      <c r="I467" s="16">
        <v>44253</v>
      </c>
      <c r="J467" s="17">
        <v>3.1699999999999999E-2</v>
      </c>
      <c r="K467" s="25">
        <f t="shared" si="28"/>
        <v>8.5504825532600748E-5</v>
      </c>
      <c r="M467" s="16">
        <v>44253</v>
      </c>
      <c r="N467" s="26">
        <f t="shared" si="29"/>
        <v>-3.0834598743744602E-2</v>
      </c>
      <c r="O467" s="26">
        <f>'Part 2 - CAPM 2.1, 2.2 and 2.3'!C467-'Part 2 - CAPM 2.1, 2.2 and 2.3'!K467</f>
        <v>-6.7704152452580033E-2</v>
      </c>
    </row>
    <row r="468" spans="1:15" x14ac:dyDescent="0.4">
      <c r="A468" s="16">
        <v>44256</v>
      </c>
      <c r="B468" s="14">
        <v>117.05</v>
      </c>
      <c r="C468" s="25">
        <f t="shared" si="30"/>
        <v>5.4504504504504482E-2</v>
      </c>
      <c r="E468" s="16">
        <v>44256</v>
      </c>
      <c r="F468" s="15">
        <v>12368.3</v>
      </c>
      <c r="G468" s="25">
        <f t="shared" si="31"/>
        <v>1.5343064015630358E-2</v>
      </c>
      <c r="I468" s="16">
        <v>44256</v>
      </c>
      <c r="J468" s="17">
        <v>3.2199999999999999E-2</v>
      </c>
      <c r="K468" s="25">
        <f t="shared" si="28"/>
        <v>8.6832390898683443E-5</v>
      </c>
      <c r="M468" s="16">
        <v>44256</v>
      </c>
      <c r="N468" s="26">
        <f t="shared" si="29"/>
        <v>1.5256231624731675E-2</v>
      </c>
      <c r="O468" s="26">
        <f>'Part 2 - CAPM 2.1, 2.2 and 2.3'!C468-'Part 2 - CAPM 2.1, 2.2 and 2.3'!K468</f>
        <v>5.4417672113605799E-2</v>
      </c>
    </row>
    <row r="469" spans="1:15" x14ac:dyDescent="0.4">
      <c r="A469" s="16">
        <v>44257</v>
      </c>
      <c r="B469" s="14">
        <v>113.5</v>
      </c>
      <c r="C469" s="25">
        <f t="shared" si="30"/>
        <v>-3.0328919265271228E-2</v>
      </c>
      <c r="E469" s="16">
        <v>44257</v>
      </c>
      <c r="F469" s="15">
        <v>12519.4</v>
      </c>
      <c r="G469" s="25">
        <f t="shared" si="31"/>
        <v>1.2216715312532876E-2</v>
      </c>
      <c r="I469" s="16">
        <v>44257</v>
      </c>
      <c r="J469" s="17">
        <v>3.2199999999999999E-2</v>
      </c>
      <c r="K469" s="25">
        <f t="shared" si="28"/>
        <v>8.6832390898683443E-5</v>
      </c>
      <c r="M469" s="16">
        <v>44257</v>
      </c>
      <c r="N469" s="26">
        <f t="shared" si="29"/>
        <v>1.2129882921634192E-2</v>
      </c>
      <c r="O469" s="26">
        <f>'Part 2 - CAPM 2.1, 2.2 and 2.3'!C469-'Part 2 - CAPM 2.1, 2.2 and 2.3'!K469</f>
        <v>-3.0415751656169911E-2</v>
      </c>
    </row>
    <row r="470" spans="1:15" x14ac:dyDescent="0.4">
      <c r="A470" s="16">
        <v>44258</v>
      </c>
      <c r="B470" s="14">
        <v>114</v>
      </c>
      <c r="C470" s="25">
        <f t="shared" si="30"/>
        <v>4.4052863436123352E-3</v>
      </c>
      <c r="E470" s="16">
        <v>44258</v>
      </c>
      <c r="F470" s="15">
        <v>12764.8</v>
      </c>
      <c r="G470" s="25">
        <f t="shared" si="31"/>
        <v>1.9601578350400151E-2</v>
      </c>
      <c r="I470" s="16">
        <v>44258</v>
      </c>
      <c r="J470" s="17">
        <v>3.2599999999999997E-2</v>
      </c>
      <c r="K470" s="25">
        <f t="shared" si="28"/>
        <v>8.7893981527420451E-5</v>
      </c>
      <c r="M470" s="16">
        <v>44258</v>
      </c>
      <c r="N470" s="26">
        <f t="shared" si="29"/>
        <v>1.9513684368872731E-2</v>
      </c>
      <c r="O470" s="26">
        <f>'Part 2 - CAPM 2.1, 2.2 and 2.3'!C470-'Part 2 - CAPM 2.1, 2.2 and 2.3'!K470</f>
        <v>4.3173923620849148E-3</v>
      </c>
    </row>
    <row r="471" spans="1:15" x14ac:dyDescent="0.4">
      <c r="A471" s="16">
        <v>44259</v>
      </c>
      <c r="B471" s="14">
        <v>112.7</v>
      </c>
      <c r="C471" s="25">
        <f t="shared" si="30"/>
        <v>-1.1403508771929799E-2</v>
      </c>
      <c r="E471" s="16">
        <v>44259</v>
      </c>
      <c r="F471" s="15">
        <v>12688.85</v>
      </c>
      <c r="G471" s="25">
        <f t="shared" si="31"/>
        <v>-5.9499561293556427E-3</v>
      </c>
      <c r="I471" s="16">
        <v>44259</v>
      </c>
      <c r="J471" s="17">
        <v>3.2500000000000001E-2</v>
      </c>
      <c r="K471" s="25">
        <f t="shared" si="28"/>
        <v>8.7628622322588612E-5</v>
      </c>
      <c r="M471" s="16">
        <v>44259</v>
      </c>
      <c r="N471" s="26">
        <f t="shared" si="29"/>
        <v>-6.0375847516782313E-3</v>
      </c>
      <c r="O471" s="26">
        <f>'Part 2 - CAPM 2.1, 2.2 and 2.3'!C471-'Part 2 - CAPM 2.1, 2.2 and 2.3'!K471</f>
        <v>-1.1491137394252388E-2</v>
      </c>
    </row>
    <row r="472" spans="1:15" x14ac:dyDescent="0.4">
      <c r="A472" s="16">
        <v>44260</v>
      </c>
      <c r="B472" s="14">
        <v>114.95</v>
      </c>
      <c r="C472" s="25">
        <f t="shared" si="30"/>
        <v>1.9964507542147292E-2</v>
      </c>
      <c r="E472" s="16">
        <v>44260</v>
      </c>
      <c r="F472" s="15">
        <v>12539</v>
      </c>
      <c r="G472" s="25">
        <f t="shared" si="31"/>
        <v>-1.1809580852480749E-2</v>
      </c>
      <c r="I472" s="16">
        <v>44260</v>
      </c>
      <c r="J472" s="17">
        <v>3.2799999999999996E-2</v>
      </c>
      <c r="K472" s="25">
        <f t="shared" si="28"/>
        <v>8.8424623063021457E-5</v>
      </c>
      <c r="M472" s="16">
        <v>44260</v>
      </c>
      <c r="N472" s="26">
        <f t="shared" si="29"/>
        <v>-1.1898005475543771E-2</v>
      </c>
      <c r="O472" s="26">
        <f>'Part 2 - CAPM 2.1, 2.2 and 2.3'!C472-'Part 2 - CAPM 2.1, 2.2 and 2.3'!K472</f>
        <v>1.987608291908427E-2</v>
      </c>
    </row>
    <row r="473" spans="1:15" x14ac:dyDescent="0.4">
      <c r="A473" s="16">
        <v>44263</v>
      </c>
      <c r="B473" s="14">
        <v>118.25</v>
      </c>
      <c r="C473" s="25">
        <f t="shared" si="30"/>
        <v>2.8708133971291839E-2</v>
      </c>
      <c r="E473" s="16">
        <v>44263</v>
      </c>
      <c r="F473" s="15">
        <v>12558.95</v>
      </c>
      <c r="G473" s="25">
        <f t="shared" si="31"/>
        <v>1.5910359677805829E-3</v>
      </c>
      <c r="I473" s="16">
        <v>44263</v>
      </c>
      <c r="J473" s="17">
        <v>3.3099999999999997E-2</v>
      </c>
      <c r="K473" s="25">
        <f t="shared" si="28"/>
        <v>8.9220393253874875E-5</v>
      </c>
      <c r="M473" s="16">
        <v>44263</v>
      </c>
      <c r="N473" s="26">
        <f t="shared" si="29"/>
        <v>1.501815574526708E-3</v>
      </c>
      <c r="O473" s="26">
        <f>'Part 2 - CAPM 2.1, 2.2 and 2.3'!C473-'Part 2 - CAPM 2.1, 2.2 and 2.3'!K473</f>
        <v>2.8618913578037964E-2</v>
      </c>
    </row>
    <row r="474" spans="1:15" x14ac:dyDescent="0.4">
      <c r="A474" s="16">
        <v>44264</v>
      </c>
      <c r="B474" s="14">
        <v>116.75</v>
      </c>
      <c r="C474" s="25">
        <f t="shared" si="30"/>
        <v>-1.2684989429175475E-2</v>
      </c>
      <c r="E474" s="16">
        <v>44264</v>
      </c>
      <c r="F474" s="15">
        <v>12617.2</v>
      </c>
      <c r="G474" s="25">
        <f t="shared" si="31"/>
        <v>4.6381265949780835E-3</v>
      </c>
      <c r="I474" s="16">
        <v>44264</v>
      </c>
      <c r="J474" s="17">
        <v>3.32E-2</v>
      </c>
      <c r="K474" s="25">
        <f t="shared" si="28"/>
        <v>8.9485598774308173E-5</v>
      </c>
      <c r="M474" s="16">
        <v>44264</v>
      </c>
      <c r="N474" s="26">
        <f t="shared" si="29"/>
        <v>4.5486409962037753E-3</v>
      </c>
      <c r="O474" s="26">
        <f>'Part 2 - CAPM 2.1, 2.2 and 2.3'!C474-'Part 2 - CAPM 2.1, 2.2 and 2.3'!K474</f>
        <v>-1.2774475027949784E-2</v>
      </c>
    </row>
    <row r="475" spans="1:15" x14ac:dyDescent="0.4">
      <c r="A475" s="16">
        <v>44265</v>
      </c>
      <c r="B475" s="14">
        <v>114.4</v>
      </c>
      <c r="C475" s="25">
        <f t="shared" si="30"/>
        <v>-2.0128479657387531E-2</v>
      </c>
      <c r="E475" s="16">
        <v>44265</v>
      </c>
      <c r="F475" s="15">
        <v>12691.35</v>
      </c>
      <c r="G475" s="25">
        <f t="shared" si="31"/>
        <v>5.876898202453764E-3</v>
      </c>
      <c r="I475" s="16">
        <v>44265</v>
      </c>
      <c r="J475" s="17">
        <v>3.32E-2</v>
      </c>
      <c r="K475" s="25">
        <f t="shared" si="28"/>
        <v>8.9485598774308173E-5</v>
      </c>
      <c r="M475" s="16">
        <v>44265</v>
      </c>
      <c r="N475" s="26">
        <f t="shared" si="29"/>
        <v>5.7874126036794558E-3</v>
      </c>
      <c r="O475" s="26">
        <f>'Part 2 - CAPM 2.1, 2.2 and 2.3'!C475-'Part 2 - CAPM 2.1, 2.2 and 2.3'!K475</f>
        <v>-2.0217965256161839E-2</v>
      </c>
    </row>
    <row r="476" spans="1:15" x14ac:dyDescent="0.4">
      <c r="A476" s="16">
        <v>44267</v>
      </c>
      <c r="B476" s="14">
        <v>115.05</v>
      </c>
      <c r="C476" s="25">
        <f t="shared" si="30"/>
        <v>5.6818181818181074E-3</v>
      </c>
      <c r="E476" s="16">
        <v>44267</v>
      </c>
      <c r="F476" s="15">
        <v>12593.9</v>
      </c>
      <c r="G476" s="25">
        <f t="shared" si="31"/>
        <v>-7.678458162449284E-3</v>
      </c>
      <c r="I476" s="16">
        <v>44267</v>
      </c>
      <c r="J476" s="17">
        <v>3.3000000000000002E-2</v>
      </c>
      <c r="K476" s="25">
        <f t="shared" si="28"/>
        <v>8.8955162131920673E-5</v>
      </c>
      <c r="M476" s="16">
        <v>44267</v>
      </c>
      <c r="N476" s="26">
        <f t="shared" si="29"/>
        <v>-7.7674133245812047E-3</v>
      </c>
      <c r="O476" s="26">
        <f>'Part 2 - CAPM 2.1, 2.2 and 2.3'!C476-'Part 2 - CAPM 2.1, 2.2 and 2.3'!K476</f>
        <v>5.5928630196861867E-3</v>
      </c>
    </row>
    <row r="477" spans="1:15" x14ac:dyDescent="0.4">
      <c r="A477" s="16">
        <v>44270</v>
      </c>
      <c r="B477" s="14">
        <v>114.35</v>
      </c>
      <c r="C477" s="25">
        <f t="shared" si="30"/>
        <v>-6.084311169056957E-3</v>
      </c>
      <c r="E477" s="16">
        <v>44270</v>
      </c>
      <c r="F477" s="15">
        <v>12510.15</v>
      </c>
      <c r="G477" s="25">
        <f t="shared" si="31"/>
        <v>-6.6500448629892251E-3</v>
      </c>
      <c r="I477" s="16">
        <v>44270</v>
      </c>
      <c r="J477" s="17">
        <v>3.3300000000000003E-2</v>
      </c>
      <c r="K477" s="25">
        <f t="shared" si="28"/>
        <v>8.975077869766146E-5</v>
      </c>
      <c r="M477" s="16">
        <v>44270</v>
      </c>
      <c r="N477" s="26">
        <f t="shared" si="29"/>
        <v>-6.7397956416868866E-3</v>
      </c>
      <c r="O477" s="26">
        <f>'Part 2 - CAPM 2.1, 2.2 and 2.3'!C477-'Part 2 - CAPM 2.1, 2.2 and 2.3'!K477</f>
        <v>-6.1740619477546185E-3</v>
      </c>
    </row>
    <row r="478" spans="1:15" x14ac:dyDescent="0.4">
      <c r="A478" s="16">
        <v>44271</v>
      </c>
      <c r="B478" s="14">
        <v>115.1</v>
      </c>
      <c r="C478" s="25">
        <f t="shared" si="30"/>
        <v>6.5588106689986889E-3</v>
      </c>
      <c r="E478" s="16">
        <v>44271</v>
      </c>
      <c r="F478" s="15">
        <v>12512.7</v>
      </c>
      <c r="G478" s="25">
        <f t="shared" si="31"/>
        <v>2.0383448639713284E-4</v>
      </c>
      <c r="I478" s="16">
        <v>44271</v>
      </c>
      <c r="J478" s="17">
        <v>3.3500000000000002E-2</v>
      </c>
      <c r="K478" s="25">
        <f t="shared" si="28"/>
        <v>9.0281061773778148E-5</v>
      </c>
      <c r="M478" s="16">
        <v>44271</v>
      </c>
      <c r="N478" s="26">
        <f t="shared" si="29"/>
        <v>1.135534246233547E-4</v>
      </c>
      <c r="O478" s="26">
        <f>'Part 2 - CAPM 2.1, 2.2 and 2.3'!C478-'Part 2 - CAPM 2.1, 2.2 and 2.3'!K478</f>
        <v>6.4685296072249108E-3</v>
      </c>
    </row>
    <row r="479" spans="1:15" x14ac:dyDescent="0.4">
      <c r="A479" s="16">
        <v>44272</v>
      </c>
      <c r="B479" s="14">
        <v>109.35</v>
      </c>
      <c r="C479" s="25">
        <f t="shared" si="30"/>
        <v>-4.9956559513466552E-2</v>
      </c>
      <c r="E479" s="16">
        <v>44272</v>
      </c>
      <c r="F479" s="15">
        <v>12319.9</v>
      </c>
      <c r="G479" s="25">
        <f t="shared" si="31"/>
        <v>-1.5408345121356788E-2</v>
      </c>
      <c r="I479" s="16">
        <v>44272</v>
      </c>
      <c r="J479" s="17">
        <v>3.3500000000000002E-2</v>
      </c>
      <c r="K479" s="25">
        <f t="shared" si="28"/>
        <v>9.0281061773778148E-5</v>
      </c>
      <c r="M479" s="16">
        <v>44272</v>
      </c>
      <c r="N479" s="26">
        <f t="shared" si="29"/>
        <v>-1.5498626183130566E-2</v>
      </c>
      <c r="O479" s="26">
        <f>'Part 2 - CAPM 2.1, 2.2 and 2.3'!C479-'Part 2 - CAPM 2.1, 2.2 and 2.3'!K479</f>
        <v>-5.004684057524033E-2</v>
      </c>
    </row>
    <row r="480" spans="1:15" x14ac:dyDescent="0.4">
      <c r="A480" s="16">
        <v>44273</v>
      </c>
      <c r="B480" s="14">
        <v>110.2</v>
      </c>
      <c r="C480" s="25">
        <f t="shared" si="30"/>
        <v>7.7732053040695803E-3</v>
      </c>
      <c r="E480" s="16">
        <v>44273</v>
      </c>
      <c r="F480" s="15">
        <v>12174.45</v>
      </c>
      <c r="G480" s="25">
        <f t="shared" si="31"/>
        <v>-1.180610232225902E-2</v>
      </c>
      <c r="I480" s="16">
        <v>44273</v>
      </c>
      <c r="J480" s="17">
        <v>3.32E-2</v>
      </c>
      <c r="K480" s="25">
        <f t="shared" si="28"/>
        <v>8.9485598774308173E-5</v>
      </c>
      <c r="M480" s="16">
        <v>44273</v>
      </c>
      <c r="N480" s="26">
        <f t="shared" si="29"/>
        <v>-1.1895587921033329E-2</v>
      </c>
      <c r="O480" s="26">
        <f>'Part 2 - CAPM 2.1, 2.2 and 2.3'!C480-'Part 2 - CAPM 2.1, 2.2 and 2.3'!K480</f>
        <v>7.6837197052952722E-3</v>
      </c>
    </row>
    <row r="481" spans="1:15" x14ac:dyDescent="0.4">
      <c r="A481" s="16">
        <v>44274</v>
      </c>
      <c r="B481" s="14">
        <v>110.5</v>
      </c>
      <c r="C481" s="25">
        <f t="shared" si="30"/>
        <v>2.7223230490017892E-3</v>
      </c>
      <c r="E481" s="16">
        <v>44274</v>
      </c>
      <c r="F481" s="15">
        <v>12314.5</v>
      </c>
      <c r="G481" s="25">
        <f t="shared" si="31"/>
        <v>1.1503599751939451E-2</v>
      </c>
      <c r="I481" s="16">
        <v>44274</v>
      </c>
      <c r="J481" s="17">
        <v>3.3300000000000003E-2</v>
      </c>
      <c r="K481" s="25">
        <f t="shared" si="28"/>
        <v>8.975077869766146E-5</v>
      </c>
      <c r="M481" s="16">
        <v>44274</v>
      </c>
      <c r="N481" s="26">
        <f t="shared" si="29"/>
        <v>1.141384897324179E-2</v>
      </c>
      <c r="O481" s="26">
        <f>'Part 2 - CAPM 2.1, 2.2 and 2.3'!C481-'Part 2 - CAPM 2.1, 2.2 and 2.3'!K481</f>
        <v>2.6325722703041277E-3</v>
      </c>
    </row>
    <row r="482" spans="1:15" x14ac:dyDescent="0.4">
      <c r="A482" s="16">
        <v>44277</v>
      </c>
      <c r="B482" s="14">
        <v>109.6</v>
      </c>
      <c r="C482" s="25">
        <f t="shared" si="30"/>
        <v>-8.1447963800905486E-3</v>
      </c>
      <c r="E482" s="16">
        <v>44277</v>
      </c>
      <c r="F482" s="15">
        <v>12338.6</v>
      </c>
      <c r="G482" s="25">
        <f t="shared" si="31"/>
        <v>1.9570425108612097E-3</v>
      </c>
      <c r="I482" s="16">
        <v>44277</v>
      </c>
      <c r="J482" s="17">
        <v>3.3300000000000003E-2</v>
      </c>
      <c r="K482" s="25">
        <f t="shared" si="28"/>
        <v>8.975077869766146E-5</v>
      </c>
      <c r="M482" s="16">
        <v>44277</v>
      </c>
      <c r="N482" s="26">
        <f t="shared" si="29"/>
        <v>1.8672917321635482E-3</v>
      </c>
      <c r="O482" s="26">
        <f>'Part 2 - CAPM 2.1, 2.2 and 2.3'!C482-'Part 2 - CAPM 2.1, 2.2 and 2.3'!K482</f>
        <v>-8.2345471587882101E-3</v>
      </c>
    </row>
    <row r="483" spans="1:15" x14ac:dyDescent="0.4">
      <c r="A483" s="16">
        <v>44278</v>
      </c>
      <c r="B483" s="14">
        <v>107.15</v>
      </c>
      <c r="C483" s="25">
        <f t="shared" si="30"/>
        <v>-2.2354014598540042E-2</v>
      </c>
      <c r="E483" s="16">
        <v>44278</v>
      </c>
      <c r="F483" s="15">
        <v>12417.3</v>
      </c>
      <c r="G483" s="25">
        <f t="shared" si="31"/>
        <v>6.3783573501044613E-3</v>
      </c>
      <c r="I483" s="16">
        <v>44278</v>
      </c>
      <c r="J483" s="17">
        <v>3.3300000000000003E-2</v>
      </c>
      <c r="K483" s="25">
        <f t="shared" si="28"/>
        <v>8.975077869766146E-5</v>
      </c>
      <c r="M483" s="16">
        <v>44278</v>
      </c>
      <c r="N483" s="26">
        <f t="shared" si="29"/>
        <v>6.2886065714067999E-3</v>
      </c>
      <c r="O483" s="26">
        <f>'Part 2 - CAPM 2.1, 2.2 and 2.3'!C483-'Part 2 - CAPM 2.1, 2.2 and 2.3'!K483</f>
        <v>-2.2443765377237704E-2</v>
      </c>
    </row>
    <row r="484" spans="1:15" x14ac:dyDescent="0.4">
      <c r="A484" s="16">
        <v>44279</v>
      </c>
      <c r="B484" s="14">
        <v>104.8</v>
      </c>
      <c r="C484" s="25">
        <f t="shared" si="30"/>
        <v>-2.1931871208586171E-2</v>
      </c>
      <c r="E484" s="16">
        <v>44279</v>
      </c>
      <c r="F484" s="15">
        <v>12197.2</v>
      </c>
      <c r="G484" s="25">
        <f t="shared" si="31"/>
        <v>-1.7725270388892798E-2</v>
      </c>
      <c r="I484" s="16">
        <v>44279</v>
      </c>
      <c r="J484" s="17">
        <v>3.3300000000000003E-2</v>
      </c>
      <c r="K484" s="25">
        <f t="shared" si="28"/>
        <v>8.975077869766146E-5</v>
      </c>
      <c r="M484" s="16">
        <v>44279</v>
      </c>
      <c r="N484" s="26">
        <f t="shared" si="29"/>
        <v>-1.7815021167590459E-2</v>
      </c>
      <c r="O484" s="26">
        <f>'Part 2 - CAPM 2.1, 2.2 and 2.3'!C484-'Part 2 - CAPM 2.1, 2.2 and 2.3'!K484</f>
        <v>-2.2021621987283833E-2</v>
      </c>
    </row>
    <row r="485" spans="1:15" x14ac:dyDescent="0.4">
      <c r="A485" s="16">
        <v>44280</v>
      </c>
      <c r="B485" s="14">
        <v>102</v>
      </c>
      <c r="C485" s="25">
        <f t="shared" si="30"/>
        <v>-2.6717557251908372E-2</v>
      </c>
      <c r="E485" s="16">
        <v>44280</v>
      </c>
      <c r="F485" s="15">
        <v>11993.3</v>
      </c>
      <c r="G485" s="25">
        <f t="shared" si="31"/>
        <v>-1.6716951431476196E-2</v>
      </c>
      <c r="I485" s="16">
        <v>44280</v>
      </c>
      <c r="J485" s="17">
        <v>3.32E-2</v>
      </c>
      <c r="K485" s="25">
        <f t="shared" si="28"/>
        <v>8.9485598774308173E-5</v>
      </c>
      <c r="M485" s="16">
        <v>44280</v>
      </c>
      <c r="N485" s="26">
        <f t="shared" si="29"/>
        <v>-1.6806437030250504E-2</v>
      </c>
      <c r="O485" s="26">
        <f>'Part 2 - CAPM 2.1, 2.2 and 2.3'!C485-'Part 2 - CAPM 2.1, 2.2 and 2.3'!K485</f>
        <v>-2.680704285068268E-2</v>
      </c>
    </row>
    <row r="486" spans="1:15" x14ac:dyDescent="0.4">
      <c r="A486" s="16">
        <v>44281</v>
      </c>
      <c r="B486" s="14">
        <v>102.4</v>
      </c>
      <c r="C486" s="25">
        <f t="shared" si="30"/>
        <v>3.9215686274510358E-3</v>
      </c>
      <c r="E486" s="16">
        <v>44281</v>
      </c>
      <c r="F486" s="15">
        <v>12148.9</v>
      </c>
      <c r="G486" s="25">
        <f t="shared" si="31"/>
        <v>1.2973910433325304E-2</v>
      </c>
      <c r="I486" s="16">
        <v>44281</v>
      </c>
      <c r="J486" s="17">
        <v>3.3099999999999997E-2</v>
      </c>
      <c r="K486" s="25">
        <f t="shared" si="28"/>
        <v>8.9220393253874875E-5</v>
      </c>
      <c r="M486" s="16">
        <v>44281</v>
      </c>
      <c r="N486" s="26">
        <f t="shared" si="29"/>
        <v>1.288469004007143E-2</v>
      </c>
      <c r="O486" s="26">
        <f>'Part 2 - CAPM 2.1, 2.2 and 2.3'!C486-'Part 2 - CAPM 2.1, 2.2 and 2.3'!K486</f>
        <v>3.832348234197161E-3</v>
      </c>
    </row>
    <row r="487" spans="1:15" x14ac:dyDescent="0.4">
      <c r="A487" s="16">
        <v>44285</v>
      </c>
      <c r="B487" s="14">
        <v>103.5</v>
      </c>
      <c r="C487" s="25">
        <f t="shared" si="30"/>
        <v>1.0742187499999944E-2</v>
      </c>
      <c r="E487" s="16">
        <v>44285</v>
      </c>
      <c r="F487" s="15">
        <v>12387.9</v>
      </c>
      <c r="G487" s="25">
        <f t="shared" si="31"/>
        <v>1.9672562948085837E-2</v>
      </c>
      <c r="I487" s="16">
        <v>44285</v>
      </c>
      <c r="J487" s="17">
        <v>3.3099999999999997E-2</v>
      </c>
      <c r="K487" s="25">
        <f t="shared" si="28"/>
        <v>8.9220393253874875E-5</v>
      </c>
      <c r="M487" s="16">
        <v>44285</v>
      </c>
      <c r="N487" s="26">
        <f t="shared" si="29"/>
        <v>1.9583342554831962E-2</v>
      </c>
      <c r="O487" s="26">
        <f>'Part 2 - CAPM 2.1, 2.2 and 2.3'!C487-'Part 2 - CAPM 2.1, 2.2 and 2.3'!K487</f>
        <v>1.065296710674607E-2</v>
      </c>
    </row>
    <row r="488" spans="1:15" x14ac:dyDescent="0.4">
      <c r="A488" s="16">
        <v>44286</v>
      </c>
      <c r="B488" s="14">
        <v>102.15</v>
      </c>
      <c r="C488" s="25">
        <f t="shared" si="30"/>
        <v>-1.3043478260869511E-2</v>
      </c>
      <c r="E488" s="16">
        <v>44286</v>
      </c>
      <c r="F488" s="15">
        <v>12313.7</v>
      </c>
      <c r="G488" s="25">
        <f t="shared" si="31"/>
        <v>-5.9897157710345509E-3</v>
      </c>
      <c r="I488" s="16">
        <v>44286</v>
      </c>
      <c r="J488" s="17">
        <v>3.27E-2</v>
      </c>
      <c r="K488" s="25">
        <f t="shared" si="28"/>
        <v>8.8159315106084435E-5</v>
      </c>
      <c r="M488" s="16">
        <v>44286</v>
      </c>
      <c r="N488" s="26">
        <f t="shared" si="29"/>
        <v>-6.0778750861406354E-3</v>
      </c>
      <c r="O488" s="26">
        <f>'Part 2 - CAPM 2.1, 2.2 and 2.3'!C488-'Part 2 - CAPM 2.1, 2.2 and 2.3'!K488</f>
        <v>-1.3131637575975595E-2</v>
      </c>
    </row>
    <row r="489" spans="1:15" x14ac:dyDescent="0.4">
      <c r="A489" s="16">
        <v>44291</v>
      </c>
      <c r="B489" s="14">
        <v>103.3</v>
      </c>
      <c r="C489" s="25">
        <f t="shared" si="30"/>
        <v>1.1257953989231437E-2</v>
      </c>
      <c r="E489" s="16">
        <v>44291</v>
      </c>
      <c r="F489" s="15">
        <v>12298.6</v>
      </c>
      <c r="G489" s="25">
        <f t="shared" si="31"/>
        <v>-1.2262764238206521E-3</v>
      </c>
      <c r="I489" s="16">
        <v>44291</v>
      </c>
      <c r="J489" s="17">
        <v>3.2500000000000001E-2</v>
      </c>
      <c r="K489" s="25">
        <f t="shared" si="28"/>
        <v>8.7628622322588612E-5</v>
      </c>
      <c r="M489" s="16">
        <v>44291</v>
      </c>
      <c r="N489" s="26">
        <f t="shared" si="29"/>
        <v>-1.3139050461432407E-3</v>
      </c>
      <c r="O489" s="26">
        <f>'Part 2 - CAPM 2.1, 2.2 and 2.3'!C489-'Part 2 - CAPM 2.1, 2.2 and 2.3'!K489</f>
        <v>1.1170325366908849E-2</v>
      </c>
    </row>
    <row r="490" spans="1:15" x14ac:dyDescent="0.4">
      <c r="A490" s="16">
        <v>44292</v>
      </c>
      <c r="B490" s="14">
        <v>103.7</v>
      </c>
      <c r="C490" s="25">
        <f t="shared" si="30"/>
        <v>3.8722168441433272E-3</v>
      </c>
      <c r="E490" s="16">
        <v>44292</v>
      </c>
      <c r="F490" s="15">
        <v>12358.1</v>
      </c>
      <c r="G490" s="25">
        <f t="shared" si="31"/>
        <v>4.8379490348494951E-3</v>
      </c>
      <c r="I490" s="16">
        <v>44292</v>
      </c>
      <c r="J490" s="17">
        <v>3.2799999999999996E-2</v>
      </c>
      <c r="K490" s="25">
        <f t="shared" si="28"/>
        <v>8.8424623063021457E-5</v>
      </c>
      <c r="M490" s="16">
        <v>44292</v>
      </c>
      <c r="N490" s="26">
        <f t="shared" si="29"/>
        <v>4.7495244117864736E-3</v>
      </c>
      <c r="O490" s="26">
        <f>'Part 2 - CAPM 2.1, 2.2 and 2.3'!C490-'Part 2 - CAPM 2.1, 2.2 and 2.3'!K490</f>
        <v>3.7837922210803058E-3</v>
      </c>
    </row>
    <row r="491" spans="1:15" x14ac:dyDescent="0.4">
      <c r="A491" s="16">
        <v>44293</v>
      </c>
      <c r="B491" s="14">
        <v>104.65</v>
      </c>
      <c r="C491" s="25">
        <f t="shared" si="30"/>
        <v>9.1610414657666613E-3</v>
      </c>
      <c r="E491" s="16">
        <v>44293</v>
      </c>
      <c r="F491" s="15">
        <v>12481.3</v>
      </c>
      <c r="G491" s="25">
        <f t="shared" si="31"/>
        <v>9.9691700180447561E-3</v>
      </c>
      <c r="I491" s="16">
        <v>44293</v>
      </c>
      <c r="J491" s="17">
        <v>3.2500000000000001E-2</v>
      </c>
      <c r="K491" s="25">
        <f t="shared" si="28"/>
        <v>8.7628622322588612E-5</v>
      </c>
      <c r="M491" s="16">
        <v>44293</v>
      </c>
      <c r="N491" s="26">
        <f t="shared" si="29"/>
        <v>9.8815413957221675E-3</v>
      </c>
      <c r="O491" s="26">
        <f>'Part 2 - CAPM 2.1, 2.2 and 2.3'!C491-'Part 2 - CAPM 2.1, 2.2 and 2.3'!K491</f>
        <v>9.0734128434440727E-3</v>
      </c>
    </row>
    <row r="492" spans="1:15" x14ac:dyDescent="0.4">
      <c r="A492" s="16">
        <v>44294</v>
      </c>
      <c r="B492" s="14">
        <v>103.6</v>
      </c>
      <c r="C492" s="25">
        <f t="shared" si="30"/>
        <v>-1.003344481605362E-2</v>
      </c>
      <c r="E492" s="16">
        <v>44294</v>
      </c>
      <c r="F492" s="15">
        <v>12541.65</v>
      </c>
      <c r="G492" s="25">
        <f t="shared" si="31"/>
        <v>4.8352335093299875E-3</v>
      </c>
      <c r="I492" s="16">
        <v>44294</v>
      </c>
      <c r="J492" s="17">
        <v>3.3399999999999999E-2</v>
      </c>
      <c r="K492" s="25">
        <f t="shared" si="28"/>
        <v>9.0015933029263806E-5</v>
      </c>
      <c r="M492" s="16">
        <v>44294</v>
      </c>
      <c r="N492" s="26">
        <f t="shared" si="29"/>
        <v>4.7452175763007236E-3</v>
      </c>
      <c r="O492" s="26">
        <f>'Part 2 - CAPM 2.1, 2.2 and 2.3'!C492-'Part 2 - CAPM 2.1, 2.2 and 2.3'!K492</f>
        <v>-1.0123460749082883E-2</v>
      </c>
    </row>
    <row r="493" spans="1:15" x14ac:dyDescent="0.4">
      <c r="A493" s="16">
        <v>44295</v>
      </c>
      <c r="B493" s="14">
        <v>104</v>
      </c>
      <c r="C493" s="25">
        <f t="shared" si="30"/>
        <v>3.8610038610039162E-3</v>
      </c>
      <c r="E493" s="16">
        <v>44295</v>
      </c>
      <c r="F493" s="15">
        <v>12527.4</v>
      </c>
      <c r="G493" s="25">
        <f t="shared" si="31"/>
        <v>-1.1362141345038332E-3</v>
      </c>
      <c r="I493" s="16">
        <v>44295</v>
      </c>
      <c r="J493" s="17">
        <v>3.3399999999999999E-2</v>
      </c>
      <c r="K493" s="25">
        <f t="shared" si="28"/>
        <v>9.0015933029263806E-5</v>
      </c>
      <c r="M493" s="16">
        <v>44295</v>
      </c>
      <c r="N493" s="26">
        <f t="shared" si="29"/>
        <v>-1.226230067533097E-3</v>
      </c>
      <c r="O493" s="26">
        <f>'Part 2 - CAPM 2.1, 2.2 and 2.3'!C493-'Part 2 - CAPM 2.1, 2.2 and 2.3'!K493</f>
        <v>3.7709879279746524E-3</v>
      </c>
    </row>
    <row r="494" spans="1:15" x14ac:dyDescent="0.4">
      <c r="A494" s="16">
        <v>44298</v>
      </c>
      <c r="B494" s="14">
        <v>98.35</v>
      </c>
      <c r="C494" s="25">
        <f t="shared" si="30"/>
        <v>-5.4326923076923134E-2</v>
      </c>
      <c r="E494" s="16">
        <v>44298</v>
      </c>
      <c r="F494" s="15">
        <v>12024.1</v>
      </c>
      <c r="G494" s="25">
        <f t="shared" si="31"/>
        <v>-4.0175934351900575E-2</v>
      </c>
      <c r="I494" s="16">
        <v>44298</v>
      </c>
      <c r="J494" s="17">
        <v>3.3500000000000002E-2</v>
      </c>
      <c r="K494" s="25">
        <f t="shared" si="28"/>
        <v>9.0281061773778148E-5</v>
      </c>
      <c r="M494" s="16">
        <v>44298</v>
      </c>
      <c r="N494" s="26">
        <f t="shared" si="29"/>
        <v>-4.0266215413674353E-2</v>
      </c>
      <c r="O494" s="26">
        <f>'Part 2 - CAPM 2.1, 2.2 and 2.3'!C494-'Part 2 - CAPM 2.1, 2.2 and 2.3'!K494</f>
        <v>-5.4417204138696912E-2</v>
      </c>
    </row>
    <row r="495" spans="1:15" x14ac:dyDescent="0.4">
      <c r="A495" s="16">
        <v>44301</v>
      </c>
      <c r="B495" s="14">
        <v>104.95</v>
      </c>
      <c r="C495" s="25">
        <f t="shared" si="30"/>
        <v>6.7107269954245138E-2</v>
      </c>
      <c r="E495" s="16">
        <v>44301</v>
      </c>
      <c r="F495" s="15">
        <v>12237.6</v>
      </c>
      <c r="G495" s="25">
        <f t="shared" si="31"/>
        <v>1.7756006686571135E-2</v>
      </c>
      <c r="I495" s="16">
        <v>44301</v>
      </c>
      <c r="J495" s="17">
        <v>3.3399999999999999E-2</v>
      </c>
      <c r="K495" s="25">
        <f t="shared" si="28"/>
        <v>9.0015933029263806E-5</v>
      </c>
      <c r="M495" s="16">
        <v>44301</v>
      </c>
      <c r="N495" s="26">
        <f t="shared" si="29"/>
        <v>1.7665990753541871E-2</v>
      </c>
      <c r="O495" s="26">
        <f>'Part 2 - CAPM 2.1, 2.2 and 2.3'!C495-'Part 2 - CAPM 2.1, 2.2 and 2.3'!K495</f>
        <v>6.7017254021215875E-2</v>
      </c>
    </row>
    <row r="496" spans="1:15" x14ac:dyDescent="0.4">
      <c r="A496" s="16">
        <v>44302</v>
      </c>
      <c r="B496" s="14">
        <v>107.2</v>
      </c>
      <c r="C496" s="25">
        <f t="shared" si="30"/>
        <v>2.1438780371605525E-2</v>
      </c>
      <c r="E496" s="16">
        <v>44302</v>
      </c>
      <c r="F496" s="15">
        <v>12298.05</v>
      </c>
      <c r="G496" s="25">
        <f t="shared" si="31"/>
        <v>4.9396940576582754E-3</v>
      </c>
      <c r="I496" s="16">
        <v>44302</v>
      </c>
      <c r="J496" s="17">
        <v>3.3399999999999999E-2</v>
      </c>
      <c r="K496" s="25">
        <f t="shared" si="28"/>
        <v>9.0015933029263806E-5</v>
      </c>
      <c r="M496" s="16">
        <v>44302</v>
      </c>
      <c r="N496" s="26">
        <f t="shared" si="29"/>
        <v>4.8496781246290116E-3</v>
      </c>
      <c r="O496" s="26">
        <f>'Part 2 - CAPM 2.1, 2.2 and 2.3'!C496-'Part 2 - CAPM 2.1, 2.2 and 2.3'!K496</f>
        <v>2.1348764438576261E-2</v>
      </c>
    </row>
    <row r="497" spans="1:15" x14ac:dyDescent="0.4">
      <c r="A497" s="16">
        <v>44305</v>
      </c>
      <c r="B497" s="14">
        <v>103.1</v>
      </c>
      <c r="C497" s="25">
        <f t="shared" si="30"/>
        <v>-3.8246268656716494E-2</v>
      </c>
      <c r="E497" s="16">
        <v>44305</v>
      </c>
      <c r="F497" s="15">
        <v>12076.45</v>
      </c>
      <c r="G497" s="25">
        <f t="shared" si="31"/>
        <v>-1.8019116851858509E-2</v>
      </c>
      <c r="I497" s="16">
        <v>44305</v>
      </c>
      <c r="J497" s="17">
        <v>3.3500000000000002E-2</v>
      </c>
      <c r="K497" s="25">
        <f t="shared" si="28"/>
        <v>9.0281061773778148E-5</v>
      </c>
      <c r="M497" s="16">
        <v>44305</v>
      </c>
      <c r="N497" s="26">
        <f t="shared" si="29"/>
        <v>-1.8109397913632287E-2</v>
      </c>
      <c r="O497" s="26">
        <f>'Part 2 - CAPM 2.1, 2.2 and 2.3'!C497-'Part 2 - CAPM 2.1, 2.2 and 2.3'!K497</f>
        <v>-3.8336549718490272E-2</v>
      </c>
    </row>
    <row r="498" spans="1:15" x14ac:dyDescent="0.4">
      <c r="A498" s="16">
        <v>44306</v>
      </c>
      <c r="B498" s="14">
        <v>103.6</v>
      </c>
      <c r="C498" s="25">
        <f t="shared" si="30"/>
        <v>4.849660523763337E-3</v>
      </c>
      <c r="E498" s="16">
        <v>44306</v>
      </c>
      <c r="F498" s="15">
        <v>12055.4</v>
      </c>
      <c r="G498" s="25">
        <f t="shared" si="31"/>
        <v>-1.7430619097500582E-3</v>
      </c>
      <c r="I498" s="16">
        <v>44306</v>
      </c>
      <c r="J498" s="17">
        <v>3.3399999999999999E-2</v>
      </c>
      <c r="K498" s="25">
        <f t="shared" si="28"/>
        <v>9.0015933029263806E-5</v>
      </c>
      <c r="M498" s="16">
        <v>44306</v>
      </c>
      <c r="N498" s="26">
        <f t="shared" si="29"/>
        <v>-1.833077842779322E-3</v>
      </c>
      <c r="O498" s="26">
        <f>'Part 2 - CAPM 2.1, 2.2 and 2.3'!C498-'Part 2 - CAPM 2.1, 2.2 and 2.3'!K498</f>
        <v>4.7596445907340731E-3</v>
      </c>
    </row>
    <row r="499" spans="1:15" x14ac:dyDescent="0.4">
      <c r="A499" s="16">
        <v>44308</v>
      </c>
      <c r="B499" s="14">
        <v>103.1</v>
      </c>
      <c r="C499" s="25">
        <f t="shared" si="30"/>
        <v>-4.8262548262548262E-3</v>
      </c>
      <c r="E499" s="16">
        <v>44308</v>
      </c>
      <c r="F499" s="15">
        <v>12132.05</v>
      </c>
      <c r="G499" s="25">
        <f t="shared" si="31"/>
        <v>6.3581465567297346E-3</v>
      </c>
      <c r="I499" s="16">
        <v>44308</v>
      </c>
      <c r="J499" s="17">
        <v>3.3500000000000002E-2</v>
      </c>
      <c r="K499" s="25">
        <f t="shared" si="28"/>
        <v>9.0281061773778148E-5</v>
      </c>
      <c r="M499" s="16">
        <v>44308</v>
      </c>
      <c r="N499" s="26">
        <f t="shared" si="29"/>
        <v>6.2678654949559565E-3</v>
      </c>
      <c r="O499" s="26">
        <f>'Part 2 - CAPM 2.1, 2.2 and 2.3'!C499-'Part 2 - CAPM 2.1, 2.2 and 2.3'!K499</f>
        <v>-4.9165358880286043E-3</v>
      </c>
    </row>
    <row r="500" spans="1:15" x14ac:dyDescent="0.4">
      <c r="A500" s="16">
        <v>44309</v>
      </c>
      <c r="B500" s="14">
        <v>102.5</v>
      </c>
      <c r="C500" s="25">
        <f t="shared" si="30"/>
        <v>-5.8195926285159487E-3</v>
      </c>
      <c r="E500" s="16">
        <v>44309</v>
      </c>
      <c r="F500" s="15">
        <v>12105.6</v>
      </c>
      <c r="G500" s="25">
        <f t="shared" si="31"/>
        <v>-2.1801756504464549E-3</v>
      </c>
      <c r="I500" s="16">
        <v>44309</v>
      </c>
      <c r="J500" s="17">
        <v>3.3300000000000003E-2</v>
      </c>
      <c r="K500" s="25">
        <f t="shared" si="28"/>
        <v>8.975077869766146E-5</v>
      </c>
      <c r="M500" s="16">
        <v>44309</v>
      </c>
      <c r="N500" s="26">
        <f t="shared" si="29"/>
        <v>-2.2699264291441163E-3</v>
      </c>
      <c r="O500" s="26">
        <f>'Part 2 - CAPM 2.1, 2.2 and 2.3'!C500-'Part 2 - CAPM 2.1, 2.2 and 2.3'!K500</f>
        <v>-5.9093434072136101E-3</v>
      </c>
    </row>
    <row r="501" spans="1:15" x14ac:dyDescent="0.4">
      <c r="A501" s="16">
        <v>44312</v>
      </c>
      <c r="B501" s="14">
        <v>102.8</v>
      </c>
      <c r="C501" s="25">
        <f t="shared" si="30"/>
        <v>2.9268292682926552E-3</v>
      </c>
      <c r="E501" s="16">
        <v>44312</v>
      </c>
      <c r="F501" s="15">
        <v>12216.85</v>
      </c>
      <c r="G501" s="25">
        <f t="shared" si="31"/>
        <v>9.189961670631774E-3</v>
      </c>
      <c r="I501" s="16">
        <v>44312</v>
      </c>
      <c r="J501" s="17">
        <v>3.3300000000000003E-2</v>
      </c>
      <c r="K501" s="25">
        <f t="shared" si="28"/>
        <v>8.975077869766146E-5</v>
      </c>
      <c r="M501" s="16">
        <v>44312</v>
      </c>
      <c r="N501" s="26">
        <f t="shared" si="29"/>
        <v>9.1002108919341126E-3</v>
      </c>
      <c r="O501" s="26">
        <f>'Part 2 - CAPM 2.1, 2.2 and 2.3'!C501-'Part 2 - CAPM 2.1, 2.2 and 2.3'!K501</f>
        <v>2.8370784895949937E-3</v>
      </c>
    </row>
    <row r="502" spans="1:15" x14ac:dyDescent="0.4">
      <c r="A502" s="16">
        <v>44313</v>
      </c>
      <c r="B502" s="14">
        <v>103.3</v>
      </c>
      <c r="C502" s="25">
        <f t="shared" si="30"/>
        <v>4.8638132295719845E-3</v>
      </c>
      <c r="E502" s="16">
        <v>44313</v>
      </c>
      <c r="F502" s="15">
        <v>12362.55</v>
      </c>
      <c r="G502" s="25">
        <f t="shared" si="31"/>
        <v>1.1926151176448831E-2</v>
      </c>
      <c r="I502" s="16">
        <v>44313</v>
      </c>
      <c r="J502" s="17">
        <v>3.3300000000000003E-2</v>
      </c>
      <c r="K502" s="25">
        <f t="shared" si="28"/>
        <v>8.975077869766146E-5</v>
      </c>
      <c r="M502" s="16">
        <v>44313</v>
      </c>
      <c r="N502" s="26">
        <f t="shared" si="29"/>
        <v>1.1836400397751169E-2</v>
      </c>
      <c r="O502" s="26">
        <f>'Part 2 - CAPM 2.1, 2.2 and 2.3'!C502-'Part 2 - CAPM 2.1, 2.2 and 2.3'!K502</f>
        <v>4.774062450874323E-3</v>
      </c>
    </row>
    <row r="503" spans="1:15" x14ac:dyDescent="0.4">
      <c r="A503" s="16">
        <v>44314</v>
      </c>
      <c r="B503" s="14">
        <v>104.05</v>
      </c>
      <c r="C503" s="25">
        <f t="shared" si="30"/>
        <v>7.2604065827686351E-3</v>
      </c>
      <c r="E503" s="16">
        <v>44314</v>
      </c>
      <c r="F503" s="15">
        <v>12517.95</v>
      </c>
      <c r="G503" s="25">
        <f t="shared" si="31"/>
        <v>1.2570222162903403E-2</v>
      </c>
      <c r="I503" s="16">
        <v>44314</v>
      </c>
      <c r="J503" s="17">
        <v>3.3300000000000003E-2</v>
      </c>
      <c r="K503" s="25">
        <f t="shared" si="28"/>
        <v>8.975077869766146E-5</v>
      </c>
      <c r="M503" s="16">
        <v>44314</v>
      </c>
      <c r="N503" s="26">
        <f t="shared" si="29"/>
        <v>1.2480471384205742E-2</v>
      </c>
      <c r="O503" s="26">
        <f>'Part 2 - CAPM 2.1, 2.2 and 2.3'!C503-'Part 2 - CAPM 2.1, 2.2 and 2.3'!K503</f>
        <v>7.1706558040709736E-3</v>
      </c>
    </row>
    <row r="504" spans="1:15" x14ac:dyDescent="0.4">
      <c r="A504" s="16">
        <v>44315</v>
      </c>
      <c r="B504" s="14">
        <v>104.3</v>
      </c>
      <c r="C504" s="25">
        <f t="shared" si="30"/>
        <v>2.4026910139356081E-3</v>
      </c>
      <c r="E504" s="16">
        <v>44315</v>
      </c>
      <c r="F504" s="15">
        <v>12532.8</v>
      </c>
      <c r="G504" s="25">
        <f t="shared" si="31"/>
        <v>1.1862964782571063E-3</v>
      </c>
      <c r="I504" s="16">
        <v>44315</v>
      </c>
      <c r="J504" s="17">
        <v>3.3399999999999999E-2</v>
      </c>
      <c r="K504" s="25">
        <f t="shared" si="28"/>
        <v>9.0015933029263806E-5</v>
      </c>
      <c r="M504" s="16">
        <v>44315</v>
      </c>
      <c r="N504" s="26">
        <f t="shared" si="29"/>
        <v>1.0962805452278425E-3</v>
      </c>
      <c r="O504" s="26">
        <f>'Part 2 - CAPM 2.1, 2.2 and 2.3'!C504-'Part 2 - CAPM 2.1, 2.2 and 2.3'!K504</f>
        <v>2.3126750809063443E-3</v>
      </c>
    </row>
    <row r="505" spans="1:15" x14ac:dyDescent="0.4">
      <c r="A505" s="16">
        <v>44316</v>
      </c>
      <c r="B505" s="14">
        <v>108.2</v>
      </c>
      <c r="C505" s="25">
        <f t="shared" si="30"/>
        <v>3.7392138063279061E-2</v>
      </c>
      <c r="E505" s="16">
        <v>44316</v>
      </c>
      <c r="F505" s="15">
        <v>12364.35</v>
      </c>
      <c r="G505" s="25">
        <f t="shared" si="31"/>
        <v>-1.3440731520490147E-2</v>
      </c>
      <c r="I505" s="16">
        <v>44316</v>
      </c>
      <c r="J505" s="17">
        <v>3.3300000000000003E-2</v>
      </c>
      <c r="K505" s="25">
        <f t="shared" si="28"/>
        <v>8.975077869766146E-5</v>
      </c>
      <c r="M505" s="16">
        <v>44316</v>
      </c>
      <c r="N505" s="26">
        <f t="shared" si="29"/>
        <v>-1.3530482299187808E-2</v>
      </c>
      <c r="O505" s="26">
        <f>'Part 2 - CAPM 2.1, 2.2 and 2.3'!C505-'Part 2 - CAPM 2.1, 2.2 and 2.3'!K505</f>
        <v>3.7302387284581399E-2</v>
      </c>
    </row>
    <row r="506" spans="1:15" x14ac:dyDescent="0.4">
      <c r="A506" s="16">
        <v>44319</v>
      </c>
      <c r="B506" s="14">
        <v>107.6</v>
      </c>
      <c r="C506" s="25">
        <f t="shared" si="30"/>
        <v>-5.5452865064695798E-3</v>
      </c>
      <c r="E506" s="16">
        <v>44319</v>
      </c>
      <c r="F506" s="15">
        <v>12395.25</v>
      </c>
      <c r="G506" s="25">
        <f t="shared" si="31"/>
        <v>2.4991204551795794E-3</v>
      </c>
      <c r="I506" s="16">
        <v>44319</v>
      </c>
      <c r="J506" s="17">
        <v>3.3399999999999999E-2</v>
      </c>
      <c r="K506" s="25">
        <f t="shared" si="28"/>
        <v>9.0015933029263806E-5</v>
      </c>
      <c r="M506" s="16">
        <v>44319</v>
      </c>
      <c r="N506" s="26">
        <f t="shared" si="29"/>
        <v>2.4091045221503156E-3</v>
      </c>
      <c r="O506" s="26">
        <f>'Part 2 - CAPM 2.1, 2.2 and 2.3'!C506-'Part 2 - CAPM 2.1, 2.2 and 2.3'!K506</f>
        <v>-5.6353024394988436E-3</v>
      </c>
    </row>
    <row r="507" spans="1:15" x14ac:dyDescent="0.4">
      <c r="A507" s="16">
        <v>44320</v>
      </c>
      <c r="B507" s="14">
        <v>109.25</v>
      </c>
      <c r="C507" s="25">
        <f t="shared" si="30"/>
        <v>1.5334572490706373E-2</v>
      </c>
      <c r="E507" s="16">
        <v>44320</v>
      </c>
      <c r="F507" s="15">
        <v>12300.45</v>
      </c>
      <c r="G507" s="25">
        <f t="shared" si="31"/>
        <v>-7.6480910026017444E-3</v>
      </c>
      <c r="I507" s="16">
        <v>44320</v>
      </c>
      <c r="J507" s="17">
        <v>3.3300000000000003E-2</v>
      </c>
      <c r="K507" s="25">
        <f t="shared" si="28"/>
        <v>8.975077869766146E-5</v>
      </c>
      <c r="M507" s="16">
        <v>44320</v>
      </c>
      <c r="N507" s="26">
        <f t="shared" si="29"/>
        <v>-7.7378417812994059E-3</v>
      </c>
      <c r="O507" s="26">
        <f>'Part 2 - CAPM 2.1, 2.2 and 2.3'!C507-'Part 2 - CAPM 2.1, 2.2 and 2.3'!K507</f>
        <v>1.5244821712008711E-2</v>
      </c>
    </row>
    <row r="508" spans="1:15" x14ac:dyDescent="0.4">
      <c r="A508" s="16">
        <v>44321</v>
      </c>
      <c r="B508" s="14">
        <v>111.3</v>
      </c>
      <c r="C508" s="25">
        <f t="shared" si="30"/>
        <v>1.8764302059496543E-2</v>
      </c>
      <c r="E508" s="16">
        <v>44321</v>
      </c>
      <c r="F508" s="15">
        <v>12413</v>
      </c>
      <c r="G508" s="25">
        <f t="shared" si="31"/>
        <v>9.1500717453425907E-3</v>
      </c>
      <c r="I508" s="16">
        <v>44321</v>
      </c>
      <c r="J508" s="17">
        <v>3.3399999999999999E-2</v>
      </c>
      <c r="K508" s="25">
        <f t="shared" si="28"/>
        <v>9.0015933029263806E-5</v>
      </c>
      <c r="M508" s="16">
        <v>44321</v>
      </c>
      <c r="N508" s="26">
        <f t="shared" si="29"/>
        <v>9.0600558123133269E-3</v>
      </c>
      <c r="O508" s="26">
        <f>'Part 2 - CAPM 2.1, 2.2 and 2.3'!C508-'Part 2 - CAPM 2.1, 2.2 and 2.3'!K508</f>
        <v>1.8674286126467279E-2</v>
      </c>
    </row>
    <row r="509" spans="1:15" x14ac:dyDescent="0.4">
      <c r="A509" s="16">
        <v>44322</v>
      </c>
      <c r="B509" s="14">
        <v>110.25</v>
      </c>
      <c r="C509" s="25">
        <f t="shared" si="30"/>
        <v>-9.4339622641509188E-3</v>
      </c>
      <c r="E509" s="16">
        <v>44322</v>
      </c>
      <c r="F509" s="15">
        <v>12501.9</v>
      </c>
      <c r="G509" s="25">
        <f t="shared" si="31"/>
        <v>7.1618464513010264E-3</v>
      </c>
      <c r="I509" s="16">
        <v>44322</v>
      </c>
      <c r="J509" s="17">
        <v>3.3700000000000001E-2</v>
      </c>
      <c r="K509" s="25">
        <f t="shared" si="28"/>
        <v>9.081124252219297E-5</v>
      </c>
      <c r="M509" s="16">
        <v>44322</v>
      </c>
      <c r="N509" s="26">
        <f t="shared" si="29"/>
        <v>7.0710352087788335E-3</v>
      </c>
      <c r="O509" s="26">
        <f>'Part 2 - CAPM 2.1, 2.2 and 2.3'!C509-'Part 2 - CAPM 2.1, 2.2 and 2.3'!K509</f>
        <v>-9.5247735066731117E-3</v>
      </c>
    </row>
    <row r="510" spans="1:15" x14ac:dyDescent="0.4">
      <c r="A510" s="16">
        <v>44323</v>
      </c>
      <c r="B510" s="14">
        <v>111.55</v>
      </c>
      <c r="C510" s="25">
        <f t="shared" si="30"/>
        <v>1.1791383219954623E-2</v>
      </c>
      <c r="E510" s="16">
        <v>44323</v>
      </c>
      <c r="F510" s="15">
        <v>12563.1</v>
      </c>
      <c r="G510" s="25">
        <f t="shared" si="31"/>
        <v>4.8952559211000515E-3</v>
      </c>
      <c r="I510" s="16">
        <v>44323</v>
      </c>
      <c r="J510" s="17">
        <v>3.3599999999999998E-2</v>
      </c>
      <c r="K510" s="25">
        <f t="shared" si="28"/>
        <v>9.0546164936533557E-5</v>
      </c>
      <c r="M510" s="16">
        <v>44323</v>
      </c>
      <c r="N510" s="26">
        <f t="shared" si="29"/>
        <v>4.804709756163518E-3</v>
      </c>
      <c r="O510" s="26">
        <f>'Part 2 - CAPM 2.1, 2.2 and 2.3'!C510-'Part 2 - CAPM 2.1, 2.2 and 2.3'!K510</f>
        <v>1.1700837055018089E-2</v>
      </c>
    </row>
    <row r="511" spans="1:15" x14ac:dyDescent="0.4">
      <c r="A511" s="16">
        <v>44326</v>
      </c>
      <c r="B511" s="14">
        <v>114</v>
      </c>
      <c r="C511" s="25">
        <f t="shared" si="30"/>
        <v>2.1963245181532972E-2</v>
      </c>
      <c r="E511" s="16">
        <v>44326</v>
      </c>
      <c r="F511" s="15">
        <v>12669.9</v>
      </c>
      <c r="G511" s="25">
        <f t="shared" si="31"/>
        <v>8.5010865152708535E-3</v>
      </c>
      <c r="I511" s="16">
        <v>44326</v>
      </c>
      <c r="J511" s="17">
        <v>3.3799999999999997E-2</v>
      </c>
      <c r="K511" s="25">
        <f t="shared" si="28"/>
        <v>9.1076294535863411E-5</v>
      </c>
      <c r="M511" s="16">
        <v>44326</v>
      </c>
      <c r="N511" s="26">
        <f t="shared" si="29"/>
        <v>8.4100102207349901E-3</v>
      </c>
      <c r="O511" s="26">
        <f>'Part 2 - CAPM 2.1, 2.2 and 2.3'!C511-'Part 2 - CAPM 2.1, 2.2 and 2.3'!K511</f>
        <v>2.1872168886997109E-2</v>
      </c>
    </row>
    <row r="512" spans="1:15" x14ac:dyDescent="0.4">
      <c r="A512" s="16">
        <v>44327</v>
      </c>
      <c r="B512" s="14">
        <v>118</v>
      </c>
      <c r="C512" s="25">
        <f t="shared" si="30"/>
        <v>3.5087719298245612E-2</v>
      </c>
      <c r="E512" s="16">
        <v>44327</v>
      </c>
      <c r="F512" s="15">
        <v>12642.25</v>
      </c>
      <c r="G512" s="25">
        <f t="shared" si="31"/>
        <v>-2.1823376664377491E-3</v>
      </c>
      <c r="I512" s="16">
        <v>44327</v>
      </c>
      <c r="J512" s="17">
        <v>3.3799999999999997E-2</v>
      </c>
      <c r="K512" s="25">
        <f t="shared" si="28"/>
        <v>9.1076294535863411E-5</v>
      </c>
      <c r="M512" s="16">
        <v>44327</v>
      </c>
      <c r="N512" s="26">
        <f t="shared" si="29"/>
        <v>-2.2734139609736125E-3</v>
      </c>
      <c r="O512" s="26">
        <f>'Part 2 - CAPM 2.1, 2.2 and 2.3'!C512-'Part 2 - CAPM 2.1, 2.2 and 2.3'!K512</f>
        <v>3.4996643003709749E-2</v>
      </c>
    </row>
    <row r="513" spans="1:15" x14ac:dyDescent="0.4">
      <c r="A513" s="16">
        <v>44328</v>
      </c>
      <c r="B513" s="14">
        <v>115.15</v>
      </c>
      <c r="C513" s="25">
        <f t="shared" si="30"/>
        <v>-2.4152542372881308E-2</v>
      </c>
      <c r="E513" s="16">
        <v>44328</v>
      </c>
      <c r="F513" s="15">
        <v>12537.95</v>
      </c>
      <c r="G513" s="25">
        <f t="shared" si="31"/>
        <v>-8.2501137060253735E-3</v>
      </c>
      <c r="I513" s="16">
        <v>44328</v>
      </c>
      <c r="J513" s="17">
        <v>3.39E-2</v>
      </c>
      <c r="K513" s="25">
        <f t="shared" si="28"/>
        <v>9.1341320982207819E-5</v>
      </c>
      <c r="M513" s="16">
        <v>44328</v>
      </c>
      <c r="N513" s="26">
        <f t="shared" si="29"/>
        <v>-8.3414550270075813E-3</v>
      </c>
      <c r="O513" s="26">
        <f>'Part 2 - CAPM 2.1, 2.2 and 2.3'!C513-'Part 2 - CAPM 2.1, 2.2 and 2.3'!K513</f>
        <v>-2.4243883693863516E-2</v>
      </c>
    </row>
    <row r="514" spans="1:15" x14ac:dyDescent="0.4">
      <c r="A514" s="16">
        <v>44330</v>
      </c>
      <c r="B514" s="14">
        <v>113</v>
      </c>
      <c r="C514" s="25">
        <f t="shared" si="30"/>
        <v>-1.8671298306556713E-2</v>
      </c>
      <c r="E514" s="16">
        <v>44330</v>
      </c>
      <c r="F514" s="15">
        <v>12472.15</v>
      </c>
      <c r="G514" s="25">
        <f t="shared" si="31"/>
        <v>-5.248066868985846E-3</v>
      </c>
      <c r="I514" s="16">
        <v>44330</v>
      </c>
      <c r="J514" s="17">
        <v>3.39E-2</v>
      </c>
      <c r="K514" s="25">
        <f t="shared" si="28"/>
        <v>9.1341320982207819E-5</v>
      </c>
      <c r="M514" s="16">
        <v>44330</v>
      </c>
      <c r="N514" s="26">
        <f t="shared" si="29"/>
        <v>-5.3394081899680538E-3</v>
      </c>
      <c r="O514" s="26">
        <f>'Part 2 - CAPM 2.1, 2.2 and 2.3'!C514-'Part 2 - CAPM 2.1, 2.2 and 2.3'!K514</f>
        <v>-1.8762639627538921E-2</v>
      </c>
    </row>
    <row r="515" spans="1:15" x14ac:dyDescent="0.4">
      <c r="A515" s="16">
        <v>44333</v>
      </c>
      <c r="B515" s="14">
        <v>114.5</v>
      </c>
      <c r="C515" s="25">
        <f t="shared" si="30"/>
        <v>1.3274336283185841E-2</v>
      </c>
      <c r="E515" s="16">
        <v>44333</v>
      </c>
      <c r="F515" s="15">
        <v>12672.1</v>
      </c>
      <c r="G515" s="25">
        <f t="shared" si="31"/>
        <v>1.6031718669195026E-2</v>
      </c>
      <c r="I515" s="16">
        <v>44333</v>
      </c>
      <c r="J515" s="17">
        <v>3.4000000000000002E-2</v>
      </c>
      <c r="K515" s="25">
        <f t="shared" si="28"/>
        <v>9.1606321866555263E-5</v>
      </c>
      <c r="M515" s="16">
        <v>44333</v>
      </c>
      <c r="N515" s="26">
        <f t="shared" si="29"/>
        <v>1.5940112347328471E-2</v>
      </c>
      <c r="O515" s="26">
        <f>'Part 2 - CAPM 2.1, 2.2 and 2.3'!C515-'Part 2 - CAPM 2.1, 2.2 and 2.3'!K515</f>
        <v>1.3182729961319285E-2</v>
      </c>
    </row>
    <row r="516" spans="1:15" x14ac:dyDescent="0.4">
      <c r="A516" s="16">
        <v>44334</v>
      </c>
      <c r="B516" s="14">
        <v>116</v>
      </c>
      <c r="C516" s="25">
        <f t="shared" si="30"/>
        <v>1.3100436681222707E-2</v>
      </c>
      <c r="E516" s="16">
        <v>44334</v>
      </c>
      <c r="F516" s="15">
        <v>12839.1</v>
      </c>
      <c r="G516" s="25">
        <f t="shared" si="31"/>
        <v>1.317855761870566E-2</v>
      </c>
      <c r="I516" s="16">
        <v>44334</v>
      </c>
      <c r="J516" s="17">
        <v>3.3799999999999997E-2</v>
      </c>
      <c r="K516" s="25">
        <f t="shared" ref="K516:K579" si="32">((1+J516)^(1/365))-1</f>
        <v>9.1076294535863411E-5</v>
      </c>
      <c r="M516" s="16">
        <v>44334</v>
      </c>
      <c r="N516" s="26">
        <f t="shared" ref="N516:N579" si="33">G516-K516</f>
        <v>1.3087481324169797E-2</v>
      </c>
      <c r="O516" s="26">
        <f>'Part 2 - CAPM 2.1, 2.2 and 2.3'!C516-'Part 2 - CAPM 2.1, 2.2 and 2.3'!K516</f>
        <v>1.3009360386686843E-2</v>
      </c>
    </row>
    <row r="517" spans="1:15" x14ac:dyDescent="0.4">
      <c r="A517" s="16">
        <v>44335</v>
      </c>
      <c r="B517" s="14">
        <v>114.95</v>
      </c>
      <c r="C517" s="25">
        <f t="shared" ref="C517:C580" si="34">(B517-B516)/B516</f>
        <v>-9.0517241379310092E-3</v>
      </c>
      <c r="E517" s="16">
        <v>44335</v>
      </c>
      <c r="F517" s="15">
        <v>12809</v>
      </c>
      <c r="G517" s="25">
        <f t="shared" ref="G517:G580" si="35">(F517-F516)/F516</f>
        <v>-2.3444010873036555E-3</v>
      </c>
      <c r="I517" s="16">
        <v>44335</v>
      </c>
      <c r="J517" s="17">
        <v>3.39E-2</v>
      </c>
      <c r="K517" s="25">
        <f t="shared" si="32"/>
        <v>9.1341320982207819E-5</v>
      </c>
      <c r="M517" s="16">
        <v>44335</v>
      </c>
      <c r="N517" s="26">
        <f t="shared" si="33"/>
        <v>-2.4357424082858633E-3</v>
      </c>
      <c r="O517" s="26">
        <f>'Part 2 - CAPM 2.1, 2.2 and 2.3'!C517-'Part 2 - CAPM 2.1, 2.2 and 2.3'!K517</f>
        <v>-9.143065458913217E-3</v>
      </c>
    </row>
    <row r="518" spans="1:15" x14ac:dyDescent="0.4">
      <c r="A518" s="16">
        <v>44336</v>
      </c>
      <c r="B518" s="14">
        <v>111.6</v>
      </c>
      <c r="C518" s="25">
        <f t="shared" si="34"/>
        <v>-2.9143105698129695E-2</v>
      </c>
      <c r="E518" s="16">
        <v>44336</v>
      </c>
      <c r="F518" s="15">
        <v>12736.45</v>
      </c>
      <c r="G518" s="25">
        <f t="shared" si="35"/>
        <v>-5.6639862596611192E-3</v>
      </c>
      <c r="I518" s="16">
        <v>44336</v>
      </c>
      <c r="J518" s="17">
        <v>3.4000000000000002E-2</v>
      </c>
      <c r="K518" s="25">
        <f t="shared" si="32"/>
        <v>9.1606321866555263E-5</v>
      </c>
      <c r="M518" s="16">
        <v>44336</v>
      </c>
      <c r="N518" s="26">
        <f t="shared" si="33"/>
        <v>-5.7555925815276745E-3</v>
      </c>
      <c r="O518" s="26">
        <f>'Part 2 - CAPM 2.1, 2.2 and 2.3'!C518-'Part 2 - CAPM 2.1, 2.2 and 2.3'!K518</f>
        <v>-2.9234712019996251E-2</v>
      </c>
    </row>
    <row r="519" spans="1:15" x14ac:dyDescent="0.4">
      <c r="A519" s="16">
        <v>44337</v>
      </c>
      <c r="B519" s="14">
        <v>112.75</v>
      </c>
      <c r="C519" s="25">
        <f t="shared" si="34"/>
        <v>1.0304659498207937E-2</v>
      </c>
      <c r="E519" s="16">
        <v>44337</v>
      </c>
      <c r="F519" s="15">
        <v>12917.85</v>
      </c>
      <c r="G519" s="25">
        <f t="shared" si="35"/>
        <v>1.4242587220143731E-2</v>
      </c>
      <c r="I519" s="16">
        <v>44337</v>
      </c>
      <c r="J519" s="17">
        <v>3.39E-2</v>
      </c>
      <c r="K519" s="25">
        <f t="shared" si="32"/>
        <v>9.1341320982207819E-5</v>
      </c>
      <c r="M519" s="16">
        <v>44337</v>
      </c>
      <c r="N519" s="26">
        <f t="shared" si="33"/>
        <v>1.4151245899161523E-2</v>
      </c>
      <c r="O519" s="26">
        <f>'Part 2 - CAPM 2.1, 2.2 and 2.3'!C519-'Part 2 - CAPM 2.1, 2.2 and 2.3'!K519</f>
        <v>1.021331817722573E-2</v>
      </c>
    </row>
    <row r="520" spans="1:15" x14ac:dyDescent="0.4">
      <c r="A520" s="16">
        <v>44340</v>
      </c>
      <c r="B520" s="14">
        <v>112.95</v>
      </c>
      <c r="C520" s="25">
        <f t="shared" si="34"/>
        <v>1.7738359201774087E-3</v>
      </c>
      <c r="E520" s="16">
        <v>44340</v>
      </c>
      <c r="F520" s="15">
        <v>12962.45</v>
      </c>
      <c r="G520" s="25">
        <f t="shared" si="35"/>
        <v>3.4525869242947056E-3</v>
      </c>
      <c r="I520" s="16">
        <v>44340</v>
      </c>
      <c r="J520" s="17">
        <v>3.3799999999999997E-2</v>
      </c>
      <c r="K520" s="25">
        <f t="shared" si="32"/>
        <v>9.1076294535863411E-5</v>
      </c>
      <c r="M520" s="16">
        <v>44340</v>
      </c>
      <c r="N520" s="26">
        <f t="shared" si="33"/>
        <v>3.3615106297588421E-3</v>
      </c>
      <c r="O520" s="26">
        <f>'Part 2 - CAPM 2.1, 2.2 and 2.3'!C520-'Part 2 - CAPM 2.1, 2.2 and 2.3'!K520</f>
        <v>1.6827596256415453E-3</v>
      </c>
    </row>
    <row r="521" spans="1:15" x14ac:dyDescent="0.4">
      <c r="A521" s="16">
        <v>44341</v>
      </c>
      <c r="B521" s="14">
        <v>114.6</v>
      </c>
      <c r="C521" s="25">
        <f t="shared" si="34"/>
        <v>1.4608233731739632E-2</v>
      </c>
      <c r="E521" s="16">
        <v>44341</v>
      </c>
      <c r="F521" s="15">
        <v>12963</v>
      </c>
      <c r="G521" s="25">
        <f t="shared" si="35"/>
        <v>4.243025045414041E-5</v>
      </c>
      <c r="I521" s="16">
        <v>44341</v>
      </c>
      <c r="J521" s="17">
        <v>3.4099999999999998E-2</v>
      </c>
      <c r="K521" s="25">
        <f t="shared" si="32"/>
        <v>9.187129719356868E-5</v>
      </c>
      <c r="M521" s="16">
        <v>44341</v>
      </c>
      <c r="N521" s="26">
        <f t="shared" si="33"/>
        <v>-4.9441046739428269E-5</v>
      </c>
      <c r="O521" s="26">
        <f>'Part 2 - CAPM 2.1, 2.2 and 2.3'!C521-'Part 2 - CAPM 2.1, 2.2 and 2.3'!K521</f>
        <v>1.4516362434546064E-2</v>
      </c>
    </row>
    <row r="522" spans="1:15" x14ac:dyDescent="0.4">
      <c r="A522" s="16">
        <v>44343</v>
      </c>
      <c r="B522" s="14">
        <v>111.85</v>
      </c>
      <c r="C522" s="25">
        <f t="shared" si="34"/>
        <v>-2.3996509598603839E-2</v>
      </c>
      <c r="E522" s="16">
        <v>44343</v>
      </c>
      <c r="F522" s="15">
        <v>13066.25</v>
      </c>
      <c r="G522" s="25">
        <f t="shared" si="35"/>
        <v>7.9649772429221631E-3</v>
      </c>
      <c r="I522" s="16">
        <v>44343</v>
      </c>
      <c r="J522" s="17">
        <v>3.4099999999999998E-2</v>
      </c>
      <c r="K522" s="25">
        <f t="shared" si="32"/>
        <v>9.187129719356868E-5</v>
      </c>
      <c r="M522" s="16">
        <v>44343</v>
      </c>
      <c r="N522" s="26">
        <f t="shared" si="33"/>
        <v>7.8731059457285944E-3</v>
      </c>
      <c r="O522" s="26">
        <f>'Part 2 - CAPM 2.1, 2.2 and 2.3'!C522-'Part 2 - CAPM 2.1, 2.2 and 2.3'!K522</f>
        <v>-2.4088380895797408E-2</v>
      </c>
    </row>
    <row r="523" spans="1:15" x14ac:dyDescent="0.4">
      <c r="A523" s="16">
        <v>44344</v>
      </c>
      <c r="B523" s="14">
        <v>112.75</v>
      </c>
      <c r="C523" s="25">
        <f t="shared" si="34"/>
        <v>8.0464908359410437E-3</v>
      </c>
      <c r="E523" s="16">
        <v>44344</v>
      </c>
      <c r="F523" s="15">
        <v>13117.05</v>
      </c>
      <c r="G523" s="25">
        <f t="shared" si="35"/>
        <v>3.8878790777766591E-3</v>
      </c>
      <c r="I523" s="16">
        <v>44344</v>
      </c>
      <c r="J523" s="17">
        <v>3.4099999999999998E-2</v>
      </c>
      <c r="K523" s="25">
        <f t="shared" si="32"/>
        <v>9.187129719356868E-5</v>
      </c>
      <c r="M523" s="16">
        <v>44344</v>
      </c>
      <c r="N523" s="26">
        <f t="shared" si="33"/>
        <v>3.7960077805830905E-3</v>
      </c>
      <c r="O523" s="26">
        <f>'Part 2 - CAPM 2.1, 2.2 and 2.3'!C523-'Part 2 - CAPM 2.1, 2.2 and 2.3'!K523</f>
        <v>7.954619538747475E-3</v>
      </c>
    </row>
    <row r="524" spans="1:15" x14ac:dyDescent="0.4">
      <c r="A524" s="16">
        <v>44347</v>
      </c>
      <c r="B524" s="14">
        <v>113.5</v>
      </c>
      <c r="C524" s="25">
        <f t="shared" si="34"/>
        <v>6.6518847006651885E-3</v>
      </c>
      <c r="E524" s="16">
        <v>44347</v>
      </c>
      <c r="F524" s="15">
        <v>13226.35</v>
      </c>
      <c r="G524" s="25">
        <f t="shared" si="35"/>
        <v>8.3326662626124846E-3</v>
      </c>
      <c r="I524" s="16">
        <v>44347</v>
      </c>
      <c r="J524" s="17">
        <v>3.4099999999999998E-2</v>
      </c>
      <c r="K524" s="25">
        <f t="shared" si="32"/>
        <v>9.187129719356868E-5</v>
      </c>
      <c r="M524" s="16">
        <v>44347</v>
      </c>
      <c r="N524" s="26">
        <f t="shared" si="33"/>
        <v>8.2407949654189159E-3</v>
      </c>
      <c r="O524" s="26">
        <f>'Part 2 - CAPM 2.1, 2.2 and 2.3'!C524-'Part 2 - CAPM 2.1, 2.2 and 2.3'!K524</f>
        <v>6.5600134034716198E-3</v>
      </c>
    </row>
    <row r="525" spans="1:15" x14ac:dyDescent="0.4">
      <c r="A525" s="16">
        <v>44348</v>
      </c>
      <c r="B525" s="14">
        <v>117.55</v>
      </c>
      <c r="C525" s="25">
        <f t="shared" si="34"/>
        <v>3.5682819383259887E-2</v>
      </c>
      <c r="E525" s="16">
        <v>44348</v>
      </c>
      <c r="F525" s="15">
        <v>13210.4</v>
      </c>
      <c r="G525" s="25">
        <f t="shared" si="35"/>
        <v>-1.2059260491368161E-3</v>
      </c>
      <c r="I525" s="16">
        <v>44348</v>
      </c>
      <c r="J525" s="17">
        <v>3.4200000000000001E-2</v>
      </c>
      <c r="K525" s="25">
        <f t="shared" si="32"/>
        <v>9.2136246968133051E-5</v>
      </c>
      <c r="M525" s="16">
        <v>44348</v>
      </c>
      <c r="N525" s="26">
        <f t="shared" si="33"/>
        <v>-1.2980622961049492E-3</v>
      </c>
      <c r="O525" s="26">
        <f>'Part 2 - CAPM 2.1, 2.2 and 2.3'!C525-'Part 2 - CAPM 2.1, 2.2 and 2.3'!K525</f>
        <v>3.5590683136291754E-2</v>
      </c>
    </row>
    <row r="526" spans="1:15" x14ac:dyDescent="0.4">
      <c r="A526" s="16">
        <v>44349</v>
      </c>
      <c r="B526" s="14">
        <v>117.55</v>
      </c>
      <c r="C526" s="25">
        <f t="shared" si="34"/>
        <v>0</v>
      </c>
      <c r="E526" s="16">
        <v>44349</v>
      </c>
      <c r="F526" s="15">
        <v>13274.25</v>
      </c>
      <c r="G526" s="25">
        <f t="shared" si="35"/>
        <v>4.8333131472173716E-3</v>
      </c>
      <c r="I526" s="16">
        <v>44349</v>
      </c>
      <c r="J526" s="17">
        <v>3.4200000000000001E-2</v>
      </c>
      <c r="K526" s="25">
        <f t="shared" si="32"/>
        <v>9.2136246968133051E-5</v>
      </c>
      <c r="M526" s="16">
        <v>44349</v>
      </c>
      <c r="N526" s="26">
        <f t="shared" si="33"/>
        <v>4.7411769002492386E-3</v>
      </c>
      <c r="O526" s="26">
        <f>'Part 2 - CAPM 2.1, 2.2 and 2.3'!C526-'Part 2 - CAPM 2.1, 2.2 and 2.3'!K526</f>
        <v>-9.2136246968133051E-5</v>
      </c>
    </row>
    <row r="527" spans="1:15" x14ac:dyDescent="0.4">
      <c r="A527" s="16">
        <v>44350</v>
      </c>
      <c r="B527" s="14">
        <v>123.65</v>
      </c>
      <c r="C527" s="25">
        <f t="shared" si="34"/>
        <v>5.189281156954495E-2</v>
      </c>
      <c r="E527" s="16">
        <v>44350</v>
      </c>
      <c r="F527" s="15">
        <v>13380.5</v>
      </c>
      <c r="G527" s="25">
        <f t="shared" si="35"/>
        <v>8.004218694088178E-3</v>
      </c>
      <c r="I527" s="16">
        <v>44350</v>
      </c>
      <c r="J527" s="17">
        <v>3.44E-2</v>
      </c>
      <c r="K527" s="25">
        <f t="shared" si="32"/>
        <v>9.2666069880342761E-5</v>
      </c>
      <c r="M527" s="16">
        <v>44350</v>
      </c>
      <c r="N527" s="26">
        <f t="shared" si="33"/>
        <v>7.9115526242078352E-3</v>
      </c>
      <c r="O527" s="26">
        <f>'Part 2 - CAPM 2.1, 2.2 and 2.3'!C527-'Part 2 - CAPM 2.1, 2.2 and 2.3'!K527</f>
        <v>5.1800145499664607E-2</v>
      </c>
    </row>
    <row r="528" spans="1:15" x14ac:dyDescent="0.4">
      <c r="A528" s="16">
        <v>44351</v>
      </c>
      <c r="B528" s="14">
        <v>125.15</v>
      </c>
      <c r="C528" s="25">
        <f t="shared" si="34"/>
        <v>1.213101496158512E-2</v>
      </c>
      <c r="E528" s="16">
        <v>44351</v>
      </c>
      <c r="F528" s="15">
        <v>13393.9</v>
      </c>
      <c r="G528" s="25">
        <f t="shared" si="35"/>
        <v>1.0014573446432971E-3</v>
      </c>
      <c r="I528" s="16">
        <v>44351</v>
      </c>
      <c r="J528" s="17">
        <v>3.4300000000000004E-2</v>
      </c>
      <c r="K528" s="25">
        <f t="shared" si="32"/>
        <v>9.2401171195355403E-5</v>
      </c>
      <c r="M528" s="16">
        <v>44351</v>
      </c>
      <c r="N528" s="26">
        <f t="shared" si="33"/>
        <v>9.0905617344794166E-4</v>
      </c>
      <c r="O528" s="26">
        <f>'Part 2 - CAPM 2.1, 2.2 and 2.3'!C528-'Part 2 - CAPM 2.1, 2.2 and 2.3'!K528</f>
        <v>1.2038613790389764E-2</v>
      </c>
    </row>
    <row r="529" spans="1:15" x14ac:dyDescent="0.4">
      <c r="A529" s="16">
        <v>44354</v>
      </c>
      <c r="B529" s="14">
        <v>125.5</v>
      </c>
      <c r="C529" s="25">
        <f t="shared" si="34"/>
        <v>2.7966440271673535E-3</v>
      </c>
      <c r="E529" s="16">
        <v>44354</v>
      </c>
      <c r="F529" s="15">
        <v>13479.65</v>
      </c>
      <c r="G529" s="25">
        <f t="shared" si="35"/>
        <v>6.4021681511732959E-3</v>
      </c>
      <c r="I529" s="16">
        <v>44354</v>
      </c>
      <c r="J529" s="17">
        <v>3.4200000000000001E-2</v>
      </c>
      <c r="K529" s="25">
        <f t="shared" si="32"/>
        <v>9.2136246968133051E-5</v>
      </c>
      <c r="M529" s="16">
        <v>44354</v>
      </c>
      <c r="N529" s="26">
        <f t="shared" si="33"/>
        <v>6.3100319042051628E-3</v>
      </c>
      <c r="O529" s="26">
        <f>'Part 2 - CAPM 2.1, 2.2 and 2.3'!C529-'Part 2 - CAPM 2.1, 2.2 and 2.3'!K529</f>
        <v>2.7045077801992204E-3</v>
      </c>
    </row>
    <row r="530" spans="1:15" x14ac:dyDescent="0.4">
      <c r="A530" s="16">
        <v>44355</v>
      </c>
      <c r="B530" s="14">
        <v>125</v>
      </c>
      <c r="C530" s="25">
        <f t="shared" si="34"/>
        <v>-3.9840637450199202E-3</v>
      </c>
      <c r="E530" s="16">
        <v>44355</v>
      </c>
      <c r="F530" s="15">
        <v>13496.55</v>
      </c>
      <c r="G530" s="25">
        <f t="shared" si="35"/>
        <v>1.2537417514549441E-3</v>
      </c>
      <c r="I530" s="16">
        <v>44355</v>
      </c>
      <c r="J530" s="17">
        <v>3.4300000000000004E-2</v>
      </c>
      <c r="K530" s="25">
        <f t="shared" si="32"/>
        <v>9.2401171195355403E-5</v>
      </c>
      <c r="M530" s="16">
        <v>44355</v>
      </c>
      <c r="N530" s="26">
        <f t="shared" si="33"/>
        <v>1.1613405802595887E-3</v>
      </c>
      <c r="O530" s="26">
        <f>'Part 2 - CAPM 2.1, 2.2 and 2.3'!C530-'Part 2 - CAPM 2.1, 2.2 and 2.3'!K530</f>
        <v>-4.0764649162152757E-3</v>
      </c>
    </row>
    <row r="531" spans="1:15" x14ac:dyDescent="0.4">
      <c r="A531" s="16">
        <v>44356</v>
      </c>
      <c r="B531" s="14">
        <v>124.45</v>
      </c>
      <c r="C531" s="25">
        <f t="shared" si="34"/>
        <v>-4.3999999999999768E-3</v>
      </c>
      <c r="E531" s="16">
        <v>44356</v>
      </c>
      <c r="F531" s="15">
        <v>13396.4</v>
      </c>
      <c r="G531" s="25">
        <f t="shared" si="35"/>
        <v>-7.4204148467571073E-3</v>
      </c>
      <c r="I531" s="16">
        <v>44356</v>
      </c>
      <c r="J531" s="17">
        <v>3.4099999999999998E-2</v>
      </c>
      <c r="K531" s="25">
        <f t="shared" si="32"/>
        <v>9.187129719356868E-5</v>
      </c>
      <c r="M531" s="16">
        <v>44356</v>
      </c>
      <c r="N531" s="26">
        <f t="shared" si="33"/>
        <v>-7.512286143950676E-3</v>
      </c>
      <c r="O531" s="26">
        <f>'Part 2 - CAPM 2.1, 2.2 and 2.3'!C531-'Part 2 - CAPM 2.1, 2.2 and 2.3'!K531</f>
        <v>-4.4918712971935455E-3</v>
      </c>
    </row>
    <row r="532" spans="1:15" x14ac:dyDescent="0.4">
      <c r="A532" s="16">
        <v>44357</v>
      </c>
      <c r="B532" s="14">
        <v>124.05</v>
      </c>
      <c r="C532" s="25">
        <f t="shared" si="34"/>
        <v>-3.2141422257935368E-3</v>
      </c>
      <c r="E532" s="16">
        <v>44357</v>
      </c>
      <c r="F532" s="15">
        <v>13517.2</v>
      </c>
      <c r="G532" s="25">
        <f t="shared" si="35"/>
        <v>9.0173479442239024E-3</v>
      </c>
      <c r="I532" s="16">
        <v>44357</v>
      </c>
      <c r="J532" s="17">
        <v>3.4099999999999998E-2</v>
      </c>
      <c r="K532" s="25">
        <f t="shared" si="32"/>
        <v>9.187129719356868E-5</v>
      </c>
      <c r="M532" s="16">
        <v>44357</v>
      </c>
      <c r="N532" s="26">
        <f t="shared" si="33"/>
        <v>8.9254766470303337E-3</v>
      </c>
      <c r="O532" s="26">
        <f>'Part 2 - CAPM 2.1, 2.2 and 2.3'!C532-'Part 2 - CAPM 2.1, 2.2 and 2.3'!K532</f>
        <v>-3.3060135229871055E-3</v>
      </c>
    </row>
    <row r="533" spans="1:15" x14ac:dyDescent="0.4">
      <c r="A533" s="16">
        <v>44358</v>
      </c>
      <c r="B533" s="14">
        <v>123.6</v>
      </c>
      <c r="C533" s="25">
        <f t="shared" si="34"/>
        <v>-3.6275695284159843E-3</v>
      </c>
      <c r="E533" s="16">
        <v>44358</v>
      </c>
      <c r="F533" s="15">
        <v>13563.85</v>
      </c>
      <c r="G533" s="25">
        <f t="shared" si="35"/>
        <v>3.4511585239546381E-3</v>
      </c>
      <c r="I533" s="16">
        <v>44358</v>
      </c>
      <c r="J533" s="17">
        <v>3.4099999999999998E-2</v>
      </c>
      <c r="K533" s="25">
        <f t="shared" si="32"/>
        <v>9.187129719356868E-5</v>
      </c>
      <c r="M533" s="16">
        <v>44358</v>
      </c>
      <c r="N533" s="26">
        <f t="shared" si="33"/>
        <v>3.3592872267610694E-3</v>
      </c>
      <c r="O533" s="26">
        <f>'Part 2 - CAPM 2.1, 2.2 and 2.3'!C533-'Part 2 - CAPM 2.1, 2.2 and 2.3'!K533</f>
        <v>-3.719440825609553E-3</v>
      </c>
    </row>
    <row r="534" spans="1:15" x14ac:dyDescent="0.4">
      <c r="A534" s="16">
        <v>44361</v>
      </c>
      <c r="B534" s="14">
        <v>125</v>
      </c>
      <c r="C534" s="25">
        <f t="shared" si="34"/>
        <v>1.1326860841423994E-2</v>
      </c>
      <c r="E534" s="16">
        <v>44361</v>
      </c>
      <c r="F534" s="15">
        <v>13554.15</v>
      </c>
      <c r="G534" s="25">
        <f t="shared" si="35"/>
        <v>-7.1513618920886971E-4</v>
      </c>
      <c r="I534" s="16">
        <v>44361</v>
      </c>
      <c r="J534" s="17">
        <v>3.4200000000000001E-2</v>
      </c>
      <c r="K534" s="25">
        <f t="shared" si="32"/>
        <v>9.2136246968133051E-5</v>
      </c>
      <c r="M534" s="16">
        <v>44361</v>
      </c>
      <c r="N534" s="26">
        <f t="shared" si="33"/>
        <v>-8.0727243617700277E-4</v>
      </c>
      <c r="O534" s="26">
        <f>'Part 2 - CAPM 2.1, 2.2 and 2.3'!C534-'Part 2 - CAPM 2.1, 2.2 and 2.3'!K534</f>
        <v>1.1234724594455861E-2</v>
      </c>
    </row>
    <row r="535" spans="1:15" x14ac:dyDescent="0.4">
      <c r="A535" s="16">
        <v>44362</v>
      </c>
      <c r="B535" s="14">
        <v>125.75</v>
      </c>
      <c r="C535" s="25">
        <f t="shared" si="34"/>
        <v>6.0000000000000001E-3</v>
      </c>
      <c r="E535" s="16">
        <v>44362</v>
      </c>
      <c r="F535" s="15">
        <v>13607.8</v>
      </c>
      <c r="G535" s="25">
        <f t="shared" si="35"/>
        <v>3.9581973048844555E-3</v>
      </c>
      <c r="I535" s="16">
        <v>44362</v>
      </c>
      <c r="J535" s="17">
        <v>3.4099999999999998E-2</v>
      </c>
      <c r="K535" s="25">
        <f t="shared" si="32"/>
        <v>9.187129719356868E-5</v>
      </c>
      <c r="M535" s="16">
        <v>44362</v>
      </c>
      <c r="N535" s="26">
        <f t="shared" si="33"/>
        <v>3.8663260076908868E-3</v>
      </c>
      <c r="O535" s="26">
        <f>'Part 2 - CAPM 2.1, 2.2 and 2.3'!C535-'Part 2 - CAPM 2.1, 2.2 and 2.3'!K535</f>
        <v>5.9081287028064314E-3</v>
      </c>
    </row>
    <row r="536" spans="1:15" x14ac:dyDescent="0.4">
      <c r="A536" s="16">
        <v>44363</v>
      </c>
      <c r="B536" s="14">
        <v>126.7</v>
      </c>
      <c r="C536" s="25">
        <f t="shared" si="34"/>
        <v>7.5546719681908771E-3</v>
      </c>
      <c r="E536" s="16">
        <v>44363</v>
      </c>
      <c r="F536" s="15">
        <v>13510.6</v>
      </c>
      <c r="G536" s="25">
        <f t="shared" si="35"/>
        <v>-7.1429621246637161E-3</v>
      </c>
      <c r="I536" s="16">
        <v>44363</v>
      </c>
      <c r="J536" s="17">
        <v>3.44E-2</v>
      </c>
      <c r="K536" s="25">
        <f t="shared" si="32"/>
        <v>9.2666069880342761E-5</v>
      </c>
      <c r="M536" s="16">
        <v>44363</v>
      </c>
      <c r="N536" s="26">
        <f t="shared" si="33"/>
        <v>-7.2356281945440588E-3</v>
      </c>
      <c r="O536" s="26">
        <f>'Part 2 - CAPM 2.1, 2.2 and 2.3'!C536-'Part 2 - CAPM 2.1, 2.2 and 2.3'!K536</f>
        <v>7.4620058983105343E-3</v>
      </c>
    </row>
    <row r="537" spans="1:15" x14ac:dyDescent="0.4">
      <c r="A537" s="16">
        <v>44364</v>
      </c>
      <c r="B537" s="14">
        <v>125.35</v>
      </c>
      <c r="C537" s="25">
        <f t="shared" si="34"/>
        <v>-1.0655090765588069E-2</v>
      </c>
      <c r="E537" s="16">
        <v>44364</v>
      </c>
      <c r="F537" s="15">
        <v>13425.15</v>
      </c>
      <c r="G537" s="25">
        <f t="shared" si="35"/>
        <v>-6.3246635974716688E-3</v>
      </c>
      <c r="I537" s="16">
        <v>44364</v>
      </c>
      <c r="J537" s="17">
        <v>3.4700000000000002E-2</v>
      </c>
      <c r="K537" s="25">
        <f t="shared" si="32"/>
        <v>9.3460612729190373E-5</v>
      </c>
      <c r="M537" s="16">
        <v>44364</v>
      </c>
      <c r="N537" s="26">
        <f t="shared" si="33"/>
        <v>-6.4181242102008592E-3</v>
      </c>
      <c r="O537" s="26">
        <f>'Part 2 - CAPM 2.1, 2.2 and 2.3'!C537-'Part 2 - CAPM 2.1, 2.2 and 2.3'!K537</f>
        <v>-1.074855137831726E-2</v>
      </c>
    </row>
    <row r="538" spans="1:15" x14ac:dyDescent="0.4">
      <c r="A538" s="16">
        <v>44365</v>
      </c>
      <c r="B538" s="14">
        <v>120.75</v>
      </c>
      <c r="C538" s="25">
        <f t="shared" si="34"/>
        <v>-3.6697247706421972E-2</v>
      </c>
      <c r="E538" s="16">
        <v>44365</v>
      </c>
      <c r="F538" s="15">
        <v>13386.55</v>
      </c>
      <c r="G538" s="25">
        <f t="shared" si="35"/>
        <v>-2.8752006495272207E-3</v>
      </c>
      <c r="I538" s="16">
        <v>44365</v>
      </c>
      <c r="J538" s="17">
        <v>3.4799999999999998E-2</v>
      </c>
      <c r="K538" s="25">
        <f t="shared" si="32"/>
        <v>9.3725409293421436E-5</v>
      </c>
      <c r="M538" s="16">
        <v>44365</v>
      </c>
      <c r="N538" s="26">
        <f t="shared" si="33"/>
        <v>-2.9689260588206421E-3</v>
      </c>
      <c r="O538" s="26">
        <f>'Part 2 - CAPM 2.1, 2.2 and 2.3'!C538-'Part 2 - CAPM 2.1, 2.2 and 2.3'!K538</f>
        <v>-3.6790973115715393E-2</v>
      </c>
    </row>
    <row r="539" spans="1:15" x14ac:dyDescent="0.4">
      <c r="A539" s="16">
        <v>44368</v>
      </c>
      <c r="B539" s="14">
        <v>121.1</v>
      </c>
      <c r="C539" s="25">
        <f t="shared" si="34"/>
        <v>2.8985507246376339E-3</v>
      </c>
      <c r="E539" s="16">
        <v>44368</v>
      </c>
      <c r="F539" s="15">
        <v>13456.1</v>
      </c>
      <c r="G539" s="25">
        <f t="shared" si="35"/>
        <v>5.1955134071139386E-3</v>
      </c>
      <c r="I539" s="16">
        <v>44368</v>
      </c>
      <c r="J539" s="17">
        <v>3.4500000000000003E-2</v>
      </c>
      <c r="K539" s="25">
        <f t="shared" si="32"/>
        <v>9.2930943027536017E-5</v>
      </c>
      <c r="M539" s="16">
        <v>44368</v>
      </c>
      <c r="N539" s="26">
        <f t="shared" si="33"/>
        <v>5.1025824640864026E-3</v>
      </c>
      <c r="O539" s="26">
        <f>'Part 2 - CAPM 2.1, 2.2 and 2.3'!C539-'Part 2 - CAPM 2.1, 2.2 and 2.3'!K539</f>
        <v>2.8056197816100979E-3</v>
      </c>
    </row>
    <row r="540" spans="1:15" x14ac:dyDescent="0.4">
      <c r="A540" s="16">
        <v>44369</v>
      </c>
      <c r="B540" s="14">
        <v>122</v>
      </c>
      <c r="C540" s="25">
        <f t="shared" si="34"/>
        <v>7.4318744838976526E-3</v>
      </c>
      <c r="E540" s="16">
        <v>44369</v>
      </c>
      <c r="F540" s="15">
        <v>13491.1</v>
      </c>
      <c r="G540" s="25">
        <f t="shared" si="35"/>
        <v>2.6010508245331112E-3</v>
      </c>
      <c r="I540" s="16">
        <v>44369</v>
      </c>
      <c r="J540" s="17">
        <v>3.4700000000000002E-2</v>
      </c>
      <c r="K540" s="25">
        <f t="shared" si="32"/>
        <v>9.3460612729190373E-5</v>
      </c>
      <c r="M540" s="16">
        <v>44369</v>
      </c>
      <c r="N540" s="26">
        <f t="shared" si="33"/>
        <v>2.5075902118039208E-3</v>
      </c>
      <c r="O540" s="26">
        <f>'Part 2 - CAPM 2.1, 2.2 and 2.3'!C540-'Part 2 - CAPM 2.1, 2.2 and 2.3'!K540</f>
        <v>7.3384138711684622E-3</v>
      </c>
    </row>
    <row r="541" spans="1:15" x14ac:dyDescent="0.4">
      <c r="A541" s="16">
        <v>44370</v>
      </c>
      <c r="B541" s="14">
        <v>123.25</v>
      </c>
      <c r="C541" s="25">
        <f t="shared" si="34"/>
        <v>1.0245901639344262E-2</v>
      </c>
      <c r="E541" s="16">
        <v>44370</v>
      </c>
      <c r="F541" s="15">
        <v>13423.35</v>
      </c>
      <c r="G541" s="25">
        <f t="shared" si="35"/>
        <v>-5.0218292059209402E-3</v>
      </c>
      <c r="I541" s="16">
        <v>44370</v>
      </c>
      <c r="J541" s="17">
        <v>3.4599999999999999E-2</v>
      </c>
      <c r="K541" s="25">
        <f t="shared" si="32"/>
        <v>9.3195790642264242E-5</v>
      </c>
      <c r="M541" s="16">
        <v>44370</v>
      </c>
      <c r="N541" s="26">
        <f t="shared" si="33"/>
        <v>-5.1150249965632045E-3</v>
      </c>
      <c r="O541" s="26">
        <f>'Part 2 - CAPM 2.1, 2.2 and 2.3'!C541-'Part 2 - CAPM 2.1, 2.2 and 2.3'!K541</f>
        <v>1.0152705848701997E-2</v>
      </c>
    </row>
    <row r="542" spans="1:15" x14ac:dyDescent="0.4">
      <c r="A542" s="16">
        <v>44371</v>
      </c>
      <c r="B542" s="14">
        <v>122.45</v>
      </c>
      <c r="C542" s="25">
        <f t="shared" si="34"/>
        <v>-6.4908722109533242E-3</v>
      </c>
      <c r="E542" s="16">
        <v>44371</v>
      </c>
      <c r="F542" s="15">
        <v>13468.25</v>
      </c>
      <c r="G542" s="25">
        <f t="shared" si="35"/>
        <v>3.3449176248849682E-3</v>
      </c>
      <c r="I542" s="16">
        <v>44371</v>
      </c>
      <c r="J542" s="17">
        <v>3.4300000000000004E-2</v>
      </c>
      <c r="K542" s="25">
        <f t="shared" si="32"/>
        <v>9.2401171195355403E-5</v>
      </c>
      <c r="M542" s="16">
        <v>44371</v>
      </c>
      <c r="N542" s="26">
        <f t="shared" si="33"/>
        <v>3.2525164536896128E-3</v>
      </c>
      <c r="O542" s="26">
        <f>'Part 2 - CAPM 2.1, 2.2 and 2.3'!C542-'Part 2 - CAPM 2.1, 2.2 and 2.3'!K542</f>
        <v>-6.5832733821486796E-3</v>
      </c>
    </row>
    <row r="543" spans="1:15" x14ac:dyDescent="0.4">
      <c r="A543" s="16">
        <v>44372</v>
      </c>
      <c r="B543" s="14">
        <v>121.1</v>
      </c>
      <c r="C543" s="25">
        <f t="shared" si="34"/>
        <v>-1.1024908125765688E-2</v>
      </c>
      <c r="E543" s="16">
        <v>44372</v>
      </c>
      <c r="F543" s="15">
        <v>13539.4</v>
      </c>
      <c r="G543" s="25">
        <f t="shared" si="35"/>
        <v>5.282794720917687E-3</v>
      </c>
      <c r="I543" s="16">
        <v>44372</v>
      </c>
      <c r="J543" s="17">
        <v>3.4200000000000001E-2</v>
      </c>
      <c r="K543" s="25">
        <f t="shared" si="32"/>
        <v>9.2136246968133051E-5</v>
      </c>
      <c r="M543" s="16">
        <v>44372</v>
      </c>
      <c r="N543" s="26">
        <f t="shared" si="33"/>
        <v>5.190658473949554E-3</v>
      </c>
      <c r="O543" s="26">
        <f>'Part 2 - CAPM 2.1, 2.2 and 2.3'!C543-'Part 2 - CAPM 2.1, 2.2 and 2.3'!K543</f>
        <v>-1.1117044372733821E-2</v>
      </c>
    </row>
    <row r="544" spans="1:15" x14ac:dyDescent="0.4">
      <c r="A544" s="16">
        <v>44375</v>
      </c>
      <c r="B544" s="14">
        <v>122.55</v>
      </c>
      <c r="C544" s="25">
        <f t="shared" si="34"/>
        <v>1.197357555739061E-2</v>
      </c>
      <c r="E544" s="16">
        <v>44375</v>
      </c>
      <c r="F544" s="15">
        <v>13533.05</v>
      </c>
      <c r="G544" s="25">
        <f t="shared" si="35"/>
        <v>-4.6900158057228266E-4</v>
      </c>
      <c r="I544" s="16">
        <v>44375</v>
      </c>
      <c r="J544" s="17">
        <v>3.44E-2</v>
      </c>
      <c r="K544" s="25">
        <f t="shared" si="32"/>
        <v>9.2666069880342761E-5</v>
      </c>
      <c r="M544" s="16">
        <v>44375</v>
      </c>
      <c r="N544" s="26">
        <f t="shared" si="33"/>
        <v>-5.6166765045262542E-4</v>
      </c>
      <c r="O544" s="26">
        <f>'Part 2 - CAPM 2.1, 2.2 and 2.3'!C544-'Part 2 - CAPM 2.1, 2.2 and 2.3'!K544</f>
        <v>1.1880909487510267E-2</v>
      </c>
    </row>
    <row r="545" spans="1:15" x14ac:dyDescent="0.4">
      <c r="A545" s="16">
        <v>44376</v>
      </c>
      <c r="B545" s="14">
        <v>119.75</v>
      </c>
      <c r="C545" s="25">
        <f t="shared" si="34"/>
        <v>-2.2847817217462239E-2</v>
      </c>
      <c r="E545" s="16">
        <v>44376</v>
      </c>
      <c r="F545" s="15">
        <v>13481.95</v>
      </c>
      <c r="G545" s="25">
        <f t="shared" si="35"/>
        <v>-3.775941121919933E-3</v>
      </c>
      <c r="I545" s="16">
        <v>44376</v>
      </c>
      <c r="J545" s="17">
        <v>3.4099999999999998E-2</v>
      </c>
      <c r="K545" s="25">
        <f t="shared" si="32"/>
        <v>9.187129719356868E-5</v>
      </c>
      <c r="M545" s="16">
        <v>44376</v>
      </c>
      <c r="N545" s="26">
        <f t="shared" si="33"/>
        <v>-3.8678124191135017E-3</v>
      </c>
      <c r="O545" s="26">
        <f>'Part 2 - CAPM 2.1, 2.2 and 2.3'!C545-'Part 2 - CAPM 2.1, 2.2 and 2.3'!K545</f>
        <v>-2.2939688514655807E-2</v>
      </c>
    </row>
    <row r="546" spans="1:15" x14ac:dyDescent="0.4">
      <c r="A546" s="16">
        <v>44377</v>
      </c>
      <c r="B546" s="14">
        <v>117.85</v>
      </c>
      <c r="C546" s="25">
        <f t="shared" si="34"/>
        <v>-1.5866388308977082E-2</v>
      </c>
      <c r="E546" s="16">
        <v>44377</v>
      </c>
      <c r="F546" s="15">
        <v>13473.55</v>
      </c>
      <c r="G546" s="25">
        <f t="shared" si="35"/>
        <v>-6.2305527019470143E-4</v>
      </c>
      <c r="I546" s="16">
        <v>44377</v>
      </c>
      <c r="J546" s="17">
        <v>3.4000000000000002E-2</v>
      </c>
      <c r="K546" s="25">
        <f t="shared" si="32"/>
        <v>9.1606321866555263E-5</v>
      </c>
      <c r="M546" s="16">
        <v>44377</v>
      </c>
      <c r="N546" s="26">
        <f t="shared" si="33"/>
        <v>-7.1466159206125669E-4</v>
      </c>
      <c r="O546" s="26">
        <f>'Part 2 - CAPM 2.1, 2.2 and 2.3'!C546-'Part 2 - CAPM 2.1, 2.2 and 2.3'!K546</f>
        <v>-1.5957994630843637E-2</v>
      </c>
    </row>
    <row r="547" spans="1:15" x14ac:dyDescent="0.4">
      <c r="A547" s="16">
        <v>44378</v>
      </c>
      <c r="B547" s="14">
        <v>118.9</v>
      </c>
      <c r="C547" s="25">
        <f t="shared" si="34"/>
        <v>8.9096308867205043E-3</v>
      </c>
      <c r="E547" s="16">
        <v>44378</v>
      </c>
      <c r="F547" s="15">
        <v>13454.1</v>
      </c>
      <c r="G547" s="25">
        <f t="shared" si="35"/>
        <v>-1.4435690668011705E-3</v>
      </c>
      <c r="I547" s="16">
        <v>44378</v>
      </c>
      <c r="J547" s="17">
        <v>3.4000000000000002E-2</v>
      </c>
      <c r="K547" s="25">
        <f t="shared" si="32"/>
        <v>9.1606321866555263E-5</v>
      </c>
      <c r="M547" s="16">
        <v>44378</v>
      </c>
      <c r="N547" s="26">
        <f t="shared" si="33"/>
        <v>-1.5351753886677258E-3</v>
      </c>
      <c r="O547" s="26">
        <f>'Part 2 - CAPM 2.1, 2.2 and 2.3'!C547-'Part 2 - CAPM 2.1, 2.2 and 2.3'!K547</f>
        <v>8.818024564853949E-3</v>
      </c>
    </row>
    <row r="548" spans="1:15" x14ac:dyDescent="0.4">
      <c r="A548" s="16">
        <v>44379</v>
      </c>
      <c r="B548" s="14">
        <v>118.9</v>
      </c>
      <c r="C548" s="25">
        <f t="shared" si="34"/>
        <v>0</v>
      </c>
      <c r="E548" s="16">
        <v>44379</v>
      </c>
      <c r="F548" s="15">
        <v>13494.45</v>
      </c>
      <c r="G548" s="25">
        <f t="shared" si="35"/>
        <v>2.9990857805427614E-3</v>
      </c>
      <c r="I548" s="16">
        <v>44379</v>
      </c>
      <c r="J548" s="17">
        <v>3.4099999999999998E-2</v>
      </c>
      <c r="K548" s="25">
        <f t="shared" si="32"/>
        <v>9.187129719356868E-5</v>
      </c>
      <c r="M548" s="16">
        <v>44379</v>
      </c>
      <c r="N548" s="26">
        <f t="shared" si="33"/>
        <v>2.9072144833491927E-3</v>
      </c>
      <c r="O548" s="26">
        <f>'Part 2 - CAPM 2.1, 2.2 and 2.3'!C548-'Part 2 - CAPM 2.1, 2.2 and 2.3'!K548</f>
        <v>-9.187129719356868E-5</v>
      </c>
    </row>
    <row r="549" spans="1:15" x14ac:dyDescent="0.4">
      <c r="A549" s="16">
        <v>44382</v>
      </c>
      <c r="B549" s="14">
        <v>121.25</v>
      </c>
      <c r="C549" s="25">
        <f t="shared" si="34"/>
        <v>1.9764507989907438E-2</v>
      </c>
      <c r="E549" s="16">
        <v>44382</v>
      </c>
      <c r="F549" s="15">
        <v>13585.75</v>
      </c>
      <c r="G549" s="25">
        <f t="shared" si="35"/>
        <v>6.7657444356753532E-3</v>
      </c>
      <c r="I549" s="16">
        <v>44382</v>
      </c>
      <c r="J549" s="17">
        <v>3.4099999999999998E-2</v>
      </c>
      <c r="K549" s="25">
        <f t="shared" si="32"/>
        <v>9.187129719356868E-5</v>
      </c>
      <c r="M549" s="16">
        <v>44382</v>
      </c>
      <c r="N549" s="26">
        <f t="shared" si="33"/>
        <v>6.6738731384817845E-3</v>
      </c>
      <c r="O549" s="26">
        <f>'Part 2 - CAPM 2.1, 2.2 and 2.3'!C549-'Part 2 - CAPM 2.1, 2.2 and 2.3'!K549</f>
        <v>1.9672636692713869E-2</v>
      </c>
    </row>
    <row r="550" spans="1:15" x14ac:dyDescent="0.4">
      <c r="A550" s="16">
        <v>44383</v>
      </c>
      <c r="B550" s="14">
        <v>121.6</v>
      </c>
      <c r="C550" s="25">
        <f t="shared" si="34"/>
        <v>2.886597938144283E-3</v>
      </c>
      <c r="E550" s="16">
        <v>44383</v>
      </c>
      <c r="F550" s="15">
        <v>13574.15</v>
      </c>
      <c r="G550" s="25">
        <f t="shared" si="35"/>
        <v>-8.5383582062089789E-4</v>
      </c>
      <c r="I550" s="16">
        <v>44383</v>
      </c>
      <c r="J550" s="17">
        <v>3.4200000000000001E-2</v>
      </c>
      <c r="K550" s="25">
        <f t="shared" si="32"/>
        <v>9.2136246968133051E-5</v>
      </c>
      <c r="M550" s="16">
        <v>44383</v>
      </c>
      <c r="N550" s="26">
        <f t="shared" si="33"/>
        <v>-9.4597206758903095E-4</v>
      </c>
      <c r="O550" s="26">
        <f>'Part 2 - CAPM 2.1, 2.2 and 2.3'!C550-'Part 2 - CAPM 2.1, 2.2 and 2.3'!K550</f>
        <v>2.79446169117615E-3</v>
      </c>
    </row>
    <row r="551" spans="1:15" x14ac:dyDescent="0.4">
      <c r="A551" s="16">
        <v>44384</v>
      </c>
      <c r="B551" s="14">
        <v>120.1</v>
      </c>
      <c r="C551" s="25">
        <f t="shared" si="34"/>
        <v>-1.2335526315789474E-2</v>
      </c>
      <c r="E551" s="16">
        <v>44384</v>
      </c>
      <c r="F551" s="15">
        <v>13631</v>
      </c>
      <c r="G551" s="25">
        <f t="shared" si="35"/>
        <v>4.1881075426454225E-3</v>
      </c>
      <c r="I551" s="16">
        <v>44384</v>
      </c>
      <c r="J551" s="17">
        <v>3.4200000000000001E-2</v>
      </c>
      <c r="K551" s="25">
        <f t="shared" si="32"/>
        <v>9.2136246968133051E-5</v>
      </c>
      <c r="M551" s="16">
        <v>44384</v>
      </c>
      <c r="N551" s="26">
        <f t="shared" si="33"/>
        <v>4.0959712956772894E-3</v>
      </c>
      <c r="O551" s="26">
        <f>'Part 2 - CAPM 2.1, 2.2 and 2.3'!C551-'Part 2 - CAPM 2.1, 2.2 and 2.3'!K551</f>
        <v>-1.2427662562757607E-2</v>
      </c>
    </row>
    <row r="552" spans="1:15" x14ac:dyDescent="0.4">
      <c r="A552" s="16">
        <v>44385</v>
      </c>
      <c r="B552" s="14">
        <v>117.1</v>
      </c>
      <c r="C552" s="25">
        <f t="shared" si="34"/>
        <v>-2.4979184013322234E-2</v>
      </c>
      <c r="E552" s="16">
        <v>44385</v>
      </c>
      <c r="F552" s="15">
        <v>13532.7</v>
      </c>
      <c r="G552" s="25">
        <f t="shared" si="35"/>
        <v>-7.2115031912551733E-3</v>
      </c>
      <c r="I552" s="16">
        <v>44385</v>
      </c>
      <c r="J552" s="17">
        <v>3.4200000000000001E-2</v>
      </c>
      <c r="K552" s="25">
        <f t="shared" si="32"/>
        <v>9.2136246968133051E-5</v>
      </c>
      <c r="M552" s="16">
        <v>44385</v>
      </c>
      <c r="N552" s="26">
        <f t="shared" si="33"/>
        <v>-7.3036394382233064E-3</v>
      </c>
      <c r="O552" s="26">
        <f>'Part 2 - CAPM 2.1, 2.2 and 2.3'!C552-'Part 2 - CAPM 2.1, 2.2 and 2.3'!K552</f>
        <v>-2.5071320260290367E-2</v>
      </c>
    </row>
    <row r="553" spans="1:15" x14ac:dyDescent="0.4">
      <c r="A553" s="16">
        <v>44386</v>
      </c>
      <c r="B553" s="14">
        <v>118.1</v>
      </c>
      <c r="C553" s="25">
        <f t="shared" si="34"/>
        <v>8.539709649871904E-3</v>
      </c>
      <c r="E553" s="16">
        <v>44386</v>
      </c>
      <c r="F553" s="15">
        <v>13527.95</v>
      </c>
      <c r="G553" s="25">
        <f t="shared" si="35"/>
        <v>-3.5100164786036782E-4</v>
      </c>
      <c r="I553" s="16">
        <v>44386</v>
      </c>
      <c r="J553" s="17">
        <v>3.4599999999999999E-2</v>
      </c>
      <c r="K553" s="25">
        <f t="shared" si="32"/>
        <v>9.3195790642264242E-5</v>
      </c>
      <c r="M553" s="16">
        <v>44386</v>
      </c>
      <c r="N553" s="26">
        <f t="shared" si="33"/>
        <v>-4.4419743850263206E-4</v>
      </c>
      <c r="O553" s="26">
        <f>'Part 2 - CAPM 2.1, 2.2 and 2.3'!C553-'Part 2 - CAPM 2.1, 2.2 and 2.3'!K553</f>
        <v>8.4465138592296398E-3</v>
      </c>
    </row>
    <row r="554" spans="1:15" x14ac:dyDescent="0.4">
      <c r="A554" s="16">
        <v>44389</v>
      </c>
      <c r="B554" s="14">
        <v>118.45</v>
      </c>
      <c r="C554" s="25">
        <f t="shared" si="34"/>
        <v>2.9635901778154831E-3</v>
      </c>
      <c r="E554" s="16">
        <v>44389</v>
      </c>
      <c r="F554" s="15">
        <v>13549</v>
      </c>
      <c r="G554" s="25">
        <f t="shared" si="35"/>
        <v>1.5560376849411235E-3</v>
      </c>
      <c r="I554" s="16">
        <v>44389</v>
      </c>
      <c r="J554" s="17">
        <v>3.4300000000000004E-2</v>
      </c>
      <c r="K554" s="25">
        <f t="shared" si="32"/>
        <v>9.2401171195355403E-5</v>
      </c>
      <c r="M554" s="16">
        <v>44389</v>
      </c>
      <c r="N554" s="26">
        <f t="shared" si="33"/>
        <v>1.4636365137457681E-3</v>
      </c>
      <c r="O554" s="26">
        <f>'Part 2 - CAPM 2.1, 2.2 and 2.3'!C554-'Part 2 - CAPM 2.1, 2.2 and 2.3'!K554</f>
        <v>2.8711890066201277E-3</v>
      </c>
    </row>
    <row r="555" spans="1:15" x14ac:dyDescent="0.4">
      <c r="A555" s="16">
        <v>44390</v>
      </c>
      <c r="B555" s="14">
        <v>120.7</v>
      </c>
      <c r="C555" s="25">
        <f t="shared" si="34"/>
        <v>1.8995356690586745E-2</v>
      </c>
      <c r="E555" s="16">
        <v>44390</v>
      </c>
      <c r="F555" s="15">
        <v>13628.85</v>
      </c>
      <c r="G555" s="25">
        <f t="shared" si="35"/>
        <v>5.8934238689202422E-3</v>
      </c>
      <c r="I555" s="16">
        <v>44390</v>
      </c>
      <c r="J555" s="17">
        <v>3.44E-2</v>
      </c>
      <c r="K555" s="25">
        <f t="shared" si="32"/>
        <v>9.2666069880342761E-5</v>
      </c>
      <c r="M555" s="16">
        <v>44390</v>
      </c>
      <c r="N555" s="26">
        <f t="shared" si="33"/>
        <v>5.8007577990398995E-3</v>
      </c>
      <c r="O555" s="26">
        <f>'Part 2 - CAPM 2.1, 2.2 and 2.3'!C555-'Part 2 - CAPM 2.1, 2.2 and 2.3'!K555</f>
        <v>1.8902690620706403E-2</v>
      </c>
    </row>
    <row r="556" spans="1:15" x14ac:dyDescent="0.4">
      <c r="A556" s="16">
        <v>44391</v>
      </c>
      <c r="B556" s="14">
        <v>120.45</v>
      </c>
      <c r="C556" s="25">
        <f t="shared" si="34"/>
        <v>-2.0712510356255178E-3</v>
      </c>
      <c r="E556" s="16">
        <v>44391</v>
      </c>
      <c r="F556" s="15">
        <v>13661.1</v>
      </c>
      <c r="G556" s="25">
        <f t="shared" si="35"/>
        <v>2.3663038334122101E-3</v>
      </c>
      <c r="I556" s="16">
        <v>44391</v>
      </c>
      <c r="J556" s="17">
        <v>3.44E-2</v>
      </c>
      <c r="K556" s="25">
        <f t="shared" si="32"/>
        <v>9.2666069880342761E-5</v>
      </c>
      <c r="M556" s="16">
        <v>44391</v>
      </c>
      <c r="N556" s="26">
        <f t="shared" si="33"/>
        <v>2.2736377635318673E-3</v>
      </c>
      <c r="O556" s="26">
        <f>'Part 2 - CAPM 2.1, 2.2 and 2.3'!C556-'Part 2 - CAPM 2.1, 2.2 and 2.3'!K556</f>
        <v>-2.1639171055058606E-3</v>
      </c>
    </row>
    <row r="557" spans="1:15" x14ac:dyDescent="0.4">
      <c r="A557" s="16">
        <v>44392</v>
      </c>
      <c r="B557" s="14">
        <v>117.1</v>
      </c>
      <c r="C557" s="25">
        <f t="shared" si="34"/>
        <v>-2.7812370278123773E-2</v>
      </c>
      <c r="E557" s="16">
        <v>44392</v>
      </c>
      <c r="F557" s="15">
        <v>13720.35</v>
      </c>
      <c r="G557" s="25">
        <f t="shared" si="35"/>
        <v>4.3371324417506643E-3</v>
      </c>
      <c r="I557" s="16">
        <v>44392</v>
      </c>
      <c r="J557" s="17">
        <v>3.4300000000000004E-2</v>
      </c>
      <c r="K557" s="25">
        <f t="shared" si="32"/>
        <v>9.2401171195355403E-5</v>
      </c>
      <c r="M557" s="16">
        <v>44392</v>
      </c>
      <c r="N557" s="26">
        <f t="shared" si="33"/>
        <v>4.2447312705553089E-3</v>
      </c>
      <c r="O557" s="26">
        <f>'Part 2 - CAPM 2.1, 2.2 and 2.3'!C557-'Part 2 - CAPM 2.1, 2.2 and 2.3'!K557</f>
        <v>-2.7904771449319129E-2</v>
      </c>
    </row>
    <row r="558" spans="1:15" x14ac:dyDescent="0.4">
      <c r="A558" s="16">
        <v>44393</v>
      </c>
      <c r="B558" s="14">
        <v>116.55</v>
      </c>
      <c r="C558" s="25">
        <f t="shared" si="34"/>
        <v>-4.6968403074295235E-3</v>
      </c>
      <c r="E558" s="16">
        <v>44393</v>
      </c>
      <c r="F558" s="15">
        <v>13742.35</v>
      </c>
      <c r="G558" s="25">
        <f t="shared" si="35"/>
        <v>1.6034576377424773E-3</v>
      </c>
      <c r="I558" s="16">
        <v>44393</v>
      </c>
      <c r="J558" s="17">
        <v>3.44E-2</v>
      </c>
      <c r="K558" s="25">
        <f t="shared" si="32"/>
        <v>9.2666069880342761E-5</v>
      </c>
      <c r="M558" s="16">
        <v>44393</v>
      </c>
      <c r="N558" s="26">
        <f t="shared" si="33"/>
        <v>1.5107915678621345E-3</v>
      </c>
      <c r="O558" s="26">
        <f>'Part 2 - CAPM 2.1, 2.2 and 2.3'!C558-'Part 2 - CAPM 2.1, 2.2 and 2.3'!K558</f>
        <v>-4.7895063773098663E-3</v>
      </c>
    </row>
    <row r="559" spans="1:15" x14ac:dyDescent="0.4">
      <c r="A559" s="16">
        <v>44396</v>
      </c>
      <c r="B559" s="14">
        <v>114.7</v>
      </c>
      <c r="C559" s="25">
        <f t="shared" si="34"/>
        <v>-1.5873015873015824E-2</v>
      </c>
      <c r="E559" s="16">
        <v>44396</v>
      </c>
      <c r="F559" s="15">
        <v>13619.85</v>
      </c>
      <c r="G559" s="25">
        <f t="shared" si="35"/>
        <v>-8.9140503625653542E-3</v>
      </c>
      <c r="I559" s="16">
        <v>44396</v>
      </c>
      <c r="J559" s="17">
        <v>3.44E-2</v>
      </c>
      <c r="K559" s="25">
        <f t="shared" si="32"/>
        <v>9.2666069880342761E-5</v>
      </c>
      <c r="M559" s="16">
        <v>44396</v>
      </c>
      <c r="N559" s="26">
        <f t="shared" si="33"/>
        <v>-9.006716432445697E-3</v>
      </c>
      <c r="O559" s="26">
        <f>'Part 2 - CAPM 2.1, 2.2 and 2.3'!C559-'Part 2 - CAPM 2.1, 2.2 and 2.3'!K559</f>
        <v>-1.5965681942896166E-2</v>
      </c>
    </row>
    <row r="560" spans="1:15" x14ac:dyDescent="0.4">
      <c r="A560" s="16">
        <v>44397</v>
      </c>
      <c r="B560" s="14">
        <v>112.65</v>
      </c>
      <c r="C560" s="25">
        <f t="shared" si="34"/>
        <v>-1.7872711421098492E-2</v>
      </c>
      <c r="E560" s="16">
        <v>44397</v>
      </c>
      <c r="F560" s="15">
        <v>13495.6</v>
      </c>
      <c r="G560" s="25">
        <f t="shared" si="35"/>
        <v>-9.1227142736520599E-3</v>
      </c>
      <c r="I560" s="16">
        <v>44397</v>
      </c>
      <c r="J560" s="17">
        <v>3.4300000000000004E-2</v>
      </c>
      <c r="K560" s="25">
        <f t="shared" si="32"/>
        <v>9.2401171195355403E-5</v>
      </c>
      <c r="M560" s="16">
        <v>44397</v>
      </c>
      <c r="N560" s="26">
        <f t="shared" si="33"/>
        <v>-9.2151154448474153E-3</v>
      </c>
      <c r="O560" s="26">
        <f>'Part 2 - CAPM 2.1, 2.2 and 2.3'!C560-'Part 2 - CAPM 2.1, 2.2 and 2.3'!K560</f>
        <v>-1.7965112592293848E-2</v>
      </c>
    </row>
    <row r="561" spans="1:15" x14ac:dyDescent="0.4">
      <c r="A561" s="16">
        <v>44399</v>
      </c>
      <c r="B561" s="14">
        <v>115.4</v>
      </c>
      <c r="C561" s="25">
        <f t="shared" si="34"/>
        <v>2.4411895250776743E-2</v>
      </c>
      <c r="E561" s="16">
        <v>44399</v>
      </c>
      <c r="F561" s="15">
        <v>13670.2</v>
      </c>
      <c r="G561" s="25">
        <f t="shared" si="35"/>
        <v>1.2937550016301636E-2</v>
      </c>
      <c r="I561" s="16">
        <v>44399</v>
      </c>
      <c r="J561" s="17">
        <v>3.44E-2</v>
      </c>
      <c r="K561" s="25">
        <f t="shared" si="32"/>
        <v>9.2666069880342761E-5</v>
      </c>
      <c r="M561" s="16">
        <v>44399</v>
      </c>
      <c r="N561" s="26">
        <f t="shared" si="33"/>
        <v>1.2844883946421293E-2</v>
      </c>
      <c r="O561" s="26">
        <f>'Part 2 - CAPM 2.1, 2.2 and 2.3'!C561-'Part 2 - CAPM 2.1, 2.2 and 2.3'!K561</f>
        <v>2.43192291808964E-2</v>
      </c>
    </row>
    <row r="562" spans="1:15" x14ac:dyDescent="0.4">
      <c r="A562" s="16">
        <v>44400</v>
      </c>
      <c r="B562" s="14">
        <v>115.15</v>
      </c>
      <c r="C562" s="25">
        <f t="shared" si="34"/>
        <v>-2.1663778162911611E-3</v>
      </c>
      <c r="E562" s="16">
        <v>44400</v>
      </c>
      <c r="F562" s="15">
        <v>13687</v>
      </c>
      <c r="G562" s="25">
        <f t="shared" si="35"/>
        <v>1.2289505640004734E-3</v>
      </c>
      <c r="I562" s="16">
        <v>44400</v>
      </c>
      <c r="J562" s="17">
        <v>3.4200000000000001E-2</v>
      </c>
      <c r="K562" s="25">
        <f t="shared" si="32"/>
        <v>9.2136246968133051E-5</v>
      </c>
      <c r="M562" s="16">
        <v>44400</v>
      </c>
      <c r="N562" s="26">
        <f t="shared" si="33"/>
        <v>1.1368143170323404E-3</v>
      </c>
      <c r="O562" s="26">
        <f>'Part 2 - CAPM 2.1, 2.2 and 2.3'!C562-'Part 2 - CAPM 2.1, 2.2 and 2.3'!K562</f>
        <v>-2.2585140632592942E-3</v>
      </c>
    </row>
    <row r="563" spans="1:15" x14ac:dyDescent="0.4">
      <c r="A563" s="16">
        <v>44403</v>
      </c>
      <c r="B563" s="14">
        <v>114.9</v>
      </c>
      <c r="C563" s="25">
        <f t="shared" si="34"/>
        <v>-2.1710811984368213E-3</v>
      </c>
      <c r="E563" s="16">
        <v>44403</v>
      </c>
      <c r="F563" s="15">
        <v>13675.1</v>
      </c>
      <c r="G563" s="25">
        <f t="shared" si="35"/>
        <v>-8.6943815299186358E-4</v>
      </c>
      <c r="I563" s="16">
        <v>44403</v>
      </c>
      <c r="J563" s="17">
        <v>3.4099999999999998E-2</v>
      </c>
      <c r="K563" s="25">
        <f t="shared" si="32"/>
        <v>9.187129719356868E-5</v>
      </c>
      <c r="M563" s="16">
        <v>44403</v>
      </c>
      <c r="N563" s="26">
        <f t="shared" si="33"/>
        <v>-9.6130945018543226E-4</v>
      </c>
      <c r="O563" s="26">
        <f>'Part 2 - CAPM 2.1, 2.2 and 2.3'!C563-'Part 2 - CAPM 2.1, 2.2 and 2.3'!K563</f>
        <v>-2.26295249563039E-3</v>
      </c>
    </row>
    <row r="564" spans="1:15" x14ac:dyDescent="0.4">
      <c r="A564" s="16">
        <v>44404</v>
      </c>
      <c r="B564" s="14">
        <v>114.7</v>
      </c>
      <c r="C564" s="25">
        <f t="shared" si="34"/>
        <v>-1.7406440382941935E-3</v>
      </c>
      <c r="E564" s="16">
        <v>44404</v>
      </c>
      <c r="F564" s="15">
        <v>13610.3</v>
      </c>
      <c r="G564" s="25">
        <f t="shared" si="35"/>
        <v>-4.7385393891087512E-3</v>
      </c>
      <c r="I564" s="16">
        <v>44404</v>
      </c>
      <c r="J564" s="17">
        <v>3.4099999999999998E-2</v>
      </c>
      <c r="K564" s="25">
        <f t="shared" si="32"/>
        <v>9.187129719356868E-5</v>
      </c>
      <c r="M564" s="16">
        <v>44404</v>
      </c>
      <c r="N564" s="26">
        <f t="shared" si="33"/>
        <v>-4.8304106863023199E-3</v>
      </c>
      <c r="O564" s="26">
        <f>'Part 2 - CAPM 2.1, 2.2 and 2.3'!C564-'Part 2 - CAPM 2.1, 2.2 and 2.3'!K564</f>
        <v>-1.8325153354877622E-3</v>
      </c>
    </row>
    <row r="565" spans="1:15" x14ac:dyDescent="0.4">
      <c r="A565" s="16">
        <v>44405</v>
      </c>
      <c r="B565" s="14">
        <v>114.3</v>
      </c>
      <c r="C565" s="25">
        <f t="shared" si="34"/>
        <v>-3.4873583260680531E-3</v>
      </c>
      <c r="E565" s="16">
        <v>44405</v>
      </c>
      <c r="F565" s="15">
        <v>13579.15</v>
      </c>
      <c r="G565" s="25">
        <f t="shared" si="35"/>
        <v>-2.2887078168739587E-3</v>
      </c>
      <c r="I565" s="16">
        <v>44405</v>
      </c>
      <c r="J565" s="17">
        <v>3.39E-2</v>
      </c>
      <c r="K565" s="25">
        <f t="shared" si="32"/>
        <v>9.1341320982207819E-5</v>
      </c>
      <c r="M565" s="16">
        <v>44405</v>
      </c>
      <c r="N565" s="26">
        <f t="shared" si="33"/>
        <v>-2.3800491378561666E-3</v>
      </c>
      <c r="O565" s="26">
        <f>'Part 2 - CAPM 2.1, 2.2 and 2.3'!C565-'Part 2 - CAPM 2.1, 2.2 and 2.3'!K565</f>
        <v>-3.5786996470502609E-3</v>
      </c>
    </row>
    <row r="566" spans="1:15" x14ac:dyDescent="0.4">
      <c r="A566" s="16">
        <v>44406</v>
      </c>
      <c r="B566" s="14">
        <v>114.75</v>
      </c>
      <c r="C566" s="25">
        <f t="shared" si="34"/>
        <v>3.9370078740157731E-3</v>
      </c>
      <c r="E566" s="16">
        <v>44406</v>
      </c>
      <c r="F566" s="15">
        <v>13643.75</v>
      </c>
      <c r="G566" s="25">
        <f t="shared" si="35"/>
        <v>4.7572933504674711E-3</v>
      </c>
      <c r="I566" s="16">
        <v>44406</v>
      </c>
      <c r="J566" s="17">
        <v>3.4000000000000002E-2</v>
      </c>
      <c r="K566" s="25">
        <f t="shared" si="32"/>
        <v>9.1606321866555263E-5</v>
      </c>
      <c r="M566" s="16">
        <v>44406</v>
      </c>
      <c r="N566" s="26">
        <f t="shared" si="33"/>
        <v>4.6656870286009159E-3</v>
      </c>
      <c r="O566" s="26">
        <f>'Part 2 - CAPM 2.1, 2.2 and 2.3'!C566-'Part 2 - CAPM 2.1, 2.2 and 2.3'!K566</f>
        <v>3.8454015521492179E-3</v>
      </c>
    </row>
    <row r="567" spans="1:15" x14ac:dyDescent="0.4">
      <c r="A567" s="16">
        <v>44407</v>
      </c>
      <c r="B567" s="14">
        <v>115.8</v>
      </c>
      <c r="C567" s="25">
        <f t="shared" si="34"/>
        <v>9.1503267973855953E-3</v>
      </c>
      <c r="E567" s="16">
        <v>44407</v>
      </c>
      <c r="F567" s="15">
        <v>13664.25</v>
      </c>
      <c r="G567" s="25">
        <f t="shared" si="35"/>
        <v>1.5025194686211635E-3</v>
      </c>
      <c r="I567" s="16">
        <v>44407</v>
      </c>
      <c r="J567" s="17">
        <v>3.4099999999999998E-2</v>
      </c>
      <c r="K567" s="25">
        <f t="shared" si="32"/>
        <v>9.187129719356868E-5</v>
      </c>
      <c r="M567" s="16">
        <v>44407</v>
      </c>
      <c r="N567" s="26">
        <f t="shared" si="33"/>
        <v>1.4106481714275948E-3</v>
      </c>
      <c r="O567" s="26">
        <f>'Part 2 - CAPM 2.1, 2.2 and 2.3'!C567-'Part 2 - CAPM 2.1, 2.2 and 2.3'!K567</f>
        <v>9.0584555001920267E-3</v>
      </c>
    </row>
    <row r="568" spans="1:15" x14ac:dyDescent="0.4">
      <c r="A568" s="16">
        <v>44410</v>
      </c>
      <c r="B568" s="14">
        <v>117.45</v>
      </c>
      <c r="C568" s="25">
        <f t="shared" si="34"/>
        <v>1.4248704663212484E-2</v>
      </c>
      <c r="E568" s="16">
        <v>44410</v>
      </c>
      <c r="F568" s="15">
        <v>13783.7</v>
      </c>
      <c r="G568" s="25">
        <f t="shared" si="35"/>
        <v>8.7417897067164855E-3</v>
      </c>
      <c r="I568" s="16">
        <v>44410</v>
      </c>
      <c r="J568" s="17">
        <v>3.4099999999999998E-2</v>
      </c>
      <c r="K568" s="25">
        <f t="shared" si="32"/>
        <v>9.187129719356868E-5</v>
      </c>
      <c r="M568" s="16">
        <v>44410</v>
      </c>
      <c r="N568" s="26">
        <f t="shared" si="33"/>
        <v>8.6499184095229168E-3</v>
      </c>
      <c r="O568" s="26">
        <f>'Part 2 - CAPM 2.1, 2.2 and 2.3'!C568-'Part 2 - CAPM 2.1, 2.2 and 2.3'!K568</f>
        <v>1.4156833366018915E-2</v>
      </c>
    </row>
    <row r="569" spans="1:15" x14ac:dyDescent="0.4">
      <c r="A569" s="16">
        <v>44411</v>
      </c>
      <c r="B569" s="14">
        <v>117.6</v>
      </c>
      <c r="C569" s="25">
        <f t="shared" si="34"/>
        <v>1.2771392081736184E-3</v>
      </c>
      <c r="E569" s="16">
        <v>44411</v>
      </c>
      <c r="F569" s="15">
        <v>13939.2</v>
      </c>
      <c r="G569" s="25">
        <f t="shared" si="35"/>
        <v>1.1281441122485254E-2</v>
      </c>
      <c r="I569" s="16">
        <v>44411</v>
      </c>
      <c r="J569" s="17">
        <v>3.3799999999999997E-2</v>
      </c>
      <c r="K569" s="25">
        <f t="shared" si="32"/>
        <v>9.1076294535863411E-5</v>
      </c>
      <c r="M569" s="16">
        <v>44411</v>
      </c>
      <c r="N569" s="26">
        <f t="shared" si="33"/>
        <v>1.1190364827949391E-2</v>
      </c>
      <c r="O569" s="26">
        <f>'Part 2 - CAPM 2.1, 2.2 and 2.3'!C569-'Part 2 - CAPM 2.1, 2.2 and 2.3'!K569</f>
        <v>1.186062913637755E-3</v>
      </c>
    </row>
    <row r="570" spans="1:15" x14ac:dyDescent="0.4">
      <c r="A570" s="16">
        <v>44412</v>
      </c>
      <c r="B570" s="14">
        <v>117.4</v>
      </c>
      <c r="C570" s="25">
        <f t="shared" si="34"/>
        <v>-1.700680272108747E-3</v>
      </c>
      <c r="E570" s="16">
        <v>44412</v>
      </c>
      <c r="F570" s="15">
        <v>13969.35</v>
      </c>
      <c r="G570" s="25">
        <f t="shared" si="35"/>
        <v>2.1629648760330316E-3</v>
      </c>
      <c r="I570" s="16">
        <v>44412</v>
      </c>
      <c r="J570" s="17">
        <v>3.4099999999999998E-2</v>
      </c>
      <c r="K570" s="25">
        <f t="shared" si="32"/>
        <v>9.187129719356868E-5</v>
      </c>
      <c r="M570" s="16">
        <v>44412</v>
      </c>
      <c r="N570" s="26">
        <f t="shared" si="33"/>
        <v>2.0710935788394629E-3</v>
      </c>
      <c r="O570" s="26">
        <f>'Part 2 - CAPM 2.1, 2.2 and 2.3'!C570-'Part 2 - CAPM 2.1, 2.2 and 2.3'!K570</f>
        <v>-1.7925515693023157E-3</v>
      </c>
    </row>
    <row r="571" spans="1:15" x14ac:dyDescent="0.4">
      <c r="A571" s="16">
        <v>44413</v>
      </c>
      <c r="B571" s="14">
        <v>116.6</v>
      </c>
      <c r="C571" s="25">
        <f t="shared" si="34"/>
        <v>-6.8143100511074218E-3</v>
      </c>
      <c r="E571" s="16">
        <v>44413</v>
      </c>
      <c r="F571" s="15">
        <v>13981.55</v>
      </c>
      <c r="G571" s="25">
        <f t="shared" si="35"/>
        <v>8.7334056344775591E-4</v>
      </c>
      <c r="I571" s="16">
        <v>44413</v>
      </c>
      <c r="J571" s="17">
        <v>3.4000000000000002E-2</v>
      </c>
      <c r="K571" s="25">
        <f t="shared" si="32"/>
        <v>9.1606321866555263E-5</v>
      </c>
      <c r="M571" s="16">
        <v>44413</v>
      </c>
      <c r="N571" s="26">
        <f t="shared" si="33"/>
        <v>7.8173424158120065E-4</v>
      </c>
      <c r="O571" s="26">
        <f>'Part 2 - CAPM 2.1, 2.2 and 2.3'!C571-'Part 2 - CAPM 2.1, 2.2 and 2.3'!K571</f>
        <v>-6.905916372973977E-3</v>
      </c>
    </row>
    <row r="572" spans="1:15" x14ac:dyDescent="0.4">
      <c r="A572" s="16">
        <v>44414</v>
      </c>
      <c r="B572" s="14">
        <v>116.65</v>
      </c>
      <c r="C572" s="25">
        <f t="shared" si="34"/>
        <v>4.2881646655241313E-4</v>
      </c>
      <c r="E572" s="16">
        <v>44414</v>
      </c>
      <c r="F572" s="15">
        <v>13954.65</v>
      </c>
      <c r="G572" s="25">
        <f t="shared" si="35"/>
        <v>-1.9239640812356025E-3</v>
      </c>
      <c r="I572" s="16">
        <v>44414</v>
      </c>
      <c r="J572" s="17">
        <v>3.39E-2</v>
      </c>
      <c r="K572" s="25">
        <f t="shared" si="32"/>
        <v>9.1341320982207819E-5</v>
      </c>
      <c r="M572" s="16">
        <v>44414</v>
      </c>
      <c r="N572" s="26">
        <f t="shared" si="33"/>
        <v>-2.0153054022178105E-3</v>
      </c>
      <c r="O572" s="26">
        <f>'Part 2 - CAPM 2.1, 2.2 and 2.3'!C572-'Part 2 - CAPM 2.1, 2.2 and 2.3'!K572</f>
        <v>3.3747514557020531E-4</v>
      </c>
    </row>
    <row r="573" spans="1:15" x14ac:dyDescent="0.4">
      <c r="A573" s="16">
        <v>44417</v>
      </c>
      <c r="B573" s="14">
        <v>115</v>
      </c>
      <c r="C573" s="25">
        <f t="shared" si="34"/>
        <v>-1.4144877839691433E-2</v>
      </c>
      <c r="E573" s="16">
        <v>44417</v>
      </c>
      <c r="F573" s="15">
        <v>13935.05</v>
      </c>
      <c r="G573" s="25">
        <f t="shared" si="35"/>
        <v>-1.4045497379010126E-3</v>
      </c>
      <c r="I573" s="16">
        <v>44417</v>
      </c>
      <c r="J573" s="17">
        <v>3.3799999999999997E-2</v>
      </c>
      <c r="K573" s="25">
        <f t="shared" si="32"/>
        <v>9.1076294535863411E-5</v>
      </c>
      <c r="M573" s="16">
        <v>44417</v>
      </c>
      <c r="N573" s="26">
        <f t="shared" si="33"/>
        <v>-1.495626032436876E-3</v>
      </c>
      <c r="O573" s="26">
        <f>'Part 2 - CAPM 2.1, 2.2 and 2.3'!C573-'Part 2 - CAPM 2.1, 2.2 and 2.3'!K573</f>
        <v>-1.4235954134227296E-2</v>
      </c>
    </row>
    <row r="574" spans="1:15" x14ac:dyDescent="0.4">
      <c r="A574" s="16">
        <v>44418</v>
      </c>
      <c r="B574" s="14">
        <v>115</v>
      </c>
      <c r="C574" s="25">
        <f t="shared" si="34"/>
        <v>0</v>
      </c>
      <c r="E574" s="16">
        <v>44418</v>
      </c>
      <c r="F574" s="15">
        <v>13892.75</v>
      </c>
      <c r="G574" s="25">
        <f t="shared" si="35"/>
        <v>-3.0355111750585231E-3</v>
      </c>
      <c r="I574" s="16">
        <v>44418</v>
      </c>
      <c r="J574" s="17">
        <v>3.4000000000000002E-2</v>
      </c>
      <c r="K574" s="25">
        <f t="shared" si="32"/>
        <v>9.1606321866555263E-5</v>
      </c>
      <c r="M574" s="16">
        <v>44418</v>
      </c>
      <c r="N574" s="26">
        <f t="shared" si="33"/>
        <v>-3.1271174969250783E-3</v>
      </c>
      <c r="O574" s="26">
        <f>'Part 2 - CAPM 2.1, 2.2 and 2.3'!C574-'Part 2 - CAPM 2.1, 2.2 and 2.3'!K574</f>
        <v>-9.1606321866555263E-5</v>
      </c>
    </row>
    <row r="575" spans="1:15" x14ac:dyDescent="0.4">
      <c r="A575" s="16">
        <v>44419</v>
      </c>
      <c r="B575" s="14">
        <v>117.15</v>
      </c>
      <c r="C575" s="25">
        <f t="shared" si="34"/>
        <v>1.8695652173913092E-2</v>
      </c>
      <c r="E575" s="16">
        <v>44419</v>
      </c>
      <c r="F575" s="15">
        <v>13876.55</v>
      </c>
      <c r="G575" s="25">
        <f t="shared" si="35"/>
        <v>-1.1660758309190568E-3</v>
      </c>
      <c r="I575" s="16">
        <v>44419</v>
      </c>
      <c r="J575" s="17">
        <v>3.4000000000000002E-2</v>
      </c>
      <c r="K575" s="25">
        <f t="shared" si="32"/>
        <v>9.1606321866555263E-5</v>
      </c>
      <c r="M575" s="16">
        <v>44419</v>
      </c>
      <c r="N575" s="26">
        <f t="shared" si="33"/>
        <v>-1.2576821527856121E-3</v>
      </c>
      <c r="O575" s="26">
        <f>'Part 2 - CAPM 2.1, 2.2 and 2.3'!C575-'Part 2 - CAPM 2.1, 2.2 and 2.3'!K575</f>
        <v>1.8604045852046537E-2</v>
      </c>
    </row>
    <row r="576" spans="1:15" x14ac:dyDescent="0.4">
      <c r="A576" s="16">
        <v>44420</v>
      </c>
      <c r="B576" s="14">
        <v>116.4</v>
      </c>
      <c r="C576" s="25">
        <f t="shared" si="34"/>
        <v>-6.4020486555697821E-3</v>
      </c>
      <c r="E576" s="16">
        <v>44420</v>
      </c>
      <c r="F576" s="15">
        <v>13971.95</v>
      </c>
      <c r="G576" s="25">
        <f t="shared" si="35"/>
        <v>6.8749076679723315E-3</v>
      </c>
      <c r="I576" s="16">
        <v>44420</v>
      </c>
      <c r="J576" s="17">
        <v>3.3799999999999997E-2</v>
      </c>
      <c r="K576" s="25">
        <f t="shared" si="32"/>
        <v>9.1076294535863411E-5</v>
      </c>
      <c r="M576" s="16">
        <v>44420</v>
      </c>
      <c r="N576" s="26">
        <f t="shared" si="33"/>
        <v>6.7838313734364681E-3</v>
      </c>
      <c r="O576" s="26">
        <f>'Part 2 - CAPM 2.1, 2.2 and 2.3'!C576-'Part 2 - CAPM 2.1, 2.2 and 2.3'!K576</f>
        <v>-6.4931249501056455E-3</v>
      </c>
    </row>
    <row r="577" spans="1:15" x14ac:dyDescent="0.4">
      <c r="A577" s="16">
        <v>44421</v>
      </c>
      <c r="B577" s="14">
        <v>116.2</v>
      </c>
      <c r="C577" s="25">
        <f t="shared" si="34"/>
        <v>-1.7182130584192682E-3</v>
      </c>
      <c r="E577" s="16">
        <v>44421</v>
      </c>
      <c r="F577" s="15">
        <v>14065.3</v>
      </c>
      <c r="G577" s="25">
        <f t="shared" si="35"/>
        <v>6.6812434914237844E-3</v>
      </c>
      <c r="I577" s="16">
        <v>44421</v>
      </c>
      <c r="J577" s="17">
        <v>3.3599999999999998E-2</v>
      </c>
      <c r="K577" s="25">
        <f t="shared" si="32"/>
        <v>9.0546164936533557E-5</v>
      </c>
      <c r="M577" s="16">
        <v>44421</v>
      </c>
      <c r="N577" s="26">
        <f t="shared" si="33"/>
        <v>6.5906973264872508E-3</v>
      </c>
      <c r="O577" s="26">
        <f>'Part 2 - CAPM 2.1, 2.2 and 2.3'!C577-'Part 2 - CAPM 2.1, 2.2 and 2.3'!K577</f>
        <v>-1.8087592233558018E-3</v>
      </c>
    </row>
    <row r="578" spans="1:15" x14ac:dyDescent="0.4">
      <c r="A578" s="16">
        <v>44425</v>
      </c>
      <c r="B578" s="14">
        <v>114.1</v>
      </c>
      <c r="C578" s="25">
        <f t="shared" si="34"/>
        <v>-1.8072289156626578E-2</v>
      </c>
      <c r="E578" s="16">
        <v>44425</v>
      </c>
      <c r="F578" s="15">
        <v>14113.1</v>
      </c>
      <c r="G578" s="25">
        <f t="shared" si="35"/>
        <v>3.3984344450527964E-3</v>
      </c>
      <c r="I578" s="16">
        <v>44425</v>
      </c>
      <c r="J578" s="17">
        <v>3.3799999999999997E-2</v>
      </c>
      <c r="K578" s="25">
        <f t="shared" si="32"/>
        <v>9.1076294535863411E-5</v>
      </c>
      <c r="M578" s="16">
        <v>44425</v>
      </c>
      <c r="N578" s="26">
        <f t="shared" si="33"/>
        <v>3.3073581505169329E-3</v>
      </c>
      <c r="O578" s="26">
        <f>'Part 2 - CAPM 2.1, 2.2 and 2.3'!C578-'Part 2 - CAPM 2.1, 2.2 and 2.3'!K578</f>
        <v>-1.8163365451162441E-2</v>
      </c>
    </row>
    <row r="579" spans="1:15" x14ac:dyDescent="0.4">
      <c r="A579" s="16">
        <v>44426</v>
      </c>
      <c r="B579" s="14">
        <v>113.15</v>
      </c>
      <c r="C579" s="25">
        <f t="shared" si="34"/>
        <v>-8.3260297984223373E-3</v>
      </c>
      <c r="E579" s="16">
        <v>44426</v>
      </c>
      <c r="F579" s="15">
        <v>14095.55</v>
      </c>
      <c r="G579" s="25">
        <f t="shared" si="35"/>
        <v>-1.2435255188442717E-3</v>
      </c>
      <c r="I579" s="16">
        <v>44426</v>
      </c>
      <c r="J579" s="17">
        <v>3.3599999999999998E-2</v>
      </c>
      <c r="K579" s="25">
        <f t="shared" si="32"/>
        <v>9.0546164936533557E-5</v>
      </c>
      <c r="M579" s="16">
        <v>44426</v>
      </c>
      <c r="N579" s="26">
        <f t="shared" si="33"/>
        <v>-1.3340716837808052E-3</v>
      </c>
      <c r="O579" s="26">
        <f>'Part 2 - CAPM 2.1, 2.2 and 2.3'!C579-'Part 2 - CAPM 2.1, 2.2 and 2.3'!K579</f>
        <v>-8.4165759633588709E-3</v>
      </c>
    </row>
    <row r="580" spans="1:15" x14ac:dyDescent="0.4">
      <c r="A580" s="16">
        <v>44428</v>
      </c>
      <c r="B580" s="14">
        <v>109.7</v>
      </c>
      <c r="C580" s="25">
        <f t="shared" si="34"/>
        <v>-3.0490499337163083E-2</v>
      </c>
      <c r="E580" s="16">
        <v>44428</v>
      </c>
      <c r="F580" s="15">
        <v>13943.95</v>
      </c>
      <c r="G580" s="25">
        <f t="shared" si="35"/>
        <v>-1.075516741099131E-2</v>
      </c>
      <c r="I580" s="16">
        <v>44428</v>
      </c>
      <c r="J580" s="17">
        <v>3.3500000000000002E-2</v>
      </c>
      <c r="K580" s="25">
        <f t="shared" ref="K580:K643" si="36">((1+J580)^(1/365))-1</f>
        <v>9.0281061773778148E-5</v>
      </c>
      <c r="M580" s="16">
        <v>44428</v>
      </c>
      <c r="N580" s="26">
        <f t="shared" ref="N580:N643" si="37">G580-K580</f>
        <v>-1.0845448472765088E-2</v>
      </c>
      <c r="O580" s="26">
        <f>'Part 2 - CAPM 2.1, 2.2 and 2.3'!C580-'Part 2 - CAPM 2.1, 2.2 and 2.3'!K580</f>
        <v>-3.0580780398936861E-2</v>
      </c>
    </row>
    <row r="581" spans="1:15" x14ac:dyDescent="0.4">
      <c r="A581" s="16">
        <v>44431</v>
      </c>
      <c r="B581" s="14">
        <v>111.95</v>
      </c>
      <c r="C581" s="25">
        <f t="shared" ref="C581:C644" si="38">(B581-B580)/B580</f>
        <v>2.0510483135824976E-2</v>
      </c>
      <c r="E581" s="16">
        <v>44431</v>
      </c>
      <c r="F581" s="15">
        <v>13930.55</v>
      </c>
      <c r="G581" s="25">
        <f t="shared" ref="G581:G644" si="39">(F581-F580)/F580</f>
        <v>-9.6099025025200564E-4</v>
      </c>
      <c r="I581" s="16">
        <v>44431</v>
      </c>
      <c r="J581" s="17">
        <v>3.3399999999999999E-2</v>
      </c>
      <c r="K581" s="25">
        <f t="shared" si="36"/>
        <v>9.0015933029263806E-5</v>
      </c>
      <c r="M581" s="16">
        <v>44431</v>
      </c>
      <c r="N581" s="26">
        <f t="shared" si="37"/>
        <v>-1.0510061832812694E-3</v>
      </c>
      <c r="O581" s="26">
        <f>'Part 2 - CAPM 2.1, 2.2 and 2.3'!C581-'Part 2 - CAPM 2.1, 2.2 and 2.3'!K581</f>
        <v>2.0420467202795712E-2</v>
      </c>
    </row>
    <row r="582" spans="1:15" x14ac:dyDescent="0.4">
      <c r="A582" s="16">
        <v>44432</v>
      </c>
      <c r="B582" s="14">
        <v>113.25</v>
      </c>
      <c r="C582" s="25">
        <f t="shared" si="38"/>
        <v>1.1612326931665896E-2</v>
      </c>
      <c r="E582" s="16">
        <v>44432</v>
      </c>
      <c r="F582" s="15">
        <v>14063.25</v>
      </c>
      <c r="G582" s="25">
        <f t="shared" si="39"/>
        <v>9.5258263313365756E-3</v>
      </c>
      <c r="I582" s="16">
        <v>44432</v>
      </c>
      <c r="J582" s="17">
        <v>3.3300000000000003E-2</v>
      </c>
      <c r="K582" s="25">
        <f t="shared" si="36"/>
        <v>8.975077869766146E-5</v>
      </c>
      <c r="M582" s="16">
        <v>44432</v>
      </c>
      <c r="N582" s="26">
        <f t="shared" si="37"/>
        <v>9.4360755526389142E-3</v>
      </c>
      <c r="O582" s="26">
        <f>'Part 2 - CAPM 2.1, 2.2 and 2.3'!C582-'Part 2 - CAPM 2.1, 2.2 and 2.3'!K582</f>
        <v>1.1522576152968235E-2</v>
      </c>
    </row>
    <row r="583" spans="1:15" x14ac:dyDescent="0.4">
      <c r="A583" s="16">
        <v>44433</v>
      </c>
      <c r="B583" s="14">
        <v>115.9</v>
      </c>
      <c r="C583" s="25">
        <f t="shared" si="38"/>
        <v>2.3399558498896297E-2</v>
      </c>
      <c r="E583" s="16">
        <v>44433</v>
      </c>
      <c r="F583" s="15">
        <v>14093.6</v>
      </c>
      <c r="G583" s="25">
        <f t="shared" si="39"/>
        <v>2.1581071231756787E-3</v>
      </c>
      <c r="I583" s="16">
        <v>44433</v>
      </c>
      <c r="J583" s="17">
        <v>3.3099999999999997E-2</v>
      </c>
      <c r="K583" s="25">
        <f t="shared" si="36"/>
        <v>8.9220393253874875E-5</v>
      </c>
      <c r="M583" s="16">
        <v>44433</v>
      </c>
      <c r="N583" s="26">
        <f t="shared" si="37"/>
        <v>2.0688867299218038E-3</v>
      </c>
      <c r="O583" s="26">
        <f>'Part 2 - CAPM 2.1, 2.2 and 2.3'!C583-'Part 2 - CAPM 2.1, 2.2 and 2.3'!K583</f>
        <v>2.3310338105642422E-2</v>
      </c>
    </row>
    <row r="584" spans="1:15" x14ac:dyDescent="0.4">
      <c r="A584" s="16">
        <v>44434</v>
      </c>
      <c r="B584" s="14">
        <v>115.4</v>
      </c>
      <c r="C584" s="25">
        <f t="shared" si="38"/>
        <v>-4.3140638481449526E-3</v>
      </c>
      <c r="E584" s="16">
        <v>44434</v>
      </c>
      <c r="F584" s="15">
        <v>14106.95</v>
      </c>
      <c r="G584" s="25">
        <f t="shared" si="39"/>
        <v>9.4723846284841084E-4</v>
      </c>
      <c r="I584" s="16">
        <v>44434</v>
      </c>
      <c r="J584" s="17">
        <v>3.3099999999999997E-2</v>
      </c>
      <c r="K584" s="25">
        <f t="shared" si="36"/>
        <v>8.9220393253874875E-5</v>
      </c>
      <c r="M584" s="16">
        <v>44434</v>
      </c>
      <c r="N584" s="26">
        <f t="shared" si="37"/>
        <v>8.5801806959453597E-4</v>
      </c>
      <c r="O584" s="26">
        <f>'Part 2 - CAPM 2.1, 2.2 and 2.3'!C584-'Part 2 - CAPM 2.1, 2.2 and 2.3'!K584</f>
        <v>-4.4032842413988275E-3</v>
      </c>
    </row>
    <row r="585" spans="1:15" x14ac:dyDescent="0.4">
      <c r="A585" s="16">
        <v>44435</v>
      </c>
      <c r="B585" s="14">
        <v>116.6</v>
      </c>
      <c r="C585" s="25">
        <f t="shared" si="38"/>
        <v>1.0398613518197474E-2</v>
      </c>
      <c r="E585" s="16">
        <v>44435</v>
      </c>
      <c r="F585" s="15">
        <v>14192.5</v>
      </c>
      <c r="G585" s="25">
        <f t="shared" si="39"/>
        <v>6.0643867030080395E-3</v>
      </c>
      <c r="I585" s="16">
        <v>44435</v>
      </c>
      <c r="J585" s="17">
        <v>3.3099999999999997E-2</v>
      </c>
      <c r="K585" s="25">
        <f t="shared" si="36"/>
        <v>8.9220393253874875E-5</v>
      </c>
      <c r="M585" s="16">
        <v>44435</v>
      </c>
      <c r="N585" s="26">
        <f t="shared" si="37"/>
        <v>5.9751663097541647E-3</v>
      </c>
      <c r="O585" s="26">
        <f>'Part 2 - CAPM 2.1, 2.2 and 2.3'!C585-'Part 2 - CAPM 2.1, 2.2 and 2.3'!K585</f>
        <v>1.0309393124943599E-2</v>
      </c>
    </row>
    <row r="586" spans="1:15" x14ac:dyDescent="0.4">
      <c r="A586" s="16">
        <v>44438</v>
      </c>
      <c r="B586" s="14">
        <v>120.1</v>
      </c>
      <c r="C586" s="25">
        <f t="shared" si="38"/>
        <v>3.0017152658662095E-2</v>
      </c>
      <c r="E586" s="16">
        <v>44438</v>
      </c>
      <c r="F586" s="15">
        <v>14397.9</v>
      </c>
      <c r="G586" s="25">
        <f t="shared" si="39"/>
        <v>1.4472432622864163E-2</v>
      </c>
      <c r="I586" s="16">
        <v>44438</v>
      </c>
      <c r="J586" s="17">
        <v>3.3099999999999997E-2</v>
      </c>
      <c r="K586" s="25">
        <f t="shared" si="36"/>
        <v>8.9220393253874875E-5</v>
      </c>
      <c r="M586" s="16">
        <v>44438</v>
      </c>
      <c r="N586" s="26">
        <f t="shared" si="37"/>
        <v>1.4383212229610289E-2</v>
      </c>
      <c r="O586" s="26">
        <f>'Part 2 - CAPM 2.1, 2.2 and 2.3'!C586-'Part 2 - CAPM 2.1, 2.2 and 2.3'!K586</f>
        <v>2.9927932265408221E-2</v>
      </c>
    </row>
    <row r="587" spans="1:15" x14ac:dyDescent="0.4">
      <c r="A587" s="16">
        <v>44439</v>
      </c>
      <c r="B587" s="14">
        <v>120.35</v>
      </c>
      <c r="C587" s="25">
        <f t="shared" si="38"/>
        <v>2.0815986677768525E-3</v>
      </c>
      <c r="E587" s="16">
        <v>44439</v>
      </c>
      <c r="F587" s="15">
        <v>14555.9</v>
      </c>
      <c r="G587" s="25">
        <f t="shared" si="39"/>
        <v>1.097382257134721E-2</v>
      </c>
      <c r="I587" s="16">
        <v>44439</v>
      </c>
      <c r="J587" s="17">
        <v>3.3099999999999997E-2</v>
      </c>
      <c r="K587" s="25">
        <f t="shared" si="36"/>
        <v>8.9220393253874875E-5</v>
      </c>
      <c r="M587" s="16">
        <v>44439</v>
      </c>
      <c r="N587" s="26">
        <f t="shared" si="37"/>
        <v>1.0884602178093335E-2</v>
      </c>
      <c r="O587" s="26">
        <f>'Part 2 - CAPM 2.1, 2.2 and 2.3'!C587-'Part 2 - CAPM 2.1, 2.2 and 2.3'!K587</f>
        <v>1.9923782745229776E-3</v>
      </c>
    </row>
    <row r="588" spans="1:15" x14ac:dyDescent="0.4">
      <c r="A588" s="16">
        <v>44440</v>
      </c>
      <c r="B588" s="14">
        <v>119.65</v>
      </c>
      <c r="C588" s="25">
        <f t="shared" si="38"/>
        <v>-5.816368923971655E-3</v>
      </c>
      <c r="E588" s="16">
        <v>44440</v>
      </c>
      <c r="F588" s="15">
        <v>14551.35</v>
      </c>
      <c r="G588" s="25">
        <f t="shared" si="39"/>
        <v>-3.1258802272612977E-4</v>
      </c>
      <c r="I588" s="16">
        <v>44440</v>
      </c>
      <c r="J588" s="17">
        <v>3.3000000000000002E-2</v>
      </c>
      <c r="K588" s="25">
        <f t="shared" si="36"/>
        <v>8.8955162131920673E-5</v>
      </c>
      <c r="M588" s="16">
        <v>44440</v>
      </c>
      <c r="N588" s="26">
        <f t="shared" si="37"/>
        <v>-4.0154318485805044E-4</v>
      </c>
      <c r="O588" s="26">
        <f>'Part 2 - CAPM 2.1, 2.2 and 2.3'!C588-'Part 2 - CAPM 2.1, 2.2 and 2.3'!K588</f>
        <v>-5.9053240861035756E-3</v>
      </c>
    </row>
    <row r="589" spans="1:15" x14ac:dyDescent="0.4">
      <c r="A589" s="16">
        <v>44441</v>
      </c>
      <c r="B589" s="14">
        <v>118.6</v>
      </c>
      <c r="C589" s="25">
        <f t="shared" si="38"/>
        <v>-8.7755954868367018E-3</v>
      </c>
      <c r="E589" s="16">
        <v>44441</v>
      </c>
      <c r="F589" s="15">
        <v>14684.35</v>
      </c>
      <c r="G589" s="25">
        <f t="shared" si="39"/>
        <v>9.1400454253385416E-3</v>
      </c>
      <c r="I589" s="16">
        <v>44441</v>
      </c>
      <c r="J589" s="17">
        <v>3.3000000000000002E-2</v>
      </c>
      <c r="K589" s="25">
        <f t="shared" si="36"/>
        <v>8.8955162131920673E-5</v>
      </c>
      <c r="M589" s="16">
        <v>44441</v>
      </c>
      <c r="N589" s="26">
        <f t="shared" si="37"/>
        <v>9.0510902632066209E-3</v>
      </c>
      <c r="O589" s="26">
        <f>'Part 2 - CAPM 2.1, 2.2 and 2.3'!C589-'Part 2 - CAPM 2.1, 2.2 and 2.3'!K589</f>
        <v>-8.8645506489686225E-3</v>
      </c>
    </row>
    <row r="590" spans="1:15" x14ac:dyDescent="0.4">
      <c r="A590" s="16">
        <v>44442</v>
      </c>
      <c r="B590" s="14">
        <v>123.4</v>
      </c>
      <c r="C590" s="25">
        <f t="shared" si="38"/>
        <v>4.0472175379426739E-2</v>
      </c>
      <c r="E590" s="16">
        <v>44442</v>
      </c>
      <c r="F590" s="15">
        <v>14759.3</v>
      </c>
      <c r="G590" s="25">
        <f t="shared" si="39"/>
        <v>5.1040733842491436E-3</v>
      </c>
      <c r="I590" s="16">
        <v>44442</v>
      </c>
      <c r="J590" s="17">
        <v>3.3099999999999997E-2</v>
      </c>
      <c r="K590" s="25">
        <f t="shared" si="36"/>
        <v>8.9220393253874875E-5</v>
      </c>
      <c r="M590" s="16">
        <v>44442</v>
      </c>
      <c r="N590" s="26">
        <f t="shared" si="37"/>
        <v>5.0148529909952687E-3</v>
      </c>
      <c r="O590" s="26">
        <f>'Part 2 - CAPM 2.1, 2.2 and 2.3'!C590-'Part 2 - CAPM 2.1, 2.2 and 2.3'!K590</f>
        <v>4.0382954986172864E-2</v>
      </c>
    </row>
    <row r="591" spans="1:15" x14ac:dyDescent="0.4">
      <c r="A591" s="16">
        <v>44445</v>
      </c>
      <c r="B591" s="14">
        <v>121.65</v>
      </c>
      <c r="C591" s="25">
        <f t="shared" si="38"/>
        <v>-1.4181523500810372E-2</v>
      </c>
      <c r="E591" s="16">
        <v>44445</v>
      </c>
      <c r="F591" s="15">
        <v>14805.85</v>
      </c>
      <c r="G591" s="25">
        <f t="shared" si="39"/>
        <v>3.1539436152121778E-3</v>
      </c>
      <c r="I591" s="16">
        <v>44445</v>
      </c>
      <c r="J591" s="17">
        <v>3.3000000000000002E-2</v>
      </c>
      <c r="K591" s="25">
        <f t="shared" si="36"/>
        <v>8.8955162131920673E-5</v>
      </c>
      <c r="M591" s="16">
        <v>44445</v>
      </c>
      <c r="N591" s="26">
        <f t="shared" si="37"/>
        <v>3.0649884530802572E-3</v>
      </c>
      <c r="O591" s="26">
        <f>'Part 2 - CAPM 2.1, 2.2 and 2.3'!C591-'Part 2 - CAPM 2.1, 2.2 and 2.3'!K591</f>
        <v>-1.4270478662942293E-2</v>
      </c>
    </row>
    <row r="592" spans="1:15" x14ac:dyDescent="0.4">
      <c r="A592" s="16">
        <v>44446</v>
      </c>
      <c r="B592" s="14">
        <v>120.3</v>
      </c>
      <c r="C592" s="25">
        <f t="shared" si="38"/>
        <v>-1.1097410604192426E-2</v>
      </c>
      <c r="E592" s="16">
        <v>44446</v>
      </c>
      <c r="F592" s="15">
        <v>14784.25</v>
      </c>
      <c r="G592" s="25">
        <f t="shared" si="39"/>
        <v>-1.4588828064582826E-3</v>
      </c>
      <c r="I592" s="16">
        <v>44446</v>
      </c>
      <c r="J592" s="17">
        <v>3.2899999999999999E-2</v>
      </c>
      <c r="K592" s="25">
        <f t="shared" si="36"/>
        <v>8.8689905403338543E-5</v>
      </c>
      <c r="M592" s="16">
        <v>44446</v>
      </c>
      <c r="N592" s="26">
        <f t="shared" si="37"/>
        <v>-1.5475727118616212E-3</v>
      </c>
      <c r="O592" s="26">
        <f>'Part 2 - CAPM 2.1, 2.2 and 2.3'!C592-'Part 2 - CAPM 2.1, 2.2 and 2.3'!K592</f>
        <v>-1.1186100509595764E-2</v>
      </c>
    </row>
    <row r="593" spans="1:15" x14ac:dyDescent="0.4">
      <c r="A593" s="16">
        <v>44447</v>
      </c>
      <c r="B593" s="14">
        <v>119</v>
      </c>
      <c r="C593" s="25">
        <f t="shared" si="38"/>
        <v>-1.0806317539484599E-2</v>
      </c>
      <c r="E593" s="16">
        <v>44447</v>
      </c>
      <c r="F593" s="15">
        <v>14803.6</v>
      </c>
      <c r="G593" s="25">
        <f t="shared" si="39"/>
        <v>1.3088252701354728E-3</v>
      </c>
      <c r="I593" s="16">
        <v>44447</v>
      </c>
      <c r="J593" s="17">
        <v>3.3000000000000002E-2</v>
      </c>
      <c r="K593" s="25">
        <f t="shared" si="36"/>
        <v>8.8955162131920673E-5</v>
      </c>
      <c r="M593" s="16">
        <v>44447</v>
      </c>
      <c r="N593" s="26">
        <f t="shared" si="37"/>
        <v>1.2198701080035521E-3</v>
      </c>
      <c r="O593" s="26">
        <f>'Part 2 - CAPM 2.1, 2.2 and 2.3'!C593-'Part 2 - CAPM 2.1, 2.2 and 2.3'!K593</f>
        <v>-1.0895272701616519E-2</v>
      </c>
    </row>
    <row r="594" spans="1:15" x14ac:dyDescent="0.4">
      <c r="A594" s="16">
        <v>44448</v>
      </c>
      <c r="B594" s="14">
        <v>122.15</v>
      </c>
      <c r="C594" s="25">
        <f t="shared" si="38"/>
        <v>2.6470588235294166E-2</v>
      </c>
      <c r="E594" s="16">
        <v>44448</v>
      </c>
      <c r="F594" s="15">
        <v>14836.45</v>
      </c>
      <c r="G594" s="25">
        <f t="shared" si="39"/>
        <v>2.2190548245021725E-3</v>
      </c>
      <c r="I594" s="16">
        <v>44448</v>
      </c>
      <c r="J594" s="17">
        <v>3.3099999999999997E-2</v>
      </c>
      <c r="K594" s="25">
        <f t="shared" si="36"/>
        <v>8.9220393253874875E-5</v>
      </c>
      <c r="M594" s="16">
        <v>44448</v>
      </c>
      <c r="N594" s="26">
        <f t="shared" si="37"/>
        <v>2.1298344312482976E-3</v>
      </c>
      <c r="O594" s="26">
        <f>'Part 2 - CAPM 2.1, 2.2 and 2.3'!C594-'Part 2 - CAPM 2.1, 2.2 and 2.3'!K594</f>
        <v>2.6381367842040291E-2</v>
      </c>
    </row>
    <row r="595" spans="1:15" x14ac:dyDescent="0.4">
      <c r="A595" s="16">
        <v>44452</v>
      </c>
      <c r="B595" s="14">
        <v>122.95</v>
      </c>
      <c r="C595" s="25">
        <f t="shared" si="38"/>
        <v>6.5493246009005086E-3</v>
      </c>
      <c r="E595" s="16">
        <v>44452</v>
      </c>
      <c r="F595" s="15">
        <v>14852.2</v>
      </c>
      <c r="G595" s="25">
        <f t="shared" si="39"/>
        <v>1.0615747028433352E-3</v>
      </c>
      <c r="I595" s="16">
        <v>44452</v>
      </c>
      <c r="J595" s="17">
        <v>3.3099999999999997E-2</v>
      </c>
      <c r="K595" s="25">
        <f t="shared" si="36"/>
        <v>8.9220393253874875E-5</v>
      </c>
      <c r="M595" s="16">
        <v>44452</v>
      </c>
      <c r="N595" s="26">
        <f t="shared" si="37"/>
        <v>9.7235430958946033E-4</v>
      </c>
      <c r="O595" s="26">
        <f>'Part 2 - CAPM 2.1, 2.2 and 2.3'!C595-'Part 2 - CAPM 2.1, 2.2 and 2.3'!K595</f>
        <v>6.4601042076466338E-3</v>
      </c>
    </row>
    <row r="596" spans="1:15" x14ac:dyDescent="0.4">
      <c r="A596" s="16">
        <v>44453</v>
      </c>
      <c r="B596" s="14">
        <v>123.85</v>
      </c>
      <c r="C596" s="25">
        <f t="shared" si="38"/>
        <v>7.3200488003252661E-3</v>
      </c>
      <c r="E596" s="16">
        <v>44453</v>
      </c>
      <c r="F596" s="15">
        <v>14904.35</v>
      </c>
      <c r="G596" s="25">
        <f t="shared" si="39"/>
        <v>3.511264324477157E-3</v>
      </c>
      <c r="I596" s="16">
        <v>44453</v>
      </c>
      <c r="J596" s="17">
        <v>3.3099999999999997E-2</v>
      </c>
      <c r="K596" s="25">
        <f t="shared" si="36"/>
        <v>8.9220393253874875E-5</v>
      </c>
      <c r="M596" s="16">
        <v>44453</v>
      </c>
      <c r="N596" s="26">
        <f t="shared" si="37"/>
        <v>3.4220439312232821E-3</v>
      </c>
      <c r="O596" s="26">
        <f>'Part 2 - CAPM 2.1, 2.2 and 2.3'!C596-'Part 2 - CAPM 2.1, 2.2 and 2.3'!K596</f>
        <v>7.2308284070713913E-3</v>
      </c>
    </row>
    <row r="597" spans="1:15" x14ac:dyDescent="0.4">
      <c r="A597" s="16">
        <v>44454</v>
      </c>
      <c r="B597" s="14">
        <v>128.75</v>
      </c>
      <c r="C597" s="25">
        <f t="shared" si="38"/>
        <v>3.9563988696003277E-2</v>
      </c>
      <c r="E597" s="16">
        <v>44454</v>
      </c>
      <c r="F597" s="15">
        <v>15020.55</v>
      </c>
      <c r="G597" s="25">
        <f t="shared" si="39"/>
        <v>7.7963815932931601E-3</v>
      </c>
      <c r="I597" s="16">
        <v>44454</v>
      </c>
      <c r="J597" s="17">
        <v>3.2899999999999999E-2</v>
      </c>
      <c r="K597" s="25">
        <f t="shared" si="36"/>
        <v>8.8689905403338543E-5</v>
      </c>
      <c r="M597" s="16">
        <v>44454</v>
      </c>
      <c r="N597" s="26">
        <f t="shared" si="37"/>
        <v>7.7076916878898215E-3</v>
      </c>
      <c r="O597" s="26">
        <f>'Part 2 - CAPM 2.1, 2.2 and 2.3'!C597-'Part 2 - CAPM 2.1, 2.2 and 2.3'!K597</f>
        <v>3.9475298790599939E-2</v>
      </c>
    </row>
    <row r="598" spans="1:15" x14ac:dyDescent="0.4">
      <c r="A598" s="16">
        <v>44455</v>
      </c>
      <c r="B598" s="14">
        <v>128.9</v>
      </c>
      <c r="C598" s="25">
        <f t="shared" si="38"/>
        <v>1.1650485436893645E-3</v>
      </c>
      <c r="E598" s="16">
        <v>44455</v>
      </c>
      <c r="F598" s="15">
        <v>15104.9</v>
      </c>
      <c r="G598" s="25">
        <f t="shared" si="39"/>
        <v>5.6156399066612317E-3</v>
      </c>
      <c r="I598" s="16">
        <v>44455</v>
      </c>
      <c r="J598" s="17">
        <v>3.3300000000000003E-2</v>
      </c>
      <c r="K598" s="25">
        <f t="shared" si="36"/>
        <v>8.975077869766146E-5</v>
      </c>
      <c r="M598" s="16">
        <v>44455</v>
      </c>
      <c r="N598" s="26">
        <f t="shared" si="37"/>
        <v>5.5258891279635703E-3</v>
      </c>
      <c r="O598" s="26">
        <f>'Part 2 - CAPM 2.1, 2.2 and 2.3'!C598-'Part 2 - CAPM 2.1, 2.2 and 2.3'!K598</f>
        <v>1.075297764991703E-3</v>
      </c>
    </row>
    <row r="599" spans="1:15" x14ac:dyDescent="0.4">
      <c r="A599" s="16">
        <v>44456</v>
      </c>
      <c r="B599" s="14">
        <v>127.85</v>
      </c>
      <c r="C599" s="25">
        <f t="shared" si="38"/>
        <v>-8.145849495733215E-3</v>
      </c>
      <c r="E599" s="16">
        <v>44456</v>
      </c>
      <c r="F599" s="15">
        <v>15027.25</v>
      </c>
      <c r="G599" s="25">
        <f t="shared" si="39"/>
        <v>-5.1407159266198144E-3</v>
      </c>
      <c r="I599" s="16">
        <v>44456</v>
      </c>
      <c r="J599" s="17">
        <v>3.3000000000000002E-2</v>
      </c>
      <c r="K599" s="25">
        <f t="shared" si="36"/>
        <v>8.8955162131920673E-5</v>
      </c>
      <c r="M599" s="16">
        <v>44456</v>
      </c>
      <c r="N599" s="26">
        <f t="shared" si="37"/>
        <v>-5.2296710887517351E-3</v>
      </c>
      <c r="O599" s="26">
        <f>'Part 2 - CAPM 2.1, 2.2 and 2.3'!C599-'Part 2 - CAPM 2.1, 2.2 and 2.3'!K599</f>
        <v>-8.2348046578651357E-3</v>
      </c>
    </row>
    <row r="600" spans="1:15" x14ac:dyDescent="0.4">
      <c r="A600" s="16">
        <v>44459</v>
      </c>
      <c r="B600" s="14">
        <v>127.7</v>
      </c>
      <c r="C600" s="25">
        <f t="shared" si="38"/>
        <v>-1.1732499022291082E-3</v>
      </c>
      <c r="E600" s="16">
        <v>44459</v>
      </c>
      <c r="F600" s="15">
        <v>14826.75</v>
      </c>
      <c r="G600" s="25">
        <f t="shared" si="39"/>
        <v>-1.3342427922607264E-2</v>
      </c>
      <c r="I600" s="16">
        <v>44459</v>
      </c>
      <c r="J600" s="17">
        <v>3.3000000000000002E-2</v>
      </c>
      <c r="K600" s="25">
        <f t="shared" si="36"/>
        <v>8.8955162131920673E-5</v>
      </c>
      <c r="M600" s="16">
        <v>44459</v>
      </c>
      <c r="N600" s="26">
        <f t="shared" si="37"/>
        <v>-1.3431383084739184E-2</v>
      </c>
      <c r="O600" s="26">
        <f>'Part 2 - CAPM 2.1, 2.2 and 2.3'!C600-'Part 2 - CAPM 2.1, 2.2 and 2.3'!K600</f>
        <v>-1.2622050643610288E-3</v>
      </c>
    </row>
    <row r="601" spans="1:15" x14ac:dyDescent="0.4">
      <c r="A601" s="16">
        <v>44460</v>
      </c>
      <c r="B601" s="14">
        <v>135.15</v>
      </c>
      <c r="C601" s="25">
        <f t="shared" si="38"/>
        <v>5.8339859044635886E-2</v>
      </c>
      <c r="E601" s="16">
        <v>44460</v>
      </c>
      <c r="F601" s="15">
        <v>14946.3</v>
      </c>
      <c r="G601" s="25">
        <f t="shared" si="39"/>
        <v>8.0631291415852614E-3</v>
      </c>
      <c r="I601" s="16">
        <v>44460</v>
      </c>
      <c r="J601" s="17">
        <v>3.3099999999999997E-2</v>
      </c>
      <c r="K601" s="25">
        <f t="shared" si="36"/>
        <v>8.9220393253874875E-5</v>
      </c>
      <c r="M601" s="16">
        <v>44460</v>
      </c>
      <c r="N601" s="26">
        <f t="shared" si="37"/>
        <v>7.9739087483313865E-3</v>
      </c>
      <c r="O601" s="26">
        <f>'Part 2 - CAPM 2.1, 2.2 and 2.3'!C601-'Part 2 - CAPM 2.1, 2.2 and 2.3'!K601</f>
        <v>5.8250638651382011E-2</v>
      </c>
    </row>
    <row r="602" spans="1:15" x14ac:dyDescent="0.4">
      <c r="A602" s="16">
        <v>44461</v>
      </c>
      <c r="B602" s="14">
        <v>133.65</v>
      </c>
      <c r="C602" s="25">
        <f t="shared" si="38"/>
        <v>-1.1098779134295227E-2</v>
      </c>
      <c r="E602" s="16">
        <v>44461</v>
      </c>
      <c r="F602" s="15">
        <v>14990.55</v>
      </c>
      <c r="G602" s="25">
        <f t="shared" si="39"/>
        <v>2.9605989442203088E-3</v>
      </c>
      <c r="I602" s="16">
        <v>44461</v>
      </c>
      <c r="J602" s="17">
        <v>3.3500000000000002E-2</v>
      </c>
      <c r="K602" s="25">
        <f t="shared" si="36"/>
        <v>9.0281061773778148E-5</v>
      </c>
      <c r="M602" s="16">
        <v>44461</v>
      </c>
      <c r="N602" s="26">
        <f t="shared" si="37"/>
        <v>2.8703178824465306E-3</v>
      </c>
      <c r="O602" s="26">
        <f>'Part 2 - CAPM 2.1, 2.2 and 2.3'!C602-'Part 2 - CAPM 2.1, 2.2 and 2.3'!K602</f>
        <v>-1.1189060196069005E-2</v>
      </c>
    </row>
    <row r="603" spans="1:15" x14ac:dyDescent="0.4">
      <c r="A603" s="16">
        <v>44462</v>
      </c>
      <c r="B603" s="14">
        <v>137.75</v>
      </c>
      <c r="C603" s="25">
        <f t="shared" si="38"/>
        <v>3.0677141788252857E-2</v>
      </c>
      <c r="E603" s="16">
        <v>44462</v>
      </c>
      <c r="F603" s="15">
        <v>15205.45</v>
      </c>
      <c r="G603" s="25">
        <f t="shared" si="39"/>
        <v>1.4335698156505363E-2</v>
      </c>
      <c r="I603" s="16">
        <v>44462</v>
      </c>
      <c r="J603" s="17">
        <v>3.3599999999999998E-2</v>
      </c>
      <c r="K603" s="25">
        <f t="shared" si="36"/>
        <v>9.0546164936533557E-5</v>
      </c>
      <c r="M603" s="16">
        <v>44462</v>
      </c>
      <c r="N603" s="26">
        <f t="shared" si="37"/>
        <v>1.424515199156883E-2</v>
      </c>
      <c r="O603" s="26">
        <f>'Part 2 - CAPM 2.1, 2.2 and 2.3'!C603-'Part 2 - CAPM 2.1, 2.2 and 2.3'!K603</f>
        <v>3.0586595623316323E-2</v>
      </c>
    </row>
    <row r="604" spans="1:15" x14ac:dyDescent="0.4">
      <c r="A604" s="16">
        <v>44463</v>
      </c>
      <c r="B604" s="14">
        <v>135.5</v>
      </c>
      <c r="C604" s="25">
        <f t="shared" si="38"/>
        <v>-1.6333938294010888E-2</v>
      </c>
      <c r="E604" s="16">
        <v>44463</v>
      </c>
      <c r="F604" s="15">
        <v>15191.95</v>
      </c>
      <c r="G604" s="25">
        <f t="shared" si="39"/>
        <v>-8.8783955752707081E-4</v>
      </c>
      <c r="I604" s="16">
        <v>44463</v>
      </c>
      <c r="J604" s="17">
        <v>3.3700000000000001E-2</v>
      </c>
      <c r="K604" s="25">
        <f t="shared" si="36"/>
        <v>9.081124252219297E-5</v>
      </c>
      <c r="M604" s="16">
        <v>44463</v>
      </c>
      <c r="N604" s="26">
        <f t="shared" si="37"/>
        <v>-9.7865080004926378E-4</v>
      </c>
      <c r="O604" s="26">
        <f>'Part 2 - CAPM 2.1, 2.2 and 2.3'!C604-'Part 2 - CAPM 2.1, 2.2 and 2.3'!K604</f>
        <v>-1.6424749536533081E-2</v>
      </c>
    </row>
    <row r="605" spans="1:15" x14ac:dyDescent="0.4">
      <c r="A605" s="16">
        <v>44466</v>
      </c>
      <c r="B605" s="14">
        <v>139.94999999999999</v>
      </c>
      <c r="C605" s="25">
        <f t="shared" si="38"/>
        <v>3.2841328413284049E-2</v>
      </c>
      <c r="E605" s="16">
        <v>44466</v>
      </c>
      <c r="F605" s="15">
        <v>15189.05</v>
      </c>
      <c r="G605" s="25">
        <f t="shared" si="39"/>
        <v>-1.908905703350429E-4</v>
      </c>
      <c r="I605" s="16">
        <v>44466</v>
      </c>
      <c r="J605" s="17">
        <v>3.3799999999999997E-2</v>
      </c>
      <c r="K605" s="25">
        <f t="shared" si="36"/>
        <v>9.1076294535863411E-5</v>
      </c>
      <c r="M605" s="16">
        <v>44466</v>
      </c>
      <c r="N605" s="26">
        <f t="shared" si="37"/>
        <v>-2.8196686487090631E-4</v>
      </c>
      <c r="O605" s="26">
        <f>'Part 2 - CAPM 2.1, 2.2 and 2.3'!C605-'Part 2 - CAPM 2.1, 2.2 and 2.3'!K605</f>
        <v>3.2750252118748185E-2</v>
      </c>
    </row>
    <row r="606" spans="1:15" x14ac:dyDescent="0.4">
      <c r="A606" s="16">
        <v>44467</v>
      </c>
      <c r="B606" s="14">
        <v>142</v>
      </c>
      <c r="C606" s="25">
        <f t="shared" si="38"/>
        <v>1.4648088603072608E-2</v>
      </c>
      <c r="E606" s="16">
        <v>44467</v>
      </c>
      <c r="F606" s="15">
        <v>15095.6</v>
      </c>
      <c r="G606" s="25">
        <f t="shared" si="39"/>
        <v>-6.1524585145219029E-3</v>
      </c>
      <c r="I606" s="16">
        <v>44467</v>
      </c>
      <c r="J606" s="17">
        <v>3.3700000000000001E-2</v>
      </c>
      <c r="K606" s="25">
        <f t="shared" si="36"/>
        <v>9.081124252219297E-5</v>
      </c>
      <c r="M606" s="16">
        <v>44467</v>
      </c>
      <c r="N606" s="26">
        <f t="shared" si="37"/>
        <v>-6.2432697570440959E-3</v>
      </c>
      <c r="O606" s="26">
        <f>'Part 2 - CAPM 2.1, 2.2 and 2.3'!C606-'Part 2 - CAPM 2.1, 2.2 and 2.3'!K606</f>
        <v>1.4557277360550415E-2</v>
      </c>
    </row>
    <row r="607" spans="1:15" x14ac:dyDescent="0.4">
      <c r="A607" s="16">
        <v>44468</v>
      </c>
      <c r="B607" s="14">
        <v>145.69999999999999</v>
      </c>
      <c r="C607" s="25">
        <f t="shared" si="38"/>
        <v>2.6056338028168934E-2</v>
      </c>
      <c r="E607" s="16">
        <v>44468</v>
      </c>
      <c r="F607" s="15">
        <v>15086.95</v>
      </c>
      <c r="G607" s="25">
        <f t="shared" si="39"/>
        <v>-5.7301465327642726E-4</v>
      </c>
      <c r="I607" s="16">
        <v>44468</v>
      </c>
      <c r="J607" s="17">
        <v>3.4200000000000001E-2</v>
      </c>
      <c r="K607" s="25">
        <f t="shared" si="36"/>
        <v>9.2136246968133051E-5</v>
      </c>
      <c r="M607" s="16">
        <v>44468</v>
      </c>
      <c r="N607" s="26">
        <f t="shared" si="37"/>
        <v>-6.6515090024456031E-4</v>
      </c>
      <c r="O607" s="26">
        <f>'Part 2 - CAPM 2.1, 2.2 and 2.3'!C607-'Part 2 - CAPM 2.1, 2.2 and 2.3'!K607</f>
        <v>2.5964201781200801E-2</v>
      </c>
    </row>
    <row r="608" spans="1:15" x14ac:dyDescent="0.4">
      <c r="A608" s="16">
        <v>44469</v>
      </c>
      <c r="B608" s="14">
        <v>144.15</v>
      </c>
      <c r="C608" s="25">
        <f t="shared" si="38"/>
        <v>-1.0638297872340309E-2</v>
      </c>
      <c r="E608" s="16">
        <v>44469</v>
      </c>
      <c r="F608" s="15">
        <v>15052.65</v>
      </c>
      <c r="G608" s="25">
        <f t="shared" si="39"/>
        <v>-2.2734880144761591E-3</v>
      </c>
      <c r="I608" s="16">
        <v>44469</v>
      </c>
      <c r="J608" s="17">
        <v>3.4500000000000003E-2</v>
      </c>
      <c r="K608" s="25">
        <f t="shared" si="36"/>
        <v>9.2930943027536017E-5</v>
      </c>
      <c r="M608" s="16">
        <v>44469</v>
      </c>
      <c r="N608" s="26">
        <f t="shared" si="37"/>
        <v>-2.3664189575036952E-3</v>
      </c>
      <c r="O608" s="26">
        <f>'Part 2 - CAPM 2.1, 2.2 and 2.3'!C608-'Part 2 - CAPM 2.1, 2.2 and 2.3'!K608</f>
        <v>-1.0731228815367845E-2</v>
      </c>
    </row>
    <row r="609" spans="1:15" x14ac:dyDescent="0.4">
      <c r="A609" s="16">
        <v>44470</v>
      </c>
      <c r="B609" s="14">
        <v>146.15</v>
      </c>
      <c r="C609" s="25">
        <f t="shared" si="38"/>
        <v>1.3874436351023239E-2</v>
      </c>
      <c r="E609" s="16">
        <v>44470</v>
      </c>
      <c r="F609" s="15">
        <v>15013.95</v>
      </c>
      <c r="G609" s="25">
        <f t="shared" si="39"/>
        <v>-2.5709758746798013E-3</v>
      </c>
      <c r="I609" s="16">
        <v>44470</v>
      </c>
      <c r="J609" s="17">
        <v>3.4700000000000002E-2</v>
      </c>
      <c r="K609" s="25">
        <f t="shared" si="36"/>
        <v>9.3460612729190373E-5</v>
      </c>
      <c r="M609" s="16">
        <v>44470</v>
      </c>
      <c r="N609" s="26">
        <f t="shared" si="37"/>
        <v>-2.6644364874089917E-3</v>
      </c>
      <c r="O609" s="26">
        <f>'Part 2 - CAPM 2.1, 2.2 and 2.3'!C609-'Part 2 - CAPM 2.1, 2.2 and 2.3'!K609</f>
        <v>1.3780975738294048E-2</v>
      </c>
    </row>
    <row r="610" spans="1:15" x14ac:dyDescent="0.4">
      <c r="A610" s="16">
        <v>44473</v>
      </c>
      <c r="B610" s="14">
        <v>147.9</v>
      </c>
      <c r="C610" s="25">
        <f t="shared" si="38"/>
        <v>1.1973999315771467E-2</v>
      </c>
      <c r="E610" s="16">
        <v>44473</v>
      </c>
      <c r="F610" s="15">
        <v>15181.15</v>
      </c>
      <c r="G610" s="25">
        <f t="shared" si="39"/>
        <v>1.1136309898461025E-2</v>
      </c>
      <c r="I610" s="16">
        <v>44473</v>
      </c>
      <c r="J610" s="17">
        <v>3.4599999999999999E-2</v>
      </c>
      <c r="K610" s="25">
        <f t="shared" si="36"/>
        <v>9.3195790642264242E-5</v>
      </c>
      <c r="M610" s="16">
        <v>44473</v>
      </c>
      <c r="N610" s="26">
        <f t="shared" si="37"/>
        <v>1.1043114107818761E-2</v>
      </c>
      <c r="O610" s="26">
        <f>'Part 2 - CAPM 2.1, 2.2 and 2.3'!C610-'Part 2 - CAPM 2.1, 2.2 and 2.3'!K610</f>
        <v>1.1880803525129203E-2</v>
      </c>
    </row>
    <row r="611" spans="1:15" x14ac:dyDescent="0.4">
      <c r="A611" s="16">
        <v>44474</v>
      </c>
      <c r="B611" s="14">
        <v>163.5</v>
      </c>
      <c r="C611" s="25">
        <f t="shared" si="38"/>
        <v>0.10547667342799184</v>
      </c>
      <c r="E611" s="16">
        <v>44474</v>
      </c>
      <c r="F611" s="15">
        <v>15280.1</v>
      </c>
      <c r="G611" s="25">
        <f t="shared" si="39"/>
        <v>6.5179515385857282E-3</v>
      </c>
      <c r="I611" s="16">
        <v>44474</v>
      </c>
      <c r="J611" s="17">
        <v>3.44E-2</v>
      </c>
      <c r="K611" s="25">
        <f t="shared" si="36"/>
        <v>9.2666069880342761E-5</v>
      </c>
      <c r="M611" s="16">
        <v>44474</v>
      </c>
      <c r="N611" s="26">
        <f t="shared" si="37"/>
        <v>6.4252854687053855E-3</v>
      </c>
      <c r="O611" s="26">
        <f>'Part 2 - CAPM 2.1, 2.2 and 2.3'!C611-'Part 2 - CAPM 2.1, 2.2 and 2.3'!K611</f>
        <v>0.1053840073581115</v>
      </c>
    </row>
    <row r="612" spans="1:15" x14ac:dyDescent="0.4">
      <c r="A612" s="16">
        <v>44475</v>
      </c>
      <c r="B612" s="14">
        <v>167.3</v>
      </c>
      <c r="C612" s="25">
        <f t="shared" si="38"/>
        <v>2.3241590214067347E-2</v>
      </c>
      <c r="E612" s="16">
        <v>44475</v>
      </c>
      <c r="F612" s="15">
        <v>15134.55</v>
      </c>
      <c r="G612" s="25">
        <f t="shared" si="39"/>
        <v>-9.5254612208036001E-3</v>
      </c>
      <c r="I612" s="16">
        <v>44475</v>
      </c>
      <c r="J612" s="17">
        <v>3.4799999999999998E-2</v>
      </c>
      <c r="K612" s="25">
        <f t="shared" si="36"/>
        <v>9.3725409293421436E-5</v>
      </c>
      <c r="M612" s="16">
        <v>44475</v>
      </c>
      <c r="N612" s="26">
        <f t="shared" si="37"/>
        <v>-9.6191866300970215E-3</v>
      </c>
      <c r="O612" s="26">
        <f>'Part 2 - CAPM 2.1, 2.2 and 2.3'!C612-'Part 2 - CAPM 2.1, 2.2 and 2.3'!K612</f>
        <v>2.3147864804773925E-2</v>
      </c>
    </row>
    <row r="613" spans="1:15" x14ac:dyDescent="0.4">
      <c r="A613" s="16">
        <v>44476</v>
      </c>
      <c r="B613" s="14">
        <v>160.6</v>
      </c>
      <c r="C613" s="25">
        <f t="shared" si="38"/>
        <v>-4.0047818290496216E-2</v>
      </c>
      <c r="E613" s="16">
        <v>44476</v>
      </c>
      <c r="F613" s="15">
        <v>15290.15</v>
      </c>
      <c r="G613" s="25">
        <f t="shared" si="39"/>
        <v>1.0281111760838636E-2</v>
      </c>
      <c r="I613" s="16">
        <v>44476</v>
      </c>
      <c r="J613" s="17">
        <v>3.49E-2</v>
      </c>
      <c r="K613" s="25">
        <f t="shared" si="36"/>
        <v>9.3990180339842411E-5</v>
      </c>
      <c r="M613" s="16">
        <v>44476</v>
      </c>
      <c r="N613" s="26">
        <f t="shared" si="37"/>
        <v>1.0187121580498794E-2</v>
      </c>
      <c r="O613" s="26">
        <f>'Part 2 - CAPM 2.1, 2.2 and 2.3'!C613-'Part 2 - CAPM 2.1, 2.2 and 2.3'!K613</f>
        <v>-4.0141808470836059E-2</v>
      </c>
    </row>
    <row r="614" spans="1:15" x14ac:dyDescent="0.4">
      <c r="A614" s="16">
        <v>44477</v>
      </c>
      <c r="B614" s="14">
        <v>161.15</v>
      </c>
      <c r="C614" s="25">
        <f t="shared" si="38"/>
        <v>3.4246575342466463E-3</v>
      </c>
      <c r="E614" s="16">
        <v>44477</v>
      </c>
      <c r="F614" s="15">
        <v>15365.2</v>
      </c>
      <c r="G614" s="25">
        <f t="shared" si="39"/>
        <v>4.9083887339235448E-3</v>
      </c>
      <c r="I614" s="16">
        <v>44477</v>
      </c>
      <c r="J614" s="17">
        <v>3.4599999999999999E-2</v>
      </c>
      <c r="K614" s="25">
        <f t="shared" si="36"/>
        <v>9.3195790642264242E-5</v>
      </c>
      <c r="M614" s="16">
        <v>44477</v>
      </c>
      <c r="N614" s="26">
        <f t="shared" si="37"/>
        <v>4.8151929432812806E-3</v>
      </c>
      <c r="O614" s="26">
        <f>'Part 2 - CAPM 2.1, 2.2 and 2.3'!C614-'Part 2 - CAPM 2.1, 2.2 and 2.3'!K614</f>
        <v>3.331461743604382E-3</v>
      </c>
    </row>
    <row r="615" spans="1:15" x14ac:dyDescent="0.4">
      <c r="A615" s="16">
        <v>44480</v>
      </c>
      <c r="B615" s="14">
        <v>165.65</v>
      </c>
      <c r="C615" s="25">
        <f t="shared" si="38"/>
        <v>2.7924294135898229E-2</v>
      </c>
      <c r="E615" s="16">
        <v>44480</v>
      </c>
      <c r="F615" s="15">
        <v>15428</v>
      </c>
      <c r="G615" s="25">
        <f t="shared" si="39"/>
        <v>4.0871579933876075E-3</v>
      </c>
      <c r="I615" s="16">
        <v>44480</v>
      </c>
      <c r="J615" s="17">
        <v>3.4300000000000004E-2</v>
      </c>
      <c r="K615" s="25">
        <f t="shared" si="36"/>
        <v>9.2401171195355403E-5</v>
      </c>
      <c r="M615" s="16">
        <v>44480</v>
      </c>
      <c r="N615" s="26">
        <f t="shared" si="37"/>
        <v>3.9947568221922521E-3</v>
      </c>
      <c r="O615" s="26">
        <f>'Part 2 - CAPM 2.1, 2.2 and 2.3'!C615-'Part 2 - CAPM 2.1, 2.2 and 2.3'!K615</f>
        <v>2.7831892964702874E-2</v>
      </c>
    </row>
    <row r="616" spans="1:15" x14ac:dyDescent="0.4">
      <c r="A616" s="16">
        <v>44481</v>
      </c>
      <c r="B616" s="14">
        <v>163.65</v>
      </c>
      <c r="C616" s="25">
        <f t="shared" si="38"/>
        <v>-1.2073649260488982E-2</v>
      </c>
      <c r="E616" s="16">
        <v>44481</v>
      </c>
      <c r="F616" s="15">
        <v>15481.9</v>
      </c>
      <c r="G616" s="25">
        <f t="shared" si="39"/>
        <v>3.4936479128856389E-3</v>
      </c>
      <c r="I616" s="16">
        <v>44481</v>
      </c>
      <c r="J616" s="17">
        <v>3.4099999999999998E-2</v>
      </c>
      <c r="K616" s="25">
        <f t="shared" si="36"/>
        <v>9.187129719356868E-5</v>
      </c>
      <c r="M616" s="16">
        <v>44481</v>
      </c>
      <c r="N616" s="26">
        <f t="shared" si="37"/>
        <v>3.4017766156920703E-3</v>
      </c>
      <c r="O616" s="26">
        <f>'Part 2 - CAPM 2.1, 2.2 and 2.3'!C616-'Part 2 - CAPM 2.1, 2.2 and 2.3'!K616</f>
        <v>-1.216552055768255E-2</v>
      </c>
    </row>
    <row r="617" spans="1:15" x14ac:dyDescent="0.4">
      <c r="A617" s="16">
        <v>44482</v>
      </c>
      <c r="B617" s="14">
        <v>160</v>
      </c>
      <c r="C617" s="25">
        <f t="shared" si="38"/>
        <v>-2.2303696914146076E-2</v>
      </c>
      <c r="E617" s="16">
        <v>44482</v>
      </c>
      <c r="F617" s="15">
        <v>15631.4</v>
      </c>
      <c r="G617" s="25">
        <f t="shared" si="39"/>
        <v>9.6564375173589807E-3</v>
      </c>
      <c r="I617" s="16">
        <v>44482</v>
      </c>
      <c r="J617" s="17">
        <v>3.4099999999999998E-2</v>
      </c>
      <c r="K617" s="25">
        <f t="shared" si="36"/>
        <v>9.187129719356868E-5</v>
      </c>
      <c r="M617" s="16">
        <v>44482</v>
      </c>
      <c r="N617" s="26">
        <f t="shared" si="37"/>
        <v>9.564566220165412E-3</v>
      </c>
      <c r="O617" s="26">
        <f>'Part 2 - CAPM 2.1, 2.2 and 2.3'!C617-'Part 2 - CAPM 2.1, 2.2 and 2.3'!K617</f>
        <v>-2.2395568211339645E-2</v>
      </c>
    </row>
    <row r="618" spans="1:15" x14ac:dyDescent="0.4">
      <c r="A618" s="16">
        <v>44483</v>
      </c>
      <c r="B618" s="14">
        <v>158.75</v>
      </c>
      <c r="C618" s="25">
        <f t="shared" si="38"/>
        <v>-7.8125E-3</v>
      </c>
      <c r="E618" s="16">
        <v>44483</v>
      </c>
      <c r="F618" s="15">
        <v>15769.25</v>
      </c>
      <c r="G618" s="25">
        <f t="shared" si="39"/>
        <v>8.8187878245071048E-3</v>
      </c>
      <c r="I618" s="16">
        <v>44483</v>
      </c>
      <c r="J618" s="17">
        <v>3.4099999999999998E-2</v>
      </c>
      <c r="K618" s="25">
        <f t="shared" si="36"/>
        <v>9.187129719356868E-5</v>
      </c>
      <c r="M618" s="16">
        <v>44483</v>
      </c>
      <c r="N618" s="26">
        <f t="shared" si="37"/>
        <v>8.7269165273135361E-3</v>
      </c>
      <c r="O618" s="26">
        <f>'Part 2 - CAPM 2.1, 2.2 and 2.3'!C618-'Part 2 - CAPM 2.1, 2.2 and 2.3'!K618</f>
        <v>-7.9043712971935687E-3</v>
      </c>
    </row>
    <row r="619" spans="1:15" x14ac:dyDescent="0.4">
      <c r="A619" s="16">
        <v>44487</v>
      </c>
      <c r="B619" s="14">
        <v>162.30000000000001</v>
      </c>
      <c r="C619" s="25">
        <f t="shared" si="38"/>
        <v>2.2362204724409522E-2</v>
      </c>
      <c r="E619" s="16">
        <v>44487</v>
      </c>
      <c r="F619" s="15">
        <v>15886.15</v>
      </c>
      <c r="G619" s="25">
        <f t="shared" si="39"/>
        <v>7.4131616912662072E-3</v>
      </c>
      <c r="I619" s="16">
        <v>44487</v>
      </c>
      <c r="J619" s="17">
        <v>3.4099999999999998E-2</v>
      </c>
      <c r="K619" s="25">
        <f t="shared" si="36"/>
        <v>9.187129719356868E-5</v>
      </c>
      <c r="M619" s="16">
        <v>44487</v>
      </c>
      <c r="N619" s="26">
        <f t="shared" si="37"/>
        <v>7.3212903940726385E-3</v>
      </c>
      <c r="O619" s="26">
        <f>'Part 2 - CAPM 2.1, 2.2 and 2.3'!C619-'Part 2 - CAPM 2.1, 2.2 and 2.3'!K619</f>
        <v>2.2270333427215953E-2</v>
      </c>
    </row>
    <row r="620" spans="1:15" x14ac:dyDescent="0.4">
      <c r="A620" s="16">
        <v>44489</v>
      </c>
      <c r="B620" s="14">
        <v>155.05000000000001</v>
      </c>
      <c r="C620" s="25">
        <f t="shared" si="38"/>
        <v>-4.467036352433764E-2</v>
      </c>
      <c r="E620" s="16">
        <v>44489</v>
      </c>
      <c r="F620" s="15">
        <v>15568.65</v>
      </c>
      <c r="G620" s="25">
        <f t="shared" si="39"/>
        <v>-1.9985962615234026E-2</v>
      </c>
      <c r="I620" s="16">
        <v>44489</v>
      </c>
      <c r="J620" s="17">
        <v>3.4599999999999999E-2</v>
      </c>
      <c r="K620" s="25">
        <f t="shared" si="36"/>
        <v>9.3195790642264242E-5</v>
      </c>
      <c r="M620" s="16">
        <v>44489</v>
      </c>
      <c r="N620" s="26">
        <f t="shared" si="37"/>
        <v>-2.0079158405876291E-2</v>
      </c>
      <c r="O620" s="26">
        <f>'Part 2 - CAPM 2.1, 2.2 and 2.3'!C620-'Part 2 - CAPM 2.1, 2.2 and 2.3'!K620</f>
        <v>-4.4763559314979905E-2</v>
      </c>
    </row>
    <row r="621" spans="1:15" x14ac:dyDescent="0.4">
      <c r="A621" s="16">
        <v>44490</v>
      </c>
      <c r="B621" s="14">
        <v>156.25</v>
      </c>
      <c r="C621" s="25">
        <f t="shared" si="38"/>
        <v>7.7394388906803519E-3</v>
      </c>
      <c r="E621" s="16">
        <v>44490</v>
      </c>
      <c r="F621" s="15">
        <v>15487.65</v>
      </c>
      <c r="G621" s="25">
        <f t="shared" si="39"/>
        <v>-5.2027632453680956E-3</v>
      </c>
      <c r="I621" s="16">
        <v>44490</v>
      </c>
      <c r="J621" s="17">
        <v>3.4799999999999998E-2</v>
      </c>
      <c r="K621" s="25">
        <f t="shared" si="36"/>
        <v>9.3725409293421436E-5</v>
      </c>
      <c r="M621" s="16">
        <v>44490</v>
      </c>
      <c r="N621" s="26">
        <f t="shared" si="37"/>
        <v>-5.2964886546615171E-3</v>
      </c>
      <c r="O621" s="26">
        <f>'Part 2 - CAPM 2.1, 2.2 and 2.3'!C621-'Part 2 - CAPM 2.1, 2.2 and 2.3'!K621</f>
        <v>7.6457134813869305E-3</v>
      </c>
    </row>
    <row r="622" spans="1:15" x14ac:dyDescent="0.4">
      <c r="A622" s="16">
        <v>44491</v>
      </c>
      <c r="B622" s="14">
        <v>156.5</v>
      </c>
      <c r="C622" s="25">
        <f t="shared" si="38"/>
        <v>1.6000000000000001E-3</v>
      </c>
      <c r="E622" s="16">
        <v>44491</v>
      </c>
      <c r="F622" s="15">
        <v>15399.7</v>
      </c>
      <c r="G622" s="25">
        <f t="shared" si="39"/>
        <v>-5.6787182045048091E-3</v>
      </c>
      <c r="I622" s="16">
        <v>44491</v>
      </c>
      <c r="J622" s="17">
        <v>3.4799999999999998E-2</v>
      </c>
      <c r="K622" s="25">
        <f t="shared" si="36"/>
        <v>9.3725409293421436E-5</v>
      </c>
      <c r="M622" s="16">
        <v>44491</v>
      </c>
      <c r="N622" s="26">
        <f t="shared" si="37"/>
        <v>-5.7724436137982305E-3</v>
      </c>
      <c r="O622" s="26">
        <f>'Part 2 - CAPM 2.1, 2.2 and 2.3'!C622-'Part 2 - CAPM 2.1, 2.2 and 2.3'!K622</f>
        <v>1.5062745907065786E-3</v>
      </c>
    </row>
    <row r="623" spans="1:15" x14ac:dyDescent="0.4">
      <c r="A623" s="16">
        <v>44494</v>
      </c>
      <c r="B623" s="14">
        <v>161.30000000000001</v>
      </c>
      <c r="C623" s="25">
        <f t="shared" si="38"/>
        <v>3.0670926517571959E-2</v>
      </c>
      <c r="E623" s="16">
        <v>44494</v>
      </c>
      <c r="F623" s="15">
        <v>15334.35</v>
      </c>
      <c r="G623" s="25">
        <f t="shared" si="39"/>
        <v>-4.2435891608278318E-3</v>
      </c>
      <c r="I623" s="16">
        <v>44494</v>
      </c>
      <c r="J623" s="17">
        <v>3.5000000000000003E-2</v>
      </c>
      <c r="K623" s="25">
        <f t="shared" si="36"/>
        <v>9.4254925873560325E-5</v>
      </c>
      <c r="M623" s="16">
        <v>44494</v>
      </c>
      <c r="N623" s="26">
        <f t="shared" si="37"/>
        <v>-4.3378440867013921E-3</v>
      </c>
      <c r="O623" s="26">
        <f>'Part 2 - CAPM 2.1, 2.2 and 2.3'!C623-'Part 2 - CAPM 2.1, 2.2 and 2.3'!K623</f>
        <v>3.0576671591698398E-2</v>
      </c>
    </row>
    <row r="624" spans="1:15" x14ac:dyDescent="0.4">
      <c r="A624" s="16">
        <v>44495</v>
      </c>
      <c r="B624" s="14">
        <v>163.25</v>
      </c>
      <c r="C624" s="25">
        <f t="shared" si="38"/>
        <v>1.2089274643521317E-2</v>
      </c>
      <c r="E624" s="16">
        <v>44495</v>
      </c>
      <c r="F624" s="15">
        <v>15499.65</v>
      </c>
      <c r="G624" s="25">
        <f t="shared" si="39"/>
        <v>1.0779720040301628E-2</v>
      </c>
      <c r="I624" s="16">
        <v>44495</v>
      </c>
      <c r="J624" s="17">
        <v>3.5099999999999999E-2</v>
      </c>
      <c r="K624" s="25">
        <f t="shared" si="36"/>
        <v>9.4519645899016069E-5</v>
      </c>
      <c r="M624" s="16">
        <v>44495</v>
      </c>
      <c r="N624" s="26">
        <f t="shared" si="37"/>
        <v>1.0685200394402612E-2</v>
      </c>
      <c r="O624" s="26">
        <f>'Part 2 - CAPM 2.1, 2.2 and 2.3'!C624-'Part 2 - CAPM 2.1, 2.2 and 2.3'!K624</f>
        <v>1.1994754997622301E-2</v>
      </c>
    </row>
    <row r="625" spans="1:15" x14ac:dyDescent="0.4">
      <c r="A625" s="16">
        <v>44496</v>
      </c>
      <c r="B625" s="14">
        <v>157.44999999999999</v>
      </c>
      <c r="C625" s="25">
        <f t="shared" si="38"/>
        <v>-3.5528330781010788E-2</v>
      </c>
      <c r="E625" s="16">
        <v>44496</v>
      </c>
      <c r="F625" s="15">
        <v>15484.35</v>
      </c>
      <c r="G625" s="25">
        <f t="shared" si="39"/>
        <v>-9.871190639788171E-4</v>
      </c>
      <c r="I625" s="16">
        <v>44496</v>
      </c>
      <c r="J625" s="17">
        <v>3.5099999999999999E-2</v>
      </c>
      <c r="K625" s="25">
        <f t="shared" si="36"/>
        <v>9.4519645899016069E-5</v>
      </c>
      <c r="M625" s="16">
        <v>44496</v>
      </c>
      <c r="N625" s="26">
        <f t="shared" si="37"/>
        <v>-1.0816387098778332E-3</v>
      </c>
      <c r="O625" s="26">
        <f>'Part 2 - CAPM 2.1, 2.2 and 2.3'!C625-'Part 2 - CAPM 2.1, 2.2 and 2.3'!K625</f>
        <v>-3.5622850426909804E-2</v>
      </c>
    </row>
    <row r="626" spans="1:15" x14ac:dyDescent="0.4">
      <c r="A626" s="16">
        <v>44497</v>
      </c>
      <c r="B626" s="14">
        <v>150.9</v>
      </c>
      <c r="C626" s="25">
        <f t="shared" si="38"/>
        <v>-4.1600508097808721E-2</v>
      </c>
      <c r="E626" s="16">
        <v>44497</v>
      </c>
      <c r="F626" s="15">
        <v>15190.85</v>
      </c>
      <c r="G626" s="25">
        <f t="shared" si="39"/>
        <v>-1.8954621924717537E-2</v>
      </c>
      <c r="I626" s="16">
        <v>44497</v>
      </c>
      <c r="J626" s="17">
        <v>3.5900000000000001E-2</v>
      </c>
      <c r="K626" s="25">
        <f t="shared" si="36"/>
        <v>9.663648840718686E-5</v>
      </c>
      <c r="M626" s="16">
        <v>44497</v>
      </c>
      <c r="N626" s="26">
        <f t="shared" si="37"/>
        <v>-1.9051258413124723E-2</v>
      </c>
      <c r="O626" s="26">
        <f>'Part 2 - CAPM 2.1, 2.2 and 2.3'!C626-'Part 2 - CAPM 2.1, 2.2 and 2.3'!K626</f>
        <v>-4.1697144586215908E-2</v>
      </c>
    </row>
    <row r="627" spans="1:15" x14ac:dyDescent="0.4">
      <c r="A627" s="16">
        <v>44498</v>
      </c>
      <c r="B627" s="14">
        <v>150</v>
      </c>
      <c r="C627" s="25">
        <f t="shared" si="38"/>
        <v>-5.9642147117296594E-3</v>
      </c>
      <c r="E627" s="16">
        <v>44498</v>
      </c>
      <c r="F627" s="15">
        <v>15086.9</v>
      </c>
      <c r="G627" s="25">
        <f t="shared" si="39"/>
        <v>-6.8429350563003867E-3</v>
      </c>
      <c r="I627" s="16">
        <v>44498</v>
      </c>
      <c r="J627" s="17">
        <v>3.5900000000000001E-2</v>
      </c>
      <c r="K627" s="25">
        <f t="shared" si="36"/>
        <v>9.663648840718686E-5</v>
      </c>
      <c r="M627" s="16">
        <v>44498</v>
      </c>
      <c r="N627" s="26">
        <f t="shared" si="37"/>
        <v>-6.9395715447075736E-3</v>
      </c>
      <c r="O627" s="26">
        <f>'Part 2 - CAPM 2.1, 2.2 and 2.3'!C627-'Part 2 - CAPM 2.1, 2.2 and 2.3'!K627</f>
        <v>-6.0608512001368462E-3</v>
      </c>
    </row>
    <row r="628" spans="1:15" x14ac:dyDescent="0.4">
      <c r="A628" s="16">
        <v>44501</v>
      </c>
      <c r="B628" s="14">
        <v>153.05000000000001</v>
      </c>
      <c r="C628" s="25">
        <f t="shared" si="38"/>
        <v>2.0333333333333408E-2</v>
      </c>
      <c r="E628" s="16">
        <v>44501</v>
      </c>
      <c r="F628" s="15">
        <v>15302.7</v>
      </c>
      <c r="G628" s="25">
        <f t="shared" si="39"/>
        <v>1.4303799985417885E-2</v>
      </c>
      <c r="I628" s="16">
        <v>44501</v>
      </c>
      <c r="J628" s="17">
        <v>3.61E-2</v>
      </c>
      <c r="K628" s="25">
        <f t="shared" si="36"/>
        <v>9.7165444298719095E-5</v>
      </c>
      <c r="M628" s="16">
        <v>44501</v>
      </c>
      <c r="N628" s="26">
        <f t="shared" si="37"/>
        <v>1.4206634541119166E-2</v>
      </c>
      <c r="O628" s="26">
        <f>'Part 2 - CAPM 2.1, 2.2 and 2.3'!C628-'Part 2 - CAPM 2.1, 2.2 and 2.3'!K628</f>
        <v>2.0236167889034689E-2</v>
      </c>
    </row>
    <row r="629" spans="1:15" x14ac:dyDescent="0.4">
      <c r="A629" s="16">
        <v>44502</v>
      </c>
      <c r="B629" s="14">
        <v>152.6</v>
      </c>
      <c r="C629" s="25">
        <f t="shared" si="38"/>
        <v>-2.9402156158119374E-3</v>
      </c>
      <c r="E629" s="16">
        <v>44502</v>
      </c>
      <c r="F629" s="15">
        <v>15314.65</v>
      </c>
      <c r="G629" s="25">
        <f t="shared" si="39"/>
        <v>7.8090794434961853E-4</v>
      </c>
      <c r="I629" s="16">
        <v>44502</v>
      </c>
      <c r="J629" s="17">
        <v>3.61E-2</v>
      </c>
      <c r="K629" s="25">
        <f t="shared" si="36"/>
        <v>9.7165444298719095E-5</v>
      </c>
      <c r="M629" s="16">
        <v>44502</v>
      </c>
      <c r="N629" s="26">
        <f t="shared" si="37"/>
        <v>6.8374250005089944E-4</v>
      </c>
      <c r="O629" s="26">
        <f>'Part 2 - CAPM 2.1, 2.2 and 2.3'!C629-'Part 2 - CAPM 2.1, 2.2 and 2.3'!K629</f>
        <v>-3.0373810601106565E-3</v>
      </c>
    </row>
    <row r="630" spans="1:15" x14ac:dyDescent="0.4">
      <c r="A630" s="16">
        <v>44503</v>
      </c>
      <c r="B630" s="14">
        <v>152</v>
      </c>
      <c r="C630" s="25">
        <f t="shared" si="38"/>
        <v>-3.9318479685451794E-3</v>
      </c>
      <c r="E630" s="16">
        <v>44503</v>
      </c>
      <c r="F630" s="15">
        <v>15282.75</v>
      </c>
      <c r="G630" s="25">
        <f t="shared" si="39"/>
        <v>-2.0829728397318671E-3</v>
      </c>
      <c r="I630" s="16">
        <v>44503</v>
      </c>
      <c r="J630" s="17">
        <v>3.6699999999999997E-2</v>
      </c>
      <c r="K630" s="25">
        <f t="shared" si="36"/>
        <v>9.8751701236299283E-5</v>
      </c>
      <c r="M630" s="16">
        <v>44503</v>
      </c>
      <c r="N630" s="26">
        <f t="shared" si="37"/>
        <v>-2.1817245409681664E-3</v>
      </c>
      <c r="O630" s="26">
        <f>'Part 2 - CAPM 2.1, 2.2 and 2.3'!C630-'Part 2 - CAPM 2.1, 2.2 and 2.3'!K630</f>
        <v>-4.0305996697814787E-3</v>
      </c>
    </row>
    <row r="631" spans="1:15" x14ac:dyDescent="0.4">
      <c r="A631" s="16">
        <v>44508</v>
      </c>
      <c r="B631" s="14">
        <v>155.19999999999999</v>
      </c>
      <c r="C631" s="25">
        <f t="shared" si="38"/>
        <v>2.1052631578947295E-2</v>
      </c>
      <c r="E631" s="16">
        <v>44508</v>
      </c>
      <c r="F631" s="15">
        <v>15520.15</v>
      </c>
      <c r="G631" s="25">
        <f t="shared" si="39"/>
        <v>1.5533853527670062E-2</v>
      </c>
      <c r="I631" s="16">
        <v>44508</v>
      </c>
      <c r="J631" s="17">
        <v>3.6299999999999999E-2</v>
      </c>
      <c r="K631" s="25">
        <f t="shared" si="36"/>
        <v>9.7694298374584321E-5</v>
      </c>
      <c r="M631" s="16">
        <v>44508</v>
      </c>
      <c r="N631" s="26">
        <f t="shared" si="37"/>
        <v>1.5436159229295478E-2</v>
      </c>
      <c r="O631" s="26">
        <f>'Part 2 - CAPM 2.1, 2.2 and 2.3'!C631-'Part 2 - CAPM 2.1, 2.2 and 2.3'!K631</f>
        <v>2.0954937280572711E-2</v>
      </c>
    </row>
    <row r="632" spans="1:15" x14ac:dyDescent="0.4">
      <c r="A632" s="16">
        <v>44509</v>
      </c>
      <c r="B632" s="14">
        <v>156.55000000000001</v>
      </c>
      <c r="C632" s="25">
        <f t="shared" si="38"/>
        <v>8.6984536082475705E-3</v>
      </c>
      <c r="E632" s="16">
        <v>44509</v>
      </c>
      <c r="F632" s="15">
        <v>15541.95</v>
      </c>
      <c r="G632" s="25">
        <f t="shared" si="39"/>
        <v>1.4046255996237854E-3</v>
      </c>
      <c r="I632" s="16">
        <v>44509</v>
      </c>
      <c r="J632" s="17">
        <v>3.5499999999999997E-2</v>
      </c>
      <c r="K632" s="25">
        <f t="shared" si="36"/>
        <v>9.557827102013583E-5</v>
      </c>
      <c r="M632" s="16">
        <v>44509</v>
      </c>
      <c r="N632" s="26">
        <f t="shared" si="37"/>
        <v>1.3090473286036495E-3</v>
      </c>
      <c r="O632" s="26">
        <f>'Part 2 - CAPM 2.1, 2.2 and 2.3'!C632-'Part 2 - CAPM 2.1, 2.2 and 2.3'!K632</f>
        <v>8.6028753372274346E-3</v>
      </c>
    </row>
    <row r="633" spans="1:15" x14ac:dyDescent="0.4">
      <c r="A633" s="16">
        <v>44510</v>
      </c>
      <c r="B633" s="14">
        <v>157.85</v>
      </c>
      <c r="C633" s="25">
        <f t="shared" si="38"/>
        <v>8.3040562120727107E-3</v>
      </c>
      <c r="E633" s="16">
        <v>44510</v>
      </c>
      <c r="F633" s="15">
        <v>15521.1</v>
      </c>
      <c r="G633" s="25">
        <f t="shared" si="39"/>
        <v>-1.3415305029291925E-3</v>
      </c>
      <c r="I633" s="16">
        <v>44510</v>
      </c>
      <c r="J633" s="17">
        <v>3.5299999999999998E-2</v>
      </c>
      <c r="K633" s="25">
        <f t="shared" si="36"/>
        <v>9.5049009446013244E-5</v>
      </c>
      <c r="M633" s="16">
        <v>44510</v>
      </c>
      <c r="N633" s="26">
        <f t="shared" si="37"/>
        <v>-1.4365795123752057E-3</v>
      </c>
      <c r="O633" s="26">
        <f>'Part 2 - CAPM 2.1, 2.2 and 2.3'!C633-'Part 2 - CAPM 2.1, 2.2 and 2.3'!K633</f>
        <v>8.2090072026266975E-3</v>
      </c>
    </row>
    <row r="634" spans="1:15" x14ac:dyDescent="0.4">
      <c r="A634" s="16">
        <v>44511</v>
      </c>
      <c r="B634" s="14">
        <v>153.65</v>
      </c>
      <c r="C634" s="25">
        <f t="shared" si="38"/>
        <v>-2.6607538802660684E-2</v>
      </c>
      <c r="E634" s="16">
        <v>44511</v>
      </c>
      <c r="F634" s="15">
        <v>15411.1</v>
      </c>
      <c r="G634" s="25">
        <f t="shared" si="39"/>
        <v>-7.0871265567517766E-3</v>
      </c>
      <c r="I634" s="16">
        <v>44511</v>
      </c>
      <c r="J634" s="17">
        <v>3.5699999999999996E-2</v>
      </c>
      <c r="K634" s="25">
        <f t="shared" si="36"/>
        <v>9.6107430660685722E-5</v>
      </c>
      <c r="M634" s="16">
        <v>44511</v>
      </c>
      <c r="N634" s="26">
        <f t="shared" si="37"/>
        <v>-7.1832339874124624E-3</v>
      </c>
      <c r="O634" s="26">
        <f>'Part 2 - CAPM 2.1, 2.2 and 2.3'!C634-'Part 2 - CAPM 2.1, 2.2 and 2.3'!K634</f>
        <v>-2.670364623332137E-2</v>
      </c>
    </row>
    <row r="635" spans="1:15" x14ac:dyDescent="0.4">
      <c r="A635" s="16">
        <v>44512</v>
      </c>
      <c r="B635" s="14">
        <v>154.80000000000001</v>
      </c>
      <c r="C635" s="25">
        <f t="shared" si="38"/>
        <v>7.4845427920599127E-3</v>
      </c>
      <c r="E635" s="16">
        <v>44512</v>
      </c>
      <c r="F635" s="15">
        <v>15579</v>
      </c>
      <c r="G635" s="25">
        <f t="shared" si="39"/>
        <v>1.0894744697004084E-2</v>
      </c>
      <c r="I635" s="16">
        <v>44512</v>
      </c>
      <c r="J635" s="17">
        <v>3.5299999999999998E-2</v>
      </c>
      <c r="K635" s="25">
        <f t="shared" si="36"/>
        <v>9.5049009446013244E-5</v>
      </c>
      <c r="M635" s="16">
        <v>44512</v>
      </c>
      <c r="N635" s="26">
        <f t="shared" si="37"/>
        <v>1.0799695687558071E-2</v>
      </c>
      <c r="O635" s="26">
        <f>'Part 2 - CAPM 2.1, 2.2 and 2.3'!C635-'Part 2 - CAPM 2.1, 2.2 and 2.3'!K635</f>
        <v>7.3894937826138995E-3</v>
      </c>
    </row>
    <row r="636" spans="1:15" x14ac:dyDescent="0.4">
      <c r="A636" s="16">
        <v>44515</v>
      </c>
      <c r="B636" s="14">
        <v>158.44999999999999</v>
      </c>
      <c r="C636" s="25">
        <f t="shared" si="38"/>
        <v>2.3578811369508894E-2</v>
      </c>
      <c r="E636" s="16">
        <v>44515</v>
      </c>
      <c r="F636" s="15">
        <v>15592.6</v>
      </c>
      <c r="G636" s="25">
        <f t="shared" si="39"/>
        <v>8.7297002374994313E-4</v>
      </c>
      <c r="I636" s="16">
        <v>44515</v>
      </c>
      <c r="J636" s="17">
        <v>3.5499999999999997E-2</v>
      </c>
      <c r="K636" s="25">
        <f t="shared" si="36"/>
        <v>9.557827102013583E-5</v>
      </c>
      <c r="M636" s="16">
        <v>44515</v>
      </c>
      <c r="N636" s="26">
        <f t="shared" si="37"/>
        <v>7.773917527298073E-4</v>
      </c>
      <c r="O636" s="26">
        <f>'Part 2 - CAPM 2.1, 2.2 and 2.3'!C636-'Part 2 - CAPM 2.1, 2.2 and 2.3'!K636</f>
        <v>2.3483233098488758E-2</v>
      </c>
    </row>
    <row r="637" spans="1:15" x14ac:dyDescent="0.4">
      <c r="A637" s="16">
        <v>44516</v>
      </c>
      <c r="B637" s="14">
        <v>157.6</v>
      </c>
      <c r="C637" s="25">
        <f t="shared" si="38"/>
        <v>-5.3644682865256824E-3</v>
      </c>
      <c r="E637" s="16">
        <v>44516</v>
      </c>
      <c r="F637" s="15">
        <v>15525.4</v>
      </c>
      <c r="G637" s="25">
        <f t="shared" si="39"/>
        <v>-4.3097366699588729E-3</v>
      </c>
      <c r="I637" s="16">
        <v>44516</v>
      </c>
      <c r="J637" s="17">
        <v>3.5499999999999997E-2</v>
      </c>
      <c r="K637" s="25">
        <f t="shared" si="36"/>
        <v>9.557827102013583E-5</v>
      </c>
      <c r="M637" s="16">
        <v>44516</v>
      </c>
      <c r="N637" s="26">
        <f t="shared" si="37"/>
        <v>-4.4053149409790087E-3</v>
      </c>
      <c r="O637" s="26">
        <f>'Part 2 - CAPM 2.1, 2.2 and 2.3'!C637-'Part 2 - CAPM 2.1, 2.2 and 2.3'!K637</f>
        <v>-5.4600465575458182E-3</v>
      </c>
    </row>
    <row r="638" spans="1:15" x14ac:dyDescent="0.4">
      <c r="A638" s="16">
        <v>44517</v>
      </c>
      <c r="B638" s="14">
        <v>157.6</v>
      </c>
      <c r="C638" s="25">
        <f t="shared" si="38"/>
        <v>0</v>
      </c>
      <c r="E638" s="16">
        <v>44517</v>
      </c>
      <c r="F638" s="15">
        <v>15454.95</v>
      </c>
      <c r="G638" s="25">
        <f t="shared" si="39"/>
        <v>-4.5377252759992602E-3</v>
      </c>
      <c r="I638" s="16">
        <v>44517</v>
      </c>
      <c r="J638" s="17">
        <v>3.56E-2</v>
      </c>
      <c r="K638" s="25">
        <f t="shared" si="36"/>
        <v>9.5842863579775894E-5</v>
      </c>
      <c r="M638" s="16">
        <v>44517</v>
      </c>
      <c r="N638" s="26">
        <f t="shared" si="37"/>
        <v>-4.6335681395790361E-3</v>
      </c>
      <c r="O638" s="26">
        <f>'Part 2 - CAPM 2.1, 2.2 and 2.3'!C638-'Part 2 - CAPM 2.1, 2.2 and 2.3'!K638</f>
        <v>-9.5842863579775894E-5</v>
      </c>
    </row>
    <row r="639" spans="1:15" x14ac:dyDescent="0.4">
      <c r="A639" s="16">
        <v>44518</v>
      </c>
      <c r="B639" s="14">
        <v>154.44999999999999</v>
      </c>
      <c r="C639" s="25">
        <f t="shared" si="38"/>
        <v>-1.9987309644670086E-2</v>
      </c>
      <c r="E639" s="16">
        <v>44518</v>
      </c>
      <c r="F639" s="15">
        <v>15302.55</v>
      </c>
      <c r="G639" s="25">
        <f t="shared" si="39"/>
        <v>-9.8609183465492578E-3</v>
      </c>
      <c r="I639" s="16">
        <v>44518</v>
      </c>
      <c r="J639" s="17">
        <v>3.5400000000000001E-2</v>
      </c>
      <c r="K639" s="25">
        <f t="shared" si="36"/>
        <v>9.5313652977324637E-5</v>
      </c>
      <c r="M639" s="16">
        <v>44518</v>
      </c>
      <c r="N639" s="26">
        <f t="shared" si="37"/>
        <v>-9.9562319995265824E-3</v>
      </c>
      <c r="O639" s="26">
        <f>'Part 2 - CAPM 2.1, 2.2 and 2.3'!C639-'Part 2 - CAPM 2.1, 2.2 and 2.3'!K639</f>
        <v>-2.0082623297647411E-2</v>
      </c>
    </row>
    <row r="640" spans="1:15" x14ac:dyDescent="0.4">
      <c r="A640" s="16">
        <v>44522</v>
      </c>
      <c r="B640" s="14">
        <v>147.9</v>
      </c>
      <c r="C640" s="25">
        <f t="shared" si="38"/>
        <v>-4.2408546455163378E-2</v>
      </c>
      <c r="E640" s="16">
        <v>44522</v>
      </c>
      <c r="F640" s="15">
        <v>14976.7</v>
      </c>
      <c r="G640" s="25">
        <f t="shared" si="39"/>
        <v>-2.129383664814025E-2</v>
      </c>
      <c r="I640" s="16">
        <v>44522</v>
      </c>
      <c r="J640" s="17">
        <v>3.5400000000000001E-2</v>
      </c>
      <c r="K640" s="25">
        <f t="shared" si="36"/>
        <v>9.5313652977324637E-5</v>
      </c>
      <c r="M640" s="16">
        <v>44522</v>
      </c>
      <c r="N640" s="26">
        <f t="shared" si="37"/>
        <v>-2.1389150301117574E-2</v>
      </c>
      <c r="O640" s="26">
        <f>'Part 2 - CAPM 2.1, 2.2 and 2.3'!C640-'Part 2 - CAPM 2.1, 2.2 and 2.3'!K640</f>
        <v>-4.2503860108140702E-2</v>
      </c>
    </row>
    <row r="641" spans="1:15" x14ac:dyDescent="0.4">
      <c r="A641" s="16">
        <v>44523</v>
      </c>
      <c r="B641" s="14">
        <v>146.85</v>
      </c>
      <c r="C641" s="25">
        <f t="shared" si="38"/>
        <v>-7.0993914807302994E-3</v>
      </c>
      <c r="E641" s="16">
        <v>44523</v>
      </c>
      <c r="F641" s="15">
        <v>15107.8</v>
      </c>
      <c r="G641" s="25">
        <f t="shared" si="39"/>
        <v>8.7535972544017394E-3</v>
      </c>
      <c r="I641" s="16">
        <v>44523</v>
      </c>
      <c r="J641" s="17">
        <v>3.5299999999999998E-2</v>
      </c>
      <c r="K641" s="25">
        <f t="shared" si="36"/>
        <v>9.5049009446013244E-5</v>
      </c>
      <c r="M641" s="16">
        <v>44523</v>
      </c>
      <c r="N641" s="26">
        <f t="shared" si="37"/>
        <v>8.6585482449557261E-3</v>
      </c>
      <c r="O641" s="26">
        <f>'Part 2 - CAPM 2.1, 2.2 and 2.3'!C641-'Part 2 - CAPM 2.1, 2.2 and 2.3'!K641</f>
        <v>-7.1944404901763126E-3</v>
      </c>
    </row>
    <row r="642" spans="1:15" x14ac:dyDescent="0.4">
      <c r="A642" s="16">
        <v>44524</v>
      </c>
      <c r="B642" s="14">
        <v>152.94999999999999</v>
      </c>
      <c r="C642" s="25">
        <f t="shared" si="38"/>
        <v>4.1538985359210044E-2</v>
      </c>
      <c r="E642" s="16">
        <v>44524</v>
      </c>
      <c r="F642" s="15">
        <v>15046.5</v>
      </c>
      <c r="G642" s="25">
        <f t="shared" si="39"/>
        <v>-4.0575067183838331E-3</v>
      </c>
      <c r="I642" s="16">
        <v>44524</v>
      </c>
      <c r="J642" s="17">
        <v>3.5499999999999997E-2</v>
      </c>
      <c r="K642" s="25">
        <f t="shared" si="36"/>
        <v>9.557827102013583E-5</v>
      </c>
      <c r="M642" s="16">
        <v>44524</v>
      </c>
      <c r="N642" s="26">
        <f t="shared" si="37"/>
        <v>-4.1530849894039689E-3</v>
      </c>
      <c r="O642" s="26">
        <f>'Part 2 - CAPM 2.1, 2.2 and 2.3'!C642-'Part 2 - CAPM 2.1, 2.2 and 2.3'!K642</f>
        <v>4.1443407088189908E-2</v>
      </c>
    </row>
    <row r="643" spans="1:15" x14ac:dyDescent="0.4">
      <c r="A643" s="16">
        <v>44525</v>
      </c>
      <c r="B643" s="14">
        <v>155.15</v>
      </c>
      <c r="C643" s="25">
        <f t="shared" si="38"/>
        <v>1.4383785550833719E-2</v>
      </c>
      <c r="E643" s="16">
        <v>44525</v>
      </c>
      <c r="F643" s="15">
        <v>15150.6</v>
      </c>
      <c r="G643" s="25">
        <f t="shared" si="39"/>
        <v>6.9185524872894272E-3</v>
      </c>
      <c r="I643" s="16">
        <v>44525</v>
      </c>
      <c r="J643" s="17">
        <v>3.5499999999999997E-2</v>
      </c>
      <c r="K643" s="25">
        <f t="shared" si="36"/>
        <v>9.557827102013583E-5</v>
      </c>
      <c r="M643" s="16">
        <v>44525</v>
      </c>
      <c r="N643" s="26">
        <f t="shared" si="37"/>
        <v>6.8229742162692914E-3</v>
      </c>
      <c r="O643" s="26">
        <f>'Part 2 - CAPM 2.1, 2.2 and 2.3'!C643-'Part 2 - CAPM 2.1, 2.2 and 2.3'!K643</f>
        <v>1.4288207279813583E-2</v>
      </c>
    </row>
    <row r="644" spans="1:15" x14ac:dyDescent="0.4">
      <c r="A644" s="16">
        <v>44526</v>
      </c>
      <c r="B644" s="14">
        <v>147.75</v>
      </c>
      <c r="C644" s="25">
        <f t="shared" si="38"/>
        <v>-4.7695778279084791E-2</v>
      </c>
      <c r="E644" s="16">
        <v>44526</v>
      </c>
      <c r="F644" s="15">
        <v>14707.2</v>
      </c>
      <c r="G644" s="25">
        <f t="shared" si="39"/>
        <v>-2.9266167676527639E-2</v>
      </c>
      <c r="I644" s="16">
        <v>44526</v>
      </c>
      <c r="J644" s="17">
        <v>3.5400000000000001E-2</v>
      </c>
      <c r="K644" s="25">
        <f t="shared" ref="K644:K707" si="40">((1+J644)^(1/365))-1</f>
        <v>9.5313652977324637E-5</v>
      </c>
      <c r="M644" s="16">
        <v>44526</v>
      </c>
      <c r="N644" s="26">
        <f t="shared" ref="N644:N707" si="41">G644-K644</f>
        <v>-2.9361481329504963E-2</v>
      </c>
      <c r="O644" s="26">
        <f>'Part 2 - CAPM 2.1, 2.2 and 2.3'!C644-'Part 2 - CAPM 2.1, 2.2 and 2.3'!K644</f>
        <v>-4.7791091932062116E-2</v>
      </c>
    </row>
    <row r="645" spans="1:15" x14ac:dyDescent="0.4">
      <c r="A645" s="16">
        <v>44529</v>
      </c>
      <c r="B645" s="14">
        <v>144.4</v>
      </c>
      <c r="C645" s="25">
        <f t="shared" ref="C645:C708" si="42">(B645-B644)/B644</f>
        <v>-2.2673434856175935E-2</v>
      </c>
      <c r="E645" s="16">
        <v>44529</v>
      </c>
      <c r="F645" s="15">
        <v>14656.45</v>
      </c>
      <c r="G645" s="25">
        <f t="shared" ref="G645:G708" si="43">(F645-F644)/F644</f>
        <v>-3.4506908181026977E-3</v>
      </c>
      <c r="I645" s="16">
        <v>44529</v>
      </c>
      <c r="J645" s="17">
        <v>3.5400000000000001E-2</v>
      </c>
      <c r="K645" s="25">
        <f t="shared" si="40"/>
        <v>9.5313652977324637E-5</v>
      </c>
      <c r="M645" s="16">
        <v>44529</v>
      </c>
      <c r="N645" s="26">
        <f t="shared" si="41"/>
        <v>-3.5460044710800224E-3</v>
      </c>
      <c r="O645" s="26">
        <f>'Part 2 - CAPM 2.1, 2.2 and 2.3'!C645-'Part 2 - CAPM 2.1, 2.2 and 2.3'!K645</f>
        <v>-2.276874850915326E-2</v>
      </c>
    </row>
    <row r="646" spans="1:15" x14ac:dyDescent="0.4">
      <c r="A646" s="16">
        <v>44530</v>
      </c>
      <c r="B646" s="14">
        <v>142.4</v>
      </c>
      <c r="C646" s="25">
        <f t="shared" si="42"/>
        <v>-1.3850415512465374E-2</v>
      </c>
      <c r="E646" s="16">
        <v>44530</v>
      </c>
      <c r="F646" s="15">
        <v>14648.35</v>
      </c>
      <c r="G646" s="25">
        <f t="shared" si="43"/>
        <v>-5.5265770360492228E-4</v>
      </c>
      <c r="I646" s="16">
        <v>44530</v>
      </c>
      <c r="J646" s="17">
        <v>3.5499999999999997E-2</v>
      </c>
      <c r="K646" s="25">
        <f t="shared" si="40"/>
        <v>9.557827102013583E-5</v>
      </c>
      <c r="M646" s="16">
        <v>44530</v>
      </c>
      <c r="N646" s="26">
        <f t="shared" si="41"/>
        <v>-6.4823597462505811E-4</v>
      </c>
      <c r="O646" s="26">
        <f>'Part 2 - CAPM 2.1, 2.2 and 2.3'!C646-'Part 2 - CAPM 2.1, 2.2 and 2.3'!K646</f>
        <v>-1.3945993783485509E-2</v>
      </c>
    </row>
    <row r="647" spans="1:15" x14ac:dyDescent="0.4">
      <c r="A647" s="16">
        <v>44531</v>
      </c>
      <c r="B647" s="14">
        <v>142.30000000000001</v>
      </c>
      <c r="C647" s="25">
        <f t="shared" si="42"/>
        <v>-7.0224719101119604E-4</v>
      </c>
      <c r="E647" s="16">
        <v>44531</v>
      </c>
      <c r="F647" s="15">
        <v>14784.7</v>
      </c>
      <c r="G647" s="25">
        <f t="shared" si="43"/>
        <v>9.3082156010745477E-3</v>
      </c>
      <c r="I647" s="16">
        <v>44531</v>
      </c>
      <c r="J647" s="17">
        <v>3.5299999999999998E-2</v>
      </c>
      <c r="K647" s="25">
        <f t="shared" si="40"/>
        <v>9.5049009446013244E-5</v>
      </c>
      <c r="M647" s="16">
        <v>44531</v>
      </c>
      <c r="N647" s="26">
        <f t="shared" si="41"/>
        <v>9.2131665916285344E-3</v>
      </c>
      <c r="O647" s="26">
        <f>'Part 2 - CAPM 2.1, 2.2 and 2.3'!C647-'Part 2 - CAPM 2.1, 2.2 and 2.3'!K647</f>
        <v>-7.9729620045720928E-4</v>
      </c>
    </row>
    <row r="648" spans="1:15" x14ac:dyDescent="0.4">
      <c r="A648" s="16">
        <v>44532</v>
      </c>
      <c r="B648" s="14">
        <v>144</v>
      </c>
      <c r="C648" s="25">
        <f t="shared" si="42"/>
        <v>1.1946591707659793E-2</v>
      </c>
      <c r="E648" s="16">
        <v>44532</v>
      </c>
      <c r="F648" s="15">
        <v>14973.95</v>
      </c>
      <c r="G648" s="25">
        <f t="shared" si="43"/>
        <v>1.2800395002942231E-2</v>
      </c>
      <c r="I648" s="16">
        <v>44532</v>
      </c>
      <c r="J648" s="17">
        <v>3.5400000000000001E-2</v>
      </c>
      <c r="K648" s="25">
        <f t="shared" si="40"/>
        <v>9.5313652977324637E-5</v>
      </c>
      <c r="M648" s="16">
        <v>44532</v>
      </c>
      <c r="N648" s="26">
        <f t="shared" si="41"/>
        <v>1.2705081349964906E-2</v>
      </c>
      <c r="O648" s="26">
        <f>'Part 2 - CAPM 2.1, 2.2 and 2.3'!C648-'Part 2 - CAPM 2.1, 2.2 and 2.3'!K648</f>
        <v>1.1851278054682468E-2</v>
      </c>
    </row>
    <row r="649" spans="1:15" x14ac:dyDescent="0.4">
      <c r="A649" s="16">
        <v>44533</v>
      </c>
      <c r="B649" s="14">
        <v>145.80000000000001</v>
      </c>
      <c r="C649" s="25">
        <f t="shared" si="42"/>
        <v>1.2500000000000079E-2</v>
      </c>
      <c r="E649" s="16">
        <v>44533</v>
      </c>
      <c r="F649" s="15">
        <v>14856.3</v>
      </c>
      <c r="G649" s="25">
        <f t="shared" si="43"/>
        <v>-7.8569782856227951E-3</v>
      </c>
      <c r="I649" s="16">
        <v>44533</v>
      </c>
      <c r="J649" s="17">
        <v>3.5499999999999997E-2</v>
      </c>
      <c r="K649" s="25">
        <f t="shared" si="40"/>
        <v>9.557827102013583E-5</v>
      </c>
      <c r="M649" s="16">
        <v>44533</v>
      </c>
      <c r="N649" s="26">
        <f t="shared" si="41"/>
        <v>-7.9525565566429309E-3</v>
      </c>
      <c r="O649" s="26">
        <f>'Part 2 - CAPM 2.1, 2.2 and 2.3'!C649-'Part 2 - CAPM 2.1, 2.2 and 2.3'!K649</f>
        <v>1.2404421728979943E-2</v>
      </c>
    </row>
    <row r="650" spans="1:15" x14ac:dyDescent="0.4">
      <c r="A650" s="16">
        <v>44536</v>
      </c>
      <c r="B650" s="14">
        <v>143.6</v>
      </c>
      <c r="C650" s="25">
        <f t="shared" si="42"/>
        <v>-1.5089163237311501E-2</v>
      </c>
      <c r="E650" s="16">
        <v>44536</v>
      </c>
      <c r="F650" s="15">
        <v>14618.35</v>
      </c>
      <c r="G650" s="25">
        <f t="shared" si="43"/>
        <v>-1.6016774028526547E-2</v>
      </c>
      <c r="I650" s="16">
        <v>44536</v>
      </c>
      <c r="J650" s="17">
        <v>3.56E-2</v>
      </c>
      <c r="K650" s="25">
        <f t="shared" si="40"/>
        <v>9.5842863579775894E-5</v>
      </c>
      <c r="M650" s="16">
        <v>44536</v>
      </c>
      <c r="N650" s="26">
        <f t="shared" si="41"/>
        <v>-1.6112616892106323E-2</v>
      </c>
      <c r="O650" s="26">
        <f>'Part 2 - CAPM 2.1, 2.2 and 2.3'!C650-'Part 2 - CAPM 2.1, 2.2 and 2.3'!K650</f>
        <v>-1.5185006100891277E-2</v>
      </c>
    </row>
    <row r="651" spans="1:15" x14ac:dyDescent="0.4">
      <c r="A651" s="16">
        <v>44537</v>
      </c>
      <c r="B651" s="14">
        <v>146.15</v>
      </c>
      <c r="C651" s="25">
        <f t="shared" si="42"/>
        <v>1.7757660167130998E-2</v>
      </c>
      <c r="E651" s="16">
        <v>44537</v>
      </c>
      <c r="F651" s="15">
        <v>14834.5</v>
      </c>
      <c r="G651" s="25">
        <f t="shared" si="43"/>
        <v>1.4786210482031121E-2</v>
      </c>
      <c r="I651" s="16">
        <v>44537</v>
      </c>
      <c r="J651" s="17">
        <v>3.5699999999999996E-2</v>
      </c>
      <c r="K651" s="25">
        <f t="shared" si="40"/>
        <v>9.6107430660685722E-5</v>
      </c>
      <c r="M651" s="16">
        <v>44537</v>
      </c>
      <c r="N651" s="26">
        <f t="shared" si="41"/>
        <v>1.4690103051370435E-2</v>
      </c>
      <c r="O651" s="26">
        <f>'Part 2 - CAPM 2.1, 2.2 and 2.3'!C651-'Part 2 - CAPM 2.1, 2.2 and 2.3'!K651</f>
        <v>1.7661552736470312E-2</v>
      </c>
    </row>
    <row r="652" spans="1:15" x14ac:dyDescent="0.4">
      <c r="A652" s="16">
        <v>44538</v>
      </c>
      <c r="B652" s="14">
        <v>148.5</v>
      </c>
      <c r="C652" s="25">
        <f t="shared" si="42"/>
        <v>1.6079370509750217E-2</v>
      </c>
      <c r="E652" s="16">
        <v>44538</v>
      </c>
      <c r="F652" s="15">
        <v>15073.25</v>
      </c>
      <c r="G652" s="25">
        <f t="shared" si="43"/>
        <v>1.6094239778893796E-2</v>
      </c>
      <c r="I652" s="16">
        <v>44538</v>
      </c>
      <c r="J652" s="17">
        <v>3.5099999999999999E-2</v>
      </c>
      <c r="K652" s="25">
        <f t="shared" si="40"/>
        <v>9.4519645899016069E-5</v>
      </c>
      <c r="M652" s="16">
        <v>44538</v>
      </c>
      <c r="N652" s="26">
        <f t="shared" si="41"/>
        <v>1.599972013299478E-2</v>
      </c>
      <c r="O652" s="26">
        <f>'Part 2 - CAPM 2.1, 2.2 and 2.3'!C652-'Part 2 - CAPM 2.1, 2.2 and 2.3'!K652</f>
        <v>1.5984850863851201E-2</v>
      </c>
    </row>
    <row r="653" spans="1:15" x14ac:dyDescent="0.4">
      <c r="A653" s="16">
        <v>44539</v>
      </c>
      <c r="B653" s="14">
        <v>147.5</v>
      </c>
      <c r="C653" s="25">
        <f t="shared" si="42"/>
        <v>-6.7340067340067337E-3</v>
      </c>
      <c r="E653" s="16">
        <v>44539</v>
      </c>
      <c r="F653" s="15">
        <v>15126.6</v>
      </c>
      <c r="G653" s="25">
        <f t="shared" si="43"/>
        <v>3.5393826812399692E-3</v>
      </c>
      <c r="I653" s="16">
        <v>44539</v>
      </c>
      <c r="J653" s="17">
        <v>3.5200000000000002E-2</v>
      </c>
      <c r="K653" s="25">
        <f t="shared" si="40"/>
        <v>9.4784340421538715E-5</v>
      </c>
      <c r="M653" s="16">
        <v>44539</v>
      </c>
      <c r="N653" s="26">
        <f t="shared" si="41"/>
        <v>3.4445983408184304E-3</v>
      </c>
      <c r="O653" s="26">
        <f>'Part 2 - CAPM 2.1, 2.2 and 2.3'!C653-'Part 2 - CAPM 2.1, 2.2 and 2.3'!K653</f>
        <v>-6.8287910744282724E-3</v>
      </c>
    </row>
    <row r="654" spans="1:15" x14ac:dyDescent="0.4">
      <c r="A654" s="16">
        <v>44540</v>
      </c>
      <c r="B654" s="14">
        <v>147.69999999999999</v>
      </c>
      <c r="C654" s="25">
        <f t="shared" si="42"/>
        <v>1.3559322033897534E-3</v>
      </c>
      <c r="E654" s="16">
        <v>44540</v>
      </c>
      <c r="F654" s="15">
        <v>15155</v>
      </c>
      <c r="G654" s="25">
        <f t="shared" si="43"/>
        <v>1.8774873401821714E-3</v>
      </c>
      <c r="I654" s="16">
        <v>44540</v>
      </c>
      <c r="J654" s="17">
        <v>3.5000000000000003E-2</v>
      </c>
      <c r="K654" s="25">
        <f t="shared" si="40"/>
        <v>9.4254925873560325E-5</v>
      </c>
      <c r="M654" s="16">
        <v>44540</v>
      </c>
      <c r="N654" s="26">
        <f t="shared" si="41"/>
        <v>1.7832324143086111E-3</v>
      </c>
      <c r="O654" s="26">
        <f>'Part 2 - CAPM 2.1, 2.2 and 2.3'!C654-'Part 2 - CAPM 2.1, 2.2 and 2.3'!K654</f>
        <v>1.2616772775161931E-3</v>
      </c>
    </row>
    <row r="655" spans="1:15" x14ac:dyDescent="0.4">
      <c r="A655" s="16">
        <v>44543</v>
      </c>
      <c r="B655" s="14">
        <v>146.19999999999999</v>
      </c>
      <c r="C655" s="25">
        <f t="shared" si="42"/>
        <v>-1.0155721056194991E-2</v>
      </c>
      <c r="E655" s="16">
        <v>44543</v>
      </c>
      <c r="F655" s="15">
        <v>15064.25</v>
      </c>
      <c r="G655" s="25">
        <f t="shared" si="43"/>
        <v>-5.9881227317716921E-3</v>
      </c>
      <c r="I655" s="16">
        <v>44543</v>
      </c>
      <c r="J655" s="17">
        <v>3.5099999999999999E-2</v>
      </c>
      <c r="K655" s="25">
        <f t="shared" si="40"/>
        <v>9.4519645899016069E-5</v>
      </c>
      <c r="M655" s="16">
        <v>44543</v>
      </c>
      <c r="N655" s="26">
        <f t="shared" si="41"/>
        <v>-6.0826423776707082E-3</v>
      </c>
      <c r="O655" s="26">
        <f>'Part 2 - CAPM 2.1, 2.2 and 2.3'!C655-'Part 2 - CAPM 2.1, 2.2 and 2.3'!K655</f>
        <v>-1.0250240702094007E-2</v>
      </c>
    </row>
    <row r="656" spans="1:15" x14ac:dyDescent="0.4">
      <c r="A656" s="16">
        <v>44544</v>
      </c>
      <c r="B656" s="14">
        <v>146.35</v>
      </c>
      <c r="C656" s="25">
        <f t="shared" si="42"/>
        <v>1.0259917920657025E-3</v>
      </c>
      <c r="E656" s="16">
        <v>44544</v>
      </c>
      <c r="F656" s="15">
        <v>15043.25</v>
      </c>
      <c r="G656" s="25">
        <f t="shared" si="43"/>
        <v>-1.3940289095042899E-3</v>
      </c>
      <c r="I656" s="16">
        <v>44544</v>
      </c>
      <c r="J656" s="17">
        <v>3.5200000000000002E-2</v>
      </c>
      <c r="K656" s="25">
        <f t="shared" si="40"/>
        <v>9.4784340421538715E-5</v>
      </c>
      <c r="M656" s="16">
        <v>44544</v>
      </c>
      <c r="N656" s="26">
        <f t="shared" si="41"/>
        <v>-1.4888132499258286E-3</v>
      </c>
      <c r="O656" s="26">
        <f>'Part 2 - CAPM 2.1, 2.2 and 2.3'!C656-'Part 2 - CAPM 2.1, 2.2 and 2.3'!K656</f>
        <v>9.3120745164416378E-4</v>
      </c>
    </row>
    <row r="657" spans="1:15" x14ac:dyDescent="0.4">
      <c r="A657" s="16">
        <v>44545</v>
      </c>
      <c r="B657" s="14">
        <v>144.15</v>
      </c>
      <c r="C657" s="25">
        <f t="shared" si="42"/>
        <v>-1.503245644004092E-2</v>
      </c>
      <c r="E657" s="16">
        <v>44545</v>
      </c>
      <c r="F657" s="15">
        <v>14953.1</v>
      </c>
      <c r="G657" s="25">
        <f t="shared" si="43"/>
        <v>-5.9927209878184329E-3</v>
      </c>
      <c r="I657" s="16">
        <v>44545</v>
      </c>
      <c r="J657" s="17">
        <v>3.5299999999999998E-2</v>
      </c>
      <c r="K657" s="25">
        <f t="shared" si="40"/>
        <v>9.5049009446013244E-5</v>
      </c>
      <c r="M657" s="16">
        <v>44545</v>
      </c>
      <c r="N657" s="26">
        <f t="shared" si="41"/>
        <v>-6.0877699972644462E-3</v>
      </c>
      <c r="O657" s="26">
        <f>'Part 2 - CAPM 2.1, 2.2 and 2.3'!C657-'Part 2 - CAPM 2.1, 2.2 and 2.3'!K657</f>
        <v>-1.5127505449486933E-2</v>
      </c>
    </row>
    <row r="658" spans="1:15" x14ac:dyDescent="0.4">
      <c r="A658" s="16">
        <v>44546</v>
      </c>
      <c r="B658" s="14">
        <v>145.5</v>
      </c>
      <c r="C658" s="25">
        <f t="shared" si="42"/>
        <v>9.3652445369406465E-3</v>
      </c>
      <c r="E658" s="16">
        <v>44546</v>
      </c>
      <c r="F658" s="15">
        <v>14936.45</v>
      </c>
      <c r="G658" s="25">
        <f t="shared" si="43"/>
        <v>-1.1134814854444654E-3</v>
      </c>
      <c r="I658" s="16">
        <v>44546</v>
      </c>
      <c r="J658" s="17">
        <v>3.56E-2</v>
      </c>
      <c r="K658" s="25">
        <f t="shared" si="40"/>
        <v>9.5842863579775894E-5</v>
      </c>
      <c r="M658" s="16">
        <v>44546</v>
      </c>
      <c r="N658" s="26">
        <f t="shared" si="41"/>
        <v>-1.2093243490242413E-3</v>
      </c>
      <c r="O658" s="26">
        <f>'Part 2 - CAPM 2.1, 2.2 and 2.3'!C658-'Part 2 - CAPM 2.1, 2.2 and 2.3'!K658</f>
        <v>9.2694016733608706E-3</v>
      </c>
    </row>
    <row r="659" spans="1:15" x14ac:dyDescent="0.4">
      <c r="A659" s="16">
        <v>44547</v>
      </c>
      <c r="B659" s="14">
        <v>139.69999999999999</v>
      </c>
      <c r="C659" s="25">
        <f t="shared" si="42"/>
        <v>-3.9862542955326541E-2</v>
      </c>
      <c r="E659" s="16">
        <v>44547</v>
      </c>
      <c r="F659" s="15">
        <v>14673.15</v>
      </c>
      <c r="G659" s="25">
        <f t="shared" si="43"/>
        <v>-1.7628017366911219E-2</v>
      </c>
      <c r="I659" s="16">
        <v>44547</v>
      </c>
      <c r="J659" s="17">
        <v>3.56E-2</v>
      </c>
      <c r="K659" s="25">
        <f t="shared" si="40"/>
        <v>9.5842863579775894E-5</v>
      </c>
      <c r="M659" s="16">
        <v>44547</v>
      </c>
      <c r="N659" s="26">
        <f t="shared" si="41"/>
        <v>-1.7723860230490995E-2</v>
      </c>
      <c r="O659" s="26">
        <f>'Part 2 - CAPM 2.1, 2.2 and 2.3'!C659-'Part 2 - CAPM 2.1, 2.2 and 2.3'!K659</f>
        <v>-3.9958385818906317E-2</v>
      </c>
    </row>
    <row r="660" spans="1:15" x14ac:dyDescent="0.4">
      <c r="A660" s="16">
        <v>44550</v>
      </c>
      <c r="B660" s="14">
        <v>134.4</v>
      </c>
      <c r="C660" s="25">
        <f t="shared" si="42"/>
        <v>-3.7938439513242543E-2</v>
      </c>
      <c r="E660" s="16">
        <v>44550</v>
      </c>
      <c r="F660" s="15">
        <v>14300.7</v>
      </c>
      <c r="G660" s="25">
        <f t="shared" si="43"/>
        <v>-2.5383097698858045E-2</v>
      </c>
      <c r="I660" s="16">
        <v>44550</v>
      </c>
      <c r="J660" s="17">
        <v>3.6000000000000004E-2</v>
      </c>
      <c r="K660" s="25">
        <f t="shared" si="40"/>
        <v>9.6900979082326089E-5</v>
      </c>
      <c r="M660" s="16">
        <v>44550</v>
      </c>
      <c r="N660" s="26">
        <f t="shared" si="41"/>
        <v>-2.5479998677940371E-2</v>
      </c>
      <c r="O660" s="26">
        <f>'Part 2 - CAPM 2.1, 2.2 and 2.3'!C660-'Part 2 - CAPM 2.1, 2.2 and 2.3'!K660</f>
        <v>-3.8035340492324869E-2</v>
      </c>
    </row>
    <row r="661" spans="1:15" x14ac:dyDescent="0.4">
      <c r="A661" s="16">
        <v>44551</v>
      </c>
      <c r="B661" s="14">
        <v>135.30000000000001</v>
      </c>
      <c r="C661" s="25">
        <f t="shared" si="42"/>
        <v>6.6964285714286136E-3</v>
      </c>
      <c r="E661" s="16">
        <v>44551</v>
      </c>
      <c r="F661" s="15">
        <v>14461.4</v>
      </c>
      <c r="G661" s="25">
        <f t="shared" si="43"/>
        <v>1.1237212164439426E-2</v>
      </c>
      <c r="I661" s="16">
        <v>44551</v>
      </c>
      <c r="J661" s="17">
        <v>3.6699999999999997E-2</v>
      </c>
      <c r="K661" s="25">
        <f t="shared" si="40"/>
        <v>9.8751701236299283E-5</v>
      </c>
      <c r="M661" s="16">
        <v>44551</v>
      </c>
      <c r="N661" s="26">
        <f t="shared" si="41"/>
        <v>1.1138460463203126E-2</v>
      </c>
      <c r="O661" s="26">
        <f>'Part 2 - CAPM 2.1, 2.2 and 2.3'!C661-'Part 2 - CAPM 2.1, 2.2 and 2.3'!K661</f>
        <v>6.5976768701923143E-3</v>
      </c>
    </row>
    <row r="662" spans="1:15" x14ac:dyDescent="0.4">
      <c r="A662" s="16">
        <v>44552</v>
      </c>
      <c r="B662" s="14">
        <v>137</v>
      </c>
      <c r="C662" s="25">
        <f t="shared" si="42"/>
        <v>1.2564671101256381E-2</v>
      </c>
      <c r="E662" s="16">
        <v>44552</v>
      </c>
      <c r="F662" s="15">
        <v>14639.75</v>
      </c>
      <c r="G662" s="25">
        <f t="shared" si="43"/>
        <v>1.2332830846252809E-2</v>
      </c>
      <c r="I662" s="16">
        <v>44552</v>
      </c>
      <c r="J662" s="17">
        <v>3.6799999999999999E-2</v>
      </c>
      <c r="K662" s="25">
        <f t="shared" si="40"/>
        <v>9.901598837824821E-5</v>
      </c>
      <c r="M662" s="16">
        <v>44552</v>
      </c>
      <c r="N662" s="26">
        <f t="shared" si="41"/>
        <v>1.223381485787456E-2</v>
      </c>
      <c r="O662" s="26">
        <f>'Part 2 - CAPM 2.1, 2.2 and 2.3'!C662-'Part 2 - CAPM 2.1, 2.2 and 2.3'!K662</f>
        <v>1.2465655112878133E-2</v>
      </c>
    </row>
    <row r="663" spans="1:15" x14ac:dyDescent="0.4">
      <c r="A663" s="16">
        <v>44553</v>
      </c>
      <c r="B663" s="14">
        <v>140.5</v>
      </c>
      <c r="C663" s="25">
        <f t="shared" si="42"/>
        <v>2.5547445255474453E-2</v>
      </c>
      <c r="E663" s="16">
        <v>44553</v>
      </c>
      <c r="F663" s="15">
        <v>14751.45</v>
      </c>
      <c r="G663" s="25">
        <f t="shared" si="43"/>
        <v>7.6299117129732903E-3</v>
      </c>
      <c r="I663" s="16">
        <v>44553</v>
      </c>
      <c r="J663" s="17">
        <v>3.6600000000000001E-2</v>
      </c>
      <c r="K663" s="25">
        <f t="shared" si="40"/>
        <v>9.8487388669799003E-5</v>
      </c>
      <c r="M663" s="16">
        <v>44553</v>
      </c>
      <c r="N663" s="26">
        <f t="shared" si="41"/>
        <v>7.5314243243034913E-3</v>
      </c>
      <c r="O663" s="26">
        <f>'Part 2 - CAPM 2.1, 2.2 and 2.3'!C663-'Part 2 - CAPM 2.1, 2.2 and 2.3'!K663</f>
        <v>2.5448957866804654E-2</v>
      </c>
    </row>
    <row r="664" spans="1:15" x14ac:dyDescent="0.4">
      <c r="A664" s="16">
        <v>44554</v>
      </c>
      <c r="B664" s="14">
        <v>138.15</v>
      </c>
      <c r="C664" s="25">
        <f t="shared" si="42"/>
        <v>-1.6725978647686792E-2</v>
      </c>
      <c r="E664" s="16">
        <v>44554</v>
      </c>
      <c r="F664" s="15">
        <v>14664.8</v>
      </c>
      <c r="G664" s="25">
        <f t="shared" si="43"/>
        <v>-5.8739988272340313E-3</v>
      </c>
      <c r="I664" s="16">
        <v>44554</v>
      </c>
      <c r="J664" s="17">
        <v>3.6299999999999999E-2</v>
      </c>
      <c r="K664" s="25">
        <f t="shared" si="40"/>
        <v>9.7694298374584321E-5</v>
      </c>
      <c r="M664" s="16">
        <v>44554</v>
      </c>
      <c r="N664" s="26">
        <f t="shared" si="41"/>
        <v>-5.9716931256086157E-3</v>
      </c>
      <c r="O664" s="26">
        <f>'Part 2 - CAPM 2.1, 2.2 and 2.3'!C664-'Part 2 - CAPM 2.1, 2.2 and 2.3'!K664</f>
        <v>-1.6823672946061376E-2</v>
      </c>
    </row>
    <row r="665" spans="1:15" x14ac:dyDescent="0.4">
      <c r="A665" s="16">
        <v>44557</v>
      </c>
      <c r="B665" s="14">
        <v>137.35</v>
      </c>
      <c r="C665" s="25">
        <f t="shared" si="42"/>
        <v>-5.7908070937387722E-3</v>
      </c>
      <c r="E665" s="16">
        <v>44557</v>
      </c>
      <c r="F665" s="15">
        <v>14727.6</v>
      </c>
      <c r="G665" s="25">
        <f t="shared" si="43"/>
        <v>4.2823632098631485E-3</v>
      </c>
      <c r="I665" s="16">
        <v>44557</v>
      </c>
      <c r="J665" s="17">
        <v>3.6400000000000002E-2</v>
      </c>
      <c r="K665" s="25">
        <f t="shared" si="40"/>
        <v>9.7958687243826503E-5</v>
      </c>
      <c r="M665" s="16">
        <v>44557</v>
      </c>
      <c r="N665" s="26">
        <f t="shared" si="41"/>
        <v>4.184404522619322E-3</v>
      </c>
      <c r="O665" s="26">
        <f>'Part 2 - CAPM 2.1, 2.2 and 2.3'!C665-'Part 2 - CAPM 2.1, 2.2 and 2.3'!K665</f>
        <v>-5.8887657809825987E-3</v>
      </c>
    </row>
    <row r="666" spans="1:15" x14ac:dyDescent="0.4">
      <c r="A666" s="16">
        <v>44558</v>
      </c>
      <c r="B666" s="14">
        <v>139.6</v>
      </c>
      <c r="C666" s="25">
        <f t="shared" si="42"/>
        <v>1.6381507098653075E-2</v>
      </c>
      <c r="E666" s="16">
        <v>44558</v>
      </c>
      <c r="F666" s="15">
        <v>14867.85</v>
      </c>
      <c r="G666" s="25">
        <f t="shared" si="43"/>
        <v>9.5229365273364289E-3</v>
      </c>
      <c r="I666" s="16">
        <v>44558</v>
      </c>
      <c r="J666" s="17">
        <v>3.6400000000000002E-2</v>
      </c>
      <c r="K666" s="25">
        <f t="shared" si="40"/>
        <v>9.7958687243826503E-5</v>
      </c>
      <c r="M666" s="16">
        <v>44558</v>
      </c>
      <c r="N666" s="26">
        <f t="shared" si="41"/>
        <v>9.4249778400926024E-3</v>
      </c>
      <c r="O666" s="26">
        <f>'Part 2 - CAPM 2.1, 2.2 and 2.3'!C666-'Part 2 - CAPM 2.1, 2.2 and 2.3'!K666</f>
        <v>1.6283548411409249E-2</v>
      </c>
    </row>
    <row r="667" spans="1:15" x14ac:dyDescent="0.4">
      <c r="A667" s="16">
        <v>44559</v>
      </c>
      <c r="B667" s="14">
        <v>138.5</v>
      </c>
      <c r="C667" s="25">
        <f t="shared" si="42"/>
        <v>-7.8796561604584127E-3</v>
      </c>
      <c r="E667" s="16">
        <v>44559</v>
      </c>
      <c r="F667" s="15">
        <v>14863.4</v>
      </c>
      <c r="G667" s="25">
        <f t="shared" si="43"/>
        <v>-2.9930353077282375E-4</v>
      </c>
      <c r="I667" s="16">
        <v>44559</v>
      </c>
      <c r="J667" s="17">
        <v>3.6299999999999999E-2</v>
      </c>
      <c r="K667" s="25">
        <f t="shared" si="40"/>
        <v>9.7694298374584321E-5</v>
      </c>
      <c r="M667" s="16">
        <v>44559</v>
      </c>
      <c r="N667" s="26">
        <f t="shared" si="41"/>
        <v>-3.9699782914740807E-4</v>
      </c>
      <c r="O667" s="26">
        <f>'Part 2 - CAPM 2.1, 2.2 and 2.3'!C667-'Part 2 - CAPM 2.1, 2.2 and 2.3'!K667</f>
        <v>-7.977350458832997E-3</v>
      </c>
    </row>
    <row r="668" spans="1:15" x14ac:dyDescent="0.4">
      <c r="A668" s="16">
        <v>44560</v>
      </c>
      <c r="B668" s="14">
        <v>140.9</v>
      </c>
      <c r="C668" s="25">
        <f t="shared" si="42"/>
        <v>1.7328519855595709E-2</v>
      </c>
      <c r="E668" s="16">
        <v>44560</v>
      </c>
      <c r="F668" s="15">
        <v>14842.05</v>
      </c>
      <c r="G668" s="25">
        <f t="shared" si="43"/>
        <v>-1.4364142793708279E-3</v>
      </c>
      <c r="I668" s="16">
        <v>44560</v>
      </c>
      <c r="J668" s="17">
        <v>3.6499999999999998E-2</v>
      </c>
      <c r="K668" s="25">
        <f t="shared" si="40"/>
        <v>9.8223050674084433E-5</v>
      </c>
      <c r="M668" s="16">
        <v>44560</v>
      </c>
      <c r="N668" s="26">
        <f t="shared" si="41"/>
        <v>-1.5346373300449123E-3</v>
      </c>
      <c r="O668" s="26">
        <f>'Part 2 - CAPM 2.1, 2.2 and 2.3'!C668-'Part 2 - CAPM 2.1, 2.2 and 2.3'!K668</f>
        <v>1.7230296804921625E-2</v>
      </c>
    </row>
    <row r="669" spans="1:15" x14ac:dyDescent="0.4">
      <c r="A669" s="16">
        <v>44561</v>
      </c>
      <c r="B669" s="14">
        <v>142.1</v>
      </c>
      <c r="C669" s="25">
        <f t="shared" si="42"/>
        <v>8.5166784953867175E-3</v>
      </c>
      <c r="E669" s="16">
        <v>44561</v>
      </c>
      <c r="F669" s="15">
        <v>14996.2</v>
      </c>
      <c r="G669" s="25">
        <f t="shared" si="43"/>
        <v>1.0386031579195695E-2</v>
      </c>
      <c r="I669" s="16">
        <v>44561</v>
      </c>
      <c r="J669" s="17">
        <v>3.6400000000000002E-2</v>
      </c>
      <c r="K669" s="25">
        <f t="shared" si="40"/>
        <v>9.7958687243826503E-5</v>
      </c>
      <c r="M669" s="16">
        <v>44561</v>
      </c>
      <c r="N669" s="26">
        <f t="shared" si="41"/>
        <v>1.0288072891951869E-2</v>
      </c>
      <c r="O669" s="26">
        <f>'Part 2 - CAPM 2.1, 2.2 and 2.3'!C669-'Part 2 - CAPM 2.1, 2.2 and 2.3'!K669</f>
        <v>8.418719808142891E-3</v>
      </c>
    </row>
    <row r="670" spans="1:15" x14ac:dyDescent="0.4">
      <c r="A670" s="16">
        <v>44564</v>
      </c>
      <c r="B670" s="14">
        <v>143</v>
      </c>
      <c r="C670" s="25">
        <f t="shared" si="42"/>
        <v>6.3335679099226303E-3</v>
      </c>
      <c r="E670" s="16">
        <v>44564</v>
      </c>
      <c r="F670" s="15">
        <v>15204.6</v>
      </c>
      <c r="G670" s="25">
        <f t="shared" si="43"/>
        <v>1.3896853869646952E-2</v>
      </c>
      <c r="I670" s="16">
        <v>44564</v>
      </c>
      <c r="J670" s="17">
        <v>3.5900000000000001E-2</v>
      </c>
      <c r="K670" s="25">
        <f t="shared" si="40"/>
        <v>9.663648840718686E-5</v>
      </c>
      <c r="M670" s="16">
        <v>44564</v>
      </c>
      <c r="N670" s="26">
        <f t="shared" si="41"/>
        <v>1.3800217381239765E-2</v>
      </c>
      <c r="O670" s="26">
        <f>'Part 2 - CAPM 2.1, 2.2 and 2.3'!C670-'Part 2 - CAPM 2.1, 2.2 and 2.3'!K670</f>
        <v>6.2369314215154435E-3</v>
      </c>
    </row>
    <row r="671" spans="1:15" x14ac:dyDescent="0.4">
      <c r="A671" s="16">
        <v>44565</v>
      </c>
      <c r="B671" s="14">
        <v>148.30000000000001</v>
      </c>
      <c r="C671" s="25">
        <f t="shared" si="42"/>
        <v>3.7062937062937146E-2</v>
      </c>
      <c r="E671" s="16">
        <v>44565</v>
      </c>
      <c r="F671" s="15">
        <v>15318.75</v>
      </c>
      <c r="G671" s="25">
        <f t="shared" si="43"/>
        <v>7.507596385304423E-3</v>
      </c>
      <c r="I671" s="16">
        <v>44565</v>
      </c>
      <c r="J671" s="17">
        <v>3.6000000000000004E-2</v>
      </c>
      <c r="K671" s="25">
        <f t="shared" si="40"/>
        <v>9.6900979082326089E-5</v>
      </c>
      <c r="M671" s="16">
        <v>44565</v>
      </c>
      <c r="N671" s="26">
        <f t="shared" si="41"/>
        <v>7.4106954062220969E-3</v>
      </c>
      <c r="O671" s="26">
        <f>'Part 2 - CAPM 2.1, 2.2 and 2.3'!C671-'Part 2 - CAPM 2.1, 2.2 and 2.3'!K671</f>
        <v>3.696603608385482E-2</v>
      </c>
    </row>
    <row r="672" spans="1:15" x14ac:dyDescent="0.4">
      <c r="A672" s="16">
        <v>44566</v>
      </c>
      <c r="B672" s="14">
        <v>150</v>
      </c>
      <c r="C672" s="25">
        <f t="shared" si="42"/>
        <v>1.1463250168577131E-2</v>
      </c>
      <c r="E672" s="16">
        <v>44566</v>
      </c>
      <c r="F672" s="15">
        <v>15396.4</v>
      </c>
      <c r="G672" s="25">
        <f t="shared" si="43"/>
        <v>5.0689514483883893E-3</v>
      </c>
      <c r="I672" s="16">
        <v>44566</v>
      </c>
      <c r="J672" s="17">
        <v>3.5799999999999998E-2</v>
      </c>
      <c r="K672" s="25">
        <f t="shared" si="40"/>
        <v>9.6371972268194384E-5</v>
      </c>
      <c r="M672" s="16">
        <v>44566</v>
      </c>
      <c r="N672" s="26">
        <f t="shared" si="41"/>
        <v>4.9725794761201949E-3</v>
      </c>
      <c r="O672" s="26">
        <f>'Part 2 - CAPM 2.1, 2.2 and 2.3'!C672-'Part 2 - CAPM 2.1, 2.2 and 2.3'!K672</f>
        <v>1.1366878196308937E-2</v>
      </c>
    </row>
    <row r="673" spans="1:15" x14ac:dyDescent="0.4">
      <c r="A673" s="16">
        <v>44567</v>
      </c>
      <c r="B673" s="14">
        <v>150.55000000000001</v>
      </c>
      <c r="C673" s="25">
        <f t="shared" si="42"/>
        <v>3.6666666666667425E-3</v>
      </c>
      <c r="E673" s="16">
        <v>44567</v>
      </c>
      <c r="F673" s="15">
        <v>15290.1</v>
      </c>
      <c r="G673" s="25">
        <f t="shared" si="43"/>
        <v>-6.9042113740874021E-3</v>
      </c>
      <c r="I673" s="16">
        <v>44567</v>
      </c>
      <c r="J673" s="17">
        <v>3.5699999999999996E-2</v>
      </c>
      <c r="K673" s="25">
        <f t="shared" si="40"/>
        <v>9.6107430660685722E-5</v>
      </c>
      <c r="M673" s="16">
        <v>44567</v>
      </c>
      <c r="N673" s="26">
        <f t="shared" si="41"/>
        <v>-7.0003188047480878E-3</v>
      </c>
      <c r="O673" s="26">
        <f>'Part 2 - CAPM 2.1, 2.2 and 2.3'!C673-'Part 2 - CAPM 2.1, 2.2 and 2.3'!K673</f>
        <v>3.5705592360060568E-3</v>
      </c>
    </row>
    <row r="674" spans="1:15" x14ac:dyDescent="0.4">
      <c r="A674" s="16">
        <v>44568</v>
      </c>
      <c r="B674" s="14">
        <v>157.1</v>
      </c>
      <c r="C674" s="25">
        <f t="shared" si="42"/>
        <v>4.3507140484888622E-2</v>
      </c>
      <c r="E674" s="16">
        <v>44568</v>
      </c>
      <c r="F674" s="15">
        <v>15348.55</v>
      </c>
      <c r="G674" s="25">
        <f t="shared" si="43"/>
        <v>3.8227349723022682E-3</v>
      </c>
      <c r="I674" s="16">
        <v>44568</v>
      </c>
      <c r="J674" s="17">
        <v>3.6000000000000004E-2</v>
      </c>
      <c r="K674" s="25">
        <f t="shared" si="40"/>
        <v>9.6900979082326089E-5</v>
      </c>
      <c r="M674" s="16">
        <v>44568</v>
      </c>
      <c r="N674" s="26">
        <f t="shared" si="41"/>
        <v>3.7258339932199421E-3</v>
      </c>
      <c r="O674" s="26">
        <f>'Part 2 - CAPM 2.1, 2.2 and 2.3'!C674-'Part 2 - CAPM 2.1, 2.2 and 2.3'!K674</f>
        <v>4.3410239505806296E-2</v>
      </c>
    </row>
    <row r="675" spans="1:15" x14ac:dyDescent="0.4">
      <c r="A675" s="16">
        <v>44571</v>
      </c>
      <c r="B675" s="14">
        <v>159.1</v>
      </c>
      <c r="C675" s="25">
        <f t="shared" si="42"/>
        <v>1.2730744748567792E-2</v>
      </c>
      <c r="E675" s="16">
        <v>44571</v>
      </c>
      <c r="F675" s="15">
        <v>15495.55</v>
      </c>
      <c r="G675" s="25">
        <f t="shared" si="43"/>
        <v>9.5774519417143652E-3</v>
      </c>
      <c r="I675" s="16">
        <v>44571</v>
      </c>
      <c r="J675" s="17">
        <v>3.5900000000000001E-2</v>
      </c>
      <c r="K675" s="25">
        <f t="shared" si="40"/>
        <v>9.663648840718686E-5</v>
      </c>
      <c r="M675" s="16">
        <v>44571</v>
      </c>
      <c r="N675" s="26">
        <f t="shared" si="41"/>
        <v>9.4808154533071783E-3</v>
      </c>
      <c r="O675" s="26">
        <f>'Part 2 - CAPM 2.1, 2.2 and 2.3'!C675-'Part 2 - CAPM 2.1, 2.2 and 2.3'!K675</f>
        <v>1.2634108260160605E-2</v>
      </c>
    </row>
    <row r="676" spans="1:15" x14ac:dyDescent="0.4">
      <c r="A676" s="16">
        <v>44572</v>
      </c>
      <c r="B676" s="14">
        <v>160.85</v>
      </c>
      <c r="C676" s="25">
        <f t="shared" si="42"/>
        <v>1.0999371464487744E-2</v>
      </c>
      <c r="E676" s="16">
        <v>44572</v>
      </c>
      <c r="F676" s="15">
        <v>15530.55</v>
      </c>
      <c r="G676" s="25">
        <f t="shared" si="43"/>
        <v>2.2587129853409529E-3</v>
      </c>
      <c r="I676" s="16">
        <v>44572</v>
      </c>
      <c r="J676" s="17">
        <v>3.5799999999999998E-2</v>
      </c>
      <c r="K676" s="25">
        <f t="shared" si="40"/>
        <v>9.6371972268194384E-5</v>
      </c>
      <c r="M676" s="16">
        <v>44572</v>
      </c>
      <c r="N676" s="26">
        <f t="shared" si="41"/>
        <v>2.1623410130727585E-3</v>
      </c>
      <c r="O676" s="26">
        <f>'Part 2 - CAPM 2.1, 2.2 and 2.3'!C676-'Part 2 - CAPM 2.1, 2.2 and 2.3'!K676</f>
        <v>1.090299949221955E-2</v>
      </c>
    </row>
    <row r="677" spans="1:15" x14ac:dyDescent="0.4">
      <c r="A677" s="16">
        <v>44573</v>
      </c>
      <c r="B677" s="14">
        <v>164.2</v>
      </c>
      <c r="C677" s="25">
        <f t="shared" si="42"/>
        <v>2.0826857320484889E-2</v>
      </c>
      <c r="E677" s="16">
        <v>44573</v>
      </c>
      <c r="F677" s="15">
        <v>15667.9</v>
      </c>
      <c r="G677" s="25">
        <f t="shared" si="43"/>
        <v>8.8438593610657944E-3</v>
      </c>
      <c r="I677" s="16">
        <v>44573</v>
      </c>
      <c r="J677" s="17">
        <v>3.5699999999999996E-2</v>
      </c>
      <c r="K677" s="25">
        <f t="shared" si="40"/>
        <v>9.6107430660685722E-5</v>
      </c>
      <c r="M677" s="16">
        <v>44573</v>
      </c>
      <c r="N677" s="26">
        <f t="shared" si="41"/>
        <v>8.7477519304051087E-3</v>
      </c>
      <c r="O677" s="26">
        <f>'Part 2 - CAPM 2.1, 2.2 and 2.3'!C677-'Part 2 - CAPM 2.1, 2.2 and 2.3'!K677</f>
        <v>2.0730749889824204E-2</v>
      </c>
    </row>
    <row r="678" spans="1:15" x14ac:dyDescent="0.4">
      <c r="A678" s="16">
        <v>44574</v>
      </c>
      <c r="B678" s="14">
        <v>163.4</v>
      </c>
      <c r="C678" s="25">
        <f t="shared" si="42"/>
        <v>-4.8721071863579964E-3</v>
      </c>
      <c r="E678" s="16">
        <v>44574</v>
      </c>
      <c r="F678" s="15">
        <v>15721.05</v>
      </c>
      <c r="G678" s="25">
        <f t="shared" si="43"/>
        <v>3.3922861391762543E-3</v>
      </c>
      <c r="I678" s="16">
        <v>44574</v>
      </c>
      <c r="J678" s="17">
        <v>3.5799999999999998E-2</v>
      </c>
      <c r="K678" s="25">
        <f t="shared" si="40"/>
        <v>9.6371972268194384E-5</v>
      </c>
      <c r="M678" s="16">
        <v>44574</v>
      </c>
      <c r="N678" s="26">
        <f t="shared" si="41"/>
        <v>3.2959141669080599E-3</v>
      </c>
      <c r="O678" s="26">
        <f>'Part 2 - CAPM 2.1, 2.2 and 2.3'!C678-'Part 2 - CAPM 2.1, 2.2 and 2.3'!K678</f>
        <v>-4.9684791586261908E-3</v>
      </c>
    </row>
    <row r="679" spans="1:15" x14ac:dyDescent="0.4">
      <c r="A679" s="16">
        <v>44575</v>
      </c>
      <c r="B679" s="14">
        <v>160.9</v>
      </c>
      <c r="C679" s="25">
        <f t="shared" si="42"/>
        <v>-1.5299877600979192E-2</v>
      </c>
      <c r="E679" s="16">
        <v>44575</v>
      </c>
      <c r="F679" s="15">
        <v>15730.4</v>
      </c>
      <c r="G679" s="25">
        <f t="shared" si="43"/>
        <v>5.9474398974625512E-4</v>
      </c>
      <c r="I679" s="16">
        <v>44575</v>
      </c>
      <c r="J679" s="17">
        <v>3.5900000000000001E-2</v>
      </c>
      <c r="K679" s="25">
        <f t="shared" si="40"/>
        <v>9.663648840718686E-5</v>
      </c>
      <c r="M679" s="16">
        <v>44575</v>
      </c>
      <c r="N679" s="26">
        <f t="shared" si="41"/>
        <v>4.9810750133906826E-4</v>
      </c>
      <c r="O679" s="26">
        <f>'Part 2 - CAPM 2.1, 2.2 and 2.3'!C679-'Part 2 - CAPM 2.1, 2.2 and 2.3'!K679</f>
        <v>-1.5396514089386379E-2</v>
      </c>
    </row>
    <row r="680" spans="1:15" x14ac:dyDescent="0.4">
      <c r="A680" s="16">
        <v>44578</v>
      </c>
      <c r="B680" s="14">
        <v>166.25</v>
      </c>
      <c r="C680" s="25">
        <f t="shared" si="42"/>
        <v>3.3250466128029794E-2</v>
      </c>
      <c r="E680" s="16">
        <v>44578</v>
      </c>
      <c r="F680" s="15">
        <v>15781.25</v>
      </c>
      <c r="G680" s="25">
        <f t="shared" si="43"/>
        <v>3.232594212480316E-3</v>
      </c>
      <c r="I680" s="16">
        <v>44578</v>
      </c>
      <c r="J680" s="17">
        <v>3.6000000000000004E-2</v>
      </c>
      <c r="K680" s="25">
        <f t="shared" si="40"/>
        <v>9.6900979082326089E-5</v>
      </c>
      <c r="M680" s="16">
        <v>44578</v>
      </c>
      <c r="N680" s="26">
        <f t="shared" si="41"/>
        <v>3.1356932333979899E-3</v>
      </c>
      <c r="O680" s="26">
        <f>'Part 2 - CAPM 2.1, 2.2 and 2.3'!C680-'Part 2 - CAPM 2.1, 2.2 and 2.3'!K680</f>
        <v>3.3153565148947468E-2</v>
      </c>
    </row>
    <row r="681" spans="1:15" x14ac:dyDescent="0.4">
      <c r="A681" s="16">
        <v>44579</v>
      </c>
      <c r="B681" s="14">
        <v>164.25</v>
      </c>
      <c r="C681" s="25">
        <f t="shared" si="42"/>
        <v>-1.2030075187969926E-2</v>
      </c>
      <c r="E681" s="16">
        <v>44579</v>
      </c>
      <c r="F681" s="15">
        <v>15573.1</v>
      </c>
      <c r="G681" s="25">
        <f t="shared" si="43"/>
        <v>-1.3189702970297007E-2</v>
      </c>
      <c r="I681" s="16">
        <v>44579</v>
      </c>
      <c r="J681" s="17">
        <v>3.6000000000000004E-2</v>
      </c>
      <c r="K681" s="25">
        <f t="shared" si="40"/>
        <v>9.6900979082326089E-5</v>
      </c>
      <c r="M681" s="16">
        <v>44579</v>
      </c>
      <c r="N681" s="26">
        <f t="shared" si="41"/>
        <v>-1.3286603949379333E-2</v>
      </c>
      <c r="O681" s="26">
        <f>'Part 2 - CAPM 2.1, 2.2 and 2.3'!C681-'Part 2 - CAPM 2.1, 2.2 and 2.3'!K681</f>
        <v>-1.2126976167052252E-2</v>
      </c>
    </row>
    <row r="682" spans="1:15" x14ac:dyDescent="0.4">
      <c r="A682" s="16">
        <v>44580</v>
      </c>
      <c r="B682" s="14">
        <v>169.5</v>
      </c>
      <c r="C682" s="25">
        <f t="shared" si="42"/>
        <v>3.1963470319634701E-2</v>
      </c>
      <c r="E682" s="16">
        <v>44580</v>
      </c>
      <c r="F682" s="15">
        <v>15472.5</v>
      </c>
      <c r="G682" s="25">
        <f t="shared" si="43"/>
        <v>-6.4598570612145537E-3</v>
      </c>
      <c r="I682" s="16">
        <v>44580</v>
      </c>
      <c r="J682" s="17">
        <v>3.6799999999999999E-2</v>
      </c>
      <c r="K682" s="25">
        <f t="shared" si="40"/>
        <v>9.901598837824821E-5</v>
      </c>
      <c r="M682" s="16">
        <v>44580</v>
      </c>
      <c r="N682" s="26">
        <f t="shared" si="41"/>
        <v>-6.5588730495928019E-3</v>
      </c>
      <c r="O682" s="26">
        <f>'Part 2 - CAPM 2.1, 2.2 and 2.3'!C682-'Part 2 - CAPM 2.1, 2.2 and 2.3'!K682</f>
        <v>3.1864454331256453E-2</v>
      </c>
    </row>
    <row r="683" spans="1:15" x14ac:dyDescent="0.4">
      <c r="A683" s="16">
        <v>44581</v>
      </c>
      <c r="B683" s="14">
        <v>166.9</v>
      </c>
      <c r="C683" s="25">
        <f t="shared" si="42"/>
        <v>-1.5339233038348049E-2</v>
      </c>
      <c r="E683" s="16">
        <v>44581</v>
      </c>
      <c r="F683" s="15">
        <v>15361.1</v>
      </c>
      <c r="G683" s="25">
        <f t="shared" si="43"/>
        <v>-7.1998707384068276E-3</v>
      </c>
      <c r="I683" s="16">
        <v>44581</v>
      </c>
      <c r="J683" s="17">
        <v>3.73E-2</v>
      </c>
      <c r="K683" s="25">
        <f t="shared" si="40"/>
        <v>1.0033704289202916E-4</v>
      </c>
      <c r="M683" s="16">
        <v>44581</v>
      </c>
      <c r="N683" s="26">
        <f t="shared" si="41"/>
        <v>-7.3002077812988567E-3</v>
      </c>
      <c r="O683" s="26">
        <f>'Part 2 - CAPM 2.1, 2.2 and 2.3'!C683-'Part 2 - CAPM 2.1, 2.2 and 2.3'!K683</f>
        <v>-1.5439570081240079E-2</v>
      </c>
    </row>
    <row r="684" spans="1:15" x14ac:dyDescent="0.4">
      <c r="A684" s="16">
        <v>44582</v>
      </c>
      <c r="B684" s="14">
        <v>164</v>
      </c>
      <c r="C684" s="25">
        <f t="shared" si="42"/>
        <v>-1.7375674056321185E-2</v>
      </c>
      <c r="E684" s="16">
        <v>44582</v>
      </c>
      <c r="F684" s="15">
        <v>15180.8</v>
      </c>
      <c r="G684" s="25">
        <f t="shared" si="43"/>
        <v>-1.173744067807651E-2</v>
      </c>
      <c r="I684" s="16">
        <v>44582</v>
      </c>
      <c r="J684" s="17">
        <v>3.73E-2</v>
      </c>
      <c r="K684" s="25">
        <f t="shared" si="40"/>
        <v>1.0033704289202916E-4</v>
      </c>
      <c r="M684" s="16">
        <v>44582</v>
      </c>
      <c r="N684" s="26">
        <f t="shared" si="41"/>
        <v>-1.1837777720968539E-2</v>
      </c>
      <c r="O684" s="26">
        <f>'Part 2 - CAPM 2.1, 2.2 and 2.3'!C684-'Part 2 - CAPM 2.1, 2.2 and 2.3'!K684</f>
        <v>-1.7476011099213214E-2</v>
      </c>
    </row>
    <row r="685" spans="1:15" x14ac:dyDescent="0.4">
      <c r="A685" s="16">
        <v>44585</v>
      </c>
      <c r="B685" s="14">
        <v>165</v>
      </c>
      <c r="C685" s="25">
        <f t="shared" si="42"/>
        <v>6.0975609756097563E-3</v>
      </c>
      <c r="E685" s="16">
        <v>44585</v>
      </c>
      <c r="F685" s="15">
        <v>14712.05</v>
      </c>
      <c r="G685" s="25">
        <f t="shared" si="43"/>
        <v>-3.0877819350758853E-2</v>
      </c>
      <c r="I685" s="16">
        <v>44585</v>
      </c>
      <c r="J685" s="17">
        <v>3.73E-2</v>
      </c>
      <c r="K685" s="25">
        <f t="shared" si="40"/>
        <v>1.0033704289202916E-4</v>
      </c>
      <c r="M685" s="16">
        <v>44585</v>
      </c>
      <c r="N685" s="26">
        <f t="shared" si="41"/>
        <v>-3.0978156393650882E-2</v>
      </c>
      <c r="O685" s="26">
        <f>'Part 2 - CAPM 2.1, 2.2 and 2.3'!C685-'Part 2 - CAPM 2.1, 2.2 and 2.3'!K685</f>
        <v>5.9972239327177271E-3</v>
      </c>
    </row>
    <row r="686" spans="1:15" x14ac:dyDescent="0.4">
      <c r="A686" s="16">
        <v>44586</v>
      </c>
      <c r="B686" s="14">
        <v>164.75</v>
      </c>
      <c r="C686" s="25">
        <f t="shared" si="42"/>
        <v>-1.5151515151515152E-3</v>
      </c>
      <c r="E686" s="16">
        <v>44586</v>
      </c>
      <c r="F686" s="15">
        <v>14832.2</v>
      </c>
      <c r="G686" s="25">
        <f t="shared" si="43"/>
        <v>8.1667748546260695E-3</v>
      </c>
      <c r="I686" s="16">
        <v>44586</v>
      </c>
      <c r="J686" s="17">
        <v>3.7100000000000001E-2</v>
      </c>
      <c r="K686" s="25">
        <f t="shared" si="40"/>
        <v>9.9808697306080774E-5</v>
      </c>
      <c r="M686" s="16">
        <v>44586</v>
      </c>
      <c r="N686" s="26">
        <f t="shared" si="41"/>
        <v>8.0669661573199887E-3</v>
      </c>
      <c r="O686" s="26">
        <f>'Part 2 - CAPM 2.1, 2.2 and 2.3'!C686-'Part 2 - CAPM 2.1, 2.2 and 2.3'!K686</f>
        <v>-1.6149602124575959E-3</v>
      </c>
    </row>
    <row r="687" spans="1:15" x14ac:dyDescent="0.4">
      <c r="A687" s="16">
        <v>44588</v>
      </c>
      <c r="B687" s="14">
        <v>165.5</v>
      </c>
      <c r="C687" s="25">
        <f t="shared" si="42"/>
        <v>4.552352048558422E-3</v>
      </c>
      <c r="E687" s="16">
        <v>44588</v>
      </c>
      <c r="F687" s="15">
        <v>14679.7</v>
      </c>
      <c r="G687" s="25">
        <f t="shared" si="43"/>
        <v>-1.028168444330578E-2</v>
      </c>
      <c r="I687" s="16">
        <v>44588</v>
      </c>
      <c r="J687" s="17">
        <v>3.7599999999999995E-2</v>
      </c>
      <c r="K687" s="25">
        <f t="shared" si="40"/>
        <v>1.0112937081929729E-4</v>
      </c>
      <c r="M687" s="16">
        <v>44588</v>
      </c>
      <c r="N687" s="26">
        <f t="shared" si="41"/>
        <v>-1.0382813814125078E-2</v>
      </c>
      <c r="O687" s="26">
        <f>'Part 2 - CAPM 2.1, 2.2 and 2.3'!C687-'Part 2 - CAPM 2.1, 2.2 and 2.3'!K687</f>
        <v>4.4512226777391247E-3</v>
      </c>
    </row>
    <row r="688" spans="1:15" x14ac:dyDescent="0.4">
      <c r="A688" s="16">
        <v>44589</v>
      </c>
      <c r="B688" s="14">
        <v>168.5</v>
      </c>
      <c r="C688" s="25">
        <f t="shared" si="42"/>
        <v>1.812688821752266E-2</v>
      </c>
      <c r="E688" s="16">
        <v>44589</v>
      </c>
      <c r="F688" s="15">
        <v>14723.25</v>
      </c>
      <c r="G688" s="25">
        <f t="shared" si="43"/>
        <v>2.96668188041985E-3</v>
      </c>
      <c r="I688" s="16">
        <v>44589</v>
      </c>
      <c r="J688" s="17">
        <v>3.7599999999999995E-2</v>
      </c>
      <c r="K688" s="25">
        <f t="shared" si="40"/>
        <v>1.0112937081929729E-4</v>
      </c>
      <c r="M688" s="16">
        <v>44589</v>
      </c>
      <c r="N688" s="26">
        <f t="shared" si="41"/>
        <v>2.8655525096005527E-3</v>
      </c>
      <c r="O688" s="26">
        <f>'Part 2 - CAPM 2.1, 2.2 and 2.3'!C688-'Part 2 - CAPM 2.1, 2.2 and 2.3'!K688</f>
        <v>1.8025758846703363E-2</v>
      </c>
    </row>
    <row r="689" spans="1:15" x14ac:dyDescent="0.4">
      <c r="A689" s="16">
        <v>44592</v>
      </c>
      <c r="B689" s="14">
        <v>172.5</v>
      </c>
      <c r="C689" s="25">
        <f t="shared" si="42"/>
        <v>2.3738872403560832E-2</v>
      </c>
      <c r="E689" s="16">
        <v>44592</v>
      </c>
      <c r="F689" s="15">
        <v>14921.45</v>
      </c>
      <c r="G689" s="25">
        <f t="shared" si="43"/>
        <v>1.3461701730256617E-2</v>
      </c>
      <c r="I689" s="16">
        <v>44592</v>
      </c>
      <c r="J689" s="17">
        <v>3.7599999999999995E-2</v>
      </c>
      <c r="K689" s="25">
        <f t="shared" si="40"/>
        <v>1.0112937081929729E-4</v>
      </c>
      <c r="M689" s="16">
        <v>44592</v>
      </c>
      <c r="N689" s="26">
        <f t="shared" si="41"/>
        <v>1.336057235943732E-2</v>
      </c>
      <c r="O689" s="26">
        <f>'Part 2 - CAPM 2.1, 2.2 and 2.3'!C689-'Part 2 - CAPM 2.1, 2.2 and 2.3'!K689</f>
        <v>2.3637743032741534E-2</v>
      </c>
    </row>
    <row r="690" spans="1:15" x14ac:dyDescent="0.4">
      <c r="A690" s="16">
        <v>44593</v>
      </c>
      <c r="B690" s="14">
        <v>170.3</v>
      </c>
      <c r="C690" s="25">
        <f t="shared" si="42"/>
        <v>-1.2753623188405731E-2</v>
      </c>
      <c r="E690" s="16">
        <v>44593</v>
      </c>
      <c r="F690" s="15">
        <v>15116.2</v>
      </c>
      <c r="G690" s="25">
        <f t="shared" si="43"/>
        <v>1.3051680634254713E-2</v>
      </c>
      <c r="I690" s="16">
        <v>44593</v>
      </c>
      <c r="J690" s="17">
        <v>3.7699999999999997E-2</v>
      </c>
      <c r="K690" s="25">
        <f t="shared" si="40"/>
        <v>1.0139342936099638E-4</v>
      </c>
      <c r="M690" s="16">
        <v>44593</v>
      </c>
      <c r="N690" s="26">
        <f t="shared" si="41"/>
        <v>1.2950287204893716E-2</v>
      </c>
      <c r="O690" s="26">
        <f>'Part 2 - CAPM 2.1, 2.2 and 2.3'!C690-'Part 2 - CAPM 2.1, 2.2 and 2.3'!K690</f>
        <v>-1.2855016617766727E-2</v>
      </c>
    </row>
    <row r="691" spans="1:15" x14ac:dyDescent="0.4">
      <c r="A691" s="16">
        <v>44594</v>
      </c>
      <c r="B691" s="14">
        <v>171</v>
      </c>
      <c r="C691" s="25">
        <f t="shared" si="42"/>
        <v>4.1103934233704554E-3</v>
      </c>
      <c r="E691" s="16">
        <v>44594</v>
      </c>
      <c r="F691" s="15">
        <v>15293.35</v>
      </c>
      <c r="G691" s="25">
        <f t="shared" si="43"/>
        <v>1.171921514666382E-2</v>
      </c>
      <c r="I691" s="16">
        <v>44594</v>
      </c>
      <c r="J691" s="17">
        <v>3.8399999999999997E-2</v>
      </c>
      <c r="K691" s="25">
        <f t="shared" si="40"/>
        <v>1.0324112891013648E-4</v>
      </c>
      <c r="M691" s="16">
        <v>44594</v>
      </c>
      <c r="N691" s="26">
        <f t="shared" si="41"/>
        <v>1.1615974017753683E-2</v>
      </c>
      <c r="O691" s="26">
        <f>'Part 2 - CAPM 2.1, 2.2 and 2.3'!C691-'Part 2 - CAPM 2.1, 2.2 and 2.3'!K691</f>
        <v>4.0071522944603189E-3</v>
      </c>
    </row>
    <row r="692" spans="1:15" x14ac:dyDescent="0.4">
      <c r="A692" s="16">
        <v>44595</v>
      </c>
      <c r="B692" s="14">
        <v>166.2</v>
      </c>
      <c r="C692" s="25">
        <f t="shared" si="42"/>
        <v>-2.8070175438596558E-2</v>
      </c>
      <c r="E692" s="16">
        <v>44595</v>
      </c>
      <c r="F692" s="15">
        <v>15135.9</v>
      </c>
      <c r="G692" s="25">
        <f t="shared" si="43"/>
        <v>-1.0295324438399743E-2</v>
      </c>
      <c r="I692" s="16">
        <v>44595</v>
      </c>
      <c r="J692" s="17">
        <v>3.8300000000000001E-2</v>
      </c>
      <c r="K692" s="25">
        <f t="shared" si="40"/>
        <v>1.0297724789487539E-4</v>
      </c>
      <c r="M692" s="16">
        <v>44595</v>
      </c>
      <c r="N692" s="26">
        <f t="shared" si="41"/>
        <v>-1.0398301686294619E-2</v>
      </c>
      <c r="O692" s="26">
        <f>'Part 2 - CAPM 2.1, 2.2 and 2.3'!C692-'Part 2 - CAPM 2.1, 2.2 and 2.3'!K692</f>
        <v>-2.8173152686491433E-2</v>
      </c>
    </row>
    <row r="693" spans="1:15" x14ac:dyDescent="0.4">
      <c r="A693" s="16">
        <v>44596</v>
      </c>
      <c r="B693" s="14">
        <v>169.65</v>
      </c>
      <c r="C693" s="25">
        <f t="shared" si="42"/>
        <v>2.0758122743682415E-2</v>
      </c>
      <c r="E693" s="16">
        <v>44596</v>
      </c>
      <c r="F693" s="15">
        <v>15085.45</v>
      </c>
      <c r="G693" s="25">
        <f t="shared" si="43"/>
        <v>-3.3331351290639415E-3</v>
      </c>
      <c r="I693" s="16">
        <v>44596</v>
      </c>
      <c r="J693" s="17">
        <v>3.8599999999999995E-2</v>
      </c>
      <c r="K693" s="25">
        <f t="shared" si="40"/>
        <v>1.0376881492080159E-4</v>
      </c>
      <c r="M693" s="16">
        <v>44596</v>
      </c>
      <c r="N693" s="26">
        <f t="shared" si="41"/>
        <v>-3.4369039439847431E-3</v>
      </c>
      <c r="O693" s="26">
        <f>'Part 2 - CAPM 2.1, 2.2 and 2.3'!C693-'Part 2 - CAPM 2.1, 2.2 and 2.3'!K693</f>
        <v>2.0654353928761613E-2</v>
      </c>
    </row>
    <row r="694" spans="1:15" x14ac:dyDescent="0.4">
      <c r="A694" s="16">
        <v>44600</v>
      </c>
      <c r="B694" s="14">
        <v>167.25</v>
      </c>
      <c r="C694" s="25">
        <f t="shared" si="42"/>
        <v>-1.4146772767462455E-2</v>
      </c>
      <c r="E694" s="16">
        <v>44600</v>
      </c>
      <c r="F694" s="15">
        <v>14857.05</v>
      </c>
      <c r="G694" s="25">
        <f t="shared" si="43"/>
        <v>-1.5140416759195214E-2</v>
      </c>
      <c r="I694" s="16">
        <v>44600</v>
      </c>
      <c r="J694" s="17">
        <v>3.9E-2</v>
      </c>
      <c r="K694" s="25">
        <f t="shared" si="40"/>
        <v>1.0482388300125933E-4</v>
      </c>
      <c r="M694" s="16">
        <v>44600</v>
      </c>
      <c r="N694" s="26">
        <f t="shared" si="41"/>
        <v>-1.5245240642196473E-2</v>
      </c>
      <c r="O694" s="26">
        <f>'Part 2 - CAPM 2.1, 2.2 and 2.3'!C694-'Part 2 - CAPM 2.1, 2.2 and 2.3'!K694</f>
        <v>-1.4251596650463714E-2</v>
      </c>
    </row>
    <row r="695" spans="1:15" x14ac:dyDescent="0.4">
      <c r="A695" s="16">
        <v>44601</v>
      </c>
      <c r="B695" s="14">
        <v>164.45</v>
      </c>
      <c r="C695" s="25">
        <f t="shared" si="42"/>
        <v>-1.6741405082212325E-2</v>
      </c>
      <c r="E695" s="16">
        <v>44601</v>
      </c>
      <c r="F695" s="15">
        <v>15016.35</v>
      </c>
      <c r="G695" s="25">
        <f t="shared" si="43"/>
        <v>1.0722182398255448E-2</v>
      </c>
      <c r="I695" s="16">
        <v>44601</v>
      </c>
      <c r="J695" s="17">
        <v>3.8800000000000001E-2</v>
      </c>
      <c r="K695" s="25">
        <f t="shared" si="40"/>
        <v>1.0429639960496395E-4</v>
      </c>
      <c r="M695" s="16">
        <v>44601</v>
      </c>
      <c r="N695" s="26">
        <f t="shared" si="41"/>
        <v>1.0617885998650484E-2</v>
      </c>
      <c r="O695" s="26">
        <f>'Part 2 - CAPM 2.1, 2.2 and 2.3'!C695-'Part 2 - CAPM 2.1, 2.2 and 2.3'!K695</f>
        <v>-1.6845701481817289E-2</v>
      </c>
    </row>
    <row r="696" spans="1:15" x14ac:dyDescent="0.4">
      <c r="A696" s="16">
        <v>44602</v>
      </c>
      <c r="B696" s="14">
        <v>169.9</v>
      </c>
      <c r="C696" s="25">
        <f t="shared" si="42"/>
        <v>3.314077227120716E-2</v>
      </c>
      <c r="E696" s="16">
        <v>44602</v>
      </c>
      <c r="F696" s="15">
        <v>15112.2</v>
      </c>
      <c r="G696" s="25">
        <f t="shared" si="43"/>
        <v>6.3830424836927987E-3</v>
      </c>
      <c r="I696" s="16">
        <v>44602</v>
      </c>
      <c r="J696" s="17">
        <v>3.7599999999999995E-2</v>
      </c>
      <c r="K696" s="25">
        <f t="shared" si="40"/>
        <v>1.0112937081929729E-4</v>
      </c>
      <c r="M696" s="16">
        <v>44602</v>
      </c>
      <c r="N696" s="26">
        <f t="shared" si="41"/>
        <v>6.2819131128735014E-3</v>
      </c>
      <c r="O696" s="26">
        <f>'Part 2 - CAPM 2.1, 2.2 and 2.3'!C696-'Part 2 - CAPM 2.1, 2.2 and 2.3'!K696</f>
        <v>3.3039642900387863E-2</v>
      </c>
    </row>
    <row r="697" spans="1:15" x14ac:dyDescent="0.4">
      <c r="A697" s="16">
        <v>44603</v>
      </c>
      <c r="B697" s="14">
        <v>167.75</v>
      </c>
      <c r="C697" s="25">
        <f t="shared" si="42"/>
        <v>-1.2654502648616867E-2</v>
      </c>
      <c r="E697" s="16">
        <v>44603</v>
      </c>
      <c r="F697" s="15">
        <v>14891.3</v>
      </c>
      <c r="G697" s="25">
        <f t="shared" si="43"/>
        <v>-1.4617329045407117E-2</v>
      </c>
      <c r="I697" s="16">
        <v>44603</v>
      </c>
      <c r="J697" s="17">
        <v>3.7499999999999999E-2</v>
      </c>
      <c r="K697" s="25">
        <f t="shared" si="40"/>
        <v>1.0086528689723373E-4</v>
      </c>
      <c r="M697" s="16">
        <v>44603</v>
      </c>
      <c r="N697" s="26">
        <f t="shared" si="41"/>
        <v>-1.4718194332304351E-2</v>
      </c>
      <c r="O697" s="26">
        <f>'Part 2 - CAPM 2.1, 2.2 and 2.3'!C697-'Part 2 - CAPM 2.1, 2.2 and 2.3'!K697</f>
        <v>-1.27553679355141E-2</v>
      </c>
    </row>
    <row r="698" spans="1:15" x14ac:dyDescent="0.4">
      <c r="A698" s="16">
        <v>44606</v>
      </c>
      <c r="B698" s="14">
        <v>165.75</v>
      </c>
      <c r="C698" s="25">
        <f t="shared" si="42"/>
        <v>-1.1922503725782414E-2</v>
      </c>
      <c r="E698" s="16">
        <v>44606</v>
      </c>
      <c r="F698" s="15">
        <v>14400.4</v>
      </c>
      <c r="G698" s="25">
        <f t="shared" si="43"/>
        <v>-3.2965557070235615E-2</v>
      </c>
      <c r="I698" s="16">
        <v>44606</v>
      </c>
      <c r="J698" s="17">
        <v>3.7599999999999995E-2</v>
      </c>
      <c r="K698" s="25">
        <f t="shared" si="40"/>
        <v>1.0112937081929729E-4</v>
      </c>
      <c r="M698" s="16">
        <v>44606</v>
      </c>
      <c r="N698" s="26">
        <f t="shared" si="41"/>
        <v>-3.3066686441054913E-2</v>
      </c>
      <c r="O698" s="26">
        <f>'Part 2 - CAPM 2.1, 2.2 and 2.3'!C698-'Part 2 - CAPM 2.1, 2.2 and 2.3'!K698</f>
        <v>-1.2023633096601712E-2</v>
      </c>
    </row>
    <row r="699" spans="1:15" x14ac:dyDescent="0.4">
      <c r="A699" s="16">
        <v>44607</v>
      </c>
      <c r="B699" s="14">
        <v>164.5</v>
      </c>
      <c r="C699" s="25">
        <f t="shared" si="42"/>
        <v>-7.5414781297134239E-3</v>
      </c>
      <c r="E699" s="16">
        <v>44607</v>
      </c>
      <c r="F699" s="15">
        <v>14805.55</v>
      </c>
      <c r="G699" s="25">
        <f t="shared" si="43"/>
        <v>2.8134635149023614E-2</v>
      </c>
      <c r="I699" s="16">
        <v>44607</v>
      </c>
      <c r="J699" s="17">
        <v>3.7699999999999997E-2</v>
      </c>
      <c r="K699" s="25">
        <f t="shared" si="40"/>
        <v>1.0139342936099638E-4</v>
      </c>
      <c r="M699" s="16">
        <v>44607</v>
      </c>
      <c r="N699" s="26">
        <f t="shared" si="41"/>
        <v>2.8033241719662618E-2</v>
      </c>
      <c r="O699" s="26">
        <f>'Part 2 - CAPM 2.1, 2.2 and 2.3'!C699-'Part 2 - CAPM 2.1, 2.2 and 2.3'!K699</f>
        <v>-7.6428715590744203E-3</v>
      </c>
    </row>
    <row r="700" spans="1:15" x14ac:dyDescent="0.4">
      <c r="A700" s="16">
        <v>44608</v>
      </c>
      <c r="B700" s="14">
        <v>168.5</v>
      </c>
      <c r="C700" s="25">
        <f t="shared" si="42"/>
        <v>2.4316109422492401E-2</v>
      </c>
      <c r="E700" s="16">
        <v>44608</v>
      </c>
      <c r="F700" s="15">
        <v>14789.9</v>
      </c>
      <c r="G700" s="25">
        <f t="shared" si="43"/>
        <v>-1.0570360439159394E-3</v>
      </c>
      <c r="I700" s="16">
        <v>44608</v>
      </c>
      <c r="J700" s="17">
        <v>3.73E-2</v>
      </c>
      <c r="K700" s="25">
        <f t="shared" si="40"/>
        <v>1.0033704289202916E-4</v>
      </c>
      <c r="M700" s="16">
        <v>44608</v>
      </c>
      <c r="N700" s="26">
        <f t="shared" si="41"/>
        <v>-1.1573730868079685E-3</v>
      </c>
      <c r="O700" s="26">
        <f>'Part 2 - CAPM 2.1, 2.2 and 2.3'!C700-'Part 2 - CAPM 2.1, 2.2 and 2.3'!K700</f>
        <v>2.4215772379600372E-2</v>
      </c>
    </row>
    <row r="701" spans="1:15" x14ac:dyDescent="0.4">
      <c r="A701" s="16">
        <v>44609</v>
      </c>
      <c r="B701" s="14">
        <v>171.35</v>
      </c>
      <c r="C701" s="25">
        <f t="shared" si="42"/>
        <v>1.691394658753706E-2</v>
      </c>
      <c r="E701" s="16">
        <v>44609</v>
      </c>
      <c r="F701" s="15">
        <v>14772.05</v>
      </c>
      <c r="G701" s="25">
        <f t="shared" si="43"/>
        <v>-1.2069047119994296E-3</v>
      </c>
      <c r="I701" s="16">
        <v>44609</v>
      </c>
      <c r="J701" s="17">
        <v>3.6600000000000001E-2</v>
      </c>
      <c r="K701" s="25">
        <f t="shared" si="40"/>
        <v>9.8487388669799003E-5</v>
      </c>
      <c r="M701" s="16">
        <v>44609</v>
      </c>
      <c r="N701" s="26">
        <f t="shared" si="41"/>
        <v>-1.3053921006692286E-3</v>
      </c>
      <c r="O701" s="26">
        <f>'Part 2 - CAPM 2.1, 2.2 and 2.3'!C701-'Part 2 - CAPM 2.1, 2.2 and 2.3'!K701</f>
        <v>1.6815459198867261E-2</v>
      </c>
    </row>
    <row r="702" spans="1:15" x14ac:dyDescent="0.4">
      <c r="A702" s="16">
        <v>44610</v>
      </c>
      <c r="B702" s="14">
        <v>168</v>
      </c>
      <c r="C702" s="25">
        <f t="shared" si="42"/>
        <v>-1.9550627370878287E-2</v>
      </c>
      <c r="E702" s="16">
        <v>44610</v>
      </c>
      <c r="F702" s="15">
        <v>14710.7</v>
      </c>
      <c r="G702" s="25">
        <f t="shared" si="43"/>
        <v>-4.1531134812025786E-3</v>
      </c>
      <c r="I702" s="16">
        <v>44610</v>
      </c>
      <c r="J702" s="17">
        <v>3.7200000000000004E-2</v>
      </c>
      <c r="K702" s="25">
        <f t="shared" si="40"/>
        <v>1.0007288279911819E-4</v>
      </c>
      <c r="M702" s="16">
        <v>44610</v>
      </c>
      <c r="N702" s="26">
        <f t="shared" si="41"/>
        <v>-4.2531863640016968E-3</v>
      </c>
      <c r="O702" s="26">
        <f>'Part 2 - CAPM 2.1, 2.2 and 2.3'!C702-'Part 2 - CAPM 2.1, 2.2 and 2.3'!K702</f>
        <v>-1.9650700253677406E-2</v>
      </c>
    </row>
    <row r="703" spans="1:15" x14ac:dyDescent="0.4">
      <c r="A703" s="16">
        <v>44613</v>
      </c>
      <c r="B703" s="14">
        <v>163.25</v>
      </c>
      <c r="C703" s="25">
        <f t="shared" si="42"/>
        <v>-2.8273809523809524E-2</v>
      </c>
      <c r="E703" s="16">
        <v>44613</v>
      </c>
      <c r="F703" s="15">
        <v>14597.1</v>
      </c>
      <c r="G703" s="25">
        <f t="shared" si="43"/>
        <v>-7.7222701842876518E-3</v>
      </c>
      <c r="I703" s="16">
        <v>44613</v>
      </c>
      <c r="J703" s="17">
        <v>3.7100000000000001E-2</v>
      </c>
      <c r="K703" s="25">
        <f t="shared" si="40"/>
        <v>9.9808697306080774E-5</v>
      </c>
      <c r="M703" s="16">
        <v>44613</v>
      </c>
      <c r="N703" s="26">
        <f t="shared" si="41"/>
        <v>-7.8220788815937317E-3</v>
      </c>
      <c r="O703" s="26">
        <f>'Part 2 - CAPM 2.1, 2.2 and 2.3'!C703-'Part 2 - CAPM 2.1, 2.2 and 2.3'!K703</f>
        <v>-2.8373618221115605E-2</v>
      </c>
    </row>
    <row r="704" spans="1:15" x14ac:dyDescent="0.4">
      <c r="A704" s="16">
        <v>44614</v>
      </c>
      <c r="B704" s="14">
        <v>164.6</v>
      </c>
      <c r="C704" s="25">
        <f t="shared" si="42"/>
        <v>8.2695252679938405E-3</v>
      </c>
      <c r="E704" s="16">
        <v>44614</v>
      </c>
      <c r="F704" s="15">
        <v>14489.05</v>
      </c>
      <c r="G704" s="25">
        <f t="shared" si="43"/>
        <v>-7.4021552226127855E-3</v>
      </c>
      <c r="I704" s="16">
        <v>44614</v>
      </c>
      <c r="J704" s="17">
        <v>3.7200000000000004E-2</v>
      </c>
      <c r="K704" s="25">
        <f t="shared" si="40"/>
        <v>1.0007288279911819E-4</v>
      </c>
      <c r="M704" s="16">
        <v>44614</v>
      </c>
      <c r="N704" s="26">
        <f t="shared" si="41"/>
        <v>-7.5022281054119037E-3</v>
      </c>
      <c r="O704" s="26">
        <f>'Part 2 - CAPM 2.1, 2.2 and 2.3'!C704-'Part 2 - CAPM 2.1, 2.2 and 2.3'!K704</f>
        <v>8.1694523851947223E-3</v>
      </c>
    </row>
    <row r="705" spans="1:15" x14ac:dyDescent="0.4">
      <c r="A705" s="16">
        <v>44615</v>
      </c>
      <c r="B705" s="14">
        <v>161</v>
      </c>
      <c r="C705" s="25">
        <f t="shared" si="42"/>
        <v>-2.1871202916160355E-2</v>
      </c>
      <c r="E705" s="16">
        <v>44615</v>
      </c>
      <c r="F705" s="15">
        <v>14506.95</v>
      </c>
      <c r="G705" s="25">
        <f t="shared" si="43"/>
        <v>1.2354157104849149E-3</v>
      </c>
      <c r="I705" s="16">
        <v>44615</v>
      </c>
      <c r="J705" s="17">
        <v>3.7100000000000001E-2</v>
      </c>
      <c r="K705" s="25">
        <f t="shared" si="40"/>
        <v>9.9808697306080774E-5</v>
      </c>
      <c r="M705" s="16">
        <v>44615</v>
      </c>
      <c r="N705" s="26">
        <f t="shared" si="41"/>
        <v>1.1356070131788342E-3</v>
      </c>
      <c r="O705" s="26">
        <f>'Part 2 - CAPM 2.1, 2.2 and 2.3'!C705-'Part 2 - CAPM 2.1, 2.2 and 2.3'!K705</f>
        <v>-2.1971011613466436E-2</v>
      </c>
    </row>
    <row r="706" spans="1:15" x14ac:dyDescent="0.4">
      <c r="A706" s="16">
        <v>44616</v>
      </c>
      <c r="B706" s="14">
        <v>156.30000000000001</v>
      </c>
      <c r="C706" s="25">
        <f t="shared" si="42"/>
        <v>-2.919254658385086E-2</v>
      </c>
      <c r="E706" s="16">
        <v>44616</v>
      </c>
      <c r="F706" s="15">
        <v>13775.7</v>
      </c>
      <c r="G706" s="25">
        <f t="shared" si="43"/>
        <v>-5.0406873946625581E-2</v>
      </c>
      <c r="I706" s="16">
        <v>44616</v>
      </c>
      <c r="J706" s="17">
        <v>3.7400000000000003E-2</v>
      </c>
      <c r="K706" s="25">
        <f t="shared" si="40"/>
        <v>1.0060117758969866E-4</v>
      </c>
      <c r="M706" s="16">
        <v>44616</v>
      </c>
      <c r="N706" s="26">
        <f t="shared" si="41"/>
        <v>-5.050747512421528E-2</v>
      </c>
      <c r="O706" s="26">
        <f>'Part 2 - CAPM 2.1, 2.2 and 2.3'!C706-'Part 2 - CAPM 2.1, 2.2 and 2.3'!K706</f>
        <v>-2.9293147761440558E-2</v>
      </c>
    </row>
    <row r="707" spans="1:15" x14ac:dyDescent="0.4">
      <c r="A707" s="16">
        <v>44617</v>
      </c>
      <c r="B707" s="14">
        <v>159.6</v>
      </c>
      <c r="C707" s="25">
        <f t="shared" si="42"/>
        <v>2.111324376199605E-2</v>
      </c>
      <c r="E707" s="16">
        <v>44617</v>
      </c>
      <c r="F707" s="15">
        <v>14187.4</v>
      </c>
      <c r="G707" s="25">
        <f t="shared" si="43"/>
        <v>2.9885958608273908E-2</v>
      </c>
      <c r="I707" s="16">
        <v>44617</v>
      </c>
      <c r="J707" s="17">
        <v>3.7400000000000003E-2</v>
      </c>
      <c r="K707" s="25">
        <f t="shared" si="40"/>
        <v>1.0060117758969866E-4</v>
      </c>
      <c r="M707" s="16">
        <v>44617</v>
      </c>
      <c r="N707" s="26">
        <f t="shared" si="41"/>
        <v>2.9785357430684209E-2</v>
      </c>
      <c r="O707" s="26">
        <f>'Part 2 - CAPM 2.1, 2.2 and 2.3'!C707-'Part 2 - CAPM 2.1, 2.2 and 2.3'!K707</f>
        <v>2.1012642584406351E-2</v>
      </c>
    </row>
    <row r="708" spans="1:15" x14ac:dyDescent="0.4">
      <c r="A708" s="16">
        <v>44620</v>
      </c>
      <c r="B708" s="14">
        <v>160.4</v>
      </c>
      <c r="C708" s="25">
        <f t="shared" si="42"/>
        <v>5.0125313283208737E-3</v>
      </c>
      <c r="E708" s="16">
        <v>44620</v>
      </c>
      <c r="F708" s="15">
        <v>14307.95</v>
      </c>
      <c r="G708" s="25">
        <f t="shared" si="43"/>
        <v>8.4969761901406236E-3</v>
      </c>
      <c r="I708" s="16">
        <v>44620</v>
      </c>
      <c r="J708" s="17">
        <v>3.73E-2</v>
      </c>
      <c r="K708" s="25">
        <f t="shared" ref="K708:K771" si="44">((1+J708)^(1/365))-1</f>
        <v>1.0033704289202916E-4</v>
      </c>
      <c r="M708" s="16">
        <v>44620</v>
      </c>
      <c r="N708" s="26">
        <f t="shared" ref="N708:N771" si="45">G708-K708</f>
        <v>8.3966391472485944E-3</v>
      </c>
      <c r="O708" s="26">
        <f>'Part 2 - CAPM 2.1, 2.2 and 2.3'!C708-'Part 2 - CAPM 2.1, 2.2 and 2.3'!K708</f>
        <v>4.9121942854288446E-3</v>
      </c>
    </row>
    <row r="709" spans="1:15" x14ac:dyDescent="0.4">
      <c r="A709" s="16">
        <v>44622</v>
      </c>
      <c r="B709" s="14">
        <v>163</v>
      </c>
      <c r="C709" s="25">
        <f t="shared" ref="C709:C772" si="46">(B709-B708)/B708</f>
        <v>1.6209476309226898E-2</v>
      </c>
      <c r="E709" s="16">
        <v>44622</v>
      </c>
      <c r="F709" s="15">
        <v>14199.8</v>
      </c>
      <c r="G709" s="25">
        <f t="shared" ref="G709:G772" si="47">(F709-F708)/F708</f>
        <v>-7.5587348292383916E-3</v>
      </c>
      <c r="I709" s="16">
        <v>44622</v>
      </c>
      <c r="J709" s="17">
        <v>3.78E-2</v>
      </c>
      <c r="K709" s="25">
        <f t="shared" si="44"/>
        <v>1.0165746252721597E-4</v>
      </c>
      <c r="M709" s="16">
        <v>44622</v>
      </c>
      <c r="N709" s="26">
        <f t="shared" si="45"/>
        <v>-7.6603922917656076E-3</v>
      </c>
      <c r="O709" s="26">
        <f>'Part 2 - CAPM 2.1, 2.2 and 2.3'!C709-'Part 2 - CAPM 2.1, 2.2 and 2.3'!K709</f>
        <v>1.6107818846699682E-2</v>
      </c>
    </row>
    <row r="710" spans="1:15" x14ac:dyDescent="0.4">
      <c r="A710" s="16">
        <v>44623</v>
      </c>
      <c r="B710" s="14">
        <v>170.45</v>
      </c>
      <c r="C710" s="25">
        <f t="shared" si="46"/>
        <v>4.5705521472392568E-2</v>
      </c>
      <c r="E710" s="16">
        <v>44623</v>
      </c>
      <c r="F710" s="15">
        <v>14135.95</v>
      </c>
      <c r="G710" s="25">
        <f t="shared" si="47"/>
        <v>-4.4965422048196839E-3</v>
      </c>
      <c r="I710" s="16">
        <v>44623</v>
      </c>
      <c r="J710" s="17">
        <v>3.7900000000000003E-2</v>
      </c>
      <c r="K710" s="25">
        <f t="shared" si="44"/>
        <v>1.01921470322619E-4</v>
      </c>
      <c r="M710" s="16">
        <v>44623</v>
      </c>
      <c r="N710" s="26">
        <f t="shared" si="45"/>
        <v>-4.5984636751423029E-3</v>
      </c>
      <c r="O710" s="26">
        <f>'Part 2 - CAPM 2.1, 2.2 and 2.3'!C710-'Part 2 - CAPM 2.1, 2.2 and 2.3'!K710</f>
        <v>4.5603600002069949E-2</v>
      </c>
    </row>
    <row r="711" spans="1:15" x14ac:dyDescent="0.4">
      <c r="A711" s="16">
        <v>44624</v>
      </c>
      <c r="B711" s="14">
        <v>165.9</v>
      </c>
      <c r="C711" s="25">
        <f t="shared" si="46"/>
        <v>-2.6694045174537891E-2</v>
      </c>
      <c r="E711" s="16">
        <v>44624</v>
      </c>
      <c r="F711" s="15">
        <v>13893.15</v>
      </c>
      <c r="G711" s="25">
        <f t="shared" si="47"/>
        <v>-1.71760652803668E-2</v>
      </c>
      <c r="I711" s="16">
        <v>44624</v>
      </c>
      <c r="J711" s="17">
        <v>3.7999999999999999E-2</v>
      </c>
      <c r="K711" s="25">
        <f t="shared" si="44"/>
        <v>1.021854527523125E-4</v>
      </c>
      <c r="M711" s="16">
        <v>44624</v>
      </c>
      <c r="N711" s="26">
        <f t="shared" si="45"/>
        <v>-1.7278250733119112E-2</v>
      </c>
      <c r="O711" s="26">
        <f>'Part 2 - CAPM 2.1, 2.2 and 2.3'!C711-'Part 2 - CAPM 2.1, 2.2 and 2.3'!K711</f>
        <v>-2.6796230627290203E-2</v>
      </c>
    </row>
    <row r="712" spans="1:15" x14ac:dyDescent="0.4">
      <c r="A712" s="16">
        <v>44627</v>
      </c>
      <c r="B712" s="14">
        <v>187</v>
      </c>
      <c r="C712" s="25">
        <f t="shared" si="46"/>
        <v>0.1271850512356841</v>
      </c>
      <c r="E712" s="16">
        <v>44627</v>
      </c>
      <c r="F712" s="15">
        <v>13564.25</v>
      </c>
      <c r="G712" s="25">
        <f t="shared" si="47"/>
        <v>-2.3673536958860996E-2</v>
      </c>
      <c r="I712" s="16">
        <v>44627</v>
      </c>
      <c r="J712" s="17">
        <v>3.8300000000000001E-2</v>
      </c>
      <c r="K712" s="25">
        <f t="shared" si="44"/>
        <v>1.0297724789487539E-4</v>
      </c>
      <c r="M712" s="16">
        <v>44627</v>
      </c>
      <c r="N712" s="26">
        <f t="shared" si="45"/>
        <v>-2.3776514206755871E-2</v>
      </c>
      <c r="O712" s="26">
        <f>'Part 2 - CAPM 2.1, 2.2 and 2.3'!C712-'Part 2 - CAPM 2.1, 2.2 and 2.3'!K712</f>
        <v>0.12708207398778923</v>
      </c>
    </row>
    <row r="713" spans="1:15" x14ac:dyDescent="0.4">
      <c r="A713" s="16">
        <v>44628</v>
      </c>
      <c r="B713" s="14">
        <v>178.7</v>
      </c>
      <c r="C713" s="25">
        <f t="shared" si="46"/>
        <v>-4.4385026737967972E-2</v>
      </c>
      <c r="E713" s="16">
        <v>44628</v>
      </c>
      <c r="F713" s="15">
        <v>13706.75</v>
      </c>
      <c r="G713" s="25">
        <f t="shared" si="47"/>
        <v>1.0505556886669001E-2</v>
      </c>
      <c r="I713" s="16">
        <v>44628</v>
      </c>
      <c r="J713" s="17">
        <v>3.8399999999999997E-2</v>
      </c>
      <c r="K713" s="25">
        <f t="shared" si="44"/>
        <v>1.0324112891013648E-4</v>
      </c>
      <c r="M713" s="16">
        <v>44628</v>
      </c>
      <c r="N713" s="26">
        <f t="shared" si="45"/>
        <v>1.0402315757758865E-2</v>
      </c>
      <c r="O713" s="26">
        <f>'Part 2 - CAPM 2.1, 2.2 and 2.3'!C713-'Part 2 - CAPM 2.1, 2.2 and 2.3'!K713</f>
        <v>-4.4488267866878109E-2</v>
      </c>
    </row>
    <row r="714" spans="1:15" x14ac:dyDescent="0.4">
      <c r="A714" s="16">
        <v>44629</v>
      </c>
      <c r="B714" s="14">
        <v>174.6</v>
      </c>
      <c r="C714" s="25">
        <f t="shared" si="46"/>
        <v>-2.2943480693900363E-2</v>
      </c>
      <c r="E714" s="16">
        <v>44629</v>
      </c>
      <c r="F714" s="15">
        <v>13979.6</v>
      </c>
      <c r="G714" s="25">
        <f t="shared" si="47"/>
        <v>1.9906250569974675E-2</v>
      </c>
      <c r="I714" s="16">
        <v>44629</v>
      </c>
      <c r="J714" s="17">
        <v>3.78E-2</v>
      </c>
      <c r="K714" s="25">
        <f t="shared" si="44"/>
        <v>1.0165746252721597E-4</v>
      </c>
      <c r="M714" s="16">
        <v>44629</v>
      </c>
      <c r="N714" s="26">
        <f t="shared" si="45"/>
        <v>1.9804593107447459E-2</v>
      </c>
      <c r="O714" s="26">
        <f>'Part 2 - CAPM 2.1, 2.2 and 2.3'!C714-'Part 2 - CAPM 2.1, 2.2 and 2.3'!K714</f>
        <v>-2.3045138156427579E-2</v>
      </c>
    </row>
    <row r="715" spans="1:15" x14ac:dyDescent="0.4">
      <c r="A715" s="16">
        <v>44630</v>
      </c>
      <c r="B715" s="14">
        <v>174.4</v>
      </c>
      <c r="C715" s="25">
        <f t="shared" si="46"/>
        <v>-1.145475372279431E-3</v>
      </c>
      <c r="E715" s="16">
        <v>44630</v>
      </c>
      <c r="F715" s="15">
        <v>14189</v>
      </c>
      <c r="G715" s="25">
        <f t="shared" si="47"/>
        <v>1.4978969355346336E-2</v>
      </c>
      <c r="I715" s="16">
        <v>44630</v>
      </c>
      <c r="J715" s="17">
        <v>3.8399999999999997E-2</v>
      </c>
      <c r="K715" s="25">
        <f t="shared" si="44"/>
        <v>1.0324112891013648E-4</v>
      </c>
      <c r="M715" s="16">
        <v>44630</v>
      </c>
      <c r="N715" s="26">
        <f t="shared" si="45"/>
        <v>1.4875728226436199E-2</v>
      </c>
      <c r="O715" s="26">
        <f>'Part 2 - CAPM 2.1, 2.2 and 2.3'!C715-'Part 2 - CAPM 2.1, 2.2 and 2.3'!K715</f>
        <v>-1.2487165011895675E-3</v>
      </c>
    </row>
    <row r="716" spans="1:15" x14ac:dyDescent="0.4">
      <c r="A716" s="16">
        <v>44631</v>
      </c>
      <c r="B716" s="14">
        <v>175.5</v>
      </c>
      <c r="C716" s="25">
        <f t="shared" si="46"/>
        <v>6.3073394495412518E-3</v>
      </c>
      <c r="E716" s="16">
        <v>44631</v>
      </c>
      <c r="F716" s="15">
        <v>14237.15</v>
      </c>
      <c r="G716" s="25">
        <f t="shared" si="47"/>
        <v>3.3934738177461158E-3</v>
      </c>
      <c r="I716" s="16">
        <v>44631</v>
      </c>
      <c r="J716" s="17">
        <v>3.8300000000000001E-2</v>
      </c>
      <c r="K716" s="25">
        <f t="shared" si="44"/>
        <v>1.0297724789487539E-4</v>
      </c>
      <c r="M716" s="16">
        <v>44631</v>
      </c>
      <c r="N716" s="26">
        <f t="shared" si="45"/>
        <v>3.2904965698512404E-3</v>
      </c>
      <c r="O716" s="26">
        <f>'Part 2 - CAPM 2.1, 2.2 and 2.3'!C716-'Part 2 - CAPM 2.1, 2.2 and 2.3'!K716</f>
        <v>6.2043622016463764E-3</v>
      </c>
    </row>
    <row r="717" spans="1:15" x14ac:dyDescent="0.4">
      <c r="A717" s="16">
        <v>44634</v>
      </c>
      <c r="B717" s="14">
        <v>171.6</v>
      </c>
      <c r="C717" s="25">
        <f t="shared" si="46"/>
        <v>-2.2222222222222254E-2</v>
      </c>
      <c r="E717" s="16">
        <v>44634</v>
      </c>
      <c r="F717" s="15">
        <v>14374.6</v>
      </c>
      <c r="G717" s="25">
        <f t="shared" si="47"/>
        <v>9.6543198603653638E-3</v>
      </c>
      <c r="I717" s="16">
        <v>44634</v>
      </c>
      <c r="J717" s="17">
        <v>3.8300000000000001E-2</v>
      </c>
      <c r="K717" s="25">
        <f t="shared" si="44"/>
        <v>1.0297724789487539E-4</v>
      </c>
      <c r="M717" s="16">
        <v>44634</v>
      </c>
      <c r="N717" s="26">
        <f t="shared" si="45"/>
        <v>9.5513426124704884E-3</v>
      </c>
      <c r="O717" s="26">
        <f>'Part 2 - CAPM 2.1, 2.2 and 2.3'!C717-'Part 2 - CAPM 2.1, 2.2 and 2.3'!K717</f>
        <v>-2.232519947011713E-2</v>
      </c>
    </row>
    <row r="718" spans="1:15" x14ac:dyDescent="0.4">
      <c r="A718" s="16">
        <v>44635</v>
      </c>
      <c r="B718" s="14">
        <v>163.4</v>
      </c>
      <c r="C718" s="25">
        <f t="shared" si="46"/>
        <v>-4.7785547785547722E-2</v>
      </c>
      <c r="E718" s="16">
        <v>44635</v>
      </c>
      <c r="F718" s="15">
        <v>14215.85</v>
      </c>
      <c r="G718" s="25">
        <f t="shared" si="47"/>
        <v>-1.1043785566207059E-2</v>
      </c>
      <c r="I718" s="16">
        <v>44635</v>
      </c>
      <c r="J718" s="17">
        <v>3.7999999999999999E-2</v>
      </c>
      <c r="K718" s="25">
        <f t="shared" si="44"/>
        <v>1.021854527523125E-4</v>
      </c>
      <c r="M718" s="16">
        <v>44635</v>
      </c>
      <c r="N718" s="26">
        <f t="shared" si="45"/>
        <v>-1.1145971018959372E-2</v>
      </c>
      <c r="O718" s="26">
        <f>'Part 2 - CAPM 2.1, 2.2 and 2.3'!C718-'Part 2 - CAPM 2.1, 2.2 and 2.3'!K718</f>
        <v>-4.7887733238300034E-2</v>
      </c>
    </row>
    <row r="719" spans="1:15" x14ac:dyDescent="0.4">
      <c r="A719" s="16">
        <v>44636</v>
      </c>
      <c r="B719" s="14">
        <v>167.2</v>
      </c>
      <c r="C719" s="25">
        <f t="shared" si="46"/>
        <v>2.3255813953488268E-2</v>
      </c>
      <c r="E719" s="16">
        <v>44636</v>
      </c>
      <c r="F719" s="15">
        <v>14481.8</v>
      </c>
      <c r="G719" s="25">
        <f t="shared" si="47"/>
        <v>1.87079914320986E-2</v>
      </c>
      <c r="I719" s="16">
        <v>44636</v>
      </c>
      <c r="J719" s="17">
        <v>3.7900000000000003E-2</v>
      </c>
      <c r="K719" s="25">
        <f t="shared" si="44"/>
        <v>1.01921470322619E-4</v>
      </c>
      <c r="M719" s="16">
        <v>44636</v>
      </c>
      <c r="N719" s="26">
        <f t="shared" si="45"/>
        <v>1.8606069961775981E-2</v>
      </c>
      <c r="O719" s="26">
        <f>'Part 2 - CAPM 2.1, 2.2 and 2.3'!C719-'Part 2 - CAPM 2.1, 2.2 and 2.3'!K719</f>
        <v>2.3153892483165649E-2</v>
      </c>
    </row>
    <row r="720" spans="1:15" x14ac:dyDescent="0.4">
      <c r="A720" s="16">
        <v>44637</v>
      </c>
      <c r="B720" s="14">
        <v>169.5</v>
      </c>
      <c r="C720" s="25">
        <f t="shared" si="46"/>
        <v>1.3755980861244087E-2</v>
      </c>
      <c r="E720" s="16">
        <v>44637</v>
      </c>
      <c r="F720" s="15">
        <v>14721.7</v>
      </c>
      <c r="G720" s="25">
        <f t="shared" si="47"/>
        <v>1.6565620295819681E-2</v>
      </c>
      <c r="I720" s="16">
        <v>44637</v>
      </c>
      <c r="J720" s="17">
        <v>3.7699999999999997E-2</v>
      </c>
      <c r="K720" s="25">
        <f t="shared" si="44"/>
        <v>1.0139342936099638E-4</v>
      </c>
      <c r="M720" s="16">
        <v>44637</v>
      </c>
      <c r="N720" s="26">
        <f t="shared" si="45"/>
        <v>1.6464226866458685E-2</v>
      </c>
      <c r="O720" s="26">
        <f>'Part 2 - CAPM 2.1, 2.2 and 2.3'!C720-'Part 2 - CAPM 2.1, 2.2 and 2.3'!K720</f>
        <v>1.3654587431883091E-2</v>
      </c>
    </row>
    <row r="721" spans="1:15" x14ac:dyDescent="0.4">
      <c r="A721" s="16">
        <v>44641</v>
      </c>
      <c r="B721" s="14">
        <v>172.2</v>
      </c>
      <c r="C721" s="25">
        <f t="shared" si="46"/>
        <v>1.5929203539822943E-2</v>
      </c>
      <c r="E721" s="16">
        <v>44641</v>
      </c>
      <c r="F721" s="15">
        <v>14602.35</v>
      </c>
      <c r="G721" s="25">
        <f t="shared" si="47"/>
        <v>-8.1070800247254292E-3</v>
      </c>
      <c r="I721" s="16">
        <v>44641</v>
      </c>
      <c r="J721" s="17">
        <v>3.78E-2</v>
      </c>
      <c r="K721" s="25">
        <f t="shared" si="44"/>
        <v>1.0165746252721597E-4</v>
      </c>
      <c r="M721" s="16">
        <v>44641</v>
      </c>
      <c r="N721" s="26">
        <f t="shared" si="45"/>
        <v>-8.2087374872526452E-3</v>
      </c>
      <c r="O721" s="26">
        <f>'Part 2 - CAPM 2.1, 2.2 and 2.3'!C721-'Part 2 - CAPM 2.1, 2.2 and 2.3'!K721</f>
        <v>1.5827546077295727E-2</v>
      </c>
    </row>
    <row r="722" spans="1:15" x14ac:dyDescent="0.4">
      <c r="A722" s="16">
        <v>44642</v>
      </c>
      <c r="B722" s="14">
        <v>175.5</v>
      </c>
      <c r="C722" s="25">
        <f t="shared" si="46"/>
        <v>1.9163763066202159E-2</v>
      </c>
      <c r="E722" s="16">
        <v>44642</v>
      </c>
      <c r="F722" s="15">
        <v>14724.05</v>
      </c>
      <c r="G722" s="25">
        <f t="shared" si="47"/>
        <v>8.3342749625915629E-3</v>
      </c>
      <c r="I722" s="16">
        <v>44642</v>
      </c>
      <c r="J722" s="17">
        <v>3.7599999999999995E-2</v>
      </c>
      <c r="K722" s="25">
        <f t="shared" si="44"/>
        <v>1.0112937081929729E-4</v>
      </c>
      <c r="M722" s="16">
        <v>44642</v>
      </c>
      <c r="N722" s="26">
        <f t="shared" si="45"/>
        <v>8.2331455917722656E-3</v>
      </c>
      <c r="O722" s="26">
        <f>'Part 2 - CAPM 2.1, 2.2 and 2.3'!C722-'Part 2 - CAPM 2.1, 2.2 and 2.3'!K722</f>
        <v>1.9062633695382861E-2</v>
      </c>
    </row>
    <row r="723" spans="1:15" x14ac:dyDescent="0.4">
      <c r="A723" s="16">
        <v>44643</v>
      </c>
      <c r="B723" s="14">
        <v>175.75</v>
      </c>
      <c r="C723" s="25">
        <f t="shared" si="46"/>
        <v>1.4245014245014246E-3</v>
      </c>
      <c r="E723" s="16">
        <v>44643</v>
      </c>
      <c r="F723" s="15">
        <v>14695.15</v>
      </c>
      <c r="G723" s="25">
        <f t="shared" si="47"/>
        <v>-1.9627751875332966E-3</v>
      </c>
      <c r="I723" s="16">
        <v>44643</v>
      </c>
      <c r="J723" s="17">
        <v>3.7999999999999999E-2</v>
      </c>
      <c r="K723" s="25">
        <f t="shared" si="44"/>
        <v>1.021854527523125E-4</v>
      </c>
      <c r="M723" s="16">
        <v>44643</v>
      </c>
      <c r="N723" s="26">
        <f t="shared" si="45"/>
        <v>-2.0649606402856091E-3</v>
      </c>
      <c r="O723" s="26">
        <f>'Part 2 - CAPM 2.1, 2.2 and 2.3'!C723-'Part 2 - CAPM 2.1, 2.2 and 2.3'!K723</f>
        <v>1.3223159717491121E-3</v>
      </c>
    </row>
    <row r="724" spans="1:15" x14ac:dyDescent="0.4">
      <c r="A724" s="16">
        <v>44644</v>
      </c>
      <c r="B724" s="14">
        <v>177</v>
      </c>
      <c r="C724" s="25">
        <f t="shared" si="46"/>
        <v>7.1123755334281651E-3</v>
      </c>
      <c r="E724" s="16">
        <v>44644</v>
      </c>
      <c r="F724" s="15">
        <v>14699.35</v>
      </c>
      <c r="G724" s="25">
        <f t="shared" si="47"/>
        <v>2.8580858310399876E-4</v>
      </c>
      <c r="I724" s="16">
        <v>44644</v>
      </c>
      <c r="J724" s="17">
        <v>3.7999999999999999E-2</v>
      </c>
      <c r="K724" s="25">
        <f t="shared" si="44"/>
        <v>1.021854527523125E-4</v>
      </c>
      <c r="M724" s="16">
        <v>44644</v>
      </c>
      <c r="N724" s="26">
        <f t="shared" si="45"/>
        <v>1.8362313035168626E-4</v>
      </c>
      <c r="O724" s="26">
        <f>'Part 2 - CAPM 2.1, 2.2 and 2.3'!C724-'Part 2 - CAPM 2.1, 2.2 and 2.3'!K724</f>
        <v>7.0101900806758526E-3</v>
      </c>
    </row>
    <row r="725" spans="1:15" x14ac:dyDescent="0.4">
      <c r="A725" s="16">
        <v>44645</v>
      </c>
      <c r="B725" s="14">
        <v>175.5</v>
      </c>
      <c r="C725" s="25">
        <f t="shared" si="46"/>
        <v>-8.4745762711864406E-3</v>
      </c>
      <c r="E725" s="16">
        <v>44645</v>
      </c>
      <c r="F725" s="15">
        <v>14651.7</v>
      </c>
      <c r="G725" s="25">
        <f t="shared" si="47"/>
        <v>-3.2416399364597506E-3</v>
      </c>
      <c r="I725" s="16">
        <v>44645</v>
      </c>
      <c r="J725" s="17">
        <v>3.7900000000000003E-2</v>
      </c>
      <c r="K725" s="25">
        <f t="shared" si="44"/>
        <v>1.01921470322619E-4</v>
      </c>
      <c r="M725" s="16">
        <v>44645</v>
      </c>
      <c r="N725" s="26">
        <f t="shared" si="45"/>
        <v>-3.3435614067823696E-3</v>
      </c>
      <c r="O725" s="26">
        <f>'Part 2 - CAPM 2.1, 2.2 and 2.3'!C725-'Part 2 - CAPM 2.1, 2.2 and 2.3'!K725</f>
        <v>-8.5764977415090596E-3</v>
      </c>
    </row>
    <row r="726" spans="1:15" x14ac:dyDescent="0.4">
      <c r="A726" s="16">
        <v>44648</v>
      </c>
      <c r="B726" s="14">
        <v>175.5</v>
      </c>
      <c r="C726" s="25">
        <f t="shared" si="46"/>
        <v>0</v>
      </c>
      <c r="E726" s="16">
        <v>44648</v>
      </c>
      <c r="F726" s="15">
        <v>14675.85</v>
      </c>
      <c r="G726" s="25">
        <f t="shared" si="47"/>
        <v>1.6482728966604309E-3</v>
      </c>
      <c r="I726" s="16">
        <v>44648</v>
      </c>
      <c r="J726" s="17">
        <v>3.78E-2</v>
      </c>
      <c r="K726" s="25">
        <f t="shared" si="44"/>
        <v>1.0165746252721597E-4</v>
      </c>
      <c r="M726" s="16">
        <v>44648</v>
      </c>
      <c r="N726" s="26">
        <f t="shared" si="45"/>
        <v>1.5466154341332149E-3</v>
      </c>
      <c r="O726" s="26">
        <f>'Part 2 - CAPM 2.1, 2.2 and 2.3'!C726-'Part 2 - CAPM 2.1, 2.2 and 2.3'!K726</f>
        <v>-1.0165746252721597E-4</v>
      </c>
    </row>
    <row r="727" spans="1:15" x14ac:dyDescent="0.4">
      <c r="A727" s="16">
        <v>44649</v>
      </c>
      <c r="B727" s="14">
        <v>171</v>
      </c>
      <c r="C727" s="25">
        <f t="shared" si="46"/>
        <v>-2.564102564102564E-2</v>
      </c>
      <c r="E727" s="16">
        <v>44649</v>
      </c>
      <c r="F727" s="15">
        <v>14761.9</v>
      </c>
      <c r="G727" s="25">
        <f t="shared" si="47"/>
        <v>5.8633741827559746E-3</v>
      </c>
      <c r="I727" s="16">
        <v>44649</v>
      </c>
      <c r="J727" s="17">
        <v>3.78E-2</v>
      </c>
      <c r="K727" s="25">
        <f t="shared" si="44"/>
        <v>1.0165746252721597E-4</v>
      </c>
      <c r="M727" s="16">
        <v>44649</v>
      </c>
      <c r="N727" s="26">
        <f t="shared" si="45"/>
        <v>5.7617167202287586E-3</v>
      </c>
      <c r="O727" s="26">
        <f>'Part 2 - CAPM 2.1, 2.2 and 2.3'!C727-'Part 2 - CAPM 2.1, 2.2 and 2.3'!K727</f>
        <v>-2.5742683103552856E-2</v>
      </c>
    </row>
    <row r="728" spans="1:15" x14ac:dyDescent="0.4">
      <c r="A728" s="16">
        <v>44650</v>
      </c>
      <c r="B728" s="14">
        <v>161.80000000000001</v>
      </c>
      <c r="C728" s="25">
        <f t="shared" si="46"/>
        <v>-5.3801169590643211E-2</v>
      </c>
      <c r="E728" s="16">
        <v>44650</v>
      </c>
      <c r="F728" s="15">
        <v>14896.9</v>
      </c>
      <c r="G728" s="25">
        <f t="shared" si="47"/>
        <v>9.1451642403755622E-3</v>
      </c>
      <c r="I728" s="16">
        <v>44650</v>
      </c>
      <c r="J728" s="17">
        <v>3.8300000000000001E-2</v>
      </c>
      <c r="K728" s="25">
        <f t="shared" si="44"/>
        <v>1.0297724789487539E-4</v>
      </c>
      <c r="M728" s="16">
        <v>44650</v>
      </c>
      <c r="N728" s="26">
        <f t="shared" si="45"/>
        <v>9.0421869924806868E-3</v>
      </c>
      <c r="O728" s="26">
        <f>'Part 2 - CAPM 2.1, 2.2 and 2.3'!C728-'Part 2 - CAPM 2.1, 2.2 and 2.3'!K728</f>
        <v>-5.3904146838538086E-2</v>
      </c>
    </row>
    <row r="729" spans="1:15" x14ac:dyDescent="0.4">
      <c r="A729" s="16">
        <v>44651</v>
      </c>
      <c r="B729" s="14">
        <v>163.75</v>
      </c>
      <c r="C729" s="25">
        <f t="shared" si="46"/>
        <v>1.2051915945611795E-2</v>
      </c>
      <c r="E729" s="16">
        <v>44651</v>
      </c>
      <c r="F729" s="15">
        <v>14894.5</v>
      </c>
      <c r="G729" s="25">
        <f t="shared" si="47"/>
        <v>-1.6110734448104212E-4</v>
      </c>
      <c r="I729" s="16">
        <v>44651</v>
      </c>
      <c r="J729" s="17">
        <v>3.8300000000000001E-2</v>
      </c>
      <c r="K729" s="25">
        <f t="shared" si="44"/>
        <v>1.0297724789487539E-4</v>
      </c>
      <c r="M729" s="16">
        <v>44651</v>
      </c>
      <c r="N729" s="26">
        <f t="shared" si="45"/>
        <v>-2.6408459237591751E-4</v>
      </c>
      <c r="O729" s="26">
        <f>'Part 2 - CAPM 2.1, 2.2 and 2.3'!C729-'Part 2 - CAPM 2.1, 2.2 and 2.3'!K729</f>
        <v>1.194893869771692E-2</v>
      </c>
    </row>
    <row r="730" spans="1:15" x14ac:dyDescent="0.4">
      <c r="A730" s="16">
        <v>44655</v>
      </c>
      <c r="B730" s="14">
        <v>168.05</v>
      </c>
      <c r="C730" s="25">
        <f t="shared" si="46"/>
        <v>2.6259541984732893E-2</v>
      </c>
      <c r="E730" s="16">
        <v>44655</v>
      </c>
      <c r="F730" s="15">
        <v>15384.2</v>
      </c>
      <c r="G730" s="25">
        <f t="shared" si="47"/>
        <v>3.2877907952600004E-2</v>
      </c>
      <c r="I730" s="16">
        <v>44655</v>
      </c>
      <c r="J730" s="17">
        <v>3.7499999999999999E-2</v>
      </c>
      <c r="K730" s="25">
        <f t="shared" si="44"/>
        <v>1.0086528689723373E-4</v>
      </c>
      <c r="M730" s="16">
        <v>44655</v>
      </c>
      <c r="N730" s="26">
        <f t="shared" si="45"/>
        <v>3.277704266570277E-2</v>
      </c>
      <c r="O730" s="26">
        <f>'Part 2 - CAPM 2.1, 2.2 and 2.3'!C730-'Part 2 - CAPM 2.1, 2.2 and 2.3'!K730</f>
        <v>2.615867669783566E-2</v>
      </c>
    </row>
    <row r="731" spans="1:15" x14ac:dyDescent="0.4">
      <c r="A731" s="16">
        <v>44656</v>
      </c>
      <c r="B731" s="14">
        <v>171.85</v>
      </c>
      <c r="C731" s="25">
        <f t="shared" si="46"/>
        <v>2.2612317762570562E-2</v>
      </c>
      <c r="E731" s="16">
        <v>44656</v>
      </c>
      <c r="F731" s="15">
        <v>15390.5</v>
      </c>
      <c r="G731" s="25">
        <f t="shared" si="47"/>
        <v>4.0951105679848626E-4</v>
      </c>
      <c r="I731" s="16">
        <v>44656</v>
      </c>
      <c r="J731" s="17">
        <v>3.73E-2</v>
      </c>
      <c r="K731" s="25">
        <f t="shared" si="44"/>
        <v>1.0033704289202916E-4</v>
      </c>
      <c r="M731" s="16">
        <v>44656</v>
      </c>
      <c r="N731" s="26">
        <f t="shared" si="45"/>
        <v>3.091740139064571E-4</v>
      </c>
      <c r="O731" s="26">
        <f>'Part 2 - CAPM 2.1, 2.2 and 2.3'!C731-'Part 2 - CAPM 2.1, 2.2 and 2.3'!K731</f>
        <v>2.2511980719678533E-2</v>
      </c>
    </row>
    <row r="732" spans="1:15" x14ac:dyDescent="0.4">
      <c r="A732" s="16">
        <v>44657</v>
      </c>
      <c r="B732" s="14">
        <v>172.8</v>
      </c>
      <c r="C732" s="25">
        <f t="shared" si="46"/>
        <v>5.5280768111726332E-3</v>
      </c>
      <c r="E732" s="16">
        <v>44657</v>
      </c>
      <c r="F732" s="15">
        <v>15327.9</v>
      </c>
      <c r="G732" s="25">
        <f t="shared" si="47"/>
        <v>-4.0674442025925321E-3</v>
      </c>
      <c r="I732" s="16">
        <v>44657</v>
      </c>
      <c r="J732" s="17">
        <v>3.78E-2</v>
      </c>
      <c r="K732" s="25">
        <f t="shared" si="44"/>
        <v>1.0165746252721597E-4</v>
      </c>
      <c r="M732" s="16">
        <v>44657</v>
      </c>
      <c r="N732" s="26">
        <f t="shared" si="45"/>
        <v>-4.169101665119748E-3</v>
      </c>
      <c r="O732" s="26">
        <f>'Part 2 - CAPM 2.1, 2.2 and 2.3'!C732-'Part 2 - CAPM 2.1, 2.2 and 2.3'!K732</f>
        <v>5.4264193486454173E-3</v>
      </c>
    </row>
    <row r="733" spans="1:15" x14ac:dyDescent="0.4">
      <c r="A733" s="16">
        <v>44658</v>
      </c>
      <c r="B733" s="14">
        <v>168.85</v>
      </c>
      <c r="C733" s="25">
        <f t="shared" si="46"/>
        <v>-2.2858796296296394E-2</v>
      </c>
      <c r="E733" s="16">
        <v>44658</v>
      </c>
      <c r="F733" s="15">
        <v>15201.25</v>
      </c>
      <c r="G733" s="25">
        <f t="shared" si="47"/>
        <v>-8.2627104821925788E-3</v>
      </c>
      <c r="I733" s="16">
        <v>44658</v>
      </c>
      <c r="J733" s="17">
        <v>3.8699999999999998E-2</v>
      </c>
      <c r="K733" s="25">
        <f t="shared" si="44"/>
        <v>1.0403261992619761E-4</v>
      </c>
      <c r="M733" s="16">
        <v>44658</v>
      </c>
      <c r="N733" s="26">
        <f t="shared" si="45"/>
        <v>-8.3667431021187764E-3</v>
      </c>
      <c r="O733" s="26">
        <f>'Part 2 - CAPM 2.1, 2.2 and 2.3'!C733-'Part 2 - CAPM 2.1, 2.2 and 2.3'!K733</f>
        <v>-2.2962828916222592E-2</v>
      </c>
    </row>
    <row r="734" spans="1:15" x14ac:dyDescent="0.4">
      <c r="A734" s="16">
        <v>44659</v>
      </c>
      <c r="B734" s="14">
        <v>170.9</v>
      </c>
      <c r="C734" s="25">
        <f t="shared" si="46"/>
        <v>1.2140953509031752E-2</v>
      </c>
      <c r="E734" s="16">
        <v>44659</v>
      </c>
      <c r="F734" s="15">
        <v>15342.4</v>
      </c>
      <c r="G734" s="25">
        <f t="shared" si="47"/>
        <v>9.285420606857964E-3</v>
      </c>
      <c r="I734" s="16">
        <v>44659</v>
      </c>
      <c r="J734" s="17">
        <v>3.9800000000000002E-2</v>
      </c>
      <c r="K734" s="25">
        <f t="shared" si="44"/>
        <v>1.0693280448692555E-4</v>
      </c>
      <c r="M734" s="16">
        <v>44659</v>
      </c>
      <c r="N734" s="26">
        <f t="shared" si="45"/>
        <v>9.1784878023710385E-3</v>
      </c>
      <c r="O734" s="26">
        <f>'Part 2 - CAPM 2.1, 2.2 and 2.3'!C734-'Part 2 - CAPM 2.1, 2.2 and 2.3'!K734</f>
        <v>1.2034020704544826E-2</v>
      </c>
    </row>
    <row r="735" spans="1:15" x14ac:dyDescent="0.4">
      <c r="A735" s="16">
        <v>44662</v>
      </c>
      <c r="B735" s="14">
        <v>171.2</v>
      </c>
      <c r="C735" s="25">
        <f t="shared" si="46"/>
        <v>1.7554125219425567E-3</v>
      </c>
      <c r="E735" s="16">
        <v>44662</v>
      </c>
      <c r="F735" s="15">
        <v>15325.5</v>
      </c>
      <c r="G735" s="25">
        <f t="shared" si="47"/>
        <v>-1.1015225779538818E-3</v>
      </c>
      <c r="I735" s="16">
        <v>44662</v>
      </c>
      <c r="J735" s="17">
        <v>0.04</v>
      </c>
      <c r="K735" s="25">
        <f t="shared" si="44"/>
        <v>1.0745978202786333E-4</v>
      </c>
      <c r="M735" s="16">
        <v>44662</v>
      </c>
      <c r="N735" s="26">
        <f t="shared" si="45"/>
        <v>-1.2089823599817451E-3</v>
      </c>
      <c r="O735" s="26">
        <f>'Part 2 - CAPM 2.1, 2.2 and 2.3'!C735-'Part 2 - CAPM 2.1, 2.2 and 2.3'!K735</f>
        <v>1.6479527399146934E-3</v>
      </c>
    </row>
    <row r="736" spans="1:15" x14ac:dyDescent="0.4">
      <c r="A736" s="16">
        <v>44663</v>
      </c>
      <c r="B736" s="14">
        <v>168.9</v>
      </c>
      <c r="C736" s="25">
        <f t="shared" si="46"/>
        <v>-1.3434579439252237E-2</v>
      </c>
      <c r="E736" s="16">
        <v>44663</v>
      </c>
      <c r="F736" s="15">
        <v>15164.7</v>
      </c>
      <c r="G736" s="25">
        <f t="shared" si="47"/>
        <v>-1.049231672702354E-2</v>
      </c>
      <c r="I736" s="16">
        <v>44663</v>
      </c>
      <c r="J736" s="17">
        <v>3.9800000000000002E-2</v>
      </c>
      <c r="K736" s="25">
        <f t="shared" si="44"/>
        <v>1.0693280448692555E-4</v>
      </c>
      <c r="M736" s="16">
        <v>44663</v>
      </c>
      <c r="N736" s="26">
        <f t="shared" si="45"/>
        <v>-1.0599249531510466E-2</v>
      </c>
      <c r="O736" s="26">
        <f>'Part 2 - CAPM 2.1, 2.2 and 2.3'!C736-'Part 2 - CAPM 2.1, 2.2 and 2.3'!K736</f>
        <v>-1.3541512243739163E-2</v>
      </c>
    </row>
    <row r="737" spans="1:15" x14ac:dyDescent="0.4">
      <c r="A737" s="16">
        <v>44664</v>
      </c>
      <c r="B737" s="14">
        <v>174.25</v>
      </c>
      <c r="C737" s="25">
        <f t="shared" si="46"/>
        <v>3.1675547661338038E-2</v>
      </c>
      <c r="E737" s="16">
        <v>44664</v>
      </c>
      <c r="F737" s="15">
        <v>15138.55</v>
      </c>
      <c r="G737" s="25">
        <f t="shared" si="47"/>
        <v>-1.7243994276181826E-3</v>
      </c>
      <c r="I737" s="16">
        <v>44664</v>
      </c>
      <c r="J737" s="17">
        <v>3.9900000000000005E-2</v>
      </c>
      <c r="K737" s="25">
        <f t="shared" si="44"/>
        <v>1.0719630589162144E-4</v>
      </c>
      <c r="M737" s="16">
        <v>44664</v>
      </c>
      <c r="N737" s="26">
        <f t="shared" si="45"/>
        <v>-1.831595733509804E-3</v>
      </c>
      <c r="O737" s="26">
        <f>'Part 2 - CAPM 2.1, 2.2 and 2.3'!C737-'Part 2 - CAPM 2.1, 2.2 and 2.3'!K737</f>
        <v>3.1568351355446417E-2</v>
      </c>
    </row>
    <row r="738" spans="1:15" x14ac:dyDescent="0.4">
      <c r="A738" s="16">
        <v>44669</v>
      </c>
      <c r="B738" s="14">
        <v>175.8</v>
      </c>
      <c r="C738" s="25">
        <f t="shared" si="46"/>
        <v>8.8952654232425325E-3</v>
      </c>
      <c r="E738" s="16">
        <v>44669</v>
      </c>
      <c r="F738" s="15">
        <v>14926.05</v>
      </c>
      <c r="G738" s="25">
        <f t="shared" si="47"/>
        <v>-1.4037011470715491E-2</v>
      </c>
      <c r="I738" s="16">
        <v>44669</v>
      </c>
      <c r="J738" s="17">
        <v>4.0099999999999997E-2</v>
      </c>
      <c r="K738" s="25">
        <f t="shared" si="44"/>
        <v>1.077232329005362E-4</v>
      </c>
      <c r="M738" s="16">
        <v>44669</v>
      </c>
      <c r="N738" s="26">
        <f t="shared" si="45"/>
        <v>-1.4144734703616027E-2</v>
      </c>
      <c r="O738" s="26">
        <f>'Part 2 - CAPM 2.1, 2.2 and 2.3'!C738-'Part 2 - CAPM 2.1, 2.2 and 2.3'!K738</f>
        <v>8.7875421903419963E-3</v>
      </c>
    </row>
    <row r="739" spans="1:15" x14ac:dyDescent="0.4">
      <c r="A739" s="16">
        <v>44670</v>
      </c>
      <c r="B739" s="14">
        <v>177.15</v>
      </c>
      <c r="C739" s="25">
        <f t="shared" si="46"/>
        <v>7.6791808873719804E-3</v>
      </c>
      <c r="E739" s="16">
        <v>44670</v>
      </c>
      <c r="F739" s="15">
        <v>14726.65</v>
      </c>
      <c r="G739" s="25">
        <f t="shared" si="47"/>
        <v>-1.3359194160544796E-2</v>
      </c>
      <c r="I739" s="16">
        <v>44670</v>
      </c>
      <c r="J739" s="17">
        <v>3.9900000000000005E-2</v>
      </c>
      <c r="K739" s="25">
        <f t="shared" si="44"/>
        <v>1.0719630589162144E-4</v>
      </c>
      <c r="M739" s="16">
        <v>44670</v>
      </c>
      <c r="N739" s="26">
        <f t="shared" si="45"/>
        <v>-1.3466390466436417E-2</v>
      </c>
      <c r="O739" s="26">
        <f>'Part 2 - CAPM 2.1, 2.2 and 2.3'!C739-'Part 2 - CAPM 2.1, 2.2 and 2.3'!K739</f>
        <v>7.571984581480359E-3</v>
      </c>
    </row>
    <row r="740" spans="1:15" x14ac:dyDescent="0.4">
      <c r="A740" s="16">
        <v>44671</v>
      </c>
      <c r="B740" s="14">
        <v>175.5</v>
      </c>
      <c r="C740" s="25">
        <f t="shared" si="46"/>
        <v>-9.314140558848466E-3</v>
      </c>
      <c r="E740" s="16">
        <v>44671</v>
      </c>
      <c r="F740" s="15">
        <v>14850.3</v>
      </c>
      <c r="G740" s="25">
        <f t="shared" si="47"/>
        <v>8.396342684860416E-3</v>
      </c>
      <c r="I740" s="16">
        <v>44671</v>
      </c>
      <c r="J740" s="17">
        <v>3.9699999999999999E-2</v>
      </c>
      <c r="K740" s="25">
        <f t="shared" si="44"/>
        <v>1.0666927780889068E-4</v>
      </c>
      <c r="M740" s="16">
        <v>44671</v>
      </c>
      <c r="N740" s="26">
        <f t="shared" si="45"/>
        <v>8.2896734070515253E-3</v>
      </c>
      <c r="O740" s="26">
        <f>'Part 2 - CAPM 2.1, 2.2 and 2.3'!C740-'Part 2 - CAPM 2.1, 2.2 and 2.3'!K740</f>
        <v>-9.4208098366573567E-3</v>
      </c>
    </row>
    <row r="741" spans="1:15" x14ac:dyDescent="0.4">
      <c r="A741" s="16">
        <v>44672</v>
      </c>
      <c r="B741" s="14">
        <v>174.15</v>
      </c>
      <c r="C741" s="25">
        <f t="shared" si="46"/>
        <v>-7.6923076923076598E-3</v>
      </c>
      <c r="E741" s="16">
        <v>44672</v>
      </c>
      <c r="F741" s="15">
        <v>15053.95</v>
      </c>
      <c r="G741" s="25">
        <f t="shared" si="47"/>
        <v>1.3713527672841725E-2</v>
      </c>
      <c r="I741" s="16">
        <v>44672</v>
      </c>
      <c r="J741" s="17">
        <v>3.9699999999999999E-2</v>
      </c>
      <c r="K741" s="25">
        <f t="shared" si="44"/>
        <v>1.0666927780889068E-4</v>
      </c>
      <c r="M741" s="16">
        <v>44672</v>
      </c>
      <c r="N741" s="26">
        <f t="shared" si="45"/>
        <v>1.3606858395032834E-2</v>
      </c>
      <c r="O741" s="26">
        <f>'Part 2 - CAPM 2.1, 2.2 and 2.3'!C741-'Part 2 - CAPM 2.1, 2.2 and 2.3'!K741</f>
        <v>-7.7989769701165505E-3</v>
      </c>
    </row>
    <row r="742" spans="1:15" x14ac:dyDescent="0.4">
      <c r="A742" s="16">
        <v>44673</v>
      </c>
      <c r="B742" s="14">
        <v>174</v>
      </c>
      <c r="C742" s="25">
        <f t="shared" si="46"/>
        <v>-8.6132644272182419E-4</v>
      </c>
      <c r="E742" s="16">
        <v>44673</v>
      </c>
      <c r="F742" s="15">
        <v>14894.85</v>
      </c>
      <c r="G742" s="25">
        <f t="shared" si="47"/>
        <v>-1.0568654738457372E-2</v>
      </c>
      <c r="I742" s="16">
        <v>44673</v>
      </c>
      <c r="J742" s="17">
        <v>3.9800000000000002E-2</v>
      </c>
      <c r="K742" s="25">
        <f t="shared" si="44"/>
        <v>1.0693280448692555E-4</v>
      </c>
      <c r="M742" s="16">
        <v>44673</v>
      </c>
      <c r="N742" s="26">
        <f t="shared" si="45"/>
        <v>-1.0675587542944297E-2</v>
      </c>
      <c r="O742" s="26">
        <f>'Part 2 - CAPM 2.1, 2.2 and 2.3'!C742-'Part 2 - CAPM 2.1, 2.2 and 2.3'!K742</f>
        <v>-9.6825924720874974E-4</v>
      </c>
    </row>
    <row r="743" spans="1:15" x14ac:dyDescent="0.4">
      <c r="A743" s="16">
        <v>44676</v>
      </c>
      <c r="B743" s="14">
        <v>169.65</v>
      </c>
      <c r="C743" s="25">
        <f t="shared" si="46"/>
        <v>-2.4999999999999967E-2</v>
      </c>
      <c r="E743" s="16">
        <v>44676</v>
      </c>
      <c r="F743" s="15">
        <v>14673</v>
      </c>
      <c r="G743" s="25">
        <f t="shared" si="47"/>
        <v>-1.4894409812787666E-2</v>
      </c>
      <c r="I743" s="16">
        <v>44676</v>
      </c>
      <c r="J743" s="17">
        <v>3.9599999999999996E-2</v>
      </c>
      <c r="K743" s="25">
        <f t="shared" si="44"/>
        <v>1.0640572585263186E-4</v>
      </c>
      <c r="M743" s="16">
        <v>44676</v>
      </c>
      <c r="N743" s="26">
        <f t="shared" si="45"/>
        <v>-1.5000815538640298E-2</v>
      </c>
      <c r="O743" s="26">
        <f>'Part 2 - CAPM 2.1, 2.2 and 2.3'!C743-'Part 2 - CAPM 2.1, 2.2 and 2.3'!K743</f>
        <v>-2.5106405725852599E-2</v>
      </c>
    </row>
    <row r="744" spans="1:15" x14ac:dyDescent="0.4">
      <c r="A744" s="16">
        <v>44677</v>
      </c>
      <c r="B744" s="14">
        <v>166.95</v>
      </c>
      <c r="C744" s="25">
        <f t="shared" si="46"/>
        <v>-1.5915119363395326E-2</v>
      </c>
      <c r="E744" s="16">
        <v>44677</v>
      </c>
      <c r="F744" s="15">
        <v>14898.35</v>
      </c>
      <c r="G744" s="25">
        <f t="shared" si="47"/>
        <v>1.5358140802835164E-2</v>
      </c>
      <c r="I744" s="16">
        <v>44677</v>
      </c>
      <c r="J744" s="17">
        <v>3.9800000000000002E-2</v>
      </c>
      <c r="K744" s="25">
        <f t="shared" si="44"/>
        <v>1.0693280448692555E-4</v>
      </c>
      <c r="M744" s="16">
        <v>44677</v>
      </c>
      <c r="N744" s="26">
        <f t="shared" si="45"/>
        <v>1.5251207998348238E-2</v>
      </c>
      <c r="O744" s="26">
        <f>'Part 2 - CAPM 2.1, 2.2 and 2.3'!C744-'Part 2 - CAPM 2.1, 2.2 and 2.3'!K744</f>
        <v>-1.6022052167882252E-2</v>
      </c>
    </row>
    <row r="745" spans="1:15" x14ac:dyDescent="0.4">
      <c r="A745" s="16">
        <v>44678</v>
      </c>
      <c r="B745" s="14">
        <v>164.85</v>
      </c>
      <c r="C745" s="25">
        <f t="shared" si="46"/>
        <v>-1.2578616352201224E-2</v>
      </c>
      <c r="E745" s="16">
        <v>44678</v>
      </c>
      <c r="F745" s="15">
        <v>14756</v>
      </c>
      <c r="G745" s="25">
        <f t="shared" si="47"/>
        <v>-9.5547493514382704E-3</v>
      </c>
      <c r="I745" s="16">
        <v>44678</v>
      </c>
      <c r="J745" s="17">
        <v>0.04</v>
      </c>
      <c r="K745" s="25">
        <f t="shared" si="44"/>
        <v>1.0745978202786333E-4</v>
      </c>
      <c r="M745" s="16">
        <v>44678</v>
      </c>
      <c r="N745" s="26">
        <f t="shared" si="45"/>
        <v>-9.6622091334661337E-3</v>
      </c>
      <c r="O745" s="26">
        <f>'Part 2 - CAPM 2.1, 2.2 and 2.3'!C745-'Part 2 - CAPM 2.1, 2.2 and 2.3'!K745</f>
        <v>-1.2686076134229087E-2</v>
      </c>
    </row>
    <row r="746" spans="1:15" x14ac:dyDescent="0.4">
      <c r="A746" s="16">
        <v>44679</v>
      </c>
      <c r="B746" s="14">
        <v>164.8</v>
      </c>
      <c r="C746" s="25">
        <f t="shared" si="46"/>
        <v>-3.033060357900088E-4</v>
      </c>
      <c r="E746" s="16">
        <v>44679</v>
      </c>
      <c r="F746" s="15">
        <v>14913.9</v>
      </c>
      <c r="G746" s="25">
        <f t="shared" si="47"/>
        <v>1.0700731905665468E-2</v>
      </c>
      <c r="I746" s="16">
        <v>44679</v>
      </c>
      <c r="J746" s="17">
        <v>4.0099999999999997E-2</v>
      </c>
      <c r="K746" s="25">
        <f t="shared" si="44"/>
        <v>1.077232329005362E-4</v>
      </c>
      <c r="M746" s="16">
        <v>44679</v>
      </c>
      <c r="N746" s="26">
        <f t="shared" si="45"/>
        <v>1.0593008672764932E-2</v>
      </c>
      <c r="O746" s="26">
        <f>'Part 2 - CAPM 2.1, 2.2 and 2.3'!C746-'Part 2 - CAPM 2.1, 2.2 and 2.3'!K746</f>
        <v>-4.11029268690545E-4</v>
      </c>
    </row>
    <row r="747" spans="1:15" x14ac:dyDescent="0.4">
      <c r="A747" s="16">
        <v>44680</v>
      </c>
      <c r="B747" s="14">
        <v>160.44999999999999</v>
      </c>
      <c r="C747" s="25">
        <f t="shared" si="46"/>
        <v>-2.6395631067961303E-2</v>
      </c>
      <c r="E747" s="16">
        <v>44680</v>
      </c>
      <c r="F747" s="15">
        <v>14783.35</v>
      </c>
      <c r="G747" s="25">
        <f t="shared" si="47"/>
        <v>-8.7535788760819949E-3</v>
      </c>
      <c r="I747" s="16">
        <v>44680</v>
      </c>
      <c r="J747" s="17">
        <v>4.0300000000000002E-2</v>
      </c>
      <c r="K747" s="25">
        <f t="shared" si="44"/>
        <v>1.0825005887427075E-4</v>
      </c>
      <c r="M747" s="16">
        <v>44680</v>
      </c>
      <c r="N747" s="26">
        <f t="shared" si="45"/>
        <v>-8.8618289349562656E-3</v>
      </c>
      <c r="O747" s="26">
        <f>'Part 2 - CAPM 2.1, 2.2 and 2.3'!C747-'Part 2 - CAPM 2.1, 2.2 and 2.3'!K747</f>
        <v>-2.6503881126835573E-2</v>
      </c>
    </row>
    <row r="748" spans="1:15" x14ac:dyDescent="0.4">
      <c r="A748" s="16">
        <v>44683</v>
      </c>
      <c r="B748" s="14">
        <v>156.35</v>
      </c>
      <c r="C748" s="25">
        <f t="shared" si="46"/>
        <v>-2.5553131816765315E-2</v>
      </c>
      <c r="E748" s="16">
        <v>44683</v>
      </c>
      <c r="F748" s="15">
        <v>14736.3</v>
      </c>
      <c r="G748" s="25">
        <f t="shared" si="47"/>
        <v>-3.1826345178867501E-3</v>
      </c>
      <c r="I748" s="16">
        <v>44683</v>
      </c>
      <c r="J748" s="17">
        <v>4.0300000000000002E-2</v>
      </c>
      <c r="K748" s="25">
        <f t="shared" si="44"/>
        <v>1.0825005887427075E-4</v>
      </c>
      <c r="M748" s="16">
        <v>44683</v>
      </c>
      <c r="N748" s="26">
        <f t="shared" si="45"/>
        <v>-3.2908845767610209E-3</v>
      </c>
      <c r="O748" s="26">
        <f>'Part 2 - CAPM 2.1, 2.2 and 2.3'!C748-'Part 2 - CAPM 2.1, 2.2 and 2.3'!K748</f>
        <v>-2.5661381875639586E-2</v>
      </c>
    </row>
    <row r="749" spans="1:15" x14ac:dyDescent="0.4">
      <c r="A749" s="16">
        <v>44685</v>
      </c>
      <c r="B749" s="14">
        <v>162.25</v>
      </c>
      <c r="C749" s="25">
        <f t="shared" si="46"/>
        <v>3.7735849056603814E-2</v>
      </c>
      <c r="E749" s="16">
        <v>44685</v>
      </c>
      <c r="F749" s="15">
        <v>14393.35</v>
      </c>
      <c r="G749" s="25">
        <f t="shared" si="47"/>
        <v>-2.3272463237040433E-2</v>
      </c>
      <c r="I749" s="16">
        <v>44685</v>
      </c>
      <c r="J749" s="17">
        <v>4.3700000000000003E-2</v>
      </c>
      <c r="K749" s="25">
        <f t="shared" si="44"/>
        <v>1.1719067956206253E-4</v>
      </c>
      <c r="M749" s="16">
        <v>44685</v>
      </c>
      <c r="N749" s="26">
        <f t="shared" si="45"/>
        <v>-2.3389653916602495E-2</v>
      </c>
      <c r="O749" s="26">
        <f>'Part 2 - CAPM 2.1, 2.2 and 2.3'!C749-'Part 2 - CAPM 2.1, 2.2 and 2.3'!K749</f>
        <v>3.7618658377041751E-2</v>
      </c>
    </row>
    <row r="750" spans="1:15" x14ac:dyDescent="0.4">
      <c r="A750" s="16">
        <v>44686</v>
      </c>
      <c r="B750" s="14">
        <v>164.85</v>
      </c>
      <c r="C750" s="25">
        <f t="shared" si="46"/>
        <v>1.6024653312788871E-2</v>
      </c>
      <c r="E750" s="16">
        <v>44686</v>
      </c>
      <c r="F750" s="15">
        <v>14395.5</v>
      </c>
      <c r="G750" s="25">
        <f t="shared" si="47"/>
        <v>1.4937453754682796E-4</v>
      </c>
      <c r="I750" s="16">
        <v>44686</v>
      </c>
      <c r="J750" s="17">
        <v>4.58E-2</v>
      </c>
      <c r="K750" s="25">
        <f t="shared" si="44"/>
        <v>1.2269832893907484E-4</v>
      </c>
      <c r="M750" s="16">
        <v>44686</v>
      </c>
      <c r="N750" s="26">
        <f t="shared" si="45"/>
        <v>2.6676208607753115E-5</v>
      </c>
      <c r="O750" s="26">
        <f>'Part 2 - CAPM 2.1, 2.2 and 2.3'!C750-'Part 2 - CAPM 2.1, 2.2 and 2.3'!K750</f>
        <v>1.5901954983849796E-2</v>
      </c>
    </row>
    <row r="751" spans="1:15" x14ac:dyDescent="0.4">
      <c r="A751" s="16">
        <v>44687</v>
      </c>
      <c r="B751" s="14">
        <v>166.95</v>
      </c>
      <c r="C751" s="25">
        <f t="shared" si="46"/>
        <v>1.2738853503184679E-2</v>
      </c>
      <c r="E751" s="16">
        <v>44687</v>
      </c>
      <c r="F751" s="15">
        <v>14145.75</v>
      </c>
      <c r="G751" s="25">
        <f t="shared" si="47"/>
        <v>-1.7349171616130039E-2</v>
      </c>
      <c r="I751" s="16">
        <v>44687</v>
      </c>
      <c r="J751" s="17">
        <v>4.58E-2</v>
      </c>
      <c r="K751" s="25">
        <f t="shared" si="44"/>
        <v>1.2269832893907484E-4</v>
      </c>
      <c r="M751" s="16">
        <v>44687</v>
      </c>
      <c r="N751" s="26">
        <f t="shared" si="45"/>
        <v>-1.7471869945069114E-2</v>
      </c>
      <c r="O751" s="26">
        <f>'Part 2 - CAPM 2.1, 2.2 and 2.3'!C751-'Part 2 - CAPM 2.1, 2.2 and 2.3'!K751</f>
        <v>1.2616155174245604E-2</v>
      </c>
    </row>
    <row r="752" spans="1:15" x14ac:dyDescent="0.4">
      <c r="A752" s="16">
        <v>44690</v>
      </c>
      <c r="B752" s="14">
        <v>164.75</v>
      </c>
      <c r="C752" s="25">
        <f t="shared" si="46"/>
        <v>-1.3177598083258394E-2</v>
      </c>
      <c r="E752" s="16">
        <v>44690</v>
      </c>
      <c r="F752" s="15">
        <v>13991.75</v>
      </c>
      <c r="G752" s="25">
        <f t="shared" si="47"/>
        <v>-1.0886662071646961E-2</v>
      </c>
      <c r="I752" s="16">
        <v>44690</v>
      </c>
      <c r="J752" s="17">
        <v>4.6199999999999998E-2</v>
      </c>
      <c r="K752" s="25">
        <f t="shared" si="44"/>
        <v>1.2374615442900527E-4</v>
      </c>
      <c r="M752" s="16">
        <v>44690</v>
      </c>
      <c r="N752" s="26">
        <f t="shared" si="45"/>
        <v>-1.1010408226075966E-2</v>
      </c>
      <c r="O752" s="26">
        <f>'Part 2 - CAPM 2.1, 2.2 and 2.3'!C752-'Part 2 - CAPM 2.1, 2.2 and 2.3'!K752</f>
        <v>-1.3301344237687399E-2</v>
      </c>
    </row>
    <row r="753" spans="1:15" x14ac:dyDescent="0.4">
      <c r="A753" s="16">
        <v>44691</v>
      </c>
      <c r="B753" s="14">
        <v>154.44999999999999</v>
      </c>
      <c r="C753" s="25">
        <f t="shared" si="46"/>
        <v>-6.2518968133535732E-2</v>
      </c>
      <c r="E753" s="16">
        <v>44691</v>
      </c>
      <c r="F753" s="15">
        <v>13855.95</v>
      </c>
      <c r="G753" s="25">
        <f t="shared" si="47"/>
        <v>-9.7057194418138735E-3</v>
      </c>
      <c r="I753" s="16">
        <v>44691</v>
      </c>
      <c r="J753" s="17">
        <v>4.6300000000000001E-2</v>
      </c>
      <c r="K753" s="25">
        <f t="shared" si="44"/>
        <v>1.2400804837575663E-4</v>
      </c>
      <c r="M753" s="16">
        <v>44691</v>
      </c>
      <c r="N753" s="26">
        <f t="shared" si="45"/>
        <v>-9.8297274901896301E-3</v>
      </c>
      <c r="O753" s="26">
        <f>'Part 2 - CAPM 2.1, 2.2 and 2.3'!C753-'Part 2 - CAPM 2.1, 2.2 and 2.3'!K753</f>
        <v>-6.2642976181911489E-2</v>
      </c>
    </row>
    <row r="754" spans="1:15" x14ac:dyDescent="0.4">
      <c r="A754" s="16">
        <v>44692</v>
      </c>
      <c r="B754" s="14">
        <v>158.6</v>
      </c>
      <c r="C754" s="25">
        <f t="shared" si="46"/>
        <v>2.6869537067012016E-2</v>
      </c>
      <c r="E754" s="16">
        <v>44692</v>
      </c>
      <c r="F754" s="15">
        <v>13771.8</v>
      </c>
      <c r="G754" s="25">
        <f t="shared" si="47"/>
        <v>-6.0732032087299284E-3</v>
      </c>
      <c r="I754" s="16">
        <v>44692</v>
      </c>
      <c r="J754" s="17">
        <v>4.7500000000000001E-2</v>
      </c>
      <c r="K754" s="25">
        <f t="shared" si="44"/>
        <v>1.2714883016351486E-4</v>
      </c>
      <c r="M754" s="16">
        <v>44692</v>
      </c>
      <c r="N754" s="26">
        <f t="shared" si="45"/>
        <v>-6.2003520388934433E-3</v>
      </c>
      <c r="O754" s="26">
        <f>'Part 2 - CAPM 2.1, 2.2 and 2.3'!C754-'Part 2 - CAPM 2.1, 2.2 and 2.3'!K754</f>
        <v>2.6742388236848501E-2</v>
      </c>
    </row>
    <row r="755" spans="1:15" x14ac:dyDescent="0.4">
      <c r="A755" s="16">
        <v>44693</v>
      </c>
      <c r="B755" s="14">
        <v>156.5</v>
      </c>
      <c r="C755" s="25">
        <f t="shared" si="46"/>
        <v>-1.3240857503152549E-2</v>
      </c>
      <c r="E755" s="16">
        <v>44693</v>
      </c>
      <c r="F755" s="15">
        <v>13465.25</v>
      </c>
      <c r="G755" s="25">
        <f t="shared" si="47"/>
        <v>-2.2259254418449243E-2</v>
      </c>
      <c r="I755" s="16">
        <v>44693</v>
      </c>
      <c r="J755" s="17">
        <v>4.8399999999999999E-2</v>
      </c>
      <c r="K755" s="25">
        <f t="shared" si="44"/>
        <v>1.2950206266038045E-4</v>
      </c>
      <c r="M755" s="16">
        <v>44693</v>
      </c>
      <c r="N755" s="26">
        <f t="shared" si="45"/>
        <v>-2.2388756481109624E-2</v>
      </c>
      <c r="O755" s="26">
        <f>'Part 2 - CAPM 2.1, 2.2 and 2.3'!C755-'Part 2 - CAPM 2.1, 2.2 and 2.3'!K755</f>
        <v>-1.337035956581293E-2</v>
      </c>
    </row>
    <row r="756" spans="1:15" x14ac:dyDescent="0.4">
      <c r="A756" s="16">
        <v>44694</v>
      </c>
      <c r="B756" s="14">
        <v>153.55000000000001</v>
      </c>
      <c r="C756" s="25">
        <f t="shared" si="46"/>
        <v>-1.8849840255590982E-2</v>
      </c>
      <c r="E756" s="16">
        <v>44694</v>
      </c>
      <c r="F756" s="15">
        <v>13471.5</v>
      </c>
      <c r="G756" s="25">
        <f t="shared" si="47"/>
        <v>4.641577393661462E-4</v>
      </c>
      <c r="I756" s="16">
        <v>44694</v>
      </c>
      <c r="J756" s="17">
        <v>4.9000000000000002E-2</v>
      </c>
      <c r="K756" s="25">
        <f t="shared" si="44"/>
        <v>1.3106976536825243E-4</v>
      </c>
      <c r="M756" s="16">
        <v>44694</v>
      </c>
      <c r="N756" s="26">
        <f t="shared" si="45"/>
        <v>3.3308797399789376E-4</v>
      </c>
      <c r="O756" s="26">
        <f>'Part 2 - CAPM 2.1, 2.2 and 2.3'!C756-'Part 2 - CAPM 2.1, 2.2 and 2.3'!K756</f>
        <v>-1.8980910020959234E-2</v>
      </c>
    </row>
    <row r="757" spans="1:15" x14ac:dyDescent="0.4">
      <c r="A757" s="16">
        <v>44698</v>
      </c>
      <c r="B757" s="14">
        <v>163.15</v>
      </c>
      <c r="C757" s="25">
        <f t="shared" si="46"/>
        <v>6.2520351676978142E-2</v>
      </c>
      <c r="E757" s="16">
        <v>44698</v>
      </c>
      <c r="F757" s="15">
        <v>13926.05</v>
      </c>
      <c r="G757" s="25">
        <f t="shared" si="47"/>
        <v>3.3741602642615838E-2</v>
      </c>
      <c r="I757" s="16">
        <v>44698</v>
      </c>
      <c r="J757" s="17">
        <v>4.8799999999999996E-2</v>
      </c>
      <c r="K757" s="25">
        <f t="shared" si="44"/>
        <v>1.3054729717976166E-4</v>
      </c>
      <c r="M757" s="16">
        <v>44698</v>
      </c>
      <c r="N757" s="26">
        <f t="shared" si="45"/>
        <v>3.3611055345436076E-2</v>
      </c>
      <c r="O757" s="26">
        <f>'Part 2 - CAPM 2.1, 2.2 and 2.3'!C757-'Part 2 - CAPM 2.1, 2.2 and 2.3'!K757</f>
        <v>6.238980437979838E-2</v>
      </c>
    </row>
    <row r="758" spans="1:15" x14ac:dyDescent="0.4">
      <c r="A758" s="16">
        <v>44699</v>
      </c>
      <c r="B758" s="14">
        <v>163.19999999999999</v>
      </c>
      <c r="C758" s="25">
        <f t="shared" si="46"/>
        <v>3.0646644192450472E-4</v>
      </c>
      <c r="E758" s="16">
        <v>44699</v>
      </c>
      <c r="F758" s="15">
        <v>13918.2</v>
      </c>
      <c r="G758" s="25">
        <f t="shared" si="47"/>
        <v>-5.6369178625658713E-4</v>
      </c>
      <c r="I758" s="16">
        <v>44699</v>
      </c>
      <c r="J758" s="17">
        <v>4.8899999999999999E-2</v>
      </c>
      <c r="K758" s="25">
        <f t="shared" si="44"/>
        <v>1.3080854369262873E-4</v>
      </c>
      <c r="M758" s="16">
        <v>44699</v>
      </c>
      <c r="N758" s="26">
        <f t="shared" si="45"/>
        <v>-6.9450032994921587E-4</v>
      </c>
      <c r="O758" s="26">
        <f>'Part 2 - CAPM 2.1, 2.2 and 2.3'!C758-'Part 2 - CAPM 2.1, 2.2 and 2.3'!K758</f>
        <v>1.7565789823187599E-4</v>
      </c>
    </row>
    <row r="759" spans="1:15" x14ac:dyDescent="0.4">
      <c r="A759" s="16">
        <v>44700</v>
      </c>
      <c r="B759" s="14">
        <v>160</v>
      </c>
      <c r="C759" s="25">
        <f t="shared" si="46"/>
        <v>-1.9607843137254832E-2</v>
      </c>
      <c r="E759" s="16">
        <v>44700</v>
      </c>
      <c r="F759" s="15">
        <v>13550.9</v>
      </c>
      <c r="G759" s="25">
        <f t="shared" si="47"/>
        <v>-2.6389906740814262E-2</v>
      </c>
      <c r="I759" s="16">
        <v>44700</v>
      </c>
      <c r="J759" s="17">
        <v>4.9100000000000005E-2</v>
      </c>
      <c r="K759" s="25">
        <f t="shared" si="44"/>
        <v>1.3133096221151774E-4</v>
      </c>
      <c r="M759" s="16">
        <v>44700</v>
      </c>
      <c r="N759" s="26">
        <f t="shared" si="45"/>
        <v>-2.652123770302578E-2</v>
      </c>
      <c r="O759" s="26">
        <f>'Part 2 - CAPM 2.1, 2.2 and 2.3'!C759-'Part 2 - CAPM 2.1, 2.2 and 2.3'!K759</f>
        <v>-1.973917409946635E-2</v>
      </c>
    </row>
    <row r="760" spans="1:15" x14ac:dyDescent="0.4">
      <c r="A760" s="16">
        <v>44701</v>
      </c>
      <c r="B760" s="14">
        <v>161.9</v>
      </c>
      <c r="C760" s="25">
        <f t="shared" si="46"/>
        <v>1.1875000000000035E-2</v>
      </c>
      <c r="E760" s="16">
        <v>44701</v>
      </c>
      <c r="F760" s="15">
        <v>13895.05</v>
      </c>
      <c r="G760" s="25">
        <f t="shared" si="47"/>
        <v>2.5396837110450203E-2</v>
      </c>
      <c r="I760" s="16">
        <v>44701</v>
      </c>
      <c r="J760" s="17">
        <v>4.9200000000000001E-2</v>
      </c>
      <c r="K760" s="25">
        <f t="shared" si="44"/>
        <v>1.3159213422664351E-4</v>
      </c>
      <c r="M760" s="16">
        <v>44701</v>
      </c>
      <c r="N760" s="26">
        <f t="shared" si="45"/>
        <v>2.526524497622356E-2</v>
      </c>
      <c r="O760" s="26">
        <f>'Part 2 - CAPM 2.1, 2.2 and 2.3'!C760-'Part 2 - CAPM 2.1, 2.2 and 2.3'!K760</f>
        <v>1.1743407865773391E-2</v>
      </c>
    </row>
    <row r="761" spans="1:15" x14ac:dyDescent="0.4">
      <c r="A761" s="16">
        <v>44704</v>
      </c>
      <c r="B761" s="14">
        <v>155.1</v>
      </c>
      <c r="C761" s="25">
        <f t="shared" si="46"/>
        <v>-4.2001235330450963E-2</v>
      </c>
      <c r="E761" s="16">
        <v>44704</v>
      </c>
      <c r="F761" s="15">
        <v>13835.8</v>
      </c>
      <c r="G761" s="25">
        <f t="shared" si="47"/>
        <v>-4.2641084414953533E-3</v>
      </c>
      <c r="I761" s="16">
        <v>44704</v>
      </c>
      <c r="J761" s="17">
        <v>4.87E-2</v>
      </c>
      <c r="K761" s="25">
        <f t="shared" si="44"/>
        <v>1.3028602582476623E-4</v>
      </c>
      <c r="M761" s="16">
        <v>44704</v>
      </c>
      <c r="N761" s="26">
        <f t="shared" si="45"/>
        <v>-4.3943944673201195E-3</v>
      </c>
      <c r="O761" s="26">
        <f>'Part 2 - CAPM 2.1, 2.2 and 2.3'!C761-'Part 2 - CAPM 2.1, 2.2 and 2.3'!K761</f>
        <v>-4.2131521356275729E-2</v>
      </c>
    </row>
    <row r="762" spans="1:15" x14ac:dyDescent="0.4">
      <c r="A762" s="16">
        <v>44705</v>
      </c>
      <c r="B762" s="14">
        <v>150.65</v>
      </c>
      <c r="C762" s="25">
        <f t="shared" si="46"/>
        <v>-2.8691166989039257E-2</v>
      </c>
      <c r="E762" s="16">
        <v>44705</v>
      </c>
      <c r="F762" s="15">
        <v>13747.25</v>
      </c>
      <c r="G762" s="25">
        <f t="shared" si="47"/>
        <v>-6.4000636031165004E-3</v>
      </c>
      <c r="I762" s="16">
        <v>44705</v>
      </c>
      <c r="J762" s="17">
        <v>4.87E-2</v>
      </c>
      <c r="K762" s="25">
        <f t="shared" si="44"/>
        <v>1.3028602582476623E-4</v>
      </c>
      <c r="M762" s="16">
        <v>44705</v>
      </c>
      <c r="N762" s="26">
        <f t="shared" si="45"/>
        <v>-6.5303496289412667E-3</v>
      </c>
      <c r="O762" s="26">
        <f>'Part 2 - CAPM 2.1, 2.2 and 2.3'!C762-'Part 2 - CAPM 2.1, 2.2 and 2.3'!K762</f>
        <v>-2.8821453014864024E-2</v>
      </c>
    </row>
    <row r="763" spans="1:15" x14ac:dyDescent="0.4">
      <c r="A763" s="16">
        <v>44706</v>
      </c>
      <c r="B763" s="14">
        <v>152.6</v>
      </c>
      <c r="C763" s="25">
        <f t="shared" si="46"/>
        <v>1.2943909724526973E-2</v>
      </c>
      <c r="E763" s="16">
        <v>44706</v>
      </c>
      <c r="F763" s="15">
        <v>13587.75</v>
      </c>
      <c r="G763" s="25">
        <f t="shared" si="47"/>
        <v>-1.1602320464092819E-2</v>
      </c>
      <c r="I763" s="16">
        <v>44706</v>
      </c>
      <c r="J763" s="17">
        <v>4.8799999999999996E-2</v>
      </c>
      <c r="K763" s="25">
        <f t="shared" si="44"/>
        <v>1.3054729717976166E-4</v>
      </c>
      <c r="M763" s="16">
        <v>44706</v>
      </c>
      <c r="N763" s="26">
        <f t="shared" si="45"/>
        <v>-1.1732867761272581E-2</v>
      </c>
      <c r="O763" s="26">
        <f>'Part 2 - CAPM 2.1, 2.2 and 2.3'!C763-'Part 2 - CAPM 2.1, 2.2 and 2.3'!K763</f>
        <v>1.2813362427347211E-2</v>
      </c>
    </row>
    <row r="764" spans="1:15" x14ac:dyDescent="0.4">
      <c r="A764" s="16">
        <v>44707</v>
      </c>
      <c r="B764" s="14">
        <v>151.9</v>
      </c>
      <c r="C764" s="25">
        <f t="shared" si="46"/>
        <v>-4.587155963302678E-3</v>
      </c>
      <c r="E764" s="16">
        <v>44707</v>
      </c>
      <c r="F764" s="15">
        <v>13722.55</v>
      </c>
      <c r="G764" s="25">
        <f t="shared" si="47"/>
        <v>9.9207006310830913E-3</v>
      </c>
      <c r="I764" s="16">
        <v>44707</v>
      </c>
      <c r="J764" s="17">
        <v>4.8899999999999999E-2</v>
      </c>
      <c r="K764" s="25">
        <f t="shared" si="44"/>
        <v>1.3080854369262873E-4</v>
      </c>
      <c r="M764" s="16">
        <v>44707</v>
      </c>
      <c r="N764" s="26">
        <f t="shared" si="45"/>
        <v>9.7898920873904626E-3</v>
      </c>
      <c r="O764" s="26">
        <f>'Part 2 - CAPM 2.1, 2.2 and 2.3'!C764-'Part 2 - CAPM 2.1, 2.2 and 2.3'!K764</f>
        <v>-4.7179645069953067E-3</v>
      </c>
    </row>
    <row r="765" spans="1:15" x14ac:dyDescent="0.4">
      <c r="A765" s="16">
        <v>44708</v>
      </c>
      <c r="B765" s="14">
        <v>143.80000000000001</v>
      </c>
      <c r="C765" s="25">
        <f t="shared" si="46"/>
        <v>-5.3324555628703058E-2</v>
      </c>
      <c r="E765" s="16">
        <v>44708</v>
      </c>
      <c r="F765" s="15">
        <v>13873.15</v>
      </c>
      <c r="G765" s="25">
        <f t="shared" si="47"/>
        <v>1.0974636638234175E-2</v>
      </c>
      <c r="I765" s="16">
        <v>44708</v>
      </c>
      <c r="J765" s="17">
        <v>4.8799999999999996E-2</v>
      </c>
      <c r="K765" s="25">
        <f t="shared" si="44"/>
        <v>1.3054729717976166E-4</v>
      </c>
      <c r="M765" s="16">
        <v>44708</v>
      </c>
      <c r="N765" s="26">
        <f t="shared" si="45"/>
        <v>1.0844089341054413E-2</v>
      </c>
      <c r="O765" s="26">
        <f>'Part 2 - CAPM 2.1, 2.2 and 2.3'!C765-'Part 2 - CAPM 2.1, 2.2 and 2.3'!K765</f>
        <v>-5.3455102925882819E-2</v>
      </c>
    </row>
    <row r="766" spans="1:15" x14ac:dyDescent="0.4">
      <c r="A766" s="16">
        <v>44711</v>
      </c>
      <c r="B766" s="14">
        <v>144.05000000000001</v>
      </c>
      <c r="C766" s="25">
        <f t="shared" si="46"/>
        <v>1.7385257301808065E-3</v>
      </c>
      <c r="E766" s="16">
        <v>44711</v>
      </c>
      <c r="F766" s="15">
        <v>14154.8</v>
      </c>
      <c r="G766" s="25">
        <f t="shared" si="47"/>
        <v>2.0301806006566614E-2</v>
      </c>
      <c r="I766" s="16">
        <v>44711</v>
      </c>
      <c r="J766" s="17">
        <v>4.8899999999999999E-2</v>
      </c>
      <c r="K766" s="25">
        <f t="shared" si="44"/>
        <v>1.3080854369262873E-4</v>
      </c>
      <c r="M766" s="16">
        <v>44711</v>
      </c>
      <c r="N766" s="26">
        <f t="shared" si="45"/>
        <v>2.0170997462873985E-2</v>
      </c>
      <c r="O766" s="26">
        <f>'Part 2 - CAPM 2.1, 2.2 and 2.3'!C766-'Part 2 - CAPM 2.1, 2.2 and 2.3'!K766</f>
        <v>1.6077171864881778E-3</v>
      </c>
    </row>
    <row r="767" spans="1:15" x14ac:dyDescent="0.4">
      <c r="A767" s="16">
        <v>44712</v>
      </c>
      <c r="B767" s="14">
        <v>151.25</v>
      </c>
      <c r="C767" s="25">
        <f t="shared" si="46"/>
        <v>4.9982644914960003E-2</v>
      </c>
      <c r="E767" s="16">
        <v>44712</v>
      </c>
      <c r="F767" s="15">
        <v>14119.6</v>
      </c>
      <c r="G767" s="25">
        <f t="shared" si="47"/>
        <v>-2.4867889337891677E-3</v>
      </c>
      <c r="I767" s="16">
        <v>44712</v>
      </c>
      <c r="J767" s="17">
        <v>4.9100000000000005E-2</v>
      </c>
      <c r="K767" s="25">
        <f t="shared" si="44"/>
        <v>1.3133096221151774E-4</v>
      </c>
      <c r="M767" s="16">
        <v>44712</v>
      </c>
      <c r="N767" s="26">
        <f t="shared" si="45"/>
        <v>-2.6181198960006855E-3</v>
      </c>
      <c r="O767" s="26">
        <f>'Part 2 - CAPM 2.1, 2.2 and 2.3'!C767-'Part 2 - CAPM 2.1, 2.2 and 2.3'!K767</f>
        <v>4.9851313952748486E-2</v>
      </c>
    </row>
    <row r="768" spans="1:15" x14ac:dyDescent="0.4">
      <c r="A768" s="16">
        <v>44713</v>
      </c>
      <c r="B768" s="14">
        <v>149.75</v>
      </c>
      <c r="C768" s="25">
        <f t="shared" si="46"/>
        <v>-9.9173553719008271E-3</v>
      </c>
      <c r="E768" s="16">
        <v>44713</v>
      </c>
      <c r="F768" s="15">
        <v>14082.9</v>
      </c>
      <c r="G768" s="25">
        <f t="shared" si="47"/>
        <v>-2.5992237740446421E-3</v>
      </c>
      <c r="I768" s="16">
        <v>44713</v>
      </c>
      <c r="J768" s="17">
        <v>4.9299999999999997E-2</v>
      </c>
      <c r="K768" s="25">
        <f t="shared" si="44"/>
        <v>1.318532814189588E-4</v>
      </c>
      <c r="M768" s="16">
        <v>44713</v>
      </c>
      <c r="N768" s="26">
        <f t="shared" si="45"/>
        <v>-2.7310770554636009E-3</v>
      </c>
      <c r="O768" s="26">
        <f>'Part 2 - CAPM 2.1, 2.2 and 2.3'!C768-'Part 2 - CAPM 2.1, 2.2 and 2.3'!K768</f>
        <v>-1.0049208653319786E-2</v>
      </c>
    </row>
    <row r="769" spans="1:15" x14ac:dyDescent="0.4">
      <c r="A769" s="16">
        <v>44714</v>
      </c>
      <c r="B769" s="14">
        <v>152.44999999999999</v>
      </c>
      <c r="C769" s="25">
        <f t="shared" si="46"/>
        <v>1.8030050083472377E-2</v>
      </c>
      <c r="E769" s="16">
        <v>44714</v>
      </c>
      <c r="F769" s="15">
        <v>14167.95</v>
      </c>
      <c r="G769" s="25">
        <f t="shared" si="47"/>
        <v>6.0392390771787834E-3</v>
      </c>
      <c r="I769" s="16">
        <v>44714</v>
      </c>
      <c r="J769" s="17">
        <v>4.9699999999999994E-2</v>
      </c>
      <c r="K769" s="25">
        <f t="shared" si="44"/>
        <v>1.3289762205070943E-4</v>
      </c>
      <c r="M769" s="16">
        <v>44714</v>
      </c>
      <c r="N769" s="26">
        <f t="shared" si="45"/>
        <v>5.906341455128074E-3</v>
      </c>
      <c r="O769" s="26">
        <f>'Part 2 - CAPM 2.1, 2.2 and 2.3'!C769-'Part 2 - CAPM 2.1, 2.2 and 2.3'!K769</f>
        <v>1.7897152461421668E-2</v>
      </c>
    </row>
    <row r="770" spans="1:15" x14ac:dyDescent="0.4">
      <c r="A770" s="16">
        <v>44715</v>
      </c>
      <c r="B770" s="14">
        <v>151.6</v>
      </c>
      <c r="C770" s="25">
        <f t="shared" si="46"/>
        <v>-5.5755985569038661E-3</v>
      </c>
      <c r="E770" s="16">
        <v>44715</v>
      </c>
      <c r="F770" s="15">
        <v>14077.9</v>
      </c>
      <c r="G770" s="25">
        <f t="shared" si="47"/>
        <v>-6.3558948189400078E-3</v>
      </c>
      <c r="I770" s="16">
        <v>44715</v>
      </c>
      <c r="J770" s="17">
        <v>4.9800000000000004E-2</v>
      </c>
      <c r="K770" s="25">
        <f t="shared" si="44"/>
        <v>1.3315864519825027E-4</v>
      </c>
      <c r="M770" s="16">
        <v>44715</v>
      </c>
      <c r="N770" s="26">
        <f t="shared" si="45"/>
        <v>-6.489053464138258E-3</v>
      </c>
      <c r="O770" s="26">
        <f>'Part 2 - CAPM 2.1, 2.2 and 2.3'!C770-'Part 2 - CAPM 2.1, 2.2 and 2.3'!K770</f>
        <v>-5.7087572021021164E-3</v>
      </c>
    </row>
    <row r="771" spans="1:15" x14ac:dyDescent="0.4">
      <c r="A771" s="16">
        <v>44718</v>
      </c>
      <c r="B771" s="14">
        <v>153.94999999999999</v>
      </c>
      <c r="C771" s="25">
        <f t="shared" si="46"/>
        <v>1.5501319261213684E-2</v>
      </c>
      <c r="E771" s="16">
        <v>44718</v>
      </c>
      <c r="F771" s="15">
        <v>14054.1</v>
      </c>
      <c r="G771" s="25">
        <f t="shared" si="47"/>
        <v>-1.6905930572030823E-3</v>
      </c>
      <c r="I771" s="16">
        <v>44718</v>
      </c>
      <c r="J771" s="17">
        <v>4.9800000000000004E-2</v>
      </c>
      <c r="K771" s="25">
        <f t="shared" si="44"/>
        <v>1.3315864519825027E-4</v>
      </c>
      <c r="M771" s="16">
        <v>44718</v>
      </c>
      <c r="N771" s="26">
        <f t="shared" si="45"/>
        <v>-1.8237517024013326E-3</v>
      </c>
      <c r="O771" s="26">
        <f>'Part 2 - CAPM 2.1, 2.2 and 2.3'!C771-'Part 2 - CAPM 2.1, 2.2 and 2.3'!K771</f>
        <v>1.5368160616015434E-2</v>
      </c>
    </row>
    <row r="772" spans="1:15" x14ac:dyDescent="0.4">
      <c r="A772" s="16">
        <v>44719</v>
      </c>
      <c r="B772" s="14">
        <v>161.85</v>
      </c>
      <c r="C772" s="25">
        <f t="shared" si="46"/>
        <v>5.1315362130561912E-2</v>
      </c>
      <c r="E772" s="16">
        <v>44719</v>
      </c>
      <c r="F772" s="15">
        <v>13935.6</v>
      </c>
      <c r="G772" s="25">
        <f t="shared" si="47"/>
        <v>-8.4317032040472171E-3</v>
      </c>
      <c r="I772" s="16">
        <v>44719</v>
      </c>
      <c r="J772" s="17">
        <v>5.0199999999999995E-2</v>
      </c>
      <c r="K772" s="25">
        <f t="shared" ref="K772:K835" si="48">((1+J772)^(1/365))-1</f>
        <v>1.3420248988715855E-4</v>
      </c>
      <c r="M772" s="16">
        <v>44719</v>
      </c>
      <c r="N772" s="26">
        <f t="shared" ref="N772:N835" si="49">G772-K772</f>
        <v>-8.5659056939343756E-3</v>
      </c>
      <c r="O772" s="26">
        <f>'Part 2 - CAPM 2.1, 2.2 and 2.3'!C772-'Part 2 - CAPM 2.1, 2.2 and 2.3'!K772</f>
        <v>5.1181159640674753E-2</v>
      </c>
    </row>
    <row r="773" spans="1:15" x14ac:dyDescent="0.4">
      <c r="A773" s="16">
        <v>44720</v>
      </c>
      <c r="B773" s="14">
        <v>163.4</v>
      </c>
      <c r="C773" s="25">
        <f t="shared" ref="C773:C836" si="50">(B773-B772)/B772</f>
        <v>9.5767686129132612E-3</v>
      </c>
      <c r="E773" s="16">
        <v>44720</v>
      </c>
      <c r="F773" s="15">
        <v>13886.9</v>
      </c>
      <c r="G773" s="25">
        <f t="shared" ref="G773:G836" si="51">(F773-F772)/F772</f>
        <v>-3.494646803869279E-3</v>
      </c>
      <c r="I773" s="16">
        <v>44720</v>
      </c>
      <c r="J773" s="17">
        <v>4.9699999999999994E-2</v>
      </c>
      <c r="K773" s="25">
        <f t="shared" si="48"/>
        <v>1.3289762205070943E-4</v>
      </c>
      <c r="M773" s="16">
        <v>44720</v>
      </c>
      <c r="N773" s="26">
        <f t="shared" si="49"/>
        <v>-3.6275444259199884E-3</v>
      </c>
      <c r="O773" s="26">
        <f>'Part 2 - CAPM 2.1, 2.2 and 2.3'!C773-'Part 2 - CAPM 2.1, 2.2 and 2.3'!K773</f>
        <v>9.4438709908625518E-3</v>
      </c>
    </row>
    <row r="774" spans="1:15" x14ac:dyDescent="0.4">
      <c r="A774" s="16">
        <v>44721</v>
      </c>
      <c r="B774" s="14">
        <v>165.55</v>
      </c>
      <c r="C774" s="25">
        <f t="shared" si="50"/>
        <v>1.3157894736842139E-2</v>
      </c>
      <c r="E774" s="16">
        <v>44721</v>
      </c>
      <c r="F774" s="15">
        <v>13977.1</v>
      </c>
      <c r="G774" s="25">
        <f t="shared" si="51"/>
        <v>6.4953301312748509E-3</v>
      </c>
      <c r="I774" s="16">
        <v>44721</v>
      </c>
      <c r="J774" s="17">
        <v>5.0099999999999999E-2</v>
      </c>
      <c r="K774" s="25">
        <f t="shared" si="48"/>
        <v>1.3394156589074946E-4</v>
      </c>
      <c r="M774" s="16">
        <v>44721</v>
      </c>
      <c r="N774" s="26">
        <f t="shared" si="49"/>
        <v>6.3613885653841015E-3</v>
      </c>
      <c r="O774" s="26">
        <f>'Part 2 - CAPM 2.1, 2.2 and 2.3'!C774-'Part 2 - CAPM 2.1, 2.2 and 2.3'!K774</f>
        <v>1.302395317095139E-2</v>
      </c>
    </row>
    <row r="775" spans="1:15" x14ac:dyDescent="0.4">
      <c r="A775" s="16">
        <v>44722</v>
      </c>
      <c r="B775" s="14">
        <v>164.65</v>
      </c>
      <c r="C775" s="25">
        <f t="shared" si="50"/>
        <v>-5.4364240410752374E-3</v>
      </c>
      <c r="E775" s="16">
        <v>44722</v>
      </c>
      <c r="F775" s="15">
        <v>13781.75</v>
      </c>
      <c r="G775" s="25">
        <f t="shared" si="51"/>
        <v>-1.3976432879495772E-2</v>
      </c>
      <c r="I775" s="16">
        <v>44722</v>
      </c>
      <c r="J775" s="17">
        <v>0.05</v>
      </c>
      <c r="K775" s="25">
        <f t="shared" si="48"/>
        <v>1.3368061711349633E-4</v>
      </c>
      <c r="M775" s="16">
        <v>44722</v>
      </c>
      <c r="N775" s="26">
        <f t="shared" si="49"/>
        <v>-1.4110113496609268E-2</v>
      </c>
      <c r="O775" s="26">
        <f>'Part 2 - CAPM 2.1, 2.2 and 2.3'!C775-'Part 2 - CAPM 2.1, 2.2 and 2.3'!K775</f>
        <v>-5.5701046581887338E-3</v>
      </c>
    </row>
    <row r="776" spans="1:15" x14ac:dyDescent="0.4">
      <c r="A776" s="16">
        <v>44725</v>
      </c>
      <c r="B776" s="14">
        <v>159.55000000000001</v>
      </c>
      <c r="C776" s="25">
        <f t="shared" si="50"/>
        <v>-3.0974795019738804E-2</v>
      </c>
      <c r="E776" s="16">
        <v>44725</v>
      </c>
      <c r="F776" s="15">
        <v>13416.9</v>
      </c>
      <c r="G776" s="25">
        <f t="shared" si="51"/>
        <v>-2.6473415930487808E-2</v>
      </c>
      <c r="I776" s="16">
        <v>44725</v>
      </c>
      <c r="J776" s="17">
        <v>4.99E-2</v>
      </c>
      <c r="K776" s="25">
        <f t="shared" si="48"/>
        <v>1.3341964355095826E-4</v>
      </c>
      <c r="M776" s="16">
        <v>44725</v>
      </c>
      <c r="N776" s="26">
        <f t="shared" si="49"/>
        <v>-2.6606835574038767E-2</v>
      </c>
      <c r="O776" s="26">
        <f>'Part 2 - CAPM 2.1, 2.2 and 2.3'!C776-'Part 2 - CAPM 2.1, 2.2 and 2.3'!K776</f>
        <v>-3.1108214663289762E-2</v>
      </c>
    </row>
    <row r="777" spans="1:15" x14ac:dyDescent="0.4">
      <c r="A777" s="16">
        <v>44726</v>
      </c>
      <c r="B777" s="14">
        <v>155.94999999999999</v>
      </c>
      <c r="C777" s="25">
        <f t="shared" si="50"/>
        <v>-2.256345973049215E-2</v>
      </c>
      <c r="E777" s="16">
        <v>44726</v>
      </c>
      <c r="F777" s="15">
        <v>13388.3</v>
      </c>
      <c r="G777" s="25">
        <f t="shared" si="51"/>
        <v>-2.1316399466344955E-3</v>
      </c>
      <c r="I777" s="16">
        <v>44726</v>
      </c>
      <c r="J777" s="17">
        <v>4.9800000000000004E-2</v>
      </c>
      <c r="K777" s="25">
        <f t="shared" si="48"/>
        <v>1.3315864519825027E-4</v>
      </c>
      <c r="M777" s="16">
        <v>44726</v>
      </c>
      <c r="N777" s="26">
        <f t="shared" si="49"/>
        <v>-2.2647985918327457E-3</v>
      </c>
      <c r="O777" s="26">
        <f>'Part 2 - CAPM 2.1, 2.2 and 2.3'!C777-'Part 2 - CAPM 2.1, 2.2 and 2.3'!K777</f>
        <v>-2.2696618375690401E-2</v>
      </c>
    </row>
    <row r="778" spans="1:15" x14ac:dyDescent="0.4">
      <c r="A778" s="16">
        <v>44727</v>
      </c>
      <c r="B778" s="14">
        <v>151.4</v>
      </c>
      <c r="C778" s="25">
        <f t="shared" si="50"/>
        <v>-2.9176017954472479E-2</v>
      </c>
      <c r="E778" s="16">
        <v>44727</v>
      </c>
      <c r="F778" s="15">
        <v>13380.85</v>
      </c>
      <c r="G778" s="25">
        <f t="shared" si="51"/>
        <v>-5.5645601009828797E-4</v>
      </c>
      <c r="I778" s="16">
        <v>44727</v>
      </c>
      <c r="J778" s="17">
        <v>5.04E-2</v>
      </c>
      <c r="K778" s="25">
        <f t="shared" si="48"/>
        <v>1.3472426355742861E-4</v>
      </c>
      <c r="M778" s="16">
        <v>44727</v>
      </c>
      <c r="N778" s="26">
        <f t="shared" si="49"/>
        <v>-6.9118027365571658E-4</v>
      </c>
      <c r="O778" s="26">
        <f>'Part 2 - CAPM 2.1, 2.2 and 2.3'!C778-'Part 2 - CAPM 2.1, 2.2 and 2.3'!K778</f>
        <v>-2.9310742218029907E-2</v>
      </c>
    </row>
    <row r="779" spans="1:15" x14ac:dyDescent="0.4">
      <c r="A779" s="16">
        <v>44728</v>
      </c>
      <c r="B779" s="14">
        <v>143.55000000000001</v>
      </c>
      <c r="C779" s="25">
        <f t="shared" si="50"/>
        <v>-5.1849405548216605E-2</v>
      </c>
      <c r="E779" s="16">
        <v>44728</v>
      </c>
      <c r="F779" s="15">
        <v>13089.2</v>
      </c>
      <c r="G779" s="25">
        <f t="shared" si="51"/>
        <v>-2.1796074240425654E-2</v>
      </c>
      <c r="I779" s="16">
        <v>44728</v>
      </c>
      <c r="J779" s="17">
        <v>5.0700000000000002E-2</v>
      </c>
      <c r="K779" s="25">
        <f t="shared" si="48"/>
        <v>1.3550673832551929E-4</v>
      </c>
      <c r="M779" s="16">
        <v>44728</v>
      </c>
      <c r="N779" s="26">
        <f t="shared" si="49"/>
        <v>-2.1931580978751173E-2</v>
      </c>
      <c r="O779" s="26">
        <f>'Part 2 - CAPM 2.1, 2.2 and 2.3'!C779-'Part 2 - CAPM 2.1, 2.2 and 2.3'!K779</f>
        <v>-5.1984912286542125E-2</v>
      </c>
    </row>
    <row r="780" spans="1:15" x14ac:dyDescent="0.4">
      <c r="A780" s="16">
        <v>44729</v>
      </c>
      <c r="B780" s="14">
        <v>141.44999999999999</v>
      </c>
      <c r="C780" s="25">
        <f t="shared" si="50"/>
        <v>-1.4629049111807889E-2</v>
      </c>
      <c r="E780" s="16">
        <v>44729</v>
      </c>
      <c r="F780" s="15">
        <v>12994.75</v>
      </c>
      <c r="G780" s="25">
        <f t="shared" si="51"/>
        <v>-7.2158726278153534E-3</v>
      </c>
      <c r="I780" s="16">
        <v>44729</v>
      </c>
      <c r="J780" s="17">
        <v>5.1200000000000002E-2</v>
      </c>
      <c r="K780" s="25">
        <f t="shared" si="48"/>
        <v>1.3681036795398782E-4</v>
      </c>
      <c r="M780" s="16">
        <v>44729</v>
      </c>
      <c r="N780" s="26">
        <f t="shared" si="49"/>
        <v>-7.3526829957693413E-3</v>
      </c>
      <c r="O780" s="26">
        <f>'Part 2 - CAPM 2.1, 2.2 and 2.3'!C780-'Part 2 - CAPM 2.1, 2.2 and 2.3'!K780</f>
        <v>-1.4765859479761877E-2</v>
      </c>
    </row>
    <row r="781" spans="1:15" x14ac:dyDescent="0.4">
      <c r="A781" s="16">
        <v>44732</v>
      </c>
      <c r="B781" s="14">
        <v>134.4</v>
      </c>
      <c r="C781" s="25">
        <f t="shared" si="50"/>
        <v>-4.9840933191940495E-2</v>
      </c>
      <c r="E781" s="16">
        <v>44732</v>
      </c>
      <c r="F781" s="15">
        <v>12950.75</v>
      </c>
      <c r="G781" s="25">
        <f t="shared" si="51"/>
        <v>-3.3859828007464553E-3</v>
      </c>
      <c r="I781" s="16">
        <v>44732</v>
      </c>
      <c r="J781" s="17">
        <v>5.0700000000000002E-2</v>
      </c>
      <c r="K781" s="25">
        <f t="shared" si="48"/>
        <v>1.3550673832551929E-4</v>
      </c>
      <c r="M781" s="16">
        <v>44732</v>
      </c>
      <c r="N781" s="26">
        <f t="shared" si="49"/>
        <v>-3.5214895390719746E-3</v>
      </c>
      <c r="O781" s="26">
        <f>'Part 2 - CAPM 2.1, 2.2 and 2.3'!C781-'Part 2 - CAPM 2.1, 2.2 and 2.3'!K781</f>
        <v>-4.9976439930266014E-2</v>
      </c>
    </row>
    <row r="782" spans="1:15" x14ac:dyDescent="0.4">
      <c r="A782" s="16">
        <v>44733</v>
      </c>
      <c r="B782" s="14">
        <v>139.1</v>
      </c>
      <c r="C782" s="25">
        <f t="shared" si="50"/>
        <v>3.4970238095238013E-2</v>
      </c>
      <c r="E782" s="16">
        <v>44733</v>
      </c>
      <c r="F782" s="15">
        <v>13241.9</v>
      </c>
      <c r="G782" s="25">
        <f t="shared" si="51"/>
        <v>2.2481323475474366E-2</v>
      </c>
      <c r="I782" s="16">
        <v>44733</v>
      </c>
      <c r="J782" s="17">
        <v>5.0499999999999996E-2</v>
      </c>
      <c r="K782" s="25">
        <f t="shared" si="48"/>
        <v>1.3498511324017137E-4</v>
      </c>
      <c r="M782" s="16">
        <v>44733</v>
      </c>
      <c r="N782" s="26">
        <f t="shared" si="49"/>
        <v>2.2346338362234194E-2</v>
      </c>
      <c r="O782" s="26">
        <f>'Part 2 - CAPM 2.1, 2.2 and 2.3'!C782-'Part 2 - CAPM 2.1, 2.2 and 2.3'!K782</f>
        <v>3.4835252981997841E-2</v>
      </c>
    </row>
    <row r="783" spans="1:15" x14ac:dyDescent="0.4">
      <c r="A783" s="16">
        <v>44734</v>
      </c>
      <c r="B783" s="14">
        <v>134.85</v>
      </c>
      <c r="C783" s="25">
        <f t="shared" si="50"/>
        <v>-3.0553558590941769E-2</v>
      </c>
      <c r="E783" s="16">
        <v>44734</v>
      </c>
      <c r="F783" s="15">
        <v>13047.75</v>
      </c>
      <c r="G783" s="25">
        <f t="shared" si="51"/>
        <v>-1.4661793247192596E-2</v>
      </c>
      <c r="I783" s="16">
        <v>44734</v>
      </c>
      <c r="J783" s="17">
        <v>5.0700000000000002E-2</v>
      </c>
      <c r="K783" s="25">
        <f t="shared" si="48"/>
        <v>1.3550673832551929E-4</v>
      </c>
      <c r="M783" s="16">
        <v>44734</v>
      </c>
      <c r="N783" s="26">
        <f t="shared" si="49"/>
        <v>-1.4797299985518115E-2</v>
      </c>
      <c r="O783" s="26">
        <f>'Part 2 - CAPM 2.1, 2.2 and 2.3'!C783-'Part 2 - CAPM 2.1, 2.2 and 2.3'!K783</f>
        <v>-3.0689065329267289E-2</v>
      </c>
    </row>
    <row r="784" spans="1:15" x14ac:dyDescent="0.4">
      <c r="A784" s="16">
        <v>44735</v>
      </c>
      <c r="B784" s="14">
        <v>134.80000000000001</v>
      </c>
      <c r="C784" s="25">
        <f t="shared" si="50"/>
        <v>-3.7078235075997738E-4</v>
      </c>
      <c r="E784" s="16">
        <v>44735</v>
      </c>
      <c r="F784" s="15">
        <v>13178.8</v>
      </c>
      <c r="G784" s="25">
        <f t="shared" si="51"/>
        <v>1.0043877296851892E-2</v>
      </c>
      <c r="I784" s="16">
        <v>44735</v>
      </c>
      <c r="J784" s="17">
        <v>5.1100000000000007E-2</v>
      </c>
      <c r="K784" s="25">
        <f t="shared" si="48"/>
        <v>1.3654969150489471E-4</v>
      </c>
      <c r="M784" s="16">
        <v>44735</v>
      </c>
      <c r="N784" s="26">
        <f t="shared" si="49"/>
        <v>9.907327605346997E-3</v>
      </c>
      <c r="O784" s="26">
        <f>'Part 2 - CAPM 2.1, 2.2 and 2.3'!C784-'Part 2 - CAPM 2.1, 2.2 and 2.3'!K784</f>
        <v>-5.0733204226487204E-4</v>
      </c>
    </row>
    <row r="785" spans="1:15" x14ac:dyDescent="0.4">
      <c r="A785" s="16">
        <v>44736</v>
      </c>
      <c r="B785" s="14">
        <v>137.35</v>
      </c>
      <c r="C785" s="25">
        <f t="shared" si="50"/>
        <v>1.891691394658741E-2</v>
      </c>
      <c r="E785" s="16">
        <v>44736</v>
      </c>
      <c r="F785" s="15">
        <v>13322.5</v>
      </c>
      <c r="G785" s="25">
        <f t="shared" si="51"/>
        <v>1.0903875921935285E-2</v>
      </c>
      <c r="I785" s="16">
        <v>44736</v>
      </c>
      <c r="J785" s="17">
        <v>5.1100000000000007E-2</v>
      </c>
      <c r="K785" s="25">
        <f t="shared" si="48"/>
        <v>1.3654969150489471E-4</v>
      </c>
      <c r="M785" s="16">
        <v>44736</v>
      </c>
      <c r="N785" s="26">
        <f t="shared" si="49"/>
        <v>1.0767326230430391E-2</v>
      </c>
      <c r="O785" s="26">
        <f>'Part 2 - CAPM 2.1, 2.2 and 2.3'!C785-'Part 2 - CAPM 2.1, 2.2 and 2.3'!K785</f>
        <v>1.8780364255082515E-2</v>
      </c>
    </row>
    <row r="786" spans="1:15" x14ac:dyDescent="0.4">
      <c r="A786" s="16">
        <v>44739</v>
      </c>
      <c r="B786" s="14">
        <v>141.5</v>
      </c>
      <c r="C786" s="25">
        <f t="shared" si="50"/>
        <v>3.021477975973794E-2</v>
      </c>
      <c r="E786" s="16">
        <v>44739</v>
      </c>
      <c r="F786" s="15">
        <v>13444.55</v>
      </c>
      <c r="G786" s="25">
        <f t="shared" si="51"/>
        <v>9.1611934696940716E-3</v>
      </c>
      <c r="I786" s="16">
        <v>44739</v>
      </c>
      <c r="J786" s="17">
        <v>5.0799999999999998E-2</v>
      </c>
      <c r="K786" s="25">
        <f t="shared" si="48"/>
        <v>1.3576751373700624E-4</v>
      </c>
      <c r="M786" s="16">
        <v>44739</v>
      </c>
      <c r="N786" s="26">
        <f t="shared" si="49"/>
        <v>9.0254259559570654E-3</v>
      </c>
      <c r="O786" s="26">
        <f>'Part 2 - CAPM 2.1, 2.2 and 2.3'!C786-'Part 2 - CAPM 2.1, 2.2 and 2.3'!K786</f>
        <v>3.0079012246000934E-2</v>
      </c>
    </row>
    <row r="787" spans="1:15" x14ac:dyDescent="0.4">
      <c r="A787" s="16">
        <v>44740</v>
      </c>
      <c r="B787" s="14">
        <v>149.35</v>
      </c>
      <c r="C787" s="25">
        <f t="shared" si="50"/>
        <v>5.5477031802120103E-2</v>
      </c>
      <c r="E787" s="16">
        <v>44740</v>
      </c>
      <c r="F787" s="15">
        <v>13464.25</v>
      </c>
      <c r="G787" s="25">
        <f t="shared" si="51"/>
        <v>1.4652777519515885E-3</v>
      </c>
      <c r="I787" s="16">
        <v>44740</v>
      </c>
      <c r="J787" s="17">
        <v>5.0999999999999997E-2</v>
      </c>
      <c r="K787" s="25">
        <f t="shared" si="48"/>
        <v>1.3628899032203101E-4</v>
      </c>
      <c r="M787" s="16">
        <v>44740</v>
      </c>
      <c r="N787" s="26">
        <f t="shared" si="49"/>
        <v>1.3289887616295575E-3</v>
      </c>
      <c r="O787" s="26">
        <f>'Part 2 - CAPM 2.1, 2.2 and 2.3'!C787-'Part 2 - CAPM 2.1, 2.2 and 2.3'!K787</f>
        <v>5.5340742811798072E-2</v>
      </c>
    </row>
    <row r="788" spans="1:15" x14ac:dyDescent="0.4">
      <c r="A788" s="16">
        <v>44741</v>
      </c>
      <c r="B788" s="14">
        <v>154.15</v>
      </c>
      <c r="C788" s="25">
        <f t="shared" si="50"/>
        <v>3.2139270170739948E-2</v>
      </c>
      <c r="E788" s="16">
        <v>44741</v>
      </c>
      <c r="F788" s="15">
        <v>13417.85</v>
      </c>
      <c r="G788" s="25">
        <f t="shared" si="51"/>
        <v>-3.4461629871697002E-3</v>
      </c>
      <c r="I788" s="16">
        <v>44741</v>
      </c>
      <c r="J788" s="17">
        <v>5.1299999999999998E-2</v>
      </c>
      <c r="K788" s="25">
        <f t="shared" si="48"/>
        <v>1.3707101967419533E-4</v>
      </c>
      <c r="M788" s="16">
        <v>44741</v>
      </c>
      <c r="N788" s="26">
        <f t="shared" si="49"/>
        <v>-3.5832340068438955E-3</v>
      </c>
      <c r="O788" s="26">
        <f>'Part 2 - CAPM 2.1, 2.2 and 2.3'!C788-'Part 2 - CAPM 2.1, 2.2 and 2.3'!K788</f>
        <v>3.2002199151065752E-2</v>
      </c>
    </row>
    <row r="789" spans="1:15" x14ac:dyDescent="0.4">
      <c r="A789" s="16">
        <v>44742</v>
      </c>
      <c r="B789" s="14">
        <v>151.55000000000001</v>
      </c>
      <c r="C789" s="25">
        <f t="shared" si="50"/>
        <v>-1.6866688290625976E-2</v>
      </c>
      <c r="E789" s="16">
        <v>44742</v>
      </c>
      <c r="F789" s="15">
        <v>13387.55</v>
      </c>
      <c r="G789" s="25">
        <f t="shared" si="51"/>
        <v>-2.2581859239744883E-3</v>
      </c>
      <c r="I789" s="16">
        <v>44742</v>
      </c>
      <c r="J789" s="17">
        <v>5.1399999999999994E-2</v>
      </c>
      <c r="K789" s="25">
        <f t="shared" si="48"/>
        <v>1.3733164667040221E-4</v>
      </c>
      <c r="M789" s="16">
        <v>44742</v>
      </c>
      <c r="N789" s="26">
        <f t="shared" si="49"/>
        <v>-2.3955175706448905E-3</v>
      </c>
      <c r="O789" s="26">
        <f>'Part 2 - CAPM 2.1, 2.2 and 2.3'!C789-'Part 2 - CAPM 2.1, 2.2 and 2.3'!K789</f>
        <v>-1.7004019937296378E-2</v>
      </c>
    </row>
    <row r="790" spans="1:15" x14ac:dyDescent="0.4">
      <c r="A790" s="16">
        <v>44743</v>
      </c>
      <c r="B790" s="14">
        <v>131.05000000000001</v>
      </c>
      <c r="C790" s="25">
        <f t="shared" si="50"/>
        <v>-0.13526888815572416</v>
      </c>
      <c r="E790" s="16">
        <v>44743</v>
      </c>
      <c r="F790" s="15">
        <v>13394.45</v>
      </c>
      <c r="G790" s="25">
        <f t="shared" si="51"/>
        <v>5.1540423751929635E-4</v>
      </c>
      <c r="I790" s="16">
        <v>44743</v>
      </c>
      <c r="J790" s="17">
        <v>5.1299999999999998E-2</v>
      </c>
      <c r="K790" s="25">
        <f t="shared" si="48"/>
        <v>1.3707101967419533E-4</v>
      </c>
      <c r="M790" s="16">
        <v>44743</v>
      </c>
      <c r="N790" s="26">
        <f t="shared" si="49"/>
        <v>3.7833321784510102E-4</v>
      </c>
      <c r="O790" s="26">
        <f>'Part 2 - CAPM 2.1, 2.2 and 2.3'!C790-'Part 2 - CAPM 2.1, 2.2 and 2.3'!K790</f>
        <v>-0.13540595917539835</v>
      </c>
    </row>
    <row r="791" spans="1:15" x14ac:dyDescent="0.4">
      <c r="A791" s="16">
        <v>44746</v>
      </c>
      <c r="B791" s="14">
        <v>126</v>
      </c>
      <c r="C791" s="25">
        <f t="shared" si="50"/>
        <v>-3.8534910339565132E-2</v>
      </c>
      <c r="E791" s="16">
        <v>44746</v>
      </c>
      <c r="F791" s="15">
        <v>13472.65</v>
      </c>
      <c r="G791" s="25">
        <f t="shared" si="51"/>
        <v>5.8382389721115015E-3</v>
      </c>
      <c r="I791" s="16">
        <v>44746</v>
      </c>
      <c r="J791" s="17">
        <v>5.1100000000000007E-2</v>
      </c>
      <c r="K791" s="25">
        <f t="shared" si="48"/>
        <v>1.3654969150489471E-4</v>
      </c>
      <c r="M791" s="16">
        <v>44746</v>
      </c>
      <c r="N791" s="26">
        <f t="shared" si="49"/>
        <v>5.7016892806066068E-3</v>
      </c>
      <c r="O791" s="26">
        <f>'Part 2 - CAPM 2.1, 2.2 and 2.3'!C791-'Part 2 - CAPM 2.1, 2.2 and 2.3'!K791</f>
        <v>-3.8671460031070026E-2</v>
      </c>
    </row>
    <row r="792" spans="1:15" x14ac:dyDescent="0.4">
      <c r="A792" s="16">
        <v>44747</v>
      </c>
      <c r="B792" s="14">
        <v>127.4</v>
      </c>
      <c r="C792" s="25">
        <f t="shared" si="50"/>
        <v>1.1111111111111157E-2</v>
      </c>
      <c r="E792" s="16">
        <v>44747</v>
      </c>
      <c r="F792" s="15">
        <v>13461.85</v>
      </c>
      <c r="G792" s="25">
        <f t="shared" si="51"/>
        <v>-8.0162403090700593E-4</v>
      </c>
      <c r="I792" s="16">
        <v>44747</v>
      </c>
      <c r="J792" s="17">
        <v>5.1200000000000002E-2</v>
      </c>
      <c r="K792" s="25">
        <f t="shared" si="48"/>
        <v>1.3681036795398782E-4</v>
      </c>
      <c r="M792" s="16">
        <v>44747</v>
      </c>
      <c r="N792" s="26">
        <f t="shared" si="49"/>
        <v>-9.3843439886099375E-4</v>
      </c>
      <c r="O792" s="26">
        <f>'Part 2 - CAPM 2.1, 2.2 and 2.3'!C792-'Part 2 - CAPM 2.1, 2.2 and 2.3'!K792</f>
        <v>1.0974300743157169E-2</v>
      </c>
    </row>
    <row r="793" spans="1:15" x14ac:dyDescent="0.4">
      <c r="A793" s="16">
        <v>44748</v>
      </c>
      <c r="B793" s="14">
        <v>120.95</v>
      </c>
      <c r="C793" s="25">
        <f t="shared" si="50"/>
        <v>-5.0627943485086362E-2</v>
      </c>
      <c r="E793" s="16">
        <v>44748</v>
      </c>
      <c r="F793" s="15">
        <v>13631.3</v>
      </c>
      <c r="G793" s="25">
        <f t="shared" si="51"/>
        <v>1.2587422976782456E-2</v>
      </c>
      <c r="I793" s="16">
        <v>44748</v>
      </c>
      <c r="J793" s="17">
        <v>5.0900000000000001E-2</v>
      </c>
      <c r="K793" s="25">
        <f t="shared" si="48"/>
        <v>1.3602826440117788E-4</v>
      </c>
      <c r="M793" s="16">
        <v>44748</v>
      </c>
      <c r="N793" s="26">
        <f t="shared" si="49"/>
        <v>1.2451394712381278E-2</v>
      </c>
      <c r="O793" s="26">
        <f>'Part 2 - CAPM 2.1, 2.2 and 2.3'!C793-'Part 2 - CAPM 2.1, 2.2 and 2.3'!K793</f>
        <v>-5.0763971749487539E-2</v>
      </c>
    </row>
    <row r="794" spans="1:15" x14ac:dyDescent="0.4">
      <c r="A794" s="16">
        <v>44749</v>
      </c>
      <c r="B794" s="14">
        <v>123.5</v>
      </c>
      <c r="C794" s="25">
        <f t="shared" si="50"/>
        <v>2.1083092186854047E-2</v>
      </c>
      <c r="E794" s="16">
        <v>44749</v>
      </c>
      <c r="F794" s="15">
        <v>13765.6</v>
      </c>
      <c r="G794" s="25">
        <f t="shared" si="51"/>
        <v>9.8523251634107609E-3</v>
      </c>
      <c r="I794" s="16">
        <v>44749</v>
      </c>
      <c r="J794" s="17">
        <v>5.16E-2</v>
      </c>
      <c r="K794" s="25">
        <f t="shared" si="48"/>
        <v>1.3785282650879971E-4</v>
      </c>
      <c r="M794" s="16">
        <v>44749</v>
      </c>
      <c r="N794" s="26">
        <f t="shared" si="49"/>
        <v>9.7144723369019612E-3</v>
      </c>
      <c r="O794" s="26">
        <f>'Part 2 - CAPM 2.1, 2.2 and 2.3'!C794-'Part 2 - CAPM 2.1, 2.2 and 2.3'!K794</f>
        <v>2.0945239360345248E-2</v>
      </c>
    </row>
    <row r="795" spans="1:15" x14ac:dyDescent="0.4">
      <c r="A795" s="16">
        <v>44750</v>
      </c>
      <c r="B795" s="14">
        <v>121.5</v>
      </c>
      <c r="C795" s="25">
        <f t="shared" si="50"/>
        <v>-1.6194331983805668E-2</v>
      </c>
      <c r="E795" s="16">
        <v>44750</v>
      </c>
      <c r="F795" s="15">
        <v>13828.25</v>
      </c>
      <c r="G795" s="25">
        <f t="shared" si="51"/>
        <v>4.5512000929853868E-3</v>
      </c>
      <c r="I795" s="16">
        <v>44750</v>
      </c>
      <c r="J795" s="17">
        <v>5.1699999999999996E-2</v>
      </c>
      <c r="K795" s="25">
        <f t="shared" si="48"/>
        <v>1.3811337936053825E-4</v>
      </c>
      <c r="M795" s="16">
        <v>44750</v>
      </c>
      <c r="N795" s="26">
        <f t="shared" si="49"/>
        <v>4.4130867136248485E-3</v>
      </c>
      <c r="O795" s="26">
        <f>'Part 2 - CAPM 2.1, 2.2 and 2.3'!C795-'Part 2 - CAPM 2.1, 2.2 and 2.3'!K795</f>
        <v>-1.6332445363166206E-2</v>
      </c>
    </row>
    <row r="796" spans="1:15" x14ac:dyDescent="0.4">
      <c r="A796" s="16">
        <v>44753</v>
      </c>
      <c r="B796" s="14">
        <v>125.5</v>
      </c>
      <c r="C796" s="25">
        <f t="shared" si="50"/>
        <v>3.292181069958848E-2</v>
      </c>
      <c r="E796" s="16">
        <v>44753</v>
      </c>
      <c r="F796" s="15">
        <v>13886.85</v>
      </c>
      <c r="G796" s="25">
        <f t="shared" si="51"/>
        <v>4.2377018060853954E-3</v>
      </c>
      <c r="I796" s="16">
        <v>44753</v>
      </c>
      <c r="J796" s="17">
        <v>5.1500000000000004E-2</v>
      </c>
      <c r="K796" s="25">
        <f t="shared" si="48"/>
        <v>1.3759224894704936E-4</v>
      </c>
      <c r="M796" s="16">
        <v>44753</v>
      </c>
      <c r="N796" s="26">
        <f t="shared" si="49"/>
        <v>4.1001095571383461E-3</v>
      </c>
      <c r="O796" s="26">
        <f>'Part 2 - CAPM 2.1, 2.2 and 2.3'!C796-'Part 2 - CAPM 2.1, 2.2 and 2.3'!K796</f>
        <v>3.2784218450641431E-2</v>
      </c>
    </row>
    <row r="797" spans="1:15" x14ac:dyDescent="0.4">
      <c r="A797" s="16">
        <v>44754</v>
      </c>
      <c r="B797" s="14">
        <v>124.1</v>
      </c>
      <c r="C797" s="25">
        <f t="shared" si="50"/>
        <v>-1.1155378486055823E-2</v>
      </c>
      <c r="E797" s="16">
        <v>44754</v>
      </c>
      <c r="F797" s="15">
        <v>13779</v>
      </c>
      <c r="G797" s="25">
        <f t="shared" si="51"/>
        <v>-7.7663400987265192E-3</v>
      </c>
      <c r="I797" s="16">
        <v>44754</v>
      </c>
      <c r="J797" s="17">
        <v>5.16E-2</v>
      </c>
      <c r="K797" s="25">
        <f t="shared" si="48"/>
        <v>1.3785282650879971E-4</v>
      </c>
      <c r="M797" s="16">
        <v>44754</v>
      </c>
      <c r="N797" s="26">
        <f t="shared" si="49"/>
        <v>-7.9041929252353198E-3</v>
      </c>
      <c r="O797" s="26">
        <f>'Part 2 - CAPM 2.1, 2.2 and 2.3'!C797-'Part 2 - CAPM 2.1, 2.2 and 2.3'!K797</f>
        <v>-1.1293231312564623E-2</v>
      </c>
    </row>
    <row r="798" spans="1:15" x14ac:dyDescent="0.4">
      <c r="A798" s="16">
        <v>44755</v>
      </c>
      <c r="B798" s="14">
        <v>124.45</v>
      </c>
      <c r="C798" s="25">
        <f t="shared" si="50"/>
        <v>2.8203062046737192E-3</v>
      </c>
      <c r="E798" s="16">
        <v>44755</v>
      </c>
      <c r="F798" s="15">
        <v>13726.95</v>
      </c>
      <c r="G798" s="25">
        <f t="shared" si="51"/>
        <v>-3.7774874809492179E-3</v>
      </c>
      <c r="I798" s="16">
        <v>44755</v>
      </c>
      <c r="J798" s="17">
        <v>5.1799999999999999E-2</v>
      </c>
      <c r="K798" s="25">
        <f t="shared" si="48"/>
        <v>1.3837390750692791E-4</v>
      </c>
      <c r="M798" s="16">
        <v>44755</v>
      </c>
      <c r="N798" s="26">
        <f t="shared" si="49"/>
        <v>-3.9158613884561454E-3</v>
      </c>
      <c r="O798" s="26">
        <f>'Part 2 - CAPM 2.1, 2.2 and 2.3'!C798-'Part 2 - CAPM 2.1, 2.2 and 2.3'!K798</f>
        <v>2.6819322971667913E-3</v>
      </c>
    </row>
    <row r="799" spans="1:15" x14ac:dyDescent="0.4">
      <c r="A799" s="16">
        <v>44756</v>
      </c>
      <c r="B799" s="14">
        <v>127.15</v>
      </c>
      <c r="C799" s="25">
        <f t="shared" si="50"/>
        <v>2.1695460024106088E-2</v>
      </c>
      <c r="E799" s="16">
        <v>44756</v>
      </c>
      <c r="F799" s="15">
        <v>13702.65</v>
      </c>
      <c r="G799" s="25">
        <f t="shared" si="51"/>
        <v>-1.7702402937288392E-3</v>
      </c>
      <c r="I799" s="16">
        <v>44756</v>
      </c>
      <c r="J799" s="17">
        <v>5.2199999999999996E-2</v>
      </c>
      <c r="K799" s="25">
        <f t="shared" si="48"/>
        <v>1.3941577313203446E-4</v>
      </c>
      <c r="M799" s="16">
        <v>44756</v>
      </c>
      <c r="N799" s="26">
        <f t="shared" si="49"/>
        <v>-1.9096560668608736E-3</v>
      </c>
      <c r="O799" s="26">
        <f>'Part 2 - CAPM 2.1, 2.2 and 2.3'!C799-'Part 2 - CAPM 2.1, 2.2 and 2.3'!K799</f>
        <v>2.1556044250974054E-2</v>
      </c>
    </row>
    <row r="800" spans="1:15" x14ac:dyDescent="0.4">
      <c r="A800" s="16">
        <v>44757</v>
      </c>
      <c r="B800" s="14">
        <v>126.55</v>
      </c>
      <c r="C800" s="25">
        <f t="shared" si="50"/>
        <v>-4.7188360204483562E-3</v>
      </c>
      <c r="E800" s="16">
        <v>44757</v>
      </c>
      <c r="F800" s="15">
        <v>13790.2</v>
      </c>
      <c r="G800" s="25">
        <f t="shared" si="51"/>
        <v>6.3892750672316003E-3</v>
      </c>
      <c r="I800" s="16">
        <v>44757</v>
      </c>
      <c r="J800" s="17">
        <v>5.2300000000000006E-2</v>
      </c>
      <c r="K800" s="25">
        <f t="shared" si="48"/>
        <v>1.3967617782184583E-4</v>
      </c>
      <c r="M800" s="16">
        <v>44757</v>
      </c>
      <c r="N800" s="26">
        <f t="shared" si="49"/>
        <v>6.2495988894097545E-3</v>
      </c>
      <c r="O800" s="26">
        <f>'Part 2 - CAPM 2.1, 2.2 and 2.3'!C800-'Part 2 - CAPM 2.1, 2.2 and 2.3'!K800</f>
        <v>-4.8585121982702021E-3</v>
      </c>
    </row>
    <row r="801" spans="1:15" x14ac:dyDescent="0.4">
      <c r="A801" s="16">
        <v>44760</v>
      </c>
      <c r="B801" s="14">
        <v>129.9</v>
      </c>
      <c r="C801" s="25">
        <f t="shared" si="50"/>
        <v>2.6471750296325629E-2</v>
      </c>
      <c r="E801" s="16">
        <v>44760</v>
      </c>
      <c r="F801" s="15">
        <v>13984.4</v>
      </c>
      <c r="G801" s="25">
        <f t="shared" si="51"/>
        <v>1.4082464358747436E-2</v>
      </c>
      <c r="I801" s="16">
        <v>44760</v>
      </c>
      <c r="J801" s="17">
        <v>5.2300000000000006E-2</v>
      </c>
      <c r="K801" s="25">
        <f t="shared" si="48"/>
        <v>1.3967617782184583E-4</v>
      </c>
      <c r="M801" s="16">
        <v>44760</v>
      </c>
      <c r="N801" s="26">
        <f t="shared" si="49"/>
        <v>1.394278818092559E-2</v>
      </c>
      <c r="O801" s="26">
        <f>'Part 2 - CAPM 2.1, 2.2 and 2.3'!C801-'Part 2 - CAPM 2.1, 2.2 and 2.3'!K801</f>
        <v>2.6332074118503784E-2</v>
      </c>
    </row>
    <row r="802" spans="1:15" x14ac:dyDescent="0.4">
      <c r="A802" s="16">
        <v>44761</v>
      </c>
      <c r="B802" s="14">
        <v>127.9</v>
      </c>
      <c r="C802" s="25">
        <f t="shared" si="50"/>
        <v>-1.539645881447267E-2</v>
      </c>
      <c r="E802" s="16">
        <v>44761</v>
      </c>
      <c r="F802" s="15">
        <v>14051.65</v>
      </c>
      <c r="G802" s="25">
        <f t="shared" si="51"/>
        <v>4.8089299505162898E-3</v>
      </c>
      <c r="I802" s="16">
        <v>44761</v>
      </c>
      <c r="J802" s="17">
        <v>5.2499999999999998E-2</v>
      </c>
      <c r="K802" s="25">
        <f t="shared" si="48"/>
        <v>1.4019691317401772E-4</v>
      </c>
      <c r="M802" s="16">
        <v>44761</v>
      </c>
      <c r="N802" s="26">
        <f t="shared" si="49"/>
        <v>4.6687330373422721E-3</v>
      </c>
      <c r="O802" s="26">
        <f>'Part 2 - CAPM 2.1, 2.2 and 2.3'!C802-'Part 2 - CAPM 2.1, 2.2 and 2.3'!K802</f>
        <v>-1.5536655727646688E-2</v>
      </c>
    </row>
    <row r="803" spans="1:15" x14ac:dyDescent="0.4">
      <c r="A803" s="16">
        <v>44762</v>
      </c>
      <c r="B803" s="14">
        <v>132.55000000000001</v>
      </c>
      <c r="C803" s="25">
        <f t="shared" si="50"/>
        <v>3.6356528537920291E-2</v>
      </c>
      <c r="E803" s="16">
        <v>44762</v>
      </c>
      <c r="F803" s="15">
        <v>14164.4</v>
      </c>
      <c r="G803" s="25">
        <f t="shared" si="51"/>
        <v>8.0239687154177626E-3</v>
      </c>
      <c r="I803" s="16">
        <v>44762</v>
      </c>
      <c r="J803" s="17">
        <v>5.3699999999999998E-2</v>
      </c>
      <c r="K803" s="25">
        <f t="shared" si="48"/>
        <v>1.4331925449262428E-4</v>
      </c>
      <c r="M803" s="16">
        <v>44762</v>
      </c>
      <c r="N803" s="26">
        <f t="shared" si="49"/>
        <v>7.8806494609251383E-3</v>
      </c>
      <c r="O803" s="26">
        <f>'Part 2 - CAPM 2.1, 2.2 and 2.3'!C803-'Part 2 - CAPM 2.1, 2.2 and 2.3'!K803</f>
        <v>3.6213209283427666E-2</v>
      </c>
    </row>
    <row r="804" spans="1:15" x14ac:dyDescent="0.4">
      <c r="A804" s="16">
        <v>44763</v>
      </c>
      <c r="B804" s="14">
        <v>133.1</v>
      </c>
      <c r="C804" s="25">
        <f t="shared" si="50"/>
        <v>4.1493775933608666E-3</v>
      </c>
      <c r="E804" s="16">
        <v>44763</v>
      </c>
      <c r="F804" s="15">
        <v>14271.8</v>
      </c>
      <c r="G804" s="25">
        <f t="shared" si="51"/>
        <v>7.5823896529326794E-3</v>
      </c>
      <c r="I804" s="16">
        <v>44763</v>
      </c>
      <c r="J804" s="17">
        <v>5.4299999999999994E-2</v>
      </c>
      <c r="K804" s="25">
        <f t="shared" si="48"/>
        <v>1.4487909560845225E-4</v>
      </c>
      <c r="M804" s="16">
        <v>44763</v>
      </c>
      <c r="N804" s="26">
        <f t="shared" si="49"/>
        <v>7.4375105573242272E-3</v>
      </c>
      <c r="O804" s="26">
        <f>'Part 2 - CAPM 2.1, 2.2 and 2.3'!C804-'Part 2 - CAPM 2.1, 2.2 and 2.3'!K804</f>
        <v>4.0044984977524144E-3</v>
      </c>
    </row>
    <row r="805" spans="1:15" x14ac:dyDescent="0.4">
      <c r="A805" s="16">
        <v>44764</v>
      </c>
      <c r="B805" s="14">
        <v>132.44999999999999</v>
      </c>
      <c r="C805" s="25">
        <f t="shared" si="50"/>
        <v>-4.8835462058602983E-3</v>
      </c>
      <c r="E805" s="16">
        <v>44764</v>
      </c>
      <c r="F805" s="15">
        <v>14336.6</v>
      </c>
      <c r="G805" s="25">
        <f t="shared" si="51"/>
        <v>4.5404223713898101E-3</v>
      </c>
      <c r="I805" s="16">
        <v>44764</v>
      </c>
      <c r="J805" s="17">
        <v>5.45E-2</v>
      </c>
      <c r="K805" s="25">
        <f t="shared" si="48"/>
        <v>1.4539884592656982E-4</v>
      </c>
      <c r="M805" s="16">
        <v>44764</v>
      </c>
      <c r="N805" s="26">
        <f t="shared" si="49"/>
        <v>4.3950235254632403E-3</v>
      </c>
      <c r="O805" s="26">
        <f>'Part 2 - CAPM 2.1, 2.2 and 2.3'!C805-'Part 2 - CAPM 2.1, 2.2 and 2.3'!K805</f>
        <v>-5.0289450517868681E-3</v>
      </c>
    </row>
    <row r="806" spans="1:15" x14ac:dyDescent="0.4">
      <c r="A806" s="16">
        <v>44767</v>
      </c>
      <c r="B806" s="14">
        <v>129.80000000000001</v>
      </c>
      <c r="C806" s="25">
        <f t="shared" si="50"/>
        <v>-2.0007550018874876E-2</v>
      </c>
      <c r="E806" s="16">
        <v>44767</v>
      </c>
      <c r="F806" s="15">
        <v>14279.5</v>
      </c>
      <c r="G806" s="25">
        <f t="shared" si="51"/>
        <v>-3.9828132193128326E-3</v>
      </c>
      <c r="I806" s="16">
        <v>44767</v>
      </c>
      <c r="J806" s="17">
        <v>5.45E-2</v>
      </c>
      <c r="K806" s="25">
        <f t="shared" si="48"/>
        <v>1.4539884592656982E-4</v>
      </c>
      <c r="M806" s="16">
        <v>44767</v>
      </c>
      <c r="N806" s="26">
        <f t="shared" si="49"/>
        <v>-4.1282120652394024E-3</v>
      </c>
      <c r="O806" s="26">
        <f>'Part 2 - CAPM 2.1, 2.2 and 2.3'!C806-'Part 2 - CAPM 2.1, 2.2 and 2.3'!K806</f>
        <v>-2.0152948864801446E-2</v>
      </c>
    </row>
    <row r="807" spans="1:15" x14ac:dyDescent="0.4">
      <c r="A807" s="16">
        <v>44768</v>
      </c>
      <c r="B807" s="14">
        <v>128.19999999999999</v>
      </c>
      <c r="C807" s="25">
        <f t="shared" si="50"/>
        <v>-1.2326656394453179E-2</v>
      </c>
      <c r="E807" s="16">
        <v>44768</v>
      </c>
      <c r="F807" s="15">
        <v>14141.45</v>
      </c>
      <c r="G807" s="25">
        <f t="shared" si="51"/>
        <v>-9.6677054518715128E-3</v>
      </c>
      <c r="I807" s="16">
        <v>44768</v>
      </c>
      <c r="J807" s="17">
        <v>5.4400000000000004E-2</v>
      </c>
      <c r="K807" s="25">
        <f t="shared" si="48"/>
        <v>1.451389830571248E-4</v>
      </c>
      <c r="M807" s="16">
        <v>44768</v>
      </c>
      <c r="N807" s="26">
        <f t="shared" si="49"/>
        <v>-9.8128444349286376E-3</v>
      </c>
      <c r="O807" s="26">
        <f>'Part 2 - CAPM 2.1, 2.2 and 2.3'!C807-'Part 2 - CAPM 2.1, 2.2 and 2.3'!K807</f>
        <v>-1.2471795377510303E-2</v>
      </c>
    </row>
    <row r="808" spans="1:15" x14ac:dyDescent="0.4">
      <c r="A808" s="16">
        <v>44769</v>
      </c>
      <c r="B808" s="14">
        <v>128.6</v>
      </c>
      <c r="C808" s="25">
        <f t="shared" si="50"/>
        <v>3.1201248049922445E-3</v>
      </c>
      <c r="E808" s="16">
        <v>44769</v>
      </c>
      <c r="F808" s="15">
        <v>14262.55</v>
      </c>
      <c r="G808" s="25">
        <f t="shared" si="51"/>
        <v>8.563478285465673E-3</v>
      </c>
      <c r="I808" s="16">
        <v>44769</v>
      </c>
      <c r="J808" s="17">
        <v>5.6299999999999996E-2</v>
      </c>
      <c r="K808" s="25">
        <f t="shared" si="48"/>
        <v>1.5007217983176169E-4</v>
      </c>
      <c r="M808" s="16">
        <v>44769</v>
      </c>
      <c r="N808" s="26">
        <f t="shared" si="49"/>
        <v>8.4134061056339113E-3</v>
      </c>
      <c r="O808" s="26">
        <f>'Part 2 - CAPM 2.1, 2.2 and 2.3'!C808-'Part 2 - CAPM 2.1, 2.2 and 2.3'!K808</f>
        <v>2.9700526251604828E-3</v>
      </c>
    </row>
    <row r="809" spans="1:15" x14ac:dyDescent="0.4">
      <c r="A809" s="16">
        <v>44770</v>
      </c>
      <c r="B809" s="14">
        <v>130.25</v>
      </c>
      <c r="C809" s="25">
        <f t="shared" si="50"/>
        <v>1.2830482115085581E-2</v>
      </c>
      <c r="E809" s="16">
        <v>44770</v>
      </c>
      <c r="F809" s="15">
        <v>14469.1</v>
      </c>
      <c r="G809" s="25">
        <f t="shared" si="51"/>
        <v>1.4481982534680062E-2</v>
      </c>
      <c r="I809" s="16">
        <v>44770</v>
      </c>
      <c r="J809" s="17">
        <v>5.5999999999999994E-2</v>
      </c>
      <c r="K809" s="25">
        <f t="shared" si="48"/>
        <v>1.4929384262507561E-4</v>
      </c>
      <c r="M809" s="16">
        <v>44770</v>
      </c>
      <c r="N809" s="26">
        <f t="shared" si="49"/>
        <v>1.4332688692054986E-2</v>
      </c>
      <c r="O809" s="26">
        <f>'Part 2 - CAPM 2.1, 2.2 and 2.3'!C809-'Part 2 - CAPM 2.1, 2.2 and 2.3'!K809</f>
        <v>1.2681188272460505E-2</v>
      </c>
    </row>
    <row r="810" spans="1:15" x14ac:dyDescent="0.4">
      <c r="A810" s="16">
        <v>44771</v>
      </c>
      <c r="B810" s="14">
        <v>134.15</v>
      </c>
      <c r="C810" s="25">
        <f t="shared" si="50"/>
        <v>2.9942418426103689E-2</v>
      </c>
      <c r="E810" s="16">
        <v>44771</v>
      </c>
      <c r="F810" s="15">
        <v>14665.65</v>
      </c>
      <c r="G810" s="25">
        <f t="shared" si="51"/>
        <v>1.3584120643301882E-2</v>
      </c>
      <c r="I810" s="16">
        <v>44771</v>
      </c>
      <c r="J810" s="17">
        <v>5.5999999999999994E-2</v>
      </c>
      <c r="K810" s="25">
        <f t="shared" si="48"/>
        <v>1.4929384262507561E-4</v>
      </c>
      <c r="M810" s="16">
        <v>44771</v>
      </c>
      <c r="N810" s="26">
        <f t="shared" si="49"/>
        <v>1.3434826800676807E-2</v>
      </c>
      <c r="O810" s="26">
        <f>'Part 2 - CAPM 2.1, 2.2 and 2.3'!C810-'Part 2 - CAPM 2.1, 2.2 and 2.3'!K810</f>
        <v>2.9793124583478613E-2</v>
      </c>
    </row>
    <row r="811" spans="1:15" x14ac:dyDescent="0.4">
      <c r="A811" s="16">
        <v>44774</v>
      </c>
      <c r="B811" s="14">
        <v>138.4</v>
      </c>
      <c r="C811" s="25">
        <f t="shared" si="50"/>
        <v>3.1680954155795749E-2</v>
      </c>
      <c r="E811" s="16">
        <v>44774</v>
      </c>
      <c r="F811" s="15">
        <v>14846.85</v>
      </c>
      <c r="G811" s="25">
        <f t="shared" si="51"/>
        <v>1.2355401908541437E-2</v>
      </c>
      <c r="I811" s="16">
        <v>44774</v>
      </c>
      <c r="J811" s="17">
        <v>5.5800000000000002E-2</v>
      </c>
      <c r="K811" s="25">
        <f t="shared" si="48"/>
        <v>1.4877482863728808E-4</v>
      </c>
      <c r="M811" s="16">
        <v>44774</v>
      </c>
      <c r="N811" s="26">
        <f t="shared" si="49"/>
        <v>1.2206627079904149E-2</v>
      </c>
      <c r="O811" s="26">
        <f>'Part 2 - CAPM 2.1, 2.2 and 2.3'!C811-'Part 2 - CAPM 2.1, 2.2 and 2.3'!K811</f>
        <v>3.1532179327158461E-2</v>
      </c>
    </row>
    <row r="812" spans="1:15" x14ac:dyDescent="0.4">
      <c r="A812" s="16">
        <v>44775</v>
      </c>
      <c r="B812" s="14">
        <v>136.69999999999999</v>
      </c>
      <c r="C812" s="25">
        <f t="shared" si="50"/>
        <v>-1.2283236994219775E-2</v>
      </c>
      <c r="E812" s="16">
        <v>44775</v>
      </c>
      <c r="F812" s="15">
        <v>14876.6</v>
      </c>
      <c r="G812" s="25">
        <f t="shared" si="51"/>
        <v>2.0037920501655231E-3</v>
      </c>
      <c r="I812" s="16">
        <v>44775</v>
      </c>
      <c r="J812" s="17">
        <v>5.4699999999999999E-2</v>
      </c>
      <c r="K812" s="25">
        <f t="shared" si="48"/>
        <v>1.4591849794642897E-4</v>
      </c>
      <c r="M812" s="16">
        <v>44775</v>
      </c>
      <c r="N812" s="26">
        <f t="shared" si="49"/>
        <v>1.8578735522190941E-3</v>
      </c>
      <c r="O812" s="26">
        <f>'Part 2 - CAPM 2.1, 2.2 and 2.3'!C812-'Part 2 - CAPM 2.1, 2.2 and 2.3'!K812</f>
        <v>-1.2429155492166204E-2</v>
      </c>
    </row>
    <row r="813" spans="1:15" x14ac:dyDescent="0.4">
      <c r="A813" s="16">
        <v>44776</v>
      </c>
      <c r="B813" s="14">
        <v>135.65</v>
      </c>
      <c r="C813" s="25">
        <f t="shared" si="50"/>
        <v>-7.6810534016092391E-3</v>
      </c>
      <c r="E813" s="16">
        <v>44776</v>
      </c>
      <c r="F813" s="15">
        <v>14878.05</v>
      </c>
      <c r="G813" s="25">
        <f t="shared" si="51"/>
        <v>9.7468507589026294E-5</v>
      </c>
      <c r="I813" s="16">
        <v>44776</v>
      </c>
      <c r="J813" s="17">
        <v>5.5300000000000002E-2</v>
      </c>
      <c r="K813" s="25">
        <f t="shared" si="48"/>
        <v>1.4747686458860265E-4</v>
      </c>
      <c r="M813" s="16">
        <v>44776</v>
      </c>
      <c r="N813" s="26">
        <f t="shared" si="49"/>
        <v>-5.0008356999576358E-5</v>
      </c>
      <c r="O813" s="26">
        <f>'Part 2 - CAPM 2.1, 2.2 and 2.3'!C813-'Part 2 - CAPM 2.1, 2.2 and 2.3'!K813</f>
        <v>-7.8285302661978418E-3</v>
      </c>
    </row>
    <row r="814" spans="1:15" x14ac:dyDescent="0.4">
      <c r="A814" s="16">
        <v>44777</v>
      </c>
      <c r="B814" s="14">
        <v>136.25</v>
      </c>
      <c r="C814" s="25">
        <f t="shared" si="50"/>
        <v>4.423147806855837E-3</v>
      </c>
      <c r="E814" s="16">
        <v>44777</v>
      </c>
      <c r="F814" s="15">
        <v>14892.45</v>
      </c>
      <c r="G814" s="25">
        <f t="shared" si="51"/>
        <v>9.6786877312560822E-4</v>
      </c>
      <c r="I814" s="16">
        <v>44777</v>
      </c>
      <c r="J814" s="17">
        <v>5.5300000000000002E-2</v>
      </c>
      <c r="K814" s="25">
        <f t="shared" si="48"/>
        <v>1.4747686458860265E-4</v>
      </c>
      <c r="M814" s="16">
        <v>44777</v>
      </c>
      <c r="N814" s="26">
        <f t="shared" si="49"/>
        <v>8.2039190853700557E-4</v>
      </c>
      <c r="O814" s="26">
        <f>'Part 2 - CAPM 2.1, 2.2 and 2.3'!C814-'Part 2 - CAPM 2.1, 2.2 and 2.3'!K814</f>
        <v>4.2756709422672344E-3</v>
      </c>
    </row>
    <row r="815" spans="1:15" x14ac:dyDescent="0.4">
      <c r="A815" s="16">
        <v>44778</v>
      </c>
      <c r="B815" s="14">
        <v>136.5</v>
      </c>
      <c r="C815" s="25">
        <f t="shared" si="50"/>
        <v>1.834862385321101E-3</v>
      </c>
      <c r="E815" s="16">
        <v>44778</v>
      </c>
      <c r="F815" s="15">
        <v>14900.4</v>
      </c>
      <c r="G815" s="25">
        <f t="shared" si="51"/>
        <v>5.3382754348672704E-4</v>
      </c>
      <c r="I815" s="16">
        <v>44778</v>
      </c>
      <c r="J815" s="17">
        <v>5.5800000000000002E-2</v>
      </c>
      <c r="K815" s="25">
        <f t="shared" si="48"/>
        <v>1.4877482863728808E-4</v>
      </c>
      <c r="M815" s="16">
        <v>44778</v>
      </c>
      <c r="N815" s="26">
        <f t="shared" si="49"/>
        <v>3.8505271484943896E-4</v>
      </c>
      <c r="O815" s="26">
        <f>'Part 2 - CAPM 2.1, 2.2 and 2.3'!C815-'Part 2 - CAPM 2.1, 2.2 and 2.3'!K815</f>
        <v>1.6860875566838129E-3</v>
      </c>
    </row>
    <row r="816" spans="1:15" x14ac:dyDescent="0.4">
      <c r="A816" s="16">
        <v>44781</v>
      </c>
      <c r="B816" s="14">
        <v>136.5</v>
      </c>
      <c r="C816" s="25">
        <f t="shared" si="50"/>
        <v>0</v>
      </c>
      <c r="E816" s="16">
        <v>44781</v>
      </c>
      <c r="F816" s="15">
        <v>14993.35</v>
      </c>
      <c r="G816" s="25">
        <f t="shared" si="51"/>
        <v>6.2380875681190256E-3</v>
      </c>
      <c r="I816" s="16">
        <v>44781</v>
      </c>
      <c r="J816" s="17">
        <v>5.5800000000000002E-2</v>
      </c>
      <c r="K816" s="25">
        <f t="shared" si="48"/>
        <v>1.4877482863728808E-4</v>
      </c>
      <c r="M816" s="16">
        <v>44781</v>
      </c>
      <c r="N816" s="26">
        <f t="shared" si="49"/>
        <v>6.0893127394817375E-3</v>
      </c>
      <c r="O816" s="26">
        <f>'Part 2 - CAPM 2.1, 2.2 and 2.3'!C816-'Part 2 - CAPM 2.1, 2.2 and 2.3'!K816</f>
        <v>-1.4877482863728808E-4</v>
      </c>
    </row>
    <row r="817" spans="1:15" x14ac:dyDescent="0.4">
      <c r="A817" s="16">
        <v>44783</v>
      </c>
      <c r="B817" s="14">
        <v>133.80000000000001</v>
      </c>
      <c r="C817" s="25">
        <f t="shared" si="50"/>
        <v>-1.9780219780219696E-2</v>
      </c>
      <c r="E817" s="16">
        <v>44783</v>
      </c>
      <c r="F817" s="15">
        <v>14985.8</v>
      </c>
      <c r="G817" s="25">
        <f t="shared" si="51"/>
        <v>-5.0355657674909819E-4</v>
      </c>
      <c r="I817" s="16">
        <v>44783</v>
      </c>
      <c r="J817" s="17">
        <v>5.5300000000000002E-2</v>
      </c>
      <c r="K817" s="25">
        <f t="shared" si="48"/>
        <v>1.4747686458860265E-4</v>
      </c>
      <c r="M817" s="16">
        <v>44783</v>
      </c>
      <c r="N817" s="26">
        <f t="shared" si="49"/>
        <v>-6.5103344133770084E-4</v>
      </c>
      <c r="O817" s="26">
        <f>'Part 2 - CAPM 2.1, 2.2 and 2.3'!C817-'Part 2 - CAPM 2.1, 2.2 and 2.3'!K817</f>
        <v>-1.9927696644808299E-2</v>
      </c>
    </row>
    <row r="818" spans="1:15" x14ac:dyDescent="0.4">
      <c r="A818" s="16">
        <v>44784</v>
      </c>
      <c r="B818" s="14">
        <v>132.80000000000001</v>
      </c>
      <c r="C818" s="25">
        <f t="shared" si="50"/>
        <v>-7.4738415545590429E-3</v>
      </c>
      <c r="E818" s="16">
        <v>44784</v>
      </c>
      <c r="F818" s="15">
        <v>15095.15</v>
      </c>
      <c r="G818" s="25">
        <f t="shared" si="51"/>
        <v>7.296907739326587E-3</v>
      </c>
      <c r="I818" s="16">
        <v>44784</v>
      </c>
      <c r="J818" s="17">
        <v>5.6100000000000004E-2</v>
      </c>
      <c r="K818" s="25">
        <f t="shared" si="48"/>
        <v>1.4955331285926299E-4</v>
      </c>
      <c r="M818" s="16">
        <v>44784</v>
      </c>
      <c r="N818" s="26">
        <f t="shared" si="49"/>
        <v>7.147354426467324E-3</v>
      </c>
      <c r="O818" s="26">
        <f>'Part 2 - CAPM 2.1, 2.2 and 2.3'!C818-'Part 2 - CAPM 2.1, 2.2 and 2.3'!K818</f>
        <v>-7.6233948674183059E-3</v>
      </c>
    </row>
    <row r="819" spans="1:15" x14ac:dyDescent="0.4">
      <c r="A819" s="16">
        <v>44785</v>
      </c>
      <c r="B819" s="14">
        <v>139.19999999999999</v>
      </c>
      <c r="C819" s="25">
        <f t="shared" si="50"/>
        <v>4.8192771084337171E-2</v>
      </c>
      <c r="E819" s="16">
        <v>44785</v>
      </c>
      <c r="F819" s="15">
        <v>15140.55</v>
      </c>
      <c r="G819" s="25">
        <f t="shared" si="51"/>
        <v>3.0075885300907667E-3</v>
      </c>
      <c r="I819" s="16">
        <v>44785</v>
      </c>
      <c r="J819" s="17">
        <v>5.5500000000000001E-2</v>
      </c>
      <c r="K819" s="25">
        <f t="shared" si="48"/>
        <v>1.4799612378757487E-4</v>
      </c>
      <c r="M819" s="16">
        <v>44785</v>
      </c>
      <c r="N819" s="26">
        <f t="shared" si="49"/>
        <v>2.8595924063031918E-3</v>
      </c>
      <c r="O819" s="26">
        <f>'Part 2 - CAPM 2.1, 2.2 and 2.3'!C819-'Part 2 - CAPM 2.1, 2.2 and 2.3'!K819</f>
        <v>4.8044774960549597E-2</v>
      </c>
    </row>
    <row r="820" spans="1:15" x14ac:dyDescent="0.4">
      <c r="A820" s="16">
        <v>44790</v>
      </c>
      <c r="B820" s="14">
        <v>139.65</v>
      </c>
      <c r="C820" s="25">
        <f t="shared" si="50"/>
        <v>3.2327586206897779E-3</v>
      </c>
      <c r="E820" s="16">
        <v>44790</v>
      </c>
      <c r="F820" s="15">
        <v>15379.05</v>
      </c>
      <c r="G820" s="25">
        <f t="shared" si="51"/>
        <v>1.5752400011888604E-2</v>
      </c>
      <c r="I820" s="16">
        <v>44790</v>
      </c>
      <c r="J820" s="17">
        <v>5.5399999999999998E-2</v>
      </c>
      <c r="K820" s="25">
        <f t="shared" si="48"/>
        <v>1.4773650645460989E-4</v>
      </c>
      <c r="M820" s="16">
        <v>44790</v>
      </c>
      <c r="N820" s="26">
        <f t="shared" si="49"/>
        <v>1.5604663505433995E-2</v>
      </c>
      <c r="O820" s="26">
        <f>'Part 2 - CAPM 2.1, 2.2 and 2.3'!C820-'Part 2 - CAPM 2.1, 2.2 and 2.3'!K820</f>
        <v>3.085022114235168E-3</v>
      </c>
    </row>
    <row r="821" spans="1:15" x14ac:dyDescent="0.4">
      <c r="A821" s="16">
        <v>44791</v>
      </c>
      <c r="B821" s="14">
        <v>135.55000000000001</v>
      </c>
      <c r="C821" s="25">
        <f t="shared" si="50"/>
        <v>-2.9359112065878941E-2</v>
      </c>
      <c r="E821" s="16">
        <v>44791</v>
      </c>
      <c r="F821" s="15">
        <v>15404.6</v>
      </c>
      <c r="G821" s="25">
        <f t="shared" si="51"/>
        <v>1.66135099372205E-3</v>
      </c>
      <c r="I821" s="16">
        <v>44791</v>
      </c>
      <c r="J821" s="17">
        <v>5.5599999999999997E-2</v>
      </c>
      <c r="K821" s="25">
        <f t="shared" si="48"/>
        <v>1.4825571659282666E-4</v>
      </c>
      <c r="M821" s="16">
        <v>44791</v>
      </c>
      <c r="N821" s="26">
        <f t="shared" si="49"/>
        <v>1.5130952771292233E-3</v>
      </c>
      <c r="O821" s="26">
        <f>'Part 2 - CAPM 2.1, 2.2 and 2.3'!C821-'Part 2 - CAPM 2.1, 2.2 and 2.3'!K821</f>
        <v>-2.9507367782471768E-2</v>
      </c>
    </row>
    <row r="822" spans="1:15" x14ac:dyDescent="0.4">
      <c r="A822" s="16">
        <v>44792</v>
      </c>
      <c r="B822" s="14">
        <v>134.6</v>
      </c>
      <c r="C822" s="25">
        <f t="shared" si="50"/>
        <v>-7.0084839542605458E-3</v>
      </c>
      <c r="E822" s="16">
        <v>44792</v>
      </c>
      <c r="F822" s="15">
        <v>15236.65</v>
      </c>
      <c r="G822" s="25">
        <f t="shared" si="51"/>
        <v>-1.0902587538787162E-2</v>
      </c>
      <c r="I822" s="16">
        <v>44792</v>
      </c>
      <c r="J822" s="17">
        <v>5.5500000000000001E-2</v>
      </c>
      <c r="K822" s="25">
        <f t="shared" si="48"/>
        <v>1.4799612378757487E-4</v>
      </c>
      <c r="M822" s="16">
        <v>44792</v>
      </c>
      <c r="N822" s="26">
        <f t="shared" si="49"/>
        <v>-1.1050583662574737E-2</v>
      </c>
      <c r="O822" s="26">
        <f>'Part 2 - CAPM 2.1, 2.2 and 2.3'!C822-'Part 2 - CAPM 2.1, 2.2 and 2.3'!K822</f>
        <v>-7.1564800780481207E-3</v>
      </c>
    </row>
    <row r="823" spans="1:15" x14ac:dyDescent="0.4">
      <c r="A823" s="16">
        <v>44795</v>
      </c>
      <c r="B823" s="14">
        <v>131.9</v>
      </c>
      <c r="C823" s="25">
        <f t="shared" si="50"/>
        <v>-2.005943536404152E-2</v>
      </c>
      <c r="E823" s="16">
        <v>44795</v>
      </c>
      <c r="F823" s="15">
        <v>15001.75</v>
      </c>
      <c r="G823" s="25">
        <f t="shared" si="51"/>
        <v>-1.541677468472398E-2</v>
      </c>
      <c r="I823" s="16">
        <v>44795</v>
      </c>
      <c r="J823" s="17">
        <v>5.5800000000000002E-2</v>
      </c>
      <c r="K823" s="25">
        <f t="shared" si="48"/>
        <v>1.4877482863728808E-4</v>
      </c>
      <c r="M823" s="16">
        <v>44795</v>
      </c>
      <c r="N823" s="26">
        <f t="shared" si="49"/>
        <v>-1.5565549513361268E-2</v>
      </c>
      <c r="O823" s="26">
        <f>'Part 2 - CAPM 2.1, 2.2 and 2.3'!C823-'Part 2 - CAPM 2.1, 2.2 and 2.3'!K823</f>
        <v>-2.0208210192678808E-2</v>
      </c>
    </row>
    <row r="824" spans="1:15" x14ac:dyDescent="0.4">
      <c r="A824" s="16">
        <v>44796</v>
      </c>
      <c r="B824" s="14">
        <v>133.75</v>
      </c>
      <c r="C824" s="25">
        <f t="shared" si="50"/>
        <v>1.4025777103866523E-2</v>
      </c>
      <c r="E824" s="16">
        <v>44796</v>
      </c>
      <c r="F824" s="15">
        <v>15090.5</v>
      </c>
      <c r="G824" s="25">
        <f t="shared" si="51"/>
        <v>5.9159764694119016E-3</v>
      </c>
      <c r="I824" s="16">
        <v>44796</v>
      </c>
      <c r="J824" s="17">
        <v>5.5199999999999999E-2</v>
      </c>
      <c r="K824" s="25">
        <f t="shared" si="48"/>
        <v>1.4721719818555634E-4</v>
      </c>
      <c r="M824" s="16">
        <v>44796</v>
      </c>
      <c r="N824" s="26">
        <f t="shared" si="49"/>
        <v>5.7687592712263452E-3</v>
      </c>
      <c r="O824" s="26">
        <f>'Part 2 - CAPM 2.1, 2.2 and 2.3'!C824-'Part 2 - CAPM 2.1, 2.2 and 2.3'!K824</f>
        <v>1.3878559905680966E-2</v>
      </c>
    </row>
    <row r="825" spans="1:15" x14ac:dyDescent="0.4">
      <c r="A825" s="16">
        <v>44797</v>
      </c>
      <c r="B825" s="14">
        <v>136</v>
      </c>
      <c r="C825" s="25">
        <f t="shared" si="50"/>
        <v>1.6822429906542057E-2</v>
      </c>
      <c r="E825" s="16">
        <v>44797</v>
      </c>
      <c r="F825" s="15">
        <v>15140.4</v>
      </c>
      <c r="G825" s="25">
        <f t="shared" si="51"/>
        <v>3.306716145919594E-3</v>
      </c>
      <c r="I825" s="16">
        <v>44797</v>
      </c>
      <c r="J825" s="17">
        <v>5.5800000000000002E-2</v>
      </c>
      <c r="K825" s="25">
        <f t="shared" si="48"/>
        <v>1.4877482863728808E-4</v>
      </c>
      <c r="M825" s="16">
        <v>44797</v>
      </c>
      <c r="N825" s="26">
        <f t="shared" si="49"/>
        <v>3.1579413172823059E-3</v>
      </c>
      <c r="O825" s="26">
        <f>'Part 2 - CAPM 2.1, 2.2 and 2.3'!C825-'Part 2 - CAPM 2.1, 2.2 and 2.3'!K825</f>
        <v>1.6673655077904768E-2</v>
      </c>
    </row>
    <row r="826" spans="1:15" x14ac:dyDescent="0.4">
      <c r="A826" s="16">
        <v>44798</v>
      </c>
      <c r="B826" s="14">
        <v>136.55000000000001</v>
      </c>
      <c r="C826" s="25">
        <f t="shared" si="50"/>
        <v>4.0441176470589072E-3</v>
      </c>
      <c r="E826" s="16">
        <v>44798</v>
      </c>
      <c r="F826" s="15">
        <v>15100.65</v>
      </c>
      <c r="G826" s="25">
        <f t="shared" si="51"/>
        <v>-2.6254260125227868E-3</v>
      </c>
      <c r="I826" s="16">
        <v>44798</v>
      </c>
      <c r="J826" s="17">
        <v>5.62E-2</v>
      </c>
      <c r="K826" s="25">
        <f t="shared" si="48"/>
        <v>1.498127585932707E-4</v>
      </c>
      <c r="M826" s="16">
        <v>44798</v>
      </c>
      <c r="N826" s="26">
        <f t="shared" si="49"/>
        <v>-2.7752387711160575E-3</v>
      </c>
      <c r="O826" s="26">
        <f>'Part 2 - CAPM 2.1, 2.2 and 2.3'!C826-'Part 2 - CAPM 2.1, 2.2 and 2.3'!K826</f>
        <v>3.8943048884656365E-3</v>
      </c>
    </row>
    <row r="827" spans="1:15" x14ac:dyDescent="0.4">
      <c r="A827" s="16">
        <v>44799</v>
      </c>
      <c r="B827" s="14">
        <v>136.65</v>
      </c>
      <c r="C827" s="25">
        <f t="shared" si="50"/>
        <v>7.3233247894539954E-4</v>
      </c>
      <c r="E827" s="16">
        <v>44799</v>
      </c>
      <c r="F827" s="15">
        <v>15147.55</v>
      </c>
      <c r="G827" s="25">
        <f t="shared" si="51"/>
        <v>3.1058265703793968E-3</v>
      </c>
      <c r="I827" s="16">
        <v>44799</v>
      </c>
      <c r="J827" s="17">
        <v>5.5899999999999998E-2</v>
      </c>
      <c r="K827" s="25">
        <f t="shared" si="48"/>
        <v>1.4903434788582359E-4</v>
      </c>
      <c r="M827" s="16">
        <v>44799</v>
      </c>
      <c r="N827" s="26">
        <f t="shared" si="49"/>
        <v>2.9567922224935732E-3</v>
      </c>
      <c r="O827" s="26">
        <f>'Part 2 - CAPM 2.1, 2.2 and 2.3'!C827-'Part 2 - CAPM 2.1, 2.2 and 2.3'!K827</f>
        <v>5.8329813105957595E-4</v>
      </c>
    </row>
    <row r="828" spans="1:15" x14ac:dyDescent="0.4">
      <c r="A828" s="16">
        <v>44802</v>
      </c>
      <c r="B828" s="14">
        <v>135.9</v>
      </c>
      <c r="C828" s="25">
        <f t="shared" si="50"/>
        <v>-5.4884742041712399E-3</v>
      </c>
      <c r="E828" s="16">
        <v>44802</v>
      </c>
      <c r="F828" s="15">
        <v>14972.75</v>
      </c>
      <c r="G828" s="25">
        <f t="shared" si="51"/>
        <v>-1.1539819970886333E-2</v>
      </c>
      <c r="I828" s="16">
        <v>44802</v>
      </c>
      <c r="J828" s="17">
        <v>5.5999999999999994E-2</v>
      </c>
      <c r="K828" s="25">
        <f t="shared" si="48"/>
        <v>1.4929384262507561E-4</v>
      </c>
      <c r="M828" s="16">
        <v>44802</v>
      </c>
      <c r="N828" s="26">
        <f t="shared" si="49"/>
        <v>-1.1689113813511409E-2</v>
      </c>
      <c r="O828" s="26">
        <f>'Part 2 - CAPM 2.1, 2.2 and 2.3'!C828-'Part 2 - CAPM 2.1, 2.2 and 2.3'!K828</f>
        <v>-5.6377680467963156E-3</v>
      </c>
    </row>
    <row r="829" spans="1:15" x14ac:dyDescent="0.4">
      <c r="A829" s="16">
        <v>44803</v>
      </c>
      <c r="B829" s="14">
        <v>138.6</v>
      </c>
      <c r="C829" s="25">
        <f t="shared" si="50"/>
        <v>1.9867549668874086E-2</v>
      </c>
      <c r="E829" s="16">
        <v>44803</v>
      </c>
      <c r="F829" s="15">
        <v>15325.05</v>
      </c>
      <c r="G829" s="25">
        <f t="shared" si="51"/>
        <v>2.3529411764705833E-2</v>
      </c>
      <c r="I829" s="16">
        <v>44803</v>
      </c>
      <c r="J829" s="17">
        <v>5.5899999999999998E-2</v>
      </c>
      <c r="K829" s="25">
        <f t="shared" si="48"/>
        <v>1.4903434788582359E-4</v>
      </c>
      <c r="M829" s="16">
        <v>44803</v>
      </c>
      <c r="N829" s="26">
        <f t="shared" si="49"/>
        <v>2.338037741682001E-2</v>
      </c>
      <c r="O829" s="26">
        <f>'Part 2 - CAPM 2.1, 2.2 and 2.3'!C829-'Part 2 - CAPM 2.1, 2.2 and 2.3'!K829</f>
        <v>1.9718515320988263E-2</v>
      </c>
    </row>
    <row r="830" spans="1:15" x14ac:dyDescent="0.4">
      <c r="A830" s="16">
        <v>44805</v>
      </c>
      <c r="B830" s="14">
        <v>134.69999999999999</v>
      </c>
      <c r="C830" s="25">
        <f t="shared" si="50"/>
        <v>-2.8138528138528181E-2</v>
      </c>
      <c r="E830" s="16">
        <v>44805</v>
      </c>
      <c r="F830" s="15">
        <v>15211.2</v>
      </c>
      <c r="G830" s="25">
        <f t="shared" si="51"/>
        <v>-7.4290132821751677E-3</v>
      </c>
      <c r="I830" s="16">
        <v>44805</v>
      </c>
      <c r="J830" s="17">
        <v>5.6600000000000004E-2</v>
      </c>
      <c r="K830" s="25">
        <f t="shared" si="48"/>
        <v>1.5085029661965343E-4</v>
      </c>
      <c r="M830" s="16">
        <v>44805</v>
      </c>
      <c r="N830" s="26">
        <f t="shared" si="49"/>
        <v>-7.5798635787948212E-3</v>
      </c>
      <c r="O830" s="26">
        <f>'Part 2 - CAPM 2.1, 2.2 and 2.3'!C830-'Part 2 - CAPM 2.1, 2.2 and 2.3'!K830</f>
        <v>-2.8289378435147835E-2</v>
      </c>
    </row>
    <row r="831" spans="1:15" x14ac:dyDescent="0.4">
      <c r="A831" s="16">
        <v>44806</v>
      </c>
      <c r="B831" s="14">
        <v>132.75</v>
      </c>
      <c r="C831" s="25">
        <f t="shared" si="50"/>
        <v>-1.4476614699331765E-2</v>
      </c>
      <c r="E831" s="16">
        <v>44806</v>
      </c>
      <c r="F831" s="15">
        <v>15201.6</v>
      </c>
      <c r="G831" s="25">
        <f t="shared" si="51"/>
        <v>-6.3111391606187305E-4</v>
      </c>
      <c r="I831" s="16">
        <v>44806</v>
      </c>
      <c r="J831" s="17">
        <v>5.6299999999999996E-2</v>
      </c>
      <c r="K831" s="25">
        <f t="shared" si="48"/>
        <v>1.5007217983176169E-4</v>
      </c>
      <c r="M831" s="16">
        <v>44806</v>
      </c>
      <c r="N831" s="26">
        <f t="shared" si="49"/>
        <v>-7.8118609589363473E-4</v>
      </c>
      <c r="O831" s="26">
        <f>'Part 2 - CAPM 2.1, 2.2 and 2.3'!C831-'Part 2 - CAPM 2.1, 2.2 and 2.3'!K831</f>
        <v>-1.4626686879163527E-2</v>
      </c>
    </row>
    <row r="832" spans="1:15" x14ac:dyDescent="0.4">
      <c r="A832" s="16">
        <v>44809</v>
      </c>
      <c r="B832" s="14">
        <v>133.4</v>
      </c>
      <c r="C832" s="25">
        <f t="shared" si="50"/>
        <v>4.8964218455744305E-3</v>
      </c>
      <c r="E832" s="16">
        <v>44809</v>
      </c>
      <c r="F832" s="15">
        <v>15294.4</v>
      </c>
      <c r="G832" s="25">
        <f t="shared" si="51"/>
        <v>6.1046205662561356E-3</v>
      </c>
      <c r="I832" s="16">
        <v>44809</v>
      </c>
      <c r="J832" s="17">
        <v>5.6299999999999996E-2</v>
      </c>
      <c r="K832" s="25">
        <f t="shared" si="48"/>
        <v>1.5007217983176169E-4</v>
      </c>
      <c r="M832" s="16">
        <v>44809</v>
      </c>
      <c r="N832" s="26">
        <f t="shared" si="49"/>
        <v>5.9545483864243739E-3</v>
      </c>
      <c r="O832" s="26">
        <f>'Part 2 - CAPM 2.1, 2.2 and 2.3'!C832-'Part 2 - CAPM 2.1, 2.2 and 2.3'!K832</f>
        <v>4.7463496657426689E-3</v>
      </c>
    </row>
    <row r="833" spans="1:15" x14ac:dyDescent="0.4">
      <c r="A833" s="16">
        <v>44810</v>
      </c>
      <c r="B833" s="14">
        <v>132.1</v>
      </c>
      <c r="C833" s="25">
        <f t="shared" si="50"/>
        <v>-9.7451274362819439E-3</v>
      </c>
      <c r="E833" s="16">
        <v>44810</v>
      </c>
      <c r="F833" s="15">
        <v>15313.05</v>
      </c>
      <c r="G833" s="25">
        <f t="shared" si="51"/>
        <v>1.2194005649126241E-3</v>
      </c>
      <c r="I833" s="16">
        <v>44810</v>
      </c>
      <c r="J833" s="17">
        <v>5.5999999999999994E-2</v>
      </c>
      <c r="K833" s="25">
        <f t="shared" si="48"/>
        <v>1.4929384262507561E-4</v>
      </c>
      <c r="M833" s="16">
        <v>44810</v>
      </c>
      <c r="N833" s="26">
        <f t="shared" si="49"/>
        <v>1.0701067222875485E-3</v>
      </c>
      <c r="O833" s="26">
        <f>'Part 2 - CAPM 2.1, 2.2 and 2.3'!C833-'Part 2 - CAPM 2.1, 2.2 and 2.3'!K833</f>
        <v>-9.8944212789070195E-3</v>
      </c>
    </row>
    <row r="834" spans="1:15" x14ac:dyDescent="0.4">
      <c r="A834" s="16">
        <v>44811</v>
      </c>
      <c r="B834" s="14">
        <v>132.5</v>
      </c>
      <c r="C834" s="25">
        <f t="shared" si="50"/>
        <v>3.0280090840272954E-3</v>
      </c>
      <c r="E834" s="16">
        <v>44811</v>
      </c>
      <c r="F834" s="15">
        <v>15319.4</v>
      </c>
      <c r="G834" s="25">
        <f t="shared" si="51"/>
        <v>4.1467898295900323E-4</v>
      </c>
      <c r="I834" s="16">
        <v>44811</v>
      </c>
      <c r="J834" s="17">
        <v>5.5899999999999998E-2</v>
      </c>
      <c r="K834" s="25">
        <f t="shared" si="48"/>
        <v>1.4903434788582359E-4</v>
      </c>
      <c r="M834" s="16">
        <v>44811</v>
      </c>
      <c r="N834" s="26">
        <f t="shared" si="49"/>
        <v>2.6564463507317964E-4</v>
      </c>
      <c r="O834" s="26">
        <f>'Part 2 - CAPM 2.1, 2.2 and 2.3'!C834-'Part 2 - CAPM 2.1, 2.2 and 2.3'!K834</f>
        <v>2.8789747361414719E-3</v>
      </c>
    </row>
    <row r="835" spans="1:15" x14ac:dyDescent="0.4">
      <c r="A835" s="16">
        <v>44812</v>
      </c>
      <c r="B835" s="14">
        <v>131.85</v>
      </c>
      <c r="C835" s="25">
        <f t="shared" si="50"/>
        <v>-4.9056603773585334E-3</v>
      </c>
      <c r="E835" s="16">
        <v>44812</v>
      </c>
      <c r="F835" s="15">
        <v>15440.7</v>
      </c>
      <c r="G835" s="25">
        <f t="shared" si="51"/>
        <v>7.918064676162323E-3</v>
      </c>
      <c r="I835" s="16">
        <v>44812</v>
      </c>
      <c r="J835" s="17">
        <v>5.6399999999999999E-2</v>
      </c>
      <c r="K835" s="25">
        <f t="shared" si="48"/>
        <v>1.5033157657917684E-4</v>
      </c>
      <c r="M835" s="16">
        <v>44812</v>
      </c>
      <c r="N835" s="26">
        <f t="shared" si="49"/>
        <v>7.7677330995831462E-3</v>
      </c>
      <c r="O835" s="26">
        <f>'Part 2 - CAPM 2.1, 2.2 and 2.3'!C835-'Part 2 - CAPM 2.1, 2.2 and 2.3'!K835</f>
        <v>-5.0559919539377102E-3</v>
      </c>
    </row>
    <row r="836" spans="1:15" x14ac:dyDescent="0.4">
      <c r="A836" s="16">
        <v>44813</v>
      </c>
      <c r="B836" s="14">
        <v>134</v>
      </c>
      <c r="C836" s="25">
        <f t="shared" si="50"/>
        <v>1.6306408797876419E-2</v>
      </c>
      <c r="E836" s="16">
        <v>44813</v>
      </c>
      <c r="F836" s="15">
        <v>15467.4</v>
      </c>
      <c r="G836" s="25">
        <f t="shared" si="51"/>
        <v>1.7291962151974268E-3</v>
      </c>
      <c r="I836" s="16">
        <v>44813</v>
      </c>
      <c r="J836" s="17">
        <v>5.6399999999999999E-2</v>
      </c>
      <c r="K836" s="25">
        <f t="shared" ref="K836:K899" si="52">((1+J836)^(1/365))-1</f>
        <v>1.5033157657917684E-4</v>
      </c>
      <c r="M836" s="16">
        <v>44813</v>
      </c>
      <c r="N836" s="26">
        <f t="shared" ref="N836:N899" si="53">G836-K836</f>
        <v>1.57886463861825E-3</v>
      </c>
      <c r="O836" s="26">
        <f>'Part 2 - CAPM 2.1, 2.2 and 2.3'!C836-'Part 2 - CAPM 2.1, 2.2 and 2.3'!K836</f>
        <v>1.6156077221297242E-2</v>
      </c>
    </row>
    <row r="837" spans="1:15" x14ac:dyDescent="0.4">
      <c r="A837" s="16">
        <v>44816</v>
      </c>
      <c r="B837" s="14">
        <v>134</v>
      </c>
      <c r="C837" s="25">
        <f t="shared" ref="C837:C900" si="54">(B837-B836)/B836</f>
        <v>0</v>
      </c>
      <c r="E837" s="16">
        <v>44816</v>
      </c>
      <c r="F837" s="15">
        <v>15577.4</v>
      </c>
      <c r="G837" s="25">
        <f t="shared" ref="G837:G900" si="55">(F837-F836)/F836</f>
        <v>7.1117317713384285E-3</v>
      </c>
      <c r="I837" s="16">
        <v>44816</v>
      </c>
      <c r="J837" s="17">
        <v>5.6600000000000004E-2</v>
      </c>
      <c r="K837" s="25">
        <f t="shared" si="52"/>
        <v>1.5085029661965343E-4</v>
      </c>
      <c r="M837" s="16">
        <v>44816</v>
      </c>
      <c r="N837" s="26">
        <f t="shared" si="53"/>
        <v>6.9608814747187751E-3</v>
      </c>
      <c r="O837" s="26">
        <f>'Part 2 - CAPM 2.1, 2.2 and 2.3'!C837-'Part 2 - CAPM 2.1, 2.2 and 2.3'!K837</f>
        <v>-1.5085029661965343E-4</v>
      </c>
    </row>
    <row r="838" spans="1:15" x14ac:dyDescent="0.4">
      <c r="A838" s="16">
        <v>44817</v>
      </c>
      <c r="B838" s="14">
        <v>133.9</v>
      </c>
      <c r="C838" s="25">
        <f t="shared" si="54"/>
        <v>-7.4626865671637553E-4</v>
      </c>
      <c r="E838" s="16">
        <v>44817</v>
      </c>
      <c r="F838" s="15">
        <v>15669.85</v>
      </c>
      <c r="G838" s="25">
        <f t="shared" si="55"/>
        <v>5.9348800184883697E-3</v>
      </c>
      <c r="I838" s="16">
        <v>44817</v>
      </c>
      <c r="J838" s="17">
        <v>5.6600000000000004E-2</v>
      </c>
      <c r="K838" s="25">
        <f t="shared" si="52"/>
        <v>1.5085029661965343E-4</v>
      </c>
      <c r="M838" s="16">
        <v>44817</v>
      </c>
      <c r="N838" s="26">
        <f t="shared" si="53"/>
        <v>5.7840297218687163E-3</v>
      </c>
      <c r="O838" s="26">
        <f>'Part 2 - CAPM 2.1, 2.2 and 2.3'!C838-'Part 2 - CAPM 2.1, 2.2 and 2.3'!K838</f>
        <v>-8.9711895333602896E-4</v>
      </c>
    </row>
    <row r="839" spans="1:15" x14ac:dyDescent="0.4">
      <c r="A839" s="16">
        <v>44818</v>
      </c>
      <c r="B839" s="14">
        <v>133.19999999999999</v>
      </c>
      <c r="C839" s="25">
        <f t="shared" si="54"/>
        <v>-5.2277819268111798E-3</v>
      </c>
      <c r="E839" s="16">
        <v>44818</v>
      </c>
      <c r="F839" s="15">
        <v>15630.7</v>
      </c>
      <c r="G839" s="25">
        <f t="shared" si="55"/>
        <v>-2.4984285108025691E-3</v>
      </c>
      <c r="I839" s="16">
        <v>44818</v>
      </c>
      <c r="J839" s="17">
        <v>5.7000000000000002E-2</v>
      </c>
      <c r="K839" s="25">
        <f t="shared" si="52"/>
        <v>1.518874430121997E-4</v>
      </c>
      <c r="M839" s="16">
        <v>44818</v>
      </c>
      <c r="N839" s="26">
        <f t="shared" si="53"/>
        <v>-2.6503159538147688E-3</v>
      </c>
      <c r="O839" s="26">
        <f>'Part 2 - CAPM 2.1, 2.2 and 2.3'!C839-'Part 2 - CAPM 2.1, 2.2 and 2.3'!K839</f>
        <v>-5.3796693698233795E-3</v>
      </c>
    </row>
    <row r="840" spans="1:15" x14ac:dyDescent="0.4">
      <c r="A840" s="16">
        <v>44819</v>
      </c>
      <c r="B840" s="14">
        <v>132.6</v>
      </c>
      <c r="C840" s="25">
        <f t="shared" si="54"/>
        <v>-4.504504504504462E-3</v>
      </c>
      <c r="E840" s="16">
        <v>44819</v>
      </c>
      <c r="F840" s="15">
        <v>15580.35</v>
      </c>
      <c r="G840" s="25">
        <f t="shared" si="55"/>
        <v>-3.2212248971575401E-3</v>
      </c>
      <c r="I840" s="16">
        <v>44819</v>
      </c>
      <c r="J840" s="17">
        <v>5.7599999999999998E-2</v>
      </c>
      <c r="K840" s="25">
        <f t="shared" si="52"/>
        <v>1.5344242893555737E-4</v>
      </c>
      <c r="M840" s="16">
        <v>44819</v>
      </c>
      <c r="N840" s="26">
        <f t="shared" si="53"/>
        <v>-3.3746673260930974E-3</v>
      </c>
      <c r="O840" s="26">
        <f>'Part 2 - CAPM 2.1, 2.2 and 2.3'!C840-'Part 2 - CAPM 2.1, 2.2 and 2.3'!K840</f>
        <v>-4.6579469334400193E-3</v>
      </c>
    </row>
    <row r="841" spans="1:15" x14ac:dyDescent="0.4">
      <c r="A841" s="16">
        <v>44820</v>
      </c>
      <c r="B841" s="14">
        <v>131.25</v>
      </c>
      <c r="C841" s="25">
        <f t="shared" si="54"/>
        <v>-1.0180995475113079E-2</v>
      </c>
      <c r="E841" s="16">
        <v>44820</v>
      </c>
      <c r="F841" s="15">
        <v>15243.95</v>
      </c>
      <c r="G841" s="25">
        <f t="shared" si="55"/>
        <v>-2.1591299296870713E-2</v>
      </c>
      <c r="I841" s="16">
        <v>44820</v>
      </c>
      <c r="J841" s="17">
        <v>5.7699999999999994E-2</v>
      </c>
      <c r="K841" s="25">
        <f t="shared" si="52"/>
        <v>1.5370150772087143E-4</v>
      </c>
      <c r="M841" s="16">
        <v>44820</v>
      </c>
      <c r="N841" s="26">
        <f t="shared" si="53"/>
        <v>-2.1745000804591585E-2</v>
      </c>
      <c r="O841" s="26">
        <f>'Part 2 - CAPM 2.1, 2.2 and 2.3'!C841-'Part 2 - CAPM 2.1, 2.2 and 2.3'!K841</f>
        <v>-1.033469698283395E-2</v>
      </c>
    </row>
    <row r="842" spans="1:15" x14ac:dyDescent="0.4">
      <c r="A842" s="16">
        <v>44823</v>
      </c>
      <c r="B842" s="14">
        <v>130.55000000000001</v>
      </c>
      <c r="C842" s="25">
        <f t="shared" si="54"/>
        <v>-5.3333333333332464E-3</v>
      </c>
      <c r="E842" s="16">
        <v>44823</v>
      </c>
      <c r="F842" s="15">
        <v>15293.55</v>
      </c>
      <c r="G842" s="25">
        <f t="shared" si="55"/>
        <v>3.2537498483003776E-3</v>
      </c>
      <c r="I842" s="16">
        <v>44823</v>
      </c>
      <c r="J842" s="17">
        <v>5.7800000000000004E-2</v>
      </c>
      <c r="K842" s="25">
        <f t="shared" si="52"/>
        <v>1.5396056208016873E-4</v>
      </c>
      <c r="M842" s="16">
        <v>44823</v>
      </c>
      <c r="N842" s="26">
        <f t="shared" si="53"/>
        <v>3.0997892862202089E-3</v>
      </c>
      <c r="O842" s="26">
        <f>'Part 2 - CAPM 2.1, 2.2 and 2.3'!C842-'Part 2 - CAPM 2.1, 2.2 and 2.3'!K842</f>
        <v>-5.4872938954134151E-3</v>
      </c>
    </row>
    <row r="843" spans="1:15" x14ac:dyDescent="0.4">
      <c r="A843" s="16">
        <v>44824</v>
      </c>
      <c r="B843" s="14">
        <v>133.19999999999999</v>
      </c>
      <c r="C843" s="25">
        <f t="shared" si="54"/>
        <v>2.0298736116430311E-2</v>
      </c>
      <c r="E843" s="16">
        <v>44824</v>
      </c>
      <c r="F843" s="15">
        <v>15470.35</v>
      </c>
      <c r="G843" s="25">
        <f t="shared" si="55"/>
        <v>1.1560429069771316E-2</v>
      </c>
      <c r="I843" s="16">
        <v>44824</v>
      </c>
      <c r="J843" s="17">
        <v>5.79E-2</v>
      </c>
      <c r="K843" s="25">
        <f t="shared" si="52"/>
        <v>1.5421959201766811E-4</v>
      </c>
      <c r="M843" s="16">
        <v>44824</v>
      </c>
      <c r="N843" s="26">
        <f t="shared" si="53"/>
        <v>1.1406209477753648E-2</v>
      </c>
      <c r="O843" s="26">
        <f>'Part 2 - CAPM 2.1, 2.2 and 2.3'!C843-'Part 2 - CAPM 2.1, 2.2 and 2.3'!K843</f>
        <v>2.0144516524412643E-2</v>
      </c>
    </row>
    <row r="844" spans="1:15" x14ac:dyDescent="0.4">
      <c r="A844" s="16">
        <v>44825</v>
      </c>
      <c r="B844" s="14">
        <v>130.9</v>
      </c>
      <c r="C844" s="25">
        <f t="shared" si="54"/>
        <v>-1.7267267267267142E-2</v>
      </c>
      <c r="E844" s="16">
        <v>44825</v>
      </c>
      <c r="F844" s="15">
        <v>15361.25</v>
      </c>
      <c r="G844" s="25">
        <f t="shared" si="55"/>
        <v>-7.0521998532677259E-3</v>
      </c>
      <c r="I844" s="16">
        <v>44825</v>
      </c>
      <c r="J844" s="17">
        <v>5.8499999999999996E-2</v>
      </c>
      <c r="K844" s="25">
        <f t="shared" si="52"/>
        <v>1.5577325904581052E-4</v>
      </c>
      <c r="M844" s="16">
        <v>44825</v>
      </c>
      <c r="N844" s="26">
        <f t="shared" si="53"/>
        <v>-7.2079731123135364E-3</v>
      </c>
      <c r="O844" s="26">
        <f>'Part 2 - CAPM 2.1, 2.2 and 2.3'!C844-'Part 2 - CAPM 2.1, 2.2 and 2.3'!K844</f>
        <v>-1.7423040526312952E-2</v>
      </c>
    </row>
    <row r="845" spans="1:15" x14ac:dyDescent="0.4">
      <c r="A845" s="16">
        <v>44826</v>
      </c>
      <c r="B845" s="14">
        <v>128.65</v>
      </c>
      <c r="C845" s="25">
        <f t="shared" si="54"/>
        <v>-1.7188693659281894E-2</v>
      </c>
      <c r="E845" s="16">
        <v>44826</v>
      </c>
      <c r="F845" s="15">
        <v>15335.3</v>
      </c>
      <c r="G845" s="25">
        <f t="shared" si="55"/>
        <v>-1.689315648140661E-3</v>
      </c>
      <c r="I845" s="16">
        <v>44826</v>
      </c>
      <c r="J845" s="17">
        <v>5.8799999999999998E-2</v>
      </c>
      <c r="K845" s="25">
        <f t="shared" si="52"/>
        <v>1.5654976324031011E-4</v>
      </c>
      <c r="M845" s="16">
        <v>44826</v>
      </c>
      <c r="N845" s="26">
        <f t="shared" si="53"/>
        <v>-1.8458654113809711E-3</v>
      </c>
      <c r="O845" s="26">
        <f>'Part 2 - CAPM 2.1, 2.2 and 2.3'!C845-'Part 2 - CAPM 2.1, 2.2 and 2.3'!K845</f>
        <v>-1.7345243422522204E-2</v>
      </c>
    </row>
    <row r="846" spans="1:15" x14ac:dyDescent="0.4">
      <c r="A846" s="16">
        <v>44827</v>
      </c>
      <c r="B846" s="14">
        <v>128.6</v>
      </c>
      <c r="C846" s="25">
        <f t="shared" si="54"/>
        <v>-3.8865137971248634E-4</v>
      </c>
      <c r="E846" s="16">
        <v>44827</v>
      </c>
      <c r="F846" s="15">
        <v>15057.65</v>
      </c>
      <c r="G846" s="25">
        <f t="shared" si="55"/>
        <v>-1.8105286495862464E-2</v>
      </c>
      <c r="I846" s="16">
        <v>44827</v>
      </c>
      <c r="J846" s="17">
        <v>5.9000000000000004E-2</v>
      </c>
      <c r="K846" s="25">
        <f t="shared" si="52"/>
        <v>1.5706731081777114E-4</v>
      </c>
      <c r="M846" s="16">
        <v>44827</v>
      </c>
      <c r="N846" s="26">
        <f t="shared" si="53"/>
        <v>-1.8262353806680235E-2</v>
      </c>
      <c r="O846" s="26">
        <f>'Part 2 - CAPM 2.1, 2.2 and 2.3'!C846-'Part 2 - CAPM 2.1, 2.2 and 2.3'!K846</f>
        <v>-5.4571869053025748E-4</v>
      </c>
    </row>
    <row r="847" spans="1:15" x14ac:dyDescent="0.4">
      <c r="A847" s="16">
        <v>44830</v>
      </c>
      <c r="B847" s="14">
        <v>123.45</v>
      </c>
      <c r="C847" s="25">
        <f t="shared" si="54"/>
        <v>-4.0046656298600249E-2</v>
      </c>
      <c r="E847" s="16">
        <v>44830</v>
      </c>
      <c r="F847" s="15">
        <v>14725.7</v>
      </c>
      <c r="G847" s="25">
        <f t="shared" si="55"/>
        <v>-2.2045272668709853E-2</v>
      </c>
      <c r="I847" s="16">
        <v>44830</v>
      </c>
      <c r="J847" s="17">
        <v>5.9400000000000001E-2</v>
      </c>
      <c r="K847" s="25">
        <f t="shared" si="52"/>
        <v>1.5810211361189097E-4</v>
      </c>
      <c r="M847" s="16">
        <v>44830</v>
      </c>
      <c r="N847" s="26">
        <f t="shared" si="53"/>
        <v>-2.2203374782321744E-2</v>
      </c>
      <c r="O847" s="26">
        <f>'Part 2 - CAPM 2.1, 2.2 and 2.3'!C847-'Part 2 - CAPM 2.1, 2.2 and 2.3'!K847</f>
        <v>-4.020475841221214E-2</v>
      </c>
    </row>
    <row r="848" spans="1:15" x14ac:dyDescent="0.4">
      <c r="A848" s="16">
        <v>44831</v>
      </c>
      <c r="B848" s="14">
        <v>124.45</v>
      </c>
      <c r="C848" s="25">
        <f t="shared" si="54"/>
        <v>8.1004455245038479E-3</v>
      </c>
      <c r="E848" s="16">
        <v>44831</v>
      </c>
      <c r="F848" s="15">
        <v>14727.3</v>
      </c>
      <c r="G848" s="25">
        <f t="shared" si="55"/>
        <v>1.0865357843759854E-4</v>
      </c>
      <c r="I848" s="16">
        <v>44831</v>
      </c>
      <c r="J848" s="17">
        <v>5.9699999999999996E-2</v>
      </c>
      <c r="K848" s="25">
        <f t="shared" si="52"/>
        <v>1.5887796003677401E-4</v>
      </c>
      <c r="M848" s="16">
        <v>44831</v>
      </c>
      <c r="N848" s="26">
        <f t="shared" si="53"/>
        <v>-5.0224381599175475E-5</v>
      </c>
      <c r="O848" s="26">
        <f>'Part 2 - CAPM 2.1, 2.2 and 2.3'!C848-'Part 2 - CAPM 2.1, 2.2 and 2.3'!K848</f>
        <v>7.9415675644670738E-3</v>
      </c>
    </row>
    <row r="849" spans="1:15" x14ac:dyDescent="0.4">
      <c r="A849" s="16">
        <v>44832</v>
      </c>
      <c r="B849" s="14">
        <v>122.55</v>
      </c>
      <c r="C849" s="25">
        <f t="shared" si="54"/>
        <v>-1.5267175572519128E-2</v>
      </c>
      <c r="E849" s="16">
        <v>44832</v>
      </c>
      <c r="F849" s="15">
        <v>14620.6</v>
      </c>
      <c r="G849" s="25">
        <f t="shared" si="55"/>
        <v>-7.2450483116388549E-3</v>
      </c>
      <c r="I849" s="16">
        <v>44832</v>
      </c>
      <c r="J849" s="17">
        <v>6.0999999999999999E-2</v>
      </c>
      <c r="K849" s="25">
        <f t="shared" si="52"/>
        <v>1.6223743203291896E-4</v>
      </c>
      <c r="M849" s="16">
        <v>44832</v>
      </c>
      <c r="N849" s="26">
        <f t="shared" si="53"/>
        <v>-7.4072857436717739E-3</v>
      </c>
      <c r="O849" s="26">
        <f>'Part 2 - CAPM 2.1, 2.2 and 2.3'!C849-'Part 2 - CAPM 2.1, 2.2 and 2.3'!K849</f>
        <v>-1.5429413004552047E-2</v>
      </c>
    </row>
    <row r="850" spans="1:15" x14ac:dyDescent="0.4">
      <c r="A850" s="16">
        <v>44833</v>
      </c>
      <c r="B850" s="14">
        <v>126.65</v>
      </c>
      <c r="C850" s="25">
        <f t="shared" si="54"/>
        <v>3.3455732354141239E-2</v>
      </c>
      <c r="E850" s="16">
        <v>44833</v>
      </c>
      <c r="F850" s="15">
        <v>14602.5</v>
      </c>
      <c r="G850" s="25">
        <f t="shared" si="55"/>
        <v>-1.2379792894956681E-3</v>
      </c>
      <c r="I850" s="16">
        <v>44833</v>
      </c>
      <c r="J850" s="17">
        <v>6.0899999999999996E-2</v>
      </c>
      <c r="K850" s="25">
        <f t="shared" si="52"/>
        <v>1.6197915688698217E-4</v>
      </c>
      <c r="M850" s="16">
        <v>44833</v>
      </c>
      <c r="N850" s="26">
        <f t="shared" si="53"/>
        <v>-1.3999584463826502E-3</v>
      </c>
      <c r="O850" s="26">
        <f>'Part 2 - CAPM 2.1, 2.2 and 2.3'!C850-'Part 2 - CAPM 2.1, 2.2 and 2.3'!K850</f>
        <v>3.3293753197254257E-2</v>
      </c>
    </row>
    <row r="851" spans="1:15" x14ac:dyDescent="0.4">
      <c r="A851" s="16">
        <v>44834</v>
      </c>
      <c r="B851" s="14">
        <v>126.8</v>
      </c>
      <c r="C851" s="25">
        <f t="shared" si="54"/>
        <v>1.1843663639951952E-3</v>
      </c>
      <c r="E851" s="16">
        <v>44834</v>
      </c>
      <c r="F851" s="15">
        <v>14829.35</v>
      </c>
      <c r="G851" s="25">
        <f t="shared" si="55"/>
        <v>1.5535011128231493E-2</v>
      </c>
      <c r="I851" s="16">
        <v>44834</v>
      </c>
      <c r="J851" s="17">
        <v>6.0899999999999996E-2</v>
      </c>
      <c r="K851" s="25">
        <f t="shared" si="52"/>
        <v>1.6197915688698217E-4</v>
      </c>
      <c r="M851" s="16">
        <v>44834</v>
      </c>
      <c r="N851" s="26">
        <f t="shared" si="53"/>
        <v>1.5373031971344511E-2</v>
      </c>
      <c r="O851" s="26">
        <f>'Part 2 - CAPM 2.1, 2.2 and 2.3'!C851-'Part 2 - CAPM 2.1, 2.2 and 2.3'!K851</f>
        <v>1.022387207108213E-3</v>
      </c>
    </row>
    <row r="852" spans="1:15" x14ac:dyDescent="0.4">
      <c r="A852" s="16">
        <v>44837</v>
      </c>
      <c r="B852" s="14">
        <v>132.4</v>
      </c>
      <c r="C852" s="25">
        <f t="shared" si="54"/>
        <v>4.4164037854889655E-2</v>
      </c>
      <c r="E852" s="16">
        <v>44837</v>
      </c>
      <c r="F852" s="15">
        <v>14638.5</v>
      </c>
      <c r="G852" s="25">
        <f t="shared" si="55"/>
        <v>-1.2869748168328372E-2</v>
      </c>
      <c r="I852" s="16">
        <v>44837</v>
      </c>
      <c r="J852" s="17">
        <v>5.9800000000000006E-2</v>
      </c>
      <c r="K852" s="25">
        <f t="shared" si="52"/>
        <v>1.5913652683696711E-4</v>
      </c>
      <c r="M852" s="16">
        <v>44837</v>
      </c>
      <c r="N852" s="26">
        <f t="shared" si="53"/>
        <v>-1.3028884695165339E-2</v>
      </c>
      <c r="O852" s="26">
        <f>'Part 2 - CAPM 2.1, 2.2 and 2.3'!C852-'Part 2 - CAPM 2.1, 2.2 and 2.3'!K852</f>
        <v>4.4004901328052688E-2</v>
      </c>
    </row>
    <row r="853" spans="1:15" x14ac:dyDescent="0.4">
      <c r="A853" s="16">
        <v>44838</v>
      </c>
      <c r="B853" s="14">
        <v>133.9</v>
      </c>
      <c r="C853" s="25">
        <f t="shared" si="54"/>
        <v>1.1329305135951661E-2</v>
      </c>
      <c r="E853" s="16">
        <v>44838</v>
      </c>
      <c r="F853" s="15">
        <v>14965.8</v>
      </c>
      <c r="G853" s="25">
        <f t="shared" si="55"/>
        <v>2.2358848242647764E-2</v>
      </c>
      <c r="I853" s="16">
        <v>44838</v>
      </c>
      <c r="J853" s="17">
        <v>5.96E-2</v>
      </c>
      <c r="K853" s="25">
        <f t="shared" si="52"/>
        <v>1.5861936890226858E-4</v>
      </c>
      <c r="M853" s="16">
        <v>44838</v>
      </c>
      <c r="N853" s="26">
        <f t="shared" si="53"/>
        <v>2.2200228873745495E-2</v>
      </c>
      <c r="O853" s="26">
        <f>'Part 2 - CAPM 2.1, 2.2 and 2.3'!C853-'Part 2 - CAPM 2.1, 2.2 and 2.3'!K853</f>
        <v>1.1170685767049392E-2</v>
      </c>
    </row>
    <row r="854" spans="1:15" x14ac:dyDescent="0.4">
      <c r="A854" s="16">
        <v>44840</v>
      </c>
      <c r="B854" s="14">
        <v>132.65</v>
      </c>
      <c r="C854" s="25">
        <f t="shared" si="54"/>
        <v>-9.3353248693054513E-3</v>
      </c>
      <c r="E854" s="16">
        <v>44840</v>
      </c>
      <c r="F854" s="15">
        <v>15053.05</v>
      </c>
      <c r="G854" s="25">
        <f t="shared" si="55"/>
        <v>5.8299589731253924E-3</v>
      </c>
      <c r="I854" s="16">
        <v>44840</v>
      </c>
      <c r="J854" s="17">
        <v>6.0899999999999996E-2</v>
      </c>
      <c r="K854" s="25">
        <f t="shared" si="52"/>
        <v>1.6197915688698217E-4</v>
      </c>
      <c r="M854" s="16">
        <v>44840</v>
      </c>
      <c r="N854" s="26">
        <f t="shared" si="53"/>
        <v>5.6679798162384103E-3</v>
      </c>
      <c r="O854" s="26">
        <f>'Part 2 - CAPM 2.1, 2.2 and 2.3'!C854-'Part 2 - CAPM 2.1, 2.2 and 2.3'!K854</f>
        <v>-9.4973040261924335E-3</v>
      </c>
    </row>
    <row r="855" spans="1:15" x14ac:dyDescent="0.4">
      <c r="A855" s="16">
        <v>44841</v>
      </c>
      <c r="B855" s="14">
        <v>134.05000000000001</v>
      </c>
      <c r="C855" s="25">
        <f t="shared" si="54"/>
        <v>1.0554089709762576E-2</v>
      </c>
      <c r="E855" s="16">
        <v>44841</v>
      </c>
      <c r="F855" s="15">
        <v>15036.7</v>
      </c>
      <c r="G855" s="25">
        <f t="shared" si="55"/>
        <v>-1.0861586190173118E-3</v>
      </c>
      <c r="I855" s="16">
        <v>44841</v>
      </c>
      <c r="J855" s="17">
        <v>6.1200000000000004E-2</v>
      </c>
      <c r="K855" s="25">
        <f t="shared" si="52"/>
        <v>1.6275390950526436E-4</v>
      </c>
      <c r="M855" s="16">
        <v>44841</v>
      </c>
      <c r="N855" s="26">
        <f t="shared" si="53"/>
        <v>-1.2489125285225762E-3</v>
      </c>
      <c r="O855" s="26">
        <f>'Part 2 - CAPM 2.1, 2.2 and 2.3'!C855-'Part 2 - CAPM 2.1, 2.2 and 2.3'!K855</f>
        <v>1.0391335800257312E-2</v>
      </c>
    </row>
    <row r="856" spans="1:15" x14ac:dyDescent="0.4">
      <c r="A856" s="16">
        <v>44844</v>
      </c>
      <c r="B856" s="14">
        <v>133.25</v>
      </c>
      <c r="C856" s="25">
        <f t="shared" si="54"/>
        <v>-5.9679224170086633E-3</v>
      </c>
      <c r="E856" s="16">
        <v>44844</v>
      </c>
      <c r="F856" s="15">
        <v>14951.65</v>
      </c>
      <c r="G856" s="25">
        <f t="shared" si="55"/>
        <v>-5.6561612587869075E-3</v>
      </c>
      <c r="I856" s="16">
        <v>44844</v>
      </c>
      <c r="J856" s="17">
        <v>6.13E-2</v>
      </c>
      <c r="K856" s="25">
        <f t="shared" si="52"/>
        <v>1.6301211184055475E-4</v>
      </c>
      <c r="M856" s="16">
        <v>44844</v>
      </c>
      <c r="N856" s="26">
        <f t="shared" si="53"/>
        <v>-5.8191733706274623E-3</v>
      </c>
      <c r="O856" s="26">
        <f>'Part 2 - CAPM 2.1, 2.2 and 2.3'!C856-'Part 2 - CAPM 2.1, 2.2 and 2.3'!K856</f>
        <v>-6.1309345288492181E-3</v>
      </c>
    </row>
    <row r="857" spans="1:15" x14ac:dyDescent="0.4">
      <c r="A857" s="16">
        <v>44845</v>
      </c>
      <c r="B857" s="14">
        <v>131.1</v>
      </c>
      <c r="C857" s="25">
        <f t="shared" si="54"/>
        <v>-1.6135084427767399E-2</v>
      </c>
      <c r="E857" s="16">
        <v>44845</v>
      </c>
      <c r="F857" s="15">
        <v>14721.9</v>
      </c>
      <c r="G857" s="25">
        <f t="shared" si="55"/>
        <v>-1.5366197041798063E-2</v>
      </c>
      <c r="I857" s="16">
        <v>44845</v>
      </c>
      <c r="J857" s="17">
        <v>6.2E-2</v>
      </c>
      <c r="K857" s="25">
        <f t="shared" si="52"/>
        <v>1.6481884913366329E-4</v>
      </c>
      <c r="M857" s="16">
        <v>44845</v>
      </c>
      <c r="N857" s="26">
        <f t="shared" si="53"/>
        <v>-1.5531015890931726E-2</v>
      </c>
      <c r="O857" s="26">
        <f>'Part 2 - CAPM 2.1, 2.2 and 2.3'!C857-'Part 2 - CAPM 2.1, 2.2 and 2.3'!K857</f>
        <v>-1.6299903276901062E-2</v>
      </c>
    </row>
    <row r="858" spans="1:15" x14ac:dyDescent="0.4">
      <c r="A858" s="16">
        <v>44846</v>
      </c>
      <c r="B858" s="14">
        <v>131.35</v>
      </c>
      <c r="C858" s="25">
        <f t="shared" si="54"/>
        <v>1.9069412662090009E-3</v>
      </c>
      <c r="E858" s="16">
        <v>44846</v>
      </c>
      <c r="F858" s="15">
        <v>14829.95</v>
      </c>
      <c r="G858" s="25">
        <f t="shared" si="55"/>
        <v>7.3394059190730202E-3</v>
      </c>
      <c r="I858" s="16">
        <v>44846</v>
      </c>
      <c r="J858" s="17">
        <v>6.2300000000000001E-2</v>
      </c>
      <c r="K858" s="25">
        <f t="shared" si="52"/>
        <v>1.6559280158778833E-4</v>
      </c>
      <c r="M858" s="16">
        <v>44846</v>
      </c>
      <c r="N858" s="26">
        <f t="shared" si="53"/>
        <v>7.1738131174852319E-3</v>
      </c>
      <c r="O858" s="26">
        <f>'Part 2 - CAPM 2.1, 2.2 and 2.3'!C858-'Part 2 - CAPM 2.1, 2.2 and 2.3'!K858</f>
        <v>1.7413484646212126E-3</v>
      </c>
    </row>
    <row r="859" spans="1:15" x14ac:dyDescent="0.4">
      <c r="A859" s="16">
        <v>44847</v>
      </c>
      <c r="B859" s="14">
        <v>129.85</v>
      </c>
      <c r="C859" s="25">
        <f t="shared" si="54"/>
        <v>-1.1419870574800152E-2</v>
      </c>
      <c r="E859" s="16">
        <v>44847</v>
      </c>
      <c r="F859" s="15">
        <v>14730.3</v>
      </c>
      <c r="G859" s="25">
        <f t="shared" si="55"/>
        <v>-6.7195101804120349E-3</v>
      </c>
      <c r="I859" s="16">
        <v>44847</v>
      </c>
      <c r="J859" s="17">
        <v>6.3E-2</v>
      </c>
      <c r="K859" s="25">
        <f t="shared" si="52"/>
        <v>1.673978433180956E-4</v>
      </c>
      <c r="M859" s="16">
        <v>44847</v>
      </c>
      <c r="N859" s="26">
        <f t="shared" si="53"/>
        <v>-6.8869080237301305E-3</v>
      </c>
      <c r="O859" s="26">
        <f>'Part 2 - CAPM 2.1, 2.2 and 2.3'!C859-'Part 2 - CAPM 2.1, 2.2 and 2.3'!K859</f>
        <v>-1.1587268418118248E-2</v>
      </c>
    </row>
    <row r="860" spans="1:15" x14ac:dyDescent="0.4">
      <c r="A860" s="16">
        <v>44848</v>
      </c>
      <c r="B860" s="14">
        <v>127.6</v>
      </c>
      <c r="C860" s="25">
        <f t="shared" si="54"/>
        <v>-1.7327685791297651E-2</v>
      </c>
      <c r="E860" s="16">
        <v>44848</v>
      </c>
      <c r="F860" s="15">
        <v>14815.1</v>
      </c>
      <c r="G860" s="25">
        <f t="shared" si="55"/>
        <v>5.7568413406380789E-3</v>
      </c>
      <c r="I860" s="16">
        <v>44848</v>
      </c>
      <c r="J860" s="17">
        <v>6.3299999999999995E-2</v>
      </c>
      <c r="K860" s="25">
        <f t="shared" si="52"/>
        <v>1.6817106978539442E-4</v>
      </c>
      <c r="M860" s="16">
        <v>44848</v>
      </c>
      <c r="N860" s="26">
        <f t="shared" si="53"/>
        <v>5.5886702708526845E-3</v>
      </c>
      <c r="O860" s="26">
        <f>'Part 2 - CAPM 2.1, 2.2 and 2.3'!C860-'Part 2 - CAPM 2.1, 2.2 and 2.3'!K860</f>
        <v>-1.7495856861083046E-2</v>
      </c>
    </row>
    <row r="861" spans="1:15" x14ac:dyDescent="0.4">
      <c r="A861" s="16">
        <v>44851</v>
      </c>
      <c r="B861" s="14">
        <v>127.8</v>
      </c>
      <c r="C861" s="25">
        <f t="shared" si="54"/>
        <v>1.5673981191222793E-3</v>
      </c>
      <c r="E861" s="16">
        <v>44851</v>
      </c>
      <c r="F861" s="15">
        <v>14906.15</v>
      </c>
      <c r="G861" s="25">
        <f t="shared" si="55"/>
        <v>6.1457566941835878E-3</v>
      </c>
      <c r="I861" s="16">
        <v>44851</v>
      </c>
      <c r="J861" s="17">
        <v>6.3E-2</v>
      </c>
      <c r="K861" s="25">
        <f t="shared" si="52"/>
        <v>1.673978433180956E-4</v>
      </c>
      <c r="M861" s="16">
        <v>44851</v>
      </c>
      <c r="N861" s="26">
        <f t="shared" si="53"/>
        <v>5.9783588508654922E-3</v>
      </c>
      <c r="O861" s="26">
        <f>'Part 2 - CAPM 2.1, 2.2 and 2.3'!C861-'Part 2 - CAPM 2.1, 2.2 and 2.3'!K861</f>
        <v>1.4000002758041837E-3</v>
      </c>
    </row>
    <row r="862" spans="1:15" x14ac:dyDescent="0.4">
      <c r="A862" s="16">
        <v>44852</v>
      </c>
      <c r="B862" s="14">
        <v>128.69999999999999</v>
      </c>
      <c r="C862" s="25">
        <f t="shared" si="54"/>
        <v>7.0422535211266939E-3</v>
      </c>
      <c r="E862" s="16">
        <v>44852</v>
      </c>
      <c r="F862" s="15">
        <v>15056.55</v>
      </c>
      <c r="G862" s="25">
        <f t="shared" si="55"/>
        <v>1.0089795151665564E-2</v>
      </c>
      <c r="I862" s="16">
        <v>44852</v>
      </c>
      <c r="J862" s="17">
        <v>6.3E-2</v>
      </c>
      <c r="K862" s="25">
        <f t="shared" si="52"/>
        <v>1.673978433180956E-4</v>
      </c>
      <c r="M862" s="16">
        <v>44852</v>
      </c>
      <c r="N862" s="26">
        <f t="shared" si="53"/>
        <v>9.9223973083474686E-3</v>
      </c>
      <c r="O862" s="26">
        <f>'Part 2 - CAPM 2.1, 2.2 and 2.3'!C862-'Part 2 - CAPM 2.1, 2.2 and 2.3'!K862</f>
        <v>6.8748556778085983E-3</v>
      </c>
    </row>
    <row r="863" spans="1:15" x14ac:dyDescent="0.4">
      <c r="A863" s="16">
        <v>44853</v>
      </c>
      <c r="B863" s="14">
        <v>127.8</v>
      </c>
      <c r="C863" s="25">
        <f t="shared" si="54"/>
        <v>-6.9930069930069271E-3</v>
      </c>
      <c r="E863" s="16">
        <v>44853</v>
      </c>
      <c r="F863" s="15">
        <v>15068.6</v>
      </c>
      <c r="G863" s="25">
        <f t="shared" si="55"/>
        <v>8.003161414800264E-4</v>
      </c>
      <c r="I863" s="16">
        <v>44853</v>
      </c>
      <c r="J863" s="17">
        <v>6.3299999999999995E-2</v>
      </c>
      <c r="K863" s="25">
        <f t="shared" si="52"/>
        <v>1.6817106978539442E-4</v>
      </c>
      <c r="M863" s="16">
        <v>44853</v>
      </c>
      <c r="N863" s="26">
        <f t="shared" si="53"/>
        <v>6.3214507169463197E-4</v>
      </c>
      <c r="O863" s="26">
        <f>'Part 2 - CAPM 2.1, 2.2 and 2.3'!C863-'Part 2 - CAPM 2.1, 2.2 and 2.3'!K863</f>
        <v>-7.1611780627923215E-3</v>
      </c>
    </row>
    <row r="864" spans="1:15" x14ac:dyDescent="0.4">
      <c r="A864" s="16">
        <v>44854</v>
      </c>
      <c r="B864" s="14">
        <v>129.6</v>
      </c>
      <c r="C864" s="25">
        <f t="shared" si="54"/>
        <v>1.4084507042253499E-2</v>
      </c>
      <c r="E864" s="16">
        <v>44854</v>
      </c>
      <c r="F864" s="15">
        <v>15112.1</v>
      </c>
      <c r="G864" s="25">
        <f t="shared" si="55"/>
        <v>2.8867977117980437E-3</v>
      </c>
      <c r="I864" s="16">
        <v>44854</v>
      </c>
      <c r="J864" s="17">
        <v>6.3799999999999996E-2</v>
      </c>
      <c r="K864" s="25">
        <f t="shared" si="52"/>
        <v>1.6945929722411712E-4</v>
      </c>
      <c r="M864" s="16">
        <v>44854</v>
      </c>
      <c r="N864" s="26">
        <f t="shared" si="53"/>
        <v>2.7173384145739265E-3</v>
      </c>
      <c r="O864" s="26">
        <f>'Part 2 - CAPM 2.1, 2.2 and 2.3'!C864-'Part 2 - CAPM 2.1, 2.2 and 2.3'!K864</f>
        <v>1.3915047745029382E-2</v>
      </c>
    </row>
    <row r="865" spans="1:15" x14ac:dyDescent="0.4">
      <c r="A865" s="16">
        <v>44855</v>
      </c>
      <c r="B865" s="14">
        <v>131.55000000000001</v>
      </c>
      <c r="C865" s="25">
        <f t="shared" si="54"/>
        <v>1.5046296296296429E-2</v>
      </c>
      <c r="E865" s="16">
        <v>44855</v>
      </c>
      <c r="F865" s="15">
        <v>15081.1</v>
      </c>
      <c r="G865" s="25">
        <f t="shared" si="55"/>
        <v>-2.0513363463714506E-3</v>
      </c>
      <c r="I865" s="16">
        <v>44855</v>
      </c>
      <c r="J865" s="17">
        <v>6.3799999999999996E-2</v>
      </c>
      <c r="K865" s="25">
        <f t="shared" si="52"/>
        <v>1.6945929722411712E-4</v>
      </c>
      <c r="M865" s="16">
        <v>44855</v>
      </c>
      <c r="N865" s="26">
        <f t="shared" si="53"/>
        <v>-2.2207956435955677E-3</v>
      </c>
      <c r="O865" s="26">
        <f>'Part 2 - CAPM 2.1, 2.2 and 2.3'!C865-'Part 2 - CAPM 2.1, 2.2 and 2.3'!K865</f>
        <v>1.4876836999072312E-2</v>
      </c>
    </row>
    <row r="866" spans="1:15" x14ac:dyDescent="0.4">
      <c r="A866" s="16">
        <v>44859</v>
      </c>
      <c r="B866" s="14">
        <v>130.75</v>
      </c>
      <c r="C866" s="25">
        <f t="shared" si="54"/>
        <v>-6.0813378943368399E-3</v>
      </c>
      <c r="E866" s="16">
        <v>44859</v>
      </c>
      <c r="F866" s="15">
        <v>15158.1</v>
      </c>
      <c r="G866" s="25">
        <f t="shared" si="55"/>
        <v>5.1057283619895099E-3</v>
      </c>
      <c r="I866" s="16">
        <v>44859</v>
      </c>
      <c r="J866" s="17">
        <v>6.3600000000000004E-2</v>
      </c>
      <c r="K866" s="25">
        <f t="shared" si="52"/>
        <v>1.6894407872247719E-4</v>
      </c>
      <c r="M866" s="16">
        <v>44859</v>
      </c>
      <c r="N866" s="26">
        <f t="shared" si="53"/>
        <v>4.9367842832670327E-3</v>
      </c>
      <c r="O866" s="26">
        <f>'Part 2 - CAPM 2.1, 2.2 and 2.3'!C866-'Part 2 - CAPM 2.1, 2.2 and 2.3'!K866</f>
        <v>-6.250281973059317E-3</v>
      </c>
    </row>
    <row r="867" spans="1:15" x14ac:dyDescent="0.4">
      <c r="A867" s="16">
        <v>44861</v>
      </c>
      <c r="B867" s="14">
        <v>131.80000000000001</v>
      </c>
      <c r="C867" s="25">
        <f t="shared" si="54"/>
        <v>8.0305927342257076E-3</v>
      </c>
      <c r="E867" s="16">
        <v>44861</v>
      </c>
      <c r="F867" s="15">
        <v>15244.25</v>
      </c>
      <c r="G867" s="25">
        <f t="shared" si="55"/>
        <v>5.6834299813300895E-3</v>
      </c>
      <c r="I867" s="16">
        <v>44861</v>
      </c>
      <c r="J867" s="17">
        <v>6.3799999999999996E-2</v>
      </c>
      <c r="K867" s="25">
        <f t="shared" si="52"/>
        <v>1.6945929722411712E-4</v>
      </c>
      <c r="M867" s="16">
        <v>44861</v>
      </c>
      <c r="N867" s="26">
        <f t="shared" si="53"/>
        <v>5.5139706841059724E-3</v>
      </c>
      <c r="O867" s="26">
        <f>'Part 2 - CAPM 2.1, 2.2 and 2.3'!C867-'Part 2 - CAPM 2.1, 2.2 and 2.3'!K867</f>
        <v>7.8611334370015905E-3</v>
      </c>
    </row>
    <row r="868" spans="1:15" x14ac:dyDescent="0.4">
      <c r="A868" s="16">
        <v>44862</v>
      </c>
      <c r="B868" s="14">
        <v>133.69999999999999</v>
      </c>
      <c r="C868" s="25">
        <f t="shared" si="54"/>
        <v>1.4415781487101495E-2</v>
      </c>
      <c r="E868" s="16">
        <v>44862</v>
      </c>
      <c r="F868" s="15">
        <v>15241.6</v>
      </c>
      <c r="G868" s="25">
        <f t="shared" si="55"/>
        <v>-1.7383603653834306E-4</v>
      </c>
      <c r="I868" s="16">
        <v>44862</v>
      </c>
      <c r="J868" s="17">
        <v>6.4500000000000002E-2</v>
      </c>
      <c r="K868" s="25">
        <f t="shared" si="52"/>
        <v>1.7126180157722715E-4</v>
      </c>
      <c r="M868" s="16">
        <v>44862</v>
      </c>
      <c r="N868" s="26">
        <f t="shared" si="53"/>
        <v>-3.4509783811557021E-4</v>
      </c>
      <c r="O868" s="26">
        <f>'Part 2 - CAPM 2.1, 2.2 and 2.3'!C868-'Part 2 - CAPM 2.1, 2.2 and 2.3'!K868</f>
        <v>1.4244519685524268E-2</v>
      </c>
    </row>
    <row r="869" spans="1:15" x14ac:dyDescent="0.4">
      <c r="A869" s="16">
        <v>44865</v>
      </c>
      <c r="B869" s="14">
        <v>134.05000000000001</v>
      </c>
      <c r="C869" s="25">
        <f t="shared" si="54"/>
        <v>2.617801047120589E-3</v>
      </c>
      <c r="E869" s="16">
        <v>44865</v>
      </c>
      <c r="F869" s="15">
        <v>15424</v>
      </c>
      <c r="G869" s="25">
        <f t="shared" si="55"/>
        <v>1.196724753306737E-2</v>
      </c>
      <c r="I869" s="16">
        <v>44865</v>
      </c>
      <c r="J869" s="17">
        <v>6.4399999999999999E-2</v>
      </c>
      <c r="K869" s="25">
        <f t="shared" si="52"/>
        <v>1.7100437333850138E-4</v>
      </c>
      <c r="M869" s="16">
        <v>44865</v>
      </c>
      <c r="N869" s="26">
        <f t="shared" si="53"/>
        <v>1.1796243159728869E-2</v>
      </c>
      <c r="O869" s="26">
        <f>'Part 2 - CAPM 2.1, 2.2 and 2.3'!C869-'Part 2 - CAPM 2.1, 2.2 and 2.3'!K869</f>
        <v>2.4467966737820876E-3</v>
      </c>
    </row>
    <row r="870" spans="1:15" x14ac:dyDescent="0.4">
      <c r="A870" s="16">
        <v>44866</v>
      </c>
      <c r="B870" s="14">
        <v>135.15</v>
      </c>
      <c r="C870" s="25">
        <f t="shared" si="54"/>
        <v>8.2058933233867537E-3</v>
      </c>
      <c r="E870" s="16">
        <v>44866</v>
      </c>
      <c r="F870" s="15">
        <v>15537.4</v>
      </c>
      <c r="G870" s="25">
        <f t="shared" si="55"/>
        <v>7.352178423236491E-3</v>
      </c>
      <c r="I870" s="16">
        <v>44866</v>
      </c>
      <c r="J870" s="17">
        <v>6.4500000000000002E-2</v>
      </c>
      <c r="K870" s="25">
        <f t="shared" si="52"/>
        <v>1.7126180157722715E-4</v>
      </c>
      <c r="M870" s="16">
        <v>44866</v>
      </c>
      <c r="N870" s="26">
        <f t="shared" si="53"/>
        <v>7.1809166216592639E-3</v>
      </c>
      <c r="O870" s="26">
        <f>'Part 2 - CAPM 2.1, 2.2 and 2.3'!C870-'Part 2 - CAPM 2.1, 2.2 and 2.3'!K870</f>
        <v>8.0346315218095266E-3</v>
      </c>
    </row>
    <row r="871" spans="1:15" x14ac:dyDescent="0.4">
      <c r="A871" s="16">
        <v>44867</v>
      </c>
      <c r="B871" s="14">
        <v>136.44999999999999</v>
      </c>
      <c r="C871" s="25">
        <f t="shared" si="54"/>
        <v>9.6189419163890712E-3</v>
      </c>
      <c r="E871" s="16">
        <v>44867</v>
      </c>
      <c r="F871" s="15">
        <v>15497.55</v>
      </c>
      <c r="G871" s="25">
        <f t="shared" si="55"/>
        <v>-2.5647791779834701E-3</v>
      </c>
      <c r="I871" s="16">
        <v>44867</v>
      </c>
      <c r="J871" s="17">
        <v>6.4699999999999994E-2</v>
      </c>
      <c r="K871" s="25">
        <f t="shared" si="52"/>
        <v>1.7177658571232435E-4</v>
      </c>
      <c r="M871" s="16">
        <v>44867</v>
      </c>
      <c r="N871" s="26">
        <f t="shared" si="53"/>
        <v>-2.7365557636957944E-3</v>
      </c>
      <c r="O871" s="26">
        <f>'Part 2 - CAPM 2.1, 2.2 and 2.3'!C871-'Part 2 - CAPM 2.1, 2.2 and 2.3'!K871</f>
        <v>9.4471653306767468E-3</v>
      </c>
    </row>
    <row r="872" spans="1:15" x14ac:dyDescent="0.4">
      <c r="A872" s="16">
        <v>44868</v>
      </c>
      <c r="B872" s="14">
        <v>136.4</v>
      </c>
      <c r="C872" s="25">
        <f t="shared" si="54"/>
        <v>-3.664345914253056E-4</v>
      </c>
      <c r="E872" s="16">
        <v>44868</v>
      </c>
      <c r="F872" s="15">
        <v>15484.7</v>
      </c>
      <c r="G872" s="25">
        <f t="shared" si="55"/>
        <v>-8.2916331936328934E-4</v>
      </c>
      <c r="I872" s="16">
        <v>44868</v>
      </c>
      <c r="J872" s="17">
        <v>6.4600000000000005E-2</v>
      </c>
      <c r="K872" s="25">
        <f t="shared" si="52"/>
        <v>1.715192057003545E-4</v>
      </c>
      <c r="M872" s="16">
        <v>44868</v>
      </c>
      <c r="N872" s="26">
        <f t="shared" si="53"/>
        <v>-1.0006825250636437E-3</v>
      </c>
      <c r="O872" s="26">
        <f>'Part 2 - CAPM 2.1, 2.2 and 2.3'!C872-'Part 2 - CAPM 2.1, 2.2 and 2.3'!K872</f>
        <v>-5.3795379712566005E-4</v>
      </c>
    </row>
    <row r="873" spans="1:15" x14ac:dyDescent="0.4">
      <c r="A873" s="16">
        <v>44869</v>
      </c>
      <c r="B873" s="14">
        <v>137.85</v>
      </c>
      <c r="C873" s="25">
        <f t="shared" si="54"/>
        <v>1.0630498533724256E-2</v>
      </c>
      <c r="E873" s="16">
        <v>44869</v>
      </c>
      <c r="F873" s="15">
        <v>15530.85</v>
      </c>
      <c r="G873" s="25">
        <f t="shared" si="55"/>
        <v>2.9803612598241899E-3</v>
      </c>
      <c r="I873" s="16">
        <v>44869</v>
      </c>
      <c r="J873" s="17">
        <v>6.480000000000001E-2</v>
      </c>
      <c r="K873" s="25">
        <f t="shared" si="52"/>
        <v>1.7203394161757757E-4</v>
      </c>
      <c r="M873" s="16">
        <v>44869</v>
      </c>
      <c r="N873" s="26">
        <f t="shared" si="53"/>
        <v>2.8083273182066123E-3</v>
      </c>
      <c r="O873" s="26">
        <f>'Part 2 - CAPM 2.1, 2.2 and 2.3'!C873-'Part 2 - CAPM 2.1, 2.2 and 2.3'!K873</f>
        <v>1.0458464592106679E-2</v>
      </c>
    </row>
    <row r="874" spans="1:15" x14ac:dyDescent="0.4">
      <c r="A874" s="16">
        <v>44872</v>
      </c>
      <c r="B874" s="14">
        <v>138.55000000000001</v>
      </c>
      <c r="C874" s="25">
        <f t="shared" si="54"/>
        <v>5.0779833151978022E-3</v>
      </c>
      <c r="E874" s="16">
        <v>44872</v>
      </c>
      <c r="F874" s="15">
        <v>15615.15</v>
      </c>
      <c r="G874" s="25">
        <f t="shared" si="55"/>
        <v>5.4279063927601687E-3</v>
      </c>
      <c r="I874" s="16">
        <v>44872</v>
      </c>
      <c r="J874" s="17">
        <v>6.4699999999999994E-2</v>
      </c>
      <c r="K874" s="25">
        <f t="shared" si="52"/>
        <v>1.7177658571232435E-4</v>
      </c>
      <c r="M874" s="16">
        <v>44872</v>
      </c>
      <c r="N874" s="26">
        <f t="shared" si="53"/>
        <v>5.2561298070478444E-3</v>
      </c>
      <c r="O874" s="26">
        <f>'Part 2 - CAPM 2.1, 2.2 and 2.3'!C874-'Part 2 - CAPM 2.1, 2.2 and 2.3'!K874</f>
        <v>4.9062067294854779E-3</v>
      </c>
    </row>
    <row r="875" spans="1:15" x14ac:dyDescent="0.4">
      <c r="A875" s="16">
        <v>44874</v>
      </c>
      <c r="B875" s="14">
        <v>138.65</v>
      </c>
      <c r="C875" s="25">
        <f t="shared" si="54"/>
        <v>7.2176109707682652E-4</v>
      </c>
      <c r="E875" s="16">
        <v>44874</v>
      </c>
      <c r="F875" s="15">
        <v>15567.25</v>
      </c>
      <c r="G875" s="25">
        <f t="shared" si="55"/>
        <v>-3.0675337732906593E-3</v>
      </c>
      <c r="I875" s="16">
        <v>44874</v>
      </c>
      <c r="J875" s="17">
        <v>6.4500000000000002E-2</v>
      </c>
      <c r="K875" s="25">
        <f t="shared" si="52"/>
        <v>1.7126180157722715E-4</v>
      </c>
      <c r="M875" s="16">
        <v>44874</v>
      </c>
      <c r="N875" s="26">
        <f t="shared" si="53"/>
        <v>-3.2387955748678864E-3</v>
      </c>
      <c r="O875" s="26">
        <f>'Part 2 - CAPM 2.1, 2.2 and 2.3'!C875-'Part 2 - CAPM 2.1, 2.2 and 2.3'!K875</f>
        <v>5.5049929549959937E-4</v>
      </c>
    </row>
    <row r="876" spans="1:15" x14ac:dyDescent="0.4">
      <c r="A876" s="16">
        <v>44875</v>
      </c>
      <c r="B876" s="14">
        <v>139.85</v>
      </c>
      <c r="C876" s="25">
        <f t="shared" si="54"/>
        <v>8.654886404615857E-3</v>
      </c>
      <c r="E876" s="16">
        <v>44875</v>
      </c>
      <c r="F876" s="15">
        <v>15440</v>
      </c>
      <c r="G876" s="25">
        <f t="shared" si="55"/>
        <v>-8.1742118871348506E-3</v>
      </c>
      <c r="I876" s="16">
        <v>44875</v>
      </c>
      <c r="J876" s="17">
        <v>6.4500000000000002E-2</v>
      </c>
      <c r="K876" s="25">
        <f t="shared" si="52"/>
        <v>1.7126180157722715E-4</v>
      </c>
      <c r="M876" s="16">
        <v>44875</v>
      </c>
      <c r="N876" s="26">
        <f t="shared" si="53"/>
        <v>-8.3454736887120778E-3</v>
      </c>
      <c r="O876" s="26">
        <f>'Part 2 - CAPM 2.1, 2.2 and 2.3'!C876-'Part 2 - CAPM 2.1, 2.2 and 2.3'!K876</f>
        <v>8.4836246030386298E-3</v>
      </c>
    </row>
    <row r="877" spans="1:15" x14ac:dyDescent="0.4">
      <c r="A877" s="16">
        <v>44876</v>
      </c>
      <c r="B877" s="14">
        <v>140.44999999999999</v>
      </c>
      <c r="C877" s="25">
        <f t="shared" si="54"/>
        <v>4.2903110475509066E-3</v>
      </c>
      <c r="E877" s="16">
        <v>44876</v>
      </c>
      <c r="F877" s="15">
        <v>15649.1</v>
      </c>
      <c r="G877" s="25">
        <f t="shared" si="55"/>
        <v>1.3542746113989661E-2</v>
      </c>
      <c r="I877" s="16">
        <v>44876</v>
      </c>
      <c r="J877" s="17">
        <v>6.4299999999999996E-2</v>
      </c>
      <c r="K877" s="25">
        <f t="shared" si="52"/>
        <v>1.7074692097951427E-4</v>
      </c>
      <c r="M877" s="16">
        <v>44876</v>
      </c>
      <c r="N877" s="26">
        <f t="shared" si="53"/>
        <v>1.3371999193010147E-2</v>
      </c>
      <c r="O877" s="26">
        <f>'Part 2 - CAPM 2.1, 2.2 and 2.3'!C877-'Part 2 - CAPM 2.1, 2.2 and 2.3'!K877</f>
        <v>4.1195641265713923E-3</v>
      </c>
    </row>
    <row r="878" spans="1:15" x14ac:dyDescent="0.4">
      <c r="A878" s="16">
        <v>44879</v>
      </c>
      <c r="B878" s="14">
        <v>139.25</v>
      </c>
      <c r="C878" s="25">
        <f t="shared" si="54"/>
        <v>-8.5439658241366224E-3</v>
      </c>
      <c r="E878" s="16">
        <v>44879</v>
      </c>
      <c r="F878" s="15">
        <v>15650.2</v>
      </c>
      <c r="G878" s="25">
        <f t="shared" si="55"/>
        <v>7.0291582263540004E-5</v>
      </c>
      <c r="I878" s="16">
        <v>44879</v>
      </c>
      <c r="J878" s="17">
        <v>6.480000000000001E-2</v>
      </c>
      <c r="K878" s="25">
        <f t="shared" si="52"/>
        <v>1.7203394161757757E-4</v>
      </c>
      <c r="M878" s="16">
        <v>44879</v>
      </c>
      <c r="N878" s="26">
        <f t="shared" si="53"/>
        <v>-1.0174235935403756E-4</v>
      </c>
      <c r="O878" s="26">
        <f>'Part 2 - CAPM 2.1, 2.2 and 2.3'!C878-'Part 2 - CAPM 2.1, 2.2 and 2.3'!K878</f>
        <v>-8.7159997657541999E-3</v>
      </c>
    </row>
    <row r="879" spans="1:15" x14ac:dyDescent="0.4">
      <c r="A879" s="16">
        <v>44880</v>
      </c>
      <c r="B879" s="14">
        <v>142.35</v>
      </c>
      <c r="C879" s="25">
        <f t="shared" si="54"/>
        <v>2.2262118491920963E-2</v>
      </c>
      <c r="E879" s="16">
        <v>44880</v>
      </c>
      <c r="F879" s="15">
        <v>15693.9</v>
      </c>
      <c r="G879" s="25">
        <f t="shared" si="55"/>
        <v>2.7922965840691434E-3</v>
      </c>
      <c r="I879" s="16">
        <v>44880</v>
      </c>
      <c r="J879" s="17">
        <v>6.480000000000001E-2</v>
      </c>
      <c r="K879" s="25">
        <f t="shared" si="52"/>
        <v>1.7203394161757757E-4</v>
      </c>
      <c r="M879" s="16">
        <v>44880</v>
      </c>
      <c r="N879" s="26">
        <f t="shared" si="53"/>
        <v>2.6202626424515658E-3</v>
      </c>
      <c r="O879" s="26">
        <f>'Part 2 - CAPM 2.1, 2.2 and 2.3'!C879-'Part 2 - CAPM 2.1, 2.2 and 2.3'!K879</f>
        <v>2.2090084550303386E-2</v>
      </c>
    </row>
    <row r="880" spans="1:15" x14ac:dyDescent="0.4">
      <c r="A880" s="16">
        <v>44881</v>
      </c>
      <c r="B880" s="14">
        <v>142.9</v>
      </c>
      <c r="C880" s="25">
        <f t="shared" si="54"/>
        <v>3.8637161924833957E-3</v>
      </c>
      <c r="E880" s="16">
        <v>44881</v>
      </c>
      <c r="F880" s="15">
        <v>15663.3</v>
      </c>
      <c r="G880" s="25">
        <f t="shared" si="55"/>
        <v>-1.9498021524286739E-3</v>
      </c>
      <c r="I880" s="16">
        <v>44881</v>
      </c>
      <c r="J880" s="17">
        <v>6.4500000000000002E-2</v>
      </c>
      <c r="K880" s="25">
        <f t="shared" si="52"/>
        <v>1.7126180157722715E-4</v>
      </c>
      <c r="M880" s="16">
        <v>44881</v>
      </c>
      <c r="N880" s="26">
        <f t="shared" si="53"/>
        <v>-2.121063954005901E-3</v>
      </c>
      <c r="O880" s="26">
        <f>'Part 2 - CAPM 2.1, 2.2 and 2.3'!C880-'Part 2 - CAPM 2.1, 2.2 and 2.3'!K880</f>
        <v>3.6924543909061685E-3</v>
      </c>
    </row>
    <row r="881" spans="1:15" x14ac:dyDescent="0.4">
      <c r="A881" s="16">
        <v>44882</v>
      </c>
      <c r="B881" s="14">
        <v>143.19999999999999</v>
      </c>
      <c r="C881" s="25">
        <f t="shared" si="54"/>
        <v>2.0993701889431976E-3</v>
      </c>
      <c r="E881" s="16">
        <v>44882</v>
      </c>
      <c r="F881" s="15">
        <v>15597.25</v>
      </c>
      <c r="G881" s="25">
        <f t="shared" si="55"/>
        <v>-4.2168636238850863E-3</v>
      </c>
      <c r="I881" s="16">
        <v>44882</v>
      </c>
      <c r="J881" s="17">
        <v>6.4299999999999996E-2</v>
      </c>
      <c r="K881" s="25">
        <f t="shared" si="52"/>
        <v>1.7074692097951427E-4</v>
      </c>
      <c r="M881" s="16">
        <v>44882</v>
      </c>
      <c r="N881" s="26">
        <f t="shared" si="53"/>
        <v>-4.3876105448646006E-3</v>
      </c>
      <c r="O881" s="26">
        <f>'Part 2 - CAPM 2.1, 2.2 and 2.3'!C881-'Part 2 - CAPM 2.1, 2.2 and 2.3'!K881</f>
        <v>1.9286232679636833E-3</v>
      </c>
    </row>
    <row r="882" spans="1:15" x14ac:dyDescent="0.4">
      <c r="A882" s="16">
        <v>44883</v>
      </c>
      <c r="B882" s="14">
        <v>141.75</v>
      </c>
      <c r="C882" s="25">
        <f t="shared" si="54"/>
        <v>-1.0125698324022268E-2</v>
      </c>
      <c r="E882" s="16">
        <v>44883</v>
      </c>
      <c r="F882" s="15">
        <v>15550.85</v>
      </c>
      <c r="G882" s="25">
        <f t="shared" si="55"/>
        <v>-2.9748833929057776E-3</v>
      </c>
      <c r="I882" s="16">
        <v>44883</v>
      </c>
      <c r="J882" s="17">
        <v>6.4299999999999996E-2</v>
      </c>
      <c r="K882" s="25">
        <f t="shared" si="52"/>
        <v>1.7074692097951427E-4</v>
      </c>
      <c r="M882" s="16">
        <v>44883</v>
      </c>
      <c r="N882" s="26">
        <f t="shared" si="53"/>
        <v>-3.1456303138852918E-3</v>
      </c>
      <c r="O882" s="26">
        <f>'Part 2 - CAPM 2.1, 2.2 and 2.3'!C882-'Part 2 - CAPM 2.1, 2.2 and 2.3'!K882</f>
        <v>-1.0296445245001782E-2</v>
      </c>
    </row>
    <row r="883" spans="1:15" x14ac:dyDescent="0.4">
      <c r="A883" s="16">
        <v>44886</v>
      </c>
      <c r="B883" s="14">
        <v>135.44999999999999</v>
      </c>
      <c r="C883" s="25">
        <f t="shared" si="54"/>
        <v>-4.4444444444444522E-2</v>
      </c>
      <c r="E883" s="16">
        <v>44886</v>
      </c>
      <c r="F883" s="15">
        <v>15453.8</v>
      </c>
      <c r="G883" s="25">
        <f t="shared" si="55"/>
        <v>-6.2408164183952062E-3</v>
      </c>
      <c r="I883" s="16">
        <v>44886</v>
      </c>
      <c r="J883" s="17">
        <v>6.4299999999999996E-2</v>
      </c>
      <c r="K883" s="25">
        <f t="shared" si="52"/>
        <v>1.7074692097951427E-4</v>
      </c>
      <c r="M883" s="16">
        <v>44886</v>
      </c>
      <c r="N883" s="26">
        <f t="shared" si="53"/>
        <v>-6.4115633393747205E-3</v>
      </c>
      <c r="O883" s="26">
        <f>'Part 2 - CAPM 2.1, 2.2 and 2.3'!C883-'Part 2 - CAPM 2.1, 2.2 and 2.3'!K883</f>
        <v>-4.4615191365424037E-2</v>
      </c>
    </row>
    <row r="884" spans="1:15" x14ac:dyDescent="0.4">
      <c r="A884" s="16">
        <v>44887</v>
      </c>
      <c r="B884" s="14">
        <v>135.19999999999999</v>
      </c>
      <c r="C884" s="25">
        <f t="shared" si="54"/>
        <v>-1.8456995201181249E-3</v>
      </c>
      <c r="E884" s="16">
        <v>44887</v>
      </c>
      <c r="F884" s="15">
        <v>15509.2</v>
      </c>
      <c r="G884" s="25">
        <f t="shared" si="55"/>
        <v>3.5848788000363316E-3</v>
      </c>
      <c r="I884" s="16">
        <v>44887</v>
      </c>
      <c r="J884" s="17">
        <v>6.4299999999999996E-2</v>
      </c>
      <c r="K884" s="25">
        <f t="shared" si="52"/>
        <v>1.7074692097951427E-4</v>
      </c>
      <c r="M884" s="16">
        <v>44887</v>
      </c>
      <c r="N884" s="26">
        <f t="shared" si="53"/>
        <v>3.4141318790568173E-3</v>
      </c>
      <c r="O884" s="26">
        <f>'Part 2 - CAPM 2.1, 2.2 and 2.3'!C884-'Part 2 - CAPM 2.1, 2.2 and 2.3'!K884</f>
        <v>-2.0164464410976392E-3</v>
      </c>
    </row>
    <row r="885" spans="1:15" x14ac:dyDescent="0.4">
      <c r="A885" s="16">
        <v>44888</v>
      </c>
      <c r="B885" s="14">
        <v>136.5</v>
      </c>
      <c r="C885" s="25">
        <f t="shared" si="54"/>
        <v>9.6153846153847009E-3</v>
      </c>
      <c r="E885" s="16">
        <v>44888</v>
      </c>
      <c r="F885" s="15">
        <v>15538.15</v>
      </c>
      <c r="G885" s="25">
        <f t="shared" si="55"/>
        <v>1.8666339978850558E-3</v>
      </c>
      <c r="I885" s="16">
        <v>44888</v>
      </c>
      <c r="J885" s="17">
        <v>6.4399999999999999E-2</v>
      </c>
      <c r="K885" s="25">
        <f t="shared" si="52"/>
        <v>1.7100437333850138E-4</v>
      </c>
      <c r="M885" s="16">
        <v>44888</v>
      </c>
      <c r="N885" s="26">
        <f t="shared" si="53"/>
        <v>1.6956296245465544E-3</v>
      </c>
      <c r="O885" s="26">
        <f>'Part 2 - CAPM 2.1, 2.2 and 2.3'!C885-'Part 2 - CAPM 2.1, 2.2 and 2.3'!K885</f>
        <v>9.4443802420461995E-3</v>
      </c>
    </row>
    <row r="886" spans="1:15" x14ac:dyDescent="0.4">
      <c r="A886" s="16">
        <v>44889</v>
      </c>
      <c r="B886" s="14">
        <v>139.44999999999999</v>
      </c>
      <c r="C886" s="25">
        <f t="shared" si="54"/>
        <v>2.1611721611721528E-2</v>
      </c>
      <c r="E886" s="16">
        <v>44889</v>
      </c>
      <c r="F886" s="15">
        <v>15680.8</v>
      </c>
      <c r="G886" s="25">
        <f t="shared" si="55"/>
        <v>9.1806296116332797E-3</v>
      </c>
      <c r="I886" s="16">
        <v>44889</v>
      </c>
      <c r="J886" s="17">
        <v>6.4199999999999993E-2</v>
      </c>
      <c r="K886" s="25">
        <f t="shared" si="52"/>
        <v>1.7048944449604697E-4</v>
      </c>
      <c r="M886" s="16">
        <v>44889</v>
      </c>
      <c r="N886" s="26">
        <f t="shared" si="53"/>
        <v>9.0101401671372327E-3</v>
      </c>
      <c r="O886" s="26">
        <f>'Part 2 - CAPM 2.1, 2.2 and 2.3'!C886-'Part 2 - CAPM 2.1, 2.2 and 2.3'!K886</f>
        <v>2.1441232167225481E-2</v>
      </c>
    </row>
    <row r="887" spans="1:15" x14ac:dyDescent="0.4">
      <c r="A887" s="16">
        <v>44890</v>
      </c>
      <c r="B887" s="14">
        <v>140.55000000000001</v>
      </c>
      <c r="C887" s="25">
        <f t="shared" si="54"/>
        <v>7.8881319469345495E-3</v>
      </c>
      <c r="E887" s="16">
        <v>44890</v>
      </c>
      <c r="F887" s="15">
        <v>15727.25</v>
      </c>
      <c r="G887" s="25">
        <f t="shared" si="55"/>
        <v>2.962221315239065E-3</v>
      </c>
      <c r="I887" s="16">
        <v>44890</v>
      </c>
      <c r="J887" s="17">
        <v>6.4500000000000002E-2</v>
      </c>
      <c r="K887" s="25">
        <f t="shared" si="52"/>
        <v>1.7126180157722715E-4</v>
      </c>
      <c r="M887" s="16">
        <v>44890</v>
      </c>
      <c r="N887" s="26">
        <f t="shared" si="53"/>
        <v>2.7909595136618379E-3</v>
      </c>
      <c r="O887" s="26">
        <f>'Part 2 - CAPM 2.1, 2.2 and 2.3'!C887-'Part 2 - CAPM 2.1, 2.2 and 2.3'!K887</f>
        <v>7.7168701453573223E-3</v>
      </c>
    </row>
    <row r="888" spans="1:15" x14ac:dyDescent="0.4">
      <c r="A888" s="16">
        <v>44893</v>
      </c>
      <c r="B888" s="14">
        <v>139.6</v>
      </c>
      <c r="C888" s="25">
        <f t="shared" si="54"/>
        <v>-6.7591604411242762E-3</v>
      </c>
      <c r="E888" s="16">
        <v>44893</v>
      </c>
      <c r="F888" s="15">
        <v>15784.45</v>
      </c>
      <c r="G888" s="25">
        <f t="shared" si="55"/>
        <v>3.6369994754328143E-3</v>
      </c>
      <c r="I888" s="16">
        <v>44893</v>
      </c>
      <c r="J888" s="17">
        <v>6.4199999999999993E-2</v>
      </c>
      <c r="K888" s="25">
        <f t="shared" si="52"/>
        <v>1.7048944449604697E-4</v>
      </c>
      <c r="M888" s="16">
        <v>44893</v>
      </c>
      <c r="N888" s="26">
        <f t="shared" si="53"/>
        <v>3.4665100309367674E-3</v>
      </c>
      <c r="O888" s="26">
        <f>'Part 2 - CAPM 2.1, 2.2 and 2.3'!C888-'Part 2 - CAPM 2.1, 2.2 and 2.3'!K888</f>
        <v>-6.9296498856203231E-3</v>
      </c>
    </row>
    <row r="889" spans="1:15" x14ac:dyDescent="0.4">
      <c r="A889" s="16">
        <v>44894</v>
      </c>
      <c r="B889" s="14">
        <v>140.25</v>
      </c>
      <c r="C889" s="25">
        <f t="shared" si="54"/>
        <v>4.6561604584527631E-3</v>
      </c>
      <c r="E889" s="16">
        <v>44894</v>
      </c>
      <c r="F889" s="15">
        <v>15812.45</v>
      </c>
      <c r="G889" s="25">
        <f t="shared" si="55"/>
        <v>1.7738977284606052E-3</v>
      </c>
      <c r="I889" s="16">
        <v>44894</v>
      </c>
      <c r="J889" s="17">
        <v>6.4199999999999993E-2</v>
      </c>
      <c r="K889" s="25">
        <f t="shared" si="52"/>
        <v>1.7048944449604697E-4</v>
      </c>
      <c r="M889" s="16">
        <v>44894</v>
      </c>
      <c r="N889" s="26">
        <f t="shared" si="53"/>
        <v>1.6034082839645582E-3</v>
      </c>
      <c r="O889" s="26">
        <f>'Part 2 - CAPM 2.1, 2.2 and 2.3'!C889-'Part 2 - CAPM 2.1, 2.2 and 2.3'!K889</f>
        <v>4.4856710139567161E-3</v>
      </c>
    </row>
    <row r="890" spans="1:15" x14ac:dyDescent="0.4">
      <c r="A890" s="16">
        <v>44895</v>
      </c>
      <c r="B890" s="14">
        <v>141.1</v>
      </c>
      <c r="C890" s="25">
        <f t="shared" si="54"/>
        <v>6.0606060606060198E-3</v>
      </c>
      <c r="E890" s="16">
        <v>44895</v>
      </c>
      <c r="F890" s="15">
        <v>15946.15</v>
      </c>
      <c r="G890" s="25">
        <f t="shared" si="55"/>
        <v>8.4553627047041346E-3</v>
      </c>
      <c r="I890" s="16">
        <v>44895</v>
      </c>
      <c r="J890" s="17">
        <v>6.4100000000000004E-2</v>
      </c>
      <c r="K890" s="25">
        <f t="shared" si="52"/>
        <v>1.702319438832145E-4</v>
      </c>
      <c r="M890" s="16">
        <v>44895</v>
      </c>
      <c r="N890" s="26">
        <f t="shared" si="53"/>
        <v>8.2851307608209201E-3</v>
      </c>
      <c r="O890" s="26">
        <f>'Part 2 - CAPM 2.1, 2.2 and 2.3'!C890-'Part 2 - CAPM 2.1, 2.2 and 2.3'!K890</f>
        <v>5.8903741167228053E-3</v>
      </c>
    </row>
    <row r="891" spans="1:15" x14ac:dyDescent="0.4">
      <c r="A891" s="16">
        <v>44896</v>
      </c>
      <c r="B891" s="14">
        <v>140.05000000000001</v>
      </c>
      <c r="C891" s="25">
        <f t="shared" si="54"/>
        <v>-7.4415308291990289E-3</v>
      </c>
      <c r="E891" s="16">
        <v>44896</v>
      </c>
      <c r="F891" s="15">
        <v>16003.95</v>
      </c>
      <c r="G891" s="25">
        <f t="shared" si="55"/>
        <v>3.6246993788470001E-3</v>
      </c>
      <c r="I891" s="16">
        <v>44896</v>
      </c>
      <c r="J891" s="17">
        <v>6.3899999999999998E-2</v>
      </c>
      <c r="K891" s="25">
        <f t="shared" si="52"/>
        <v>1.6971687025191251E-4</v>
      </c>
      <c r="M891" s="16">
        <v>44896</v>
      </c>
      <c r="N891" s="26">
        <f t="shared" si="53"/>
        <v>3.4549825085950876E-3</v>
      </c>
      <c r="O891" s="26">
        <f>'Part 2 - CAPM 2.1, 2.2 and 2.3'!C891-'Part 2 - CAPM 2.1, 2.2 and 2.3'!K891</f>
        <v>-7.6112476994509414E-3</v>
      </c>
    </row>
    <row r="892" spans="1:15" x14ac:dyDescent="0.4">
      <c r="A892" s="16">
        <v>44897</v>
      </c>
      <c r="B892" s="14">
        <v>140.9</v>
      </c>
      <c r="C892" s="25">
        <f t="shared" si="54"/>
        <v>6.0692609782220224E-3</v>
      </c>
      <c r="E892" s="16">
        <v>44897</v>
      </c>
      <c r="F892" s="15">
        <v>15963.5</v>
      </c>
      <c r="G892" s="25">
        <f t="shared" si="55"/>
        <v>-2.5275010231849467E-3</v>
      </c>
      <c r="I892" s="16">
        <v>44897</v>
      </c>
      <c r="J892" s="17">
        <v>6.3700000000000007E-2</v>
      </c>
      <c r="K892" s="25">
        <f t="shared" si="52"/>
        <v>1.6920170004919299E-4</v>
      </c>
      <c r="M892" s="16">
        <v>44897</v>
      </c>
      <c r="N892" s="26">
        <f t="shared" si="53"/>
        <v>-2.6967027232341397E-3</v>
      </c>
      <c r="O892" s="26">
        <f>'Part 2 - CAPM 2.1, 2.2 and 2.3'!C892-'Part 2 - CAPM 2.1, 2.2 and 2.3'!K892</f>
        <v>5.9000592781728294E-3</v>
      </c>
    </row>
    <row r="893" spans="1:15" x14ac:dyDescent="0.4">
      <c r="A893" s="16">
        <v>44900</v>
      </c>
      <c r="B893" s="14">
        <v>143.75</v>
      </c>
      <c r="C893" s="25">
        <f t="shared" si="54"/>
        <v>2.0227111426543608E-2</v>
      </c>
      <c r="E893" s="16">
        <v>44900</v>
      </c>
      <c r="F893" s="15">
        <v>15967.2</v>
      </c>
      <c r="G893" s="25">
        <f t="shared" si="55"/>
        <v>2.3177874526267596E-4</v>
      </c>
      <c r="I893" s="16">
        <v>44900</v>
      </c>
      <c r="J893" s="17">
        <v>6.3600000000000004E-2</v>
      </c>
      <c r="K893" s="25">
        <f t="shared" si="52"/>
        <v>1.6894407872247719E-4</v>
      </c>
      <c r="M893" s="16">
        <v>44900</v>
      </c>
      <c r="N893" s="26">
        <f t="shared" si="53"/>
        <v>6.2834666540198769E-5</v>
      </c>
      <c r="O893" s="26">
        <f>'Part 2 - CAPM 2.1, 2.2 and 2.3'!C893-'Part 2 - CAPM 2.1, 2.2 and 2.3'!K893</f>
        <v>2.0058167347821131E-2</v>
      </c>
    </row>
    <row r="894" spans="1:15" x14ac:dyDescent="0.4">
      <c r="A894" s="16">
        <v>44901</v>
      </c>
      <c r="B894" s="14">
        <v>142.44999999999999</v>
      </c>
      <c r="C894" s="25">
        <f t="shared" si="54"/>
        <v>-9.0434782608696442E-3</v>
      </c>
      <c r="E894" s="16">
        <v>44901</v>
      </c>
      <c r="F894" s="15">
        <v>15922.85</v>
      </c>
      <c r="G894" s="25">
        <f t="shared" si="55"/>
        <v>-2.7775690164838144E-3</v>
      </c>
      <c r="I894" s="16">
        <v>44901</v>
      </c>
      <c r="J894" s="17">
        <v>6.3600000000000004E-2</v>
      </c>
      <c r="K894" s="25">
        <f t="shared" si="52"/>
        <v>1.6894407872247719E-4</v>
      </c>
      <c r="M894" s="16">
        <v>44901</v>
      </c>
      <c r="N894" s="26">
        <f t="shared" si="53"/>
        <v>-2.9465130952062916E-3</v>
      </c>
      <c r="O894" s="26">
        <f>'Part 2 - CAPM 2.1, 2.2 and 2.3'!C894-'Part 2 - CAPM 2.1, 2.2 and 2.3'!K894</f>
        <v>-9.2124223395921214E-3</v>
      </c>
    </row>
    <row r="895" spans="1:15" x14ac:dyDescent="0.4">
      <c r="A895" s="16">
        <v>44902</v>
      </c>
      <c r="B895" s="14">
        <v>140.65</v>
      </c>
      <c r="C895" s="25">
        <f t="shared" si="54"/>
        <v>-1.2636012636012517E-2</v>
      </c>
      <c r="E895" s="16">
        <v>44902</v>
      </c>
      <c r="F895" s="15">
        <v>15862</v>
      </c>
      <c r="G895" s="25">
        <f t="shared" si="55"/>
        <v>-3.8215520462731461E-3</v>
      </c>
      <c r="I895" s="16">
        <v>44902</v>
      </c>
      <c r="J895" s="17">
        <v>6.4000000000000001E-2</v>
      </c>
      <c r="K895" s="25">
        <f t="shared" si="52"/>
        <v>1.6997441913657596E-4</v>
      </c>
      <c r="M895" s="16">
        <v>44902</v>
      </c>
      <c r="N895" s="26">
        <f t="shared" si="53"/>
        <v>-3.9915264654097216E-3</v>
      </c>
      <c r="O895" s="26">
        <f>'Part 2 - CAPM 2.1, 2.2 and 2.3'!C895-'Part 2 - CAPM 2.1, 2.2 and 2.3'!K895</f>
        <v>-1.2805987055149093E-2</v>
      </c>
    </row>
    <row r="896" spans="1:15" x14ac:dyDescent="0.4">
      <c r="A896" s="16">
        <v>44903</v>
      </c>
      <c r="B896" s="14">
        <v>142.65</v>
      </c>
      <c r="C896" s="25">
        <f t="shared" si="54"/>
        <v>1.4219694276573052E-2</v>
      </c>
      <c r="E896" s="16">
        <v>44903</v>
      </c>
      <c r="F896" s="15">
        <v>15911.1</v>
      </c>
      <c r="G896" s="25">
        <f t="shared" si="55"/>
        <v>3.0954482410793321E-3</v>
      </c>
      <c r="I896" s="16">
        <v>44903</v>
      </c>
      <c r="J896" s="17">
        <v>6.4000000000000001E-2</v>
      </c>
      <c r="K896" s="25">
        <f t="shared" si="52"/>
        <v>1.6997441913657596E-4</v>
      </c>
      <c r="M896" s="16">
        <v>44903</v>
      </c>
      <c r="N896" s="26">
        <f t="shared" si="53"/>
        <v>2.9254738219427561E-3</v>
      </c>
      <c r="O896" s="26">
        <f>'Part 2 - CAPM 2.1, 2.2 and 2.3'!C896-'Part 2 - CAPM 2.1, 2.2 and 2.3'!K896</f>
        <v>1.4049719857436476E-2</v>
      </c>
    </row>
    <row r="897" spans="1:15" x14ac:dyDescent="0.4">
      <c r="A897" s="16">
        <v>44904</v>
      </c>
      <c r="B897" s="14">
        <v>140.69999999999999</v>
      </c>
      <c r="C897" s="25">
        <f t="shared" si="54"/>
        <v>-1.3669821240799278E-2</v>
      </c>
      <c r="E897" s="16">
        <v>44904</v>
      </c>
      <c r="F897" s="15">
        <v>15812.75</v>
      </c>
      <c r="G897" s="25">
        <f t="shared" si="55"/>
        <v>-6.1812194002929003E-3</v>
      </c>
      <c r="I897" s="16">
        <v>44904</v>
      </c>
      <c r="J897" s="17">
        <v>6.3799999999999996E-2</v>
      </c>
      <c r="K897" s="25">
        <f t="shared" si="52"/>
        <v>1.6945929722411712E-4</v>
      </c>
      <c r="M897" s="16">
        <v>44904</v>
      </c>
      <c r="N897" s="26">
        <f t="shared" si="53"/>
        <v>-6.3506786975170175E-3</v>
      </c>
      <c r="O897" s="26">
        <f>'Part 2 - CAPM 2.1, 2.2 and 2.3'!C897-'Part 2 - CAPM 2.1, 2.2 and 2.3'!K897</f>
        <v>-1.3839280538023396E-2</v>
      </c>
    </row>
    <row r="898" spans="1:15" x14ac:dyDescent="0.4">
      <c r="A898" s="16">
        <v>44907</v>
      </c>
      <c r="B898" s="14">
        <v>142.35</v>
      </c>
      <c r="C898" s="25">
        <f t="shared" si="54"/>
        <v>1.1727078891258036E-2</v>
      </c>
      <c r="E898" s="16">
        <v>44907</v>
      </c>
      <c r="F898" s="15">
        <v>15828</v>
      </c>
      <c r="G898" s="25">
        <f t="shared" si="55"/>
        <v>9.6441162985565448E-4</v>
      </c>
      <c r="I898" s="16">
        <v>44907</v>
      </c>
      <c r="J898" s="17">
        <v>6.4000000000000001E-2</v>
      </c>
      <c r="K898" s="25">
        <f t="shared" si="52"/>
        <v>1.6997441913657596E-4</v>
      </c>
      <c r="M898" s="16">
        <v>44907</v>
      </c>
      <c r="N898" s="26">
        <f t="shared" si="53"/>
        <v>7.9443721071907852E-4</v>
      </c>
      <c r="O898" s="26">
        <f>'Part 2 - CAPM 2.1, 2.2 and 2.3'!C898-'Part 2 - CAPM 2.1, 2.2 and 2.3'!K898</f>
        <v>1.155710447212146E-2</v>
      </c>
    </row>
    <row r="899" spans="1:15" x14ac:dyDescent="0.4">
      <c r="A899" s="16">
        <v>44908</v>
      </c>
      <c r="B899" s="14">
        <v>144.35</v>
      </c>
      <c r="C899" s="25">
        <f t="shared" si="54"/>
        <v>1.4049877063575694E-2</v>
      </c>
      <c r="E899" s="16">
        <v>44908</v>
      </c>
      <c r="F899" s="15">
        <v>15904.5</v>
      </c>
      <c r="G899" s="25">
        <f t="shared" si="55"/>
        <v>4.833206974981046E-3</v>
      </c>
      <c r="I899" s="16">
        <v>44908</v>
      </c>
      <c r="J899" s="17">
        <v>6.3700000000000007E-2</v>
      </c>
      <c r="K899" s="25">
        <f t="shared" si="52"/>
        <v>1.6920170004919299E-4</v>
      </c>
      <c r="M899" s="16">
        <v>44908</v>
      </c>
      <c r="N899" s="26">
        <f t="shared" si="53"/>
        <v>4.664005274931853E-3</v>
      </c>
      <c r="O899" s="26">
        <f>'Part 2 - CAPM 2.1, 2.2 and 2.3'!C899-'Part 2 - CAPM 2.1, 2.2 and 2.3'!K899</f>
        <v>1.3880675363526501E-2</v>
      </c>
    </row>
    <row r="900" spans="1:15" x14ac:dyDescent="0.4">
      <c r="A900" s="16">
        <v>44909</v>
      </c>
      <c r="B900" s="14">
        <v>147.6</v>
      </c>
      <c r="C900" s="25">
        <f t="shared" si="54"/>
        <v>2.2514721163837896E-2</v>
      </c>
      <c r="E900" s="16">
        <v>44909</v>
      </c>
      <c r="F900" s="15">
        <v>15963.8</v>
      </c>
      <c r="G900" s="25">
        <f t="shared" si="55"/>
        <v>3.728504511301787E-3</v>
      </c>
      <c r="I900" s="16">
        <v>44909</v>
      </c>
      <c r="J900" s="17">
        <v>6.4100000000000004E-2</v>
      </c>
      <c r="K900" s="25">
        <f t="shared" ref="K900:K963" si="56">((1+J900)^(1/365))-1</f>
        <v>1.702319438832145E-4</v>
      </c>
      <c r="M900" s="16">
        <v>44909</v>
      </c>
      <c r="N900" s="26">
        <f t="shared" ref="N900:N963" si="57">G900-K900</f>
        <v>3.5582725674185725E-3</v>
      </c>
      <c r="O900" s="26">
        <f>'Part 2 - CAPM 2.1, 2.2 and 2.3'!C900-'Part 2 - CAPM 2.1, 2.2 and 2.3'!K900</f>
        <v>2.2344489219954682E-2</v>
      </c>
    </row>
    <row r="901" spans="1:15" x14ac:dyDescent="0.4">
      <c r="A901" s="16">
        <v>44910</v>
      </c>
      <c r="B901" s="14">
        <v>147.44999999999999</v>
      </c>
      <c r="C901" s="25">
        <f t="shared" ref="C901:C964" si="58">(B901-B900)/B900</f>
        <v>-1.0162601626016645E-3</v>
      </c>
      <c r="E901" s="16">
        <v>44910</v>
      </c>
      <c r="F901" s="15">
        <v>15783.8</v>
      </c>
      <c r="G901" s="25">
        <f t="shared" ref="G901:G964" si="59">(F901-F900)/F900</f>
        <v>-1.1275510843282929E-2</v>
      </c>
      <c r="I901" s="16">
        <v>44910</v>
      </c>
      <c r="J901" s="17">
        <v>6.4199999999999993E-2</v>
      </c>
      <c r="K901" s="25">
        <f t="shared" si="56"/>
        <v>1.7048944449604697E-4</v>
      </c>
      <c r="M901" s="16">
        <v>44910</v>
      </c>
      <c r="N901" s="26">
        <f t="shared" si="57"/>
        <v>-1.1446000287778976E-2</v>
      </c>
      <c r="O901" s="26">
        <f>'Part 2 - CAPM 2.1, 2.2 and 2.3'!C901-'Part 2 - CAPM 2.1, 2.2 and 2.3'!K901</f>
        <v>-1.1867496070977115E-3</v>
      </c>
    </row>
    <row r="902" spans="1:15" x14ac:dyDescent="0.4">
      <c r="A902" s="16">
        <v>44911</v>
      </c>
      <c r="B902" s="14">
        <v>147.19999999999999</v>
      </c>
      <c r="C902" s="25">
        <f t="shared" si="58"/>
        <v>-1.69548999660902E-3</v>
      </c>
      <c r="E902" s="16">
        <v>44911</v>
      </c>
      <c r="F902" s="15">
        <v>15636.35</v>
      </c>
      <c r="G902" s="25">
        <f t="shared" si="59"/>
        <v>-9.3418568405579713E-3</v>
      </c>
      <c r="I902" s="16">
        <v>44911</v>
      </c>
      <c r="J902" s="17">
        <v>6.4199999999999993E-2</v>
      </c>
      <c r="K902" s="25">
        <f t="shared" si="56"/>
        <v>1.7048944449604697E-4</v>
      </c>
      <c r="M902" s="16">
        <v>44911</v>
      </c>
      <c r="N902" s="26">
        <f t="shared" si="57"/>
        <v>-9.5123462850540182E-3</v>
      </c>
      <c r="O902" s="26">
        <f>'Part 2 - CAPM 2.1, 2.2 and 2.3'!C902-'Part 2 - CAPM 2.1, 2.2 and 2.3'!K902</f>
        <v>-1.865979441105067E-3</v>
      </c>
    </row>
    <row r="903" spans="1:15" x14ac:dyDescent="0.4">
      <c r="A903" s="16">
        <v>44914</v>
      </c>
      <c r="B903" s="14">
        <v>145.80000000000001</v>
      </c>
      <c r="C903" s="25">
        <f t="shared" si="58"/>
        <v>-9.5108695652172375E-3</v>
      </c>
      <c r="E903" s="16">
        <v>44914</v>
      </c>
      <c r="F903" s="15">
        <v>15755.2</v>
      </c>
      <c r="G903" s="25">
        <f t="shared" si="59"/>
        <v>7.6008787216965829E-3</v>
      </c>
      <c r="I903" s="16">
        <v>44914</v>
      </c>
      <c r="J903" s="17">
        <v>6.4299999999999996E-2</v>
      </c>
      <c r="K903" s="25">
        <f t="shared" si="56"/>
        <v>1.7074692097951427E-4</v>
      </c>
      <c r="M903" s="16">
        <v>44914</v>
      </c>
      <c r="N903" s="26">
        <f t="shared" si="57"/>
        <v>7.4301318007170686E-3</v>
      </c>
      <c r="O903" s="26">
        <f>'Part 2 - CAPM 2.1, 2.2 and 2.3'!C903-'Part 2 - CAPM 2.1, 2.2 and 2.3'!K903</f>
        <v>-9.6816164861967518E-3</v>
      </c>
    </row>
    <row r="904" spans="1:15" x14ac:dyDescent="0.4">
      <c r="A904" s="16">
        <v>44915</v>
      </c>
      <c r="B904" s="14">
        <v>145.85</v>
      </c>
      <c r="C904" s="25">
        <f t="shared" si="58"/>
        <v>3.429355281205963E-4</v>
      </c>
      <c r="E904" s="16">
        <v>44915</v>
      </c>
      <c r="F904" s="15">
        <v>15726.2</v>
      </c>
      <c r="G904" s="25">
        <f t="shared" si="59"/>
        <v>-1.8406621305981517E-3</v>
      </c>
      <c r="I904" s="16">
        <v>44915</v>
      </c>
      <c r="J904" s="17">
        <v>6.4299999999999996E-2</v>
      </c>
      <c r="K904" s="25">
        <f t="shared" si="56"/>
        <v>1.7074692097951427E-4</v>
      </c>
      <c r="M904" s="16">
        <v>44915</v>
      </c>
      <c r="N904" s="26">
        <f t="shared" si="57"/>
        <v>-2.0114090515776662E-3</v>
      </c>
      <c r="O904" s="26">
        <f>'Part 2 - CAPM 2.1, 2.2 and 2.3'!C904-'Part 2 - CAPM 2.1, 2.2 and 2.3'!K904</f>
        <v>1.7218860714108202E-4</v>
      </c>
    </row>
    <row r="905" spans="1:15" x14ac:dyDescent="0.4">
      <c r="A905" s="16">
        <v>44916</v>
      </c>
      <c r="B905" s="14">
        <v>143.5</v>
      </c>
      <c r="C905" s="25">
        <f t="shared" si="58"/>
        <v>-1.6112444292080867E-2</v>
      </c>
      <c r="E905" s="16">
        <v>44916</v>
      </c>
      <c r="F905" s="15">
        <v>15527.55</v>
      </c>
      <c r="G905" s="25">
        <f t="shared" si="59"/>
        <v>-1.2631786445549556E-2</v>
      </c>
      <c r="I905" s="16">
        <v>44916</v>
      </c>
      <c r="J905" s="17">
        <v>6.4600000000000005E-2</v>
      </c>
      <c r="K905" s="25">
        <f t="shared" si="56"/>
        <v>1.715192057003545E-4</v>
      </c>
      <c r="M905" s="16">
        <v>44916</v>
      </c>
      <c r="N905" s="26">
        <f t="shared" si="57"/>
        <v>-1.2803305651249911E-2</v>
      </c>
      <c r="O905" s="26">
        <f>'Part 2 - CAPM 2.1, 2.2 and 2.3'!C905-'Part 2 - CAPM 2.1, 2.2 and 2.3'!K905</f>
        <v>-1.6283963497781221E-2</v>
      </c>
    </row>
    <row r="906" spans="1:15" x14ac:dyDescent="0.4">
      <c r="A906" s="16">
        <v>44917</v>
      </c>
      <c r="B906" s="14">
        <v>142.25</v>
      </c>
      <c r="C906" s="25">
        <f t="shared" si="58"/>
        <v>-8.7108013937282226E-3</v>
      </c>
      <c r="E906" s="16">
        <v>44917</v>
      </c>
      <c r="F906" s="15">
        <v>15431.5</v>
      </c>
      <c r="G906" s="25">
        <f t="shared" si="59"/>
        <v>-6.1857794693946748E-3</v>
      </c>
      <c r="I906" s="16">
        <v>44917</v>
      </c>
      <c r="J906" s="17">
        <v>6.3799999999999996E-2</v>
      </c>
      <c r="K906" s="25">
        <f t="shared" si="56"/>
        <v>1.6945929722411712E-4</v>
      </c>
      <c r="M906" s="16">
        <v>44917</v>
      </c>
      <c r="N906" s="26">
        <f t="shared" si="57"/>
        <v>-6.3552387666187919E-3</v>
      </c>
      <c r="O906" s="26">
        <f>'Part 2 - CAPM 2.1, 2.2 and 2.3'!C906-'Part 2 - CAPM 2.1, 2.2 and 2.3'!K906</f>
        <v>-8.8802606909523397E-3</v>
      </c>
    </row>
    <row r="907" spans="1:15" x14ac:dyDescent="0.4">
      <c r="A907" s="16">
        <v>44918</v>
      </c>
      <c r="B907" s="14">
        <v>139.80000000000001</v>
      </c>
      <c r="C907" s="25">
        <f t="shared" si="58"/>
        <v>-1.7223198594024526E-2</v>
      </c>
      <c r="E907" s="16">
        <v>44918</v>
      </c>
      <c r="F907" s="15">
        <v>15046</v>
      </c>
      <c r="G907" s="25">
        <f t="shared" si="59"/>
        <v>-2.4981369277127952E-2</v>
      </c>
      <c r="I907" s="16">
        <v>44918</v>
      </c>
      <c r="J907" s="17">
        <v>6.3899999999999998E-2</v>
      </c>
      <c r="K907" s="25">
        <f t="shared" si="56"/>
        <v>1.6971687025191251E-4</v>
      </c>
      <c r="M907" s="16">
        <v>44918</v>
      </c>
      <c r="N907" s="26">
        <f t="shared" si="57"/>
        <v>-2.5151086147379865E-2</v>
      </c>
      <c r="O907" s="26">
        <f>'Part 2 - CAPM 2.1, 2.2 and 2.3'!C907-'Part 2 - CAPM 2.1, 2.2 and 2.3'!K907</f>
        <v>-1.7392915464276439E-2</v>
      </c>
    </row>
    <row r="908" spans="1:15" x14ac:dyDescent="0.4">
      <c r="A908" s="16">
        <v>44921</v>
      </c>
      <c r="B908" s="14">
        <v>141.30000000000001</v>
      </c>
      <c r="C908" s="25">
        <f t="shared" si="58"/>
        <v>1.0729613733905579E-2</v>
      </c>
      <c r="E908" s="16">
        <v>44921</v>
      </c>
      <c r="F908" s="15">
        <v>15298.55</v>
      </c>
      <c r="G908" s="25">
        <f t="shared" si="59"/>
        <v>1.6785192077628557E-2</v>
      </c>
      <c r="I908" s="16">
        <v>44921</v>
      </c>
      <c r="J908" s="17">
        <v>6.3700000000000007E-2</v>
      </c>
      <c r="K908" s="25">
        <f t="shared" si="56"/>
        <v>1.6920170004919299E-4</v>
      </c>
      <c r="M908" s="16">
        <v>44921</v>
      </c>
      <c r="N908" s="26">
        <f t="shared" si="57"/>
        <v>1.6615990377579364E-2</v>
      </c>
      <c r="O908" s="26">
        <f>'Part 2 - CAPM 2.1, 2.2 and 2.3'!C908-'Part 2 - CAPM 2.1, 2.2 and 2.3'!K908</f>
        <v>1.0560412033856386E-2</v>
      </c>
    </row>
    <row r="909" spans="1:15" x14ac:dyDescent="0.4">
      <c r="A909" s="16">
        <v>44922</v>
      </c>
      <c r="B909" s="14">
        <v>144.80000000000001</v>
      </c>
      <c r="C909" s="25">
        <f t="shared" si="58"/>
        <v>2.4769992922859162E-2</v>
      </c>
      <c r="E909" s="16">
        <v>44922</v>
      </c>
      <c r="F909" s="15">
        <v>15418.35</v>
      </c>
      <c r="G909" s="25">
        <f t="shared" si="59"/>
        <v>7.8308074948280123E-3</v>
      </c>
      <c r="I909" s="16">
        <v>44922</v>
      </c>
      <c r="J909" s="17">
        <v>6.3799999999999996E-2</v>
      </c>
      <c r="K909" s="25">
        <f t="shared" si="56"/>
        <v>1.6945929722411712E-4</v>
      </c>
      <c r="M909" s="16">
        <v>44922</v>
      </c>
      <c r="N909" s="26">
        <f t="shared" si="57"/>
        <v>7.6613481976038952E-3</v>
      </c>
      <c r="O909" s="26">
        <f>'Part 2 - CAPM 2.1, 2.2 and 2.3'!C909-'Part 2 - CAPM 2.1, 2.2 and 2.3'!K909</f>
        <v>2.4600533625635045E-2</v>
      </c>
    </row>
    <row r="910" spans="1:15" x14ac:dyDescent="0.4">
      <c r="A910" s="16">
        <v>44923</v>
      </c>
      <c r="B910" s="14">
        <v>143.9</v>
      </c>
      <c r="C910" s="25">
        <f t="shared" si="58"/>
        <v>-6.2154696132597073E-3</v>
      </c>
      <c r="E910" s="16">
        <v>44923</v>
      </c>
      <c r="F910" s="15">
        <v>15432.8</v>
      </c>
      <c r="G910" s="25">
        <f t="shared" si="59"/>
        <v>9.3719496573880525E-4</v>
      </c>
      <c r="I910" s="16">
        <v>44923</v>
      </c>
      <c r="J910" s="17">
        <v>6.3399999999999998E-2</v>
      </c>
      <c r="K910" s="25">
        <f t="shared" si="56"/>
        <v>1.6842876359501879E-4</v>
      </c>
      <c r="M910" s="16">
        <v>44923</v>
      </c>
      <c r="N910" s="26">
        <f t="shared" si="57"/>
        <v>7.6876620214378646E-4</v>
      </c>
      <c r="O910" s="26">
        <f>'Part 2 - CAPM 2.1, 2.2 and 2.3'!C910-'Part 2 - CAPM 2.1, 2.2 and 2.3'!K910</f>
        <v>-6.3838983768547261E-3</v>
      </c>
    </row>
    <row r="911" spans="1:15" x14ac:dyDescent="0.4">
      <c r="A911" s="16">
        <v>44924</v>
      </c>
      <c r="B911" s="14">
        <v>144.65</v>
      </c>
      <c r="C911" s="25">
        <f t="shared" si="58"/>
        <v>5.2119527449617786E-3</v>
      </c>
      <c r="E911" s="16">
        <v>44924</v>
      </c>
      <c r="F911" s="15">
        <v>15485.2</v>
      </c>
      <c r="G911" s="25">
        <f t="shared" si="59"/>
        <v>3.3953657145820238E-3</v>
      </c>
      <c r="I911" s="16">
        <v>44924</v>
      </c>
      <c r="J911" s="17">
        <v>6.3099999999999989E-2</v>
      </c>
      <c r="K911" s="25">
        <f t="shared" si="56"/>
        <v>1.6765560965148474E-4</v>
      </c>
      <c r="M911" s="16">
        <v>44924</v>
      </c>
      <c r="N911" s="26">
        <f t="shared" si="57"/>
        <v>3.227710104930539E-3</v>
      </c>
      <c r="O911" s="26">
        <f>'Part 2 - CAPM 2.1, 2.2 and 2.3'!C911-'Part 2 - CAPM 2.1, 2.2 and 2.3'!K911</f>
        <v>5.0442971353102939E-3</v>
      </c>
    </row>
    <row r="912" spans="1:15" x14ac:dyDescent="0.4">
      <c r="A912" s="16">
        <v>44925</v>
      </c>
      <c r="B912" s="14">
        <v>146.75</v>
      </c>
      <c r="C912" s="25">
        <f t="shared" si="58"/>
        <v>1.4517801590044897E-2</v>
      </c>
      <c r="E912" s="16">
        <v>44925</v>
      </c>
      <c r="F912" s="15">
        <v>15448.85</v>
      </c>
      <c r="G912" s="25">
        <f t="shared" si="59"/>
        <v>-2.347402681269881E-3</v>
      </c>
      <c r="I912" s="16">
        <v>44925</v>
      </c>
      <c r="J912" s="17">
        <v>6.3399999999999998E-2</v>
      </c>
      <c r="K912" s="25">
        <f t="shared" si="56"/>
        <v>1.6842876359501879E-4</v>
      </c>
      <c r="M912" s="16">
        <v>44925</v>
      </c>
      <c r="N912" s="26">
        <f t="shared" si="57"/>
        <v>-2.5158314448648997E-3</v>
      </c>
      <c r="O912" s="26">
        <f>'Part 2 - CAPM 2.1, 2.2 and 2.3'!C912-'Part 2 - CAPM 2.1, 2.2 and 2.3'!K912</f>
        <v>1.4349372826449878E-2</v>
      </c>
    </row>
    <row r="913" spans="1:15" x14ac:dyDescent="0.4">
      <c r="A913" s="16">
        <v>44928</v>
      </c>
      <c r="B913" s="14">
        <v>150.44999999999999</v>
      </c>
      <c r="C913" s="25">
        <f t="shared" si="58"/>
        <v>2.5212947189097026E-2</v>
      </c>
      <c r="E913" s="16">
        <v>44928</v>
      </c>
      <c r="F913" s="15">
        <v>15523.65</v>
      </c>
      <c r="G913" s="25">
        <f t="shared" si="59"/>
        <v>4.8417843399346404E-3</v>
      </c>
      <c r="I913" s="16">
        <v>44928</v>
      </c>
      <c r="J913" s="17">
        <v>6.2899999999999998E-2</v>
      </c>
      <c r="K913" s="25">
        <f t="shared" si="56"/>
        <v>1.6714005280094035E-4</v>
      </c>
      <c r="M913" s="16">
        <v>44928</v>
      </c>
      <c r="N913" s="26">
        <f t="shared" si="57"/>
        <v>4.6746442871337E-3</v>
      </c>
      <c r="O913" s="26">
        <f>'Part 2 - CAPM 2.1, 2.2 and 2.3'!C913-'Part 2 - CAPM 2.1, 2.2 and 2.3'!K913</f>
        <v>2.5045807136296085E-2</v>
      </c>
    </row>
    <row r="914" spans="1:15" x14ac:dyDescent="0.4">
      <c r="A914" s="16">
        <v>44929</v>
      </c>
      <c r="B914" s="14">
        <v>149.55000000000001</v>
      </c>
      <c r="C914" s="25">
        <f t="shared" si="58"/>
        <v>-5.9820538384843958E-3</v>
      </c>
      <c r="E914" s="16">
        <v>44929</v>
      </c>
      <c r="F914" s="15">
        <v>15557.8</v>
      </c>
      <c r="G914" s="25">
        <f t="shared" si="59"/>
        <v>2.1998692317850271E-3</v>
      </c>
      <c r="I914" s="16">
        <v>44929</v>
      </c>
      <c r="J914" s="17">
        <v>6.3E-2</v>
      </c>
      <c r="K914" s="25">
        <f t="shared" si="56"/>
        <v>1.673978433180956E-4</v>
      </c>
      <c r="M914" s="16">
        <v>44929</v>
      </c>
      <c r="N914" s="26">
        <f t="shared" si="57"/>
        <v>2.0324713884669315E-3</v>
      </c>
      <c r="O914" s="26">
        <f>'Part 2 - CAPM 2.1, 2.2 and 2.3'!C914-'Part 2 - CAPM 2.1, 2.2 and 2.3'!K914</f>
        <v>-6.1494516818024914E-3</v>
      </c>
    </row>
    <row r="915" spans="1:15" x14ac:dyDescent="0.4">
      <c r="A915" s="16">
        <v>44930</v>
      </c>
      <c r="B915" s="14">
        <v>146.25</v>
      </c>
      <c r="C915" s="25">
        <f t="shared" si="58"/>
        <v>-2.2066198595787435E-2</v>
      </c>
      <c r="E915" s="16">
        <v>44930</v>
      </c>
      <c r="F915" s="15">
        <v>15393</v>
      </c>
      <c r="G915" s="25">
        <f t="shared" si="59"/>
        <v>-1.0592757330727948E-2</v>
      </c>
      <c r="I915" s="16">
        <v>44930</v>
      </c>
      <c r="J915" s="17">
        <v>6.3600000000000004E-2</v>
      </c>
      <c r="K915" s="25">
        <f t="shared" si="56"/>
        <v>1.6894407872247719E-4</v>
      </c>
      <c r="M915" s="16">
        <v>44930</v>
      </c>
      <c r="N915" s="26">
        <f t="shared" si="57"/>
        <v>-1.0761701409450425E-2</v>
      </c>
      <c r="O915" s="26">
        <f>'Part 2 - CAPM 2.1, 2.2 and 2.3'!C915-'Part 2 - CAPM 2.1, 2.2 and 2.3'!K915</f>
        <v>-2.2235142674509913E-2</v>
      </c>
    </row>
    <row r="916" spans="1:15" x14ac:dyDescent="0.4">
      <c r="A916" s="16">
        <v>44931</v>
      </c>
      <c r="B916" s="14">
        <v>146.5</v>
      </c>
      <c r="C916" s="25">
        <f t="shared" si="58"/>
        <v>1.7094017094017094E-3</v>
      </c>
      <c r="E916" s="16">
        <v>44931</v>
      </c>
      <c r="F916" s="15">
        <v>15386.2</v>
      </c>
      <c r="G916" s="25">
        <f t="shared" si="59"/>
        <v>-4.4175924121349136E-4</v>
      </c>
      <c r="I916" s="16">
        <v>44931</v>
      </c>
      <c r="J916" s="17">
        <v>6.3700000000000007E-2</v>
      </c>
      <c r="K916" s="25">
        <f t="shared" si="56"/>
        <v>1.6920170004919299E-4</v>
      </c>
      <c r="M916" s="16">
        <v>44931</v>
      </c>
      <c r="N916" s="26">
        <f t="shared" si="57"/>
        <v>-6.1096094126268435E-4</v>
      </c>
      <c r="O916" s="26">
        <f>'Part 2 - CAPM 2.1, 2.2 and 2.3'!C916-'Part 2 - CAPM 2.1, 2.2 and 2.3'!K916</f>
        <v>1.5402000093525164E-3</v>
      </c>
    </row>
    <row r="917" spans="1:15" x14ac:dyDescent="0.4">
      <c r="A917" s="16">
        <v>44932</v>
      </c>
      <c r="B917" s="14">
        <v>147.35</v>
      </c>
      <c r="C917" s="25">
        <f t="shared" si="58"/>
        <v>5.8020477815699271E-3</v>
      </c>
      <c r="E917" s="16">
        <v>44932</v>
      </c>
      <c r="F917" s="15">
        <v>15272</v>
      </c>
      <c r="G917" s="25">
        <f t="shared" si="59"/>
        <v>-7.4222355097425434E-3</v>
      </c>
      <c r="I917" s="16">
        <v>44932</v>
      </c>
      <c r="J917" s="17">
        <v>6.3700000000000007E-2</v>
      </c>
      <c r="K917" s="25">
        <f t="shared" si="56"/>
        <v>1.6920170004919299E-4</v>
      </c>
      <c r="M917" s="16">
        <v>44932</v>
      </c>
      <c r="N917" s="26">
        <f t="shared" si="57"/>
        <v>-7.5914372097917364E-3</v>
      </c>
      <c r="O917" s="26">
        <f>'Part 2 - CAPM 2.1, 2.2 and 2.3'!C917-'Part 2 - CAPM 2.1, 2.2 and 2.3'!K917</f>
        <v>5.6328460815207341E-3</v>
      </c>
    </row>
    <row r="918" spans="1:15" x14ac:dyDescent="0.4">
      <c r="A918" s="16">
        <v>44935</v>
      </c>
      <c r="B918" s="14">
        <v>148.15</v>
      </c>
      <c r="C918" s="25">
        <f t="shared" si="58"/>
        <v>5.4292500848321101E-3</v>
      </c>
      <c r="E918" s="16">
        <v>44935</v>
      </c>
      <c r="F918" s="15">
        <v>15450.1</v>
      </c>
      <c r="G918" s="25">
        <f t="shared" si="59"/>
        <v>1.16618648507072E-2</v>
      </c>
      <c r="I918" s="16">
        <v>44935</v>
      </c>
      <c r="J918" s="17">
        <v>6.3799999999999996E-2</v>
      </c>
      <c r="K918" s="25">
        <f t="shared" si="56"/>
        <v>1.6945929722411712E-4</v>
      </c>
      <c r="M918" s="16">
        <v>44935</v>
      </c>
      <c r="N918" s="26">
        <f t="shared" si="57"/>
        <v>1.1492405553483083E-2</v>
      </c>
      <c r="O918" s="26">
        <f>'Part 2 - CAPM 2.1, 2.2 and 2.3'!C918-'Part 2 - CAPM 2.1, 2.2 and 2.3'!K918</f>
        <v>5.259790787607993E-3</v>
      </c>
    </row>
    <row r="919" spans="1:15" x14ac:dyDescent="0.4">
      <c r="A919" s="16">
        <v>44936</v>
      </c>
      <c r="B919" s="14">
        <v>149.35</v>
      </c>
      <c r="C919" s="25">
        <f t="shared" si="58"/>
        <v>8.0998987512655319E-3</v>
      </c>
      <c r="E919" s="16">
        <v>44936</v>
      </c>
      <c r="F919" s="15">
        <v>15325.25</v>
      </c>
      <c r="G919" s="25">
        <f t="shared" si="59"/>
        <v>-8.0808538456062003E-3</v>
      </c>
      <c r="I919" s="16">
        <v>44936</v>
      </c>
      <c r="J919" s="17">
        <v>6.3799999999999996E-2</v>
      </c>
      <c r="K919" s="25">
        <f t="shared" si="56"/>
        <v>1.6945929722411712E-4</v>
      </c>
      <c r="M919" s="16">
        <v>44936</v>
      </c>
      <c r="N919" s="26">
        <f t="shared" si="57"/>
        <v>-8.2503131428303175E-3</v>
      </c>
      <c r="O919" s="26">
        <f>'Part 2 - CAPM 2.1, 2.2 and 2.3'!C919-'Part 2 - CAPM 2.1, 2.2 and 2.3'!K919</f>
        <v>7.9304394540414148E-3</v>
      </c>
    </row>
    <row r="920" spans="1:15" x14ac:dyDescent="0.4">
      <c r="A920" s="16">
        <v>44937</v>
      </c>
      <c r="B920" s="14">
        <v>146.80000000000001</v>
      </c>
      <c r="C920" s="25">
        <f t="shared" si="58"/>
        <v>-1.7073987278205444E-2</v>
      </c>
      <c r="E920" s="16">
        <v>44937</v>
      </c>
      <c r="F920" s="15">
        <v>15301.35</v>
      </c>
      <c r="G920" s="25">
        <f t="shared" si="59"/>
        <v>-1.5595177892693192E-3</v>
      </c>
      <c r="I920" s="16">
        <v>44937</v>
      </c>
      <c r="J920" s="17">
        <v>6.4000000000000001E-2</v>
      </c>
      <c r="K920" s="25">
        <f t="shared" si="56"/>
        <v>1.6997441913657596E-4</v>
      </c>
      <c r="M920" s="16">
        <v>44937</v>
      </c>
      <c r="N920" s="26">
        <f t="shared" si="57"/>
        <v>-1.7294922084058952E-3</v>
      </c>
      <c r="O920" s="26">
        <f>'Part 2 - CAPM 2.1, 2.2 and 2.3'!C920-'Part 2 - CAPM 2.1, 2.2 and 2.3'!K920</f>
        <v>-1.724396169734202E-2</v>
      </c>
    </row>
    <row r="921" spans="1:15" x14ac:dyDescent="0.4">
      <c r="A921" s="16">
        <v>44938</v>
      </c>
      <c r="B921" s="14">
        <v>146.15</v>
      </c>
      <c r="C921" s="25">
        <f t="shared" si="58"/>
        <v>-4.4277929155313736E-3</v>
      </c>
      <c r="E921" s="16">
        <v>44938</v>
      </c>
      <c r="F921" s="15">
        <v>15279.6</v>
      </c>
      <c r="G921" s="25">
        <f t="shared" si="59"/>
        <v>-1.4214432059916282E-3</v>
      </c>
      <c r="I921" s="16">
        <v>44938</v>
      </c>
      <c r="J921" s="17">
        <v>6.4199999999999993E-2</v>
      </c>
      <c r="K921" s="25">
        <f t="shared" si="56"/>
        <v>1.7048944449604697E-4</v>
      </c>
      <c r="M921" s="16">
        <v>44938</v>
      </c>
      <c r="N921" s="26">
        <f t="shared" si="57"/>
        <v>-1.5919326504876751E-3</v>
      </c>
      <c r="O921" s="26">
        <f>'Part 2 - CAPM 2.1, 2.2 and 2.3'!C921-'Part 2 - CAPM 2.1, 2.2 and 2.3'!K921</f>
        <v>-4.5982823600274206E-3</v>
      </c>
    </row>
    <row r="922" spans="1:15" x14ac:dyDescent="0.4">
      <c r="A922" s="16">
        <v>44939</v>
      </c>
      <c r="B922" s="14">
        <v>146.94999999999999</v>
      </c>
      <c r="C922" s="25">
        <f t="shared" si="58"/>
        <v>5.4738282586382679E-3</v>
      </c>
      <c r="E922" s="16">
        <v>44939</v>
      </c>
      <c r="F922" s="15">
        <v>15346.1</v>
      </c>
      <c r="G922" s="25">
        <f t="shared" si="59"/>
        <v>4.3522081729888218E-3</v>
      </c>
      <c r="I922" s="16">
        <v>44939</v>
      </c>
      <c r="J922" s="17">
        <v>6.4199999999999993E-2</v>
      </c>
      <c r="K922" s="25">
        <f t="shared" si="56"/>
        <v>1.7048944449604697E-4</v>
      </c>
      <c r="M922" s="16">
        <v>44939</v>
      </c>
      <c r="N922" s="26">
        <f t="shared" si="57"/>
        <v>4.1817187284927749E-3</v>
      </c>
      <c r="O922" s="26">
        <f>'Part 2 - CAPM 2.1, 2.2 and 2.3'!C922-'Part 2 - CAPM 2.1, 2.2 and 2.3'!K922</f>
        <v>5.303338814142221E-3</v>
      </c>
    </row>
    <row r="923" spans="1:15" x14ac:dyDescent="0.4">
      <c r="A923" s="16">
        <v>44942</v>
      </c>
      <c r="B923" s="14">
        <v>147.6</v>
      </c>
      <c r="C923" s="25">
        <f t="shared" si="58"/>
        <v>4.4232732221844559E-3</v>
      </c>
      <c r="E923" s="16">
        <v>44942</v>
      </c>
      <c r="F923" s="15">
        <v>15305.45</v>
      </c>
      <c r="G923" s="25">
        <f t="shared" si="59"/>
        <v>-2.6488814747720681E-3</v>
      </c>
      <c r="I923" s="16">
        <v>44942</v>
      </c>
      <c r="J923" s="17">
        <v>6.4299999999999996E-2</v>
      </c>
      <c r="K923" s="25">
        <f t="shared" si="56"/>
        <v>1.7074692097951427E-4</v>
      </c>
      <c r="M923" s="16">
        <v>44942</v>
      </c>
      <c r="N923" s="26">
        <f t="shared" si="57"/>
        <v>-2.8196283957515824E-3</v>
      </c>
      <c r="O923" s="26">
        <f>'Part 2 - CAPM 2.1, 2.2 and 2.3'!C923-'Part 2 - CAPM 2.1, 2.2 and 2.3'!K923</f>
        <v>4.2525263012049416E-3</v>
      </c>
    </row>
    <row r="924" spans="1:15" x14ac:dyDescent="0.4">
      <c r="A924" s="16">
        <v>44943</v>
      </c>
      <c r="B924" s="14">
        <v>147.85</v>
      </c>
      <c r="C924" s="25">
        <f t="shared" si="58"/>
        <v>1.6937669376693768E-3</v>
      </c>
      <c r="E924" s="16">
        <v>44943</v>
      </c>
      <c r="F924" s="15">
        <v>15396.15</v>
      </c>
      <c r="G924" s="25">
        <f t="shared" si="59"/>
        <v>5.9259936819890235E-3</v>
      </c>
      <c r="I924" s="16">
        <v>44943</v>
      </c>
      <c r="J924" s="17">
        <v>6.4299999999999996E-2</v>
      </c>
      <c r="K924" s="25">
        <f t="shared" si="56"/>
        <v>1.7074692097951427E-4</v>
      </c>
      <c r="M924" s="16">
        <v>44943</v>
      </c>
      <c r="N924" s="26">
        <f t="shared" si="57"/>
        <v>5.7552467610095092E-3</v>
      </c>
      <c r="O924" s="26">
        <f>'Part 2 - CAPM 2.1, 2.2 and 2.3'!C924-'Part 2 - CAPM 2.1, 2.2 and 2.3'!K924</f>
        <v>1.5230200166898625E-3</v>
      </c>
    </row>
    <row r="925" spans="1:15" x14ac:dyDescent="0.4">
      <c r="A925" s="16">
        <v>44944</v>
      </c>
      <c r="B925" s="14">
        <v>149.25</v>
      </c>
      <c r="C925" s="25">
        <f t="shared" si="58"/>
        <v>9.4690564761583072E-3</v>
      </c>
      <c r="E925" s="16">
        <v>44944</v>
      </c>
      <c r="F925" s="15">
        <v>15466.35</v>
      </c>
      <c r="G925" s="25">
        <f t="shared" si="59"/>
        <v>4.559581453805057E-3</v>
      </c>
      <c r="I925" s="16">
        <v>44944</v>
      </c>
      <c r="J925" s="17">
        <v>6.4600000000000005E-2</v>
      </c>
      <c r="K925" s="25">
        <f t="shared" si="56"/>
        <v>1.715192057003545E-4</v>
      </c>
      <c r="M925" s="16">
        <v>44944</v>
      </c>
      <c r="N925" s="26">
        <f t="shared" si="57"/>
        <v>4.3880622481047024E-3</v>
      </c>
      <c r="O925" s="26">
        <f>'Part 2 - CAPM 2.1, 2.2 and 2.3'!C925-'Part 2 - CAPM 2.1, 2.2 and 2.3'!K925</f>
        <v>9.2975372704579527E-3</v>
      </c>
    </row>
    <row r="926" spans="1:15" x14ac:dyDescent="0.4">
      <c r="A926" s="16">
        <v>44945</v>
      </c>
      <c r="B926" s="14">
        <v>151.75</v>
      </c>
      <c r="C926" s="25">
        <f t="shared" si="58"/>
        <v>1.675041876046901E-2</v>
      </c>
      <c r="E926" s="16">
        <v>44945</v>
      </c>
      <c r="F926" s="15">
        <v>15419.7</v>
      </c>
      <c r="G926" s="25">
        <f t="shared" si="59"/>
        <v>-3.0162255477213197E-3</v>
      </c>
      <c r="I926" s="16">
        <v>44945</v>
      </c>
      <c r="J926" s="17">
        <v>6.4299999999999996E-2</v>
      </c>
      <c r="K926" s="25">
        <f t="shared" si="56"/>
        <v>1.7074692097951427E-4</v>
      </c>
      <c r="M926" s="16">
        <v>44945</v>
      </c>
      <c r="N926" s="26">
        <f t="shared" si="57"/>
        <v>-3.1869724687008339E-3</v>
      </c>
      <c r="O926" s="26">
        <f>'Part 2 - CAPM 2.1, 2.2 and 2.3'!C926-'Part 2 - CAPM 2.1, 2.2 and 2.3'!K926</f>
        <v>1.6579671839489496E-2</v>
      </c>
    </row>
    <row r="927" spans="1:15" x14ac:dyDescent="0.4">
      <c r="A927" s="16">
        <v>44946</v>
      </c>
      <c r="B927" s="14">
        <v>151.6</v>
      </c>
      <c r="C927" s="25">
        <f t="shared" si="58"/>
        <v>-9.8846787479410655E-4</v>
      </c>
      <c r="E927" s="16">
        <v>44946</v>
      </c>
      <c r="F927" s="15">
        <v>15347.9</v>
      </c>
      <c r="G927" s="25">
        <f t="shared" si="59"/>
        <v>-4.6563811228494123E-3</v>
      </c>
      <c r="I927" s="16">
        <v>44946</v>
      </c>
      <c r="J927" s="17">
        <v>6.4500000000000002E-2</v>
      </c>
      <c r="K927" s="25">
        <f t="shared" si="56"/>
        <v>1.7126180157722715E-4</v>
      </c>
      <c r="M927" s="16">
        <v>44946</v>
      </c>
      <c r="N927" s="26">
        <f t="shared" si="57"/>
        <v>-4.8276429244266394E-3</v>
      </c>
      <c r="O927" s="26">
        <f>'Part 2 - CAPM 2.1, 2.2 and 2.3'!C927-'Part 2 - CAPM 2.1, 2.2 and 2.3'!K927</f>
        <v>-1.1597296763713337E-3</v>
      </c>
    </row>
    <row r="928" spans="1:15" x14ac:dyDescent="0.4">
      <c r="A928" s="16">
        <v>44949</v>
      </c>
      <c r="B928" s="14">
        <v>152.35</v>
      </c>
      <c r="C928" s="25">
        <f t="shared" si="58"/>
        <v>4.9472295514511877E-3</v>
      </c>
      <c r="E928" s="16">
        <v>44949</v>
      </c>
      <c r="F928" s="15">
        <v>15403.2</v>
      </c>
      <c r="G928" s="25">
        <f t="shared" si="59"/>
        <v>3.6030987952749946E-3</v>
      </c>
      <c r="I928" s="16">
        <v>44949</v>
      </c>
      <c r="J928" s="17">
        <v>6.4299999999999996E-2</v>
      </c>
      <c r="K928" s="25">
        <f t="shared" si="56"/>
        <v>1.7074692097951427E-4</v>
      </c>
      <c r="M928" s="16">
        <v>44949</v>
      </c>
      <c r="N928" s="26">
        <f t="shared" si="57"/>
        <v>3.4323518742954803E-3</v>
      </c>
      <c r="O928" s="26">
        <f>'Part 2 - CAPM 2.1, 2.2 and 2.3'!C928-'Part 2 - CAPM 2.1, 2.2 and 2.3'!K928</f>
        <v>4.7764826304716734E-3</v>
      </c>
    </row>
    <row r="929" spans="1:15" x14ac:dyDescent="0.4">
      <c r="A929" s="16">
        <v>44950</v>
      </c>
      <c r="B929" s="14">
        <v>152.15</v>
      </c>
      <c r="C929" s="25">
        <f t="shared" si="58"/>
        <v>-1.3127666557268699E-3</v>
      </c>
      <c r="E929" s="16">
        <v>44950</v>
      </c>
      <c r="F929" s="15">
        <v>15388.55</v>
      </c>
      <c r="G929" s="25">
        <f t="shared" si="59"/>
        <v>-9.5110106990764606E-4</v>
      </c>
      <c r="I929" s="16">
        <v>44950</v>
      </c>
      <c r="J929" s="17">
        <v>6.4199999999999993E-2</v>
      </c>
      <c r="K929" s="25">
        <f t="shared" si="56"/>
        <v>1.7048944449604697E-4</v>
      </c>
      <c r="M929" s="16">
        <v>44950</v>
      </c>
      <c r="N929" s="26">
        <f t="shared" si="57"/>
        <v>-1.121590514403693E-3</v>
      </c>
      <c r="O929" s="26">
        <f>'Part 2 - CAPM 2.1, 2.2 and 2.3'!C929-'Part 2 - CAPM 2.1, 2.2 and 2.3'!K929</f>
        <v>-1.4832561002229168E-3</v>
      </c>
    </row>
    <row r="930" spans="1:15" x14ac:dyDescent="0.4">
      <c r="A930" s="16">
        <v>44951</v>
      </c>
      <c r="B930" s="14">
        <v>152.44999999999999</v>
      </c>
      <c r="C930" s="25">
        <f t="shared" si="58"/>
        <v>1.9717384160366936E-3</v>
      </c>
      <c r="E930" s="16">
        <v>44951</v>
      </c>
      <c r="F930" s="15">
        <v>15171.95</v>
      </c>
      <c r="G930" s="25">
        <f t="shared" si="59"/>
        <v>-1.4075400216394564E-2</v>
      </c>
      <c r="I930" s="16">
        <v>44951</v>
      </c>
      <c r="J930" s="17">
        <v>6.4500000000000002E-2</v>
      </c>
      <c r="K930" s="25">
        <f t="shared" si="56"/>
        <v>1.7126180157722715E-4</v>
      </c>
      <c r="M930" s="16">
        <v>44951</v>
      </c>
      <c r="N930" s="26">
        <f t="shared" si="57"/>
        <v>-1.4246662017971791E-2</v>
      </c>
      <c r="O930" s="26">
        <f>'Part 2 - CAPM 2.1, 2.2 and 2.3'!C930-'Part 2 - CAPM 2.1, 2.2 and 2.3'!K930</f>
        <v>1.8004766144594665E-3</v>
      </c>
    </row>
    <row r="931" spans="1:15" x14ac:dyDescent="0.4">
      <c r="A931" s="16">
        <v>44953</v>
      </c>
      <c r="B931" s="14">
        <v>147.65</v>
      </c>
      <c r="C931" s="25">
        <f t="shared" si="58"/>
        <v>-3.1485733027221928E-2</v>
      </c>
      <c r="E931" s="16">
        <v>44953</v>
      </c>
      <c r="F931" s="15">
        <v>14874.75</v>
      </c>
      <c r="G931" s="25">
        <f t="shared" si="59"/>
        <v>-1.9588780611589196E-2</v>
      </c>
      <c r="I931" s="16">
        <v>44953</v>
      </c>
      <c r="J931" s="17">
        <v>6.480000000000001E-2</v>
      </c>
      <c r="K931" s="25">
        <f t="shared" si="56"/>
        <v>1.7203394161757757E-4</v>
      </c>
      <c r="M931" s="16">
        <v>44953</v>
      </c>
      <c r="N931" s="26">
        <f t="shared" si="57"/>
        <v>-1.9760814553206774E-2</v>
      </c>
      <c r="O931" s="26">
        <f>'Part 2 - CAPM 2.1, 2.2 and 2.3'!C931-'Part 2 - CAPM 2.1, 2.2 and 2.3'!K931</f>
        <v>-3.1657766968839506E-2</v>
      </c>
    </row>
    <row r="932" spans="1:15" x14ac:dyDescent="0.4">
      <c r="A932" s="16">
        <v>44956</v>
      </c>
      <c r="B932" s="14">
        <v>144.9</v>
      </c>
      <c r="C932" s="25">
        <f t="shared" si="58"/>
        <v>-1.8625126989502201E-2</v>
      </c>
      <c r="E932" s="16">
        <v>44956</v>
      </c>
      <c r="F932" s="15">
        <v>14854.2</v>
      </c>
      <c r="G932" s="25">
        <f t="shared" si="59"/>
        <v>-1.381535824131449E-3</v>
      </c>
      <c r="I932" s="16">
        <v>44956</v>
      </c>
      <c r="J932" s="17">
        <v>6.4899999999999999E-2</v>
      </c>
      <c r="K932" s="25">
        <f t="shared" si="56"/>
        <v>1.7229127342099915E-4</v>
      </c>
      <c r="M932" s="16">
        <v>44956</v>
      </c>
      <c r="N932" s="26">
        <f t="shared" si="57"/>
        <v>-1.5538270975524481E-3</v>
      </c>
      <c r="O932" s="26">
        <f>'Part 2 - CAPM 2.1, 2.2 and 2.3'!C932-'Part 2 - CAPM 2.1, 2.2 and 2.3'!K932</f>
        <v>-1.87974182629232E-2</v>
      </c>
    </row>
    <row r="933" spans="1:15" x14ac:dyDescent="0.4">
      <c r="A933" s="16">
        <v>44957</v>
      </c>
      <c r="B933" s="14">
        <v>144.9</v>
      </c>
      <c r="C933" s="25">
        <f t="shared" si="58"/>
        <v>0</v>
      </c>
      <c r="E933" s="16">
        <v>44957</v>
      </c>
      <c r="F933" s="15">
        <v>14935.5</v>
      </c>
      <c r="G933" s="25">
        <f t="shared" si="59"/>
        <v>5.4731994991315093E-3</v>
      </c>
      <c r="I933" s="16">
        <v>44957</v>
      </c>
      <c r="J933" s="17">
        <v>6.480000000000001E-2</v>
      </c>
      <c r="K933" s="25">
        <f t="shared" si="56"/>
        <v>1.7203394161757757E-4</v>
      </c>
      <c r="M933" s="16">
        <v>44957</v>
      </c>
      <c r="N933" s="26">
        <f t="shared" si="57"/>
        <v>5.3011655575139318E-3</v>
      </c>
      <c r="O933" s="26">
        <f>'Part 2 - CAPM 2.1, 2.2 and 2.3'!C933-'Part 2 - CAPM 2.1, 2.2 and 2.3'!K933</f>
        <v>-1.7203394161757757E-4</v>
      </c>
    </row>
    <row r="934" spans="1:15" x14ac:dyDescent="0.4">
      <c r="A934" s="16">
        <v>44958</v>
      </c>
      <c r="B934" s="14">
        <v>144.25</v>
      </c>
      <c r="C934" s="25">
        <f t="shared" si="58"/>
        <v>-4.4858523119393071E-3</v>
      </c>
      <c r="E934" s="16">
        <v>44958</v>
      </c>
      <c r="F934" s="15">
        <v>14847.65</v>
      </c>
      <c r="G934" s="25">
        <f t="shared" si="59"/>
        <v>-5.8819590907569462E-3</v>
      </c>
      <c r="I934" s="16">
        <v>44958</v>
      </c>
      <c r="J934" s="17">
        <v>6.5099999999999991E-2</v>
      </c>
      <c r="K934" s="25">
        <f t="shared" si="56"/>
        <v>1.7280586473944481E-4</v>
      </c>
      <c r="M934" s="16">
        <v>44958</v>
      </c>
      <c r="N934" s="26">
        <f t="shared" si="57"/>
        <v>-6.054764955496391E-3</v>
      </c>
      <c r="O934" s="26">
        <f>'Part 2 - CAPM 2.1, 2.2 and 2.3'!C934-'Part 2 - CAPM 2.1, 2.2 and 2.3'!K934</f>
        <v>-4.6586581766787519E-3</v>
      </c>
    </row>
    <row r="935" spans="1:15" x14ac:dyDescent="0.4">
      <c r="A935" s="16">
        <v>44959</v>
      </c>
      <c r="B935" s="14">
        <v>143.44999999999999</v>
      </c>
      <c r="C935" s="25">
        <f t="shared" si="58"/>
        <v>-5.5459272097054518E-3</v>
      </c>
      <c r="E935" s="16">
        <v>44959</v>
      </c>
      <c r="F935" s="15">
        <v>14839.4</v>
      </c>
      <c r="G935" s="25">
        <f t="shared" si="59"/>
        <v>-5.5564348566944941E-4</v>
      </c>
      <c r="I935" s="16">
        <v>44959</v>
      </c>
      <c r="J935" s="17">
        <v>6.5599999999999992E-2</v>
      </c>
      <c r="K935" s="25">
        <f t="shared" si="56"/>
        <v>1.7409192156603304E-4</v>
      </c>
      <c r="M935" s="16">
        <v>44959</v>
      </c>
      <c r="N935" s="26">
        <f t="shared" si="57"/>
        <v>-7.2973540723548244E-4</v>
      </c>
      <c r="O935" s="26">
        <f>'Part 2 - CAPM 2.1, 2.2 and 2.3'!C935-'Part 2 - CAPM 2.1, 2.2 and 2.3'!K935</f>
        <v>-5.7200191312714848E-3</v>
      </c>
    </row>
    <row r="936" spans="1:15" x14ac:dyDescent="0.4">
      <c r="A936" s="16">
        <v>44960</v>
      </c>
      <c r="B936" s="14">
        <v>144.30000000000001</v>
      </c>
      <c r="C936" s="25">
        <f t="shared" si="58"/>
        <v>5.9254095503661402E-3</v>
      </c>
      <c r="E936" s="16">
        <v>44960</v>
      </c>
      <c r="F936" s="15">
        <v>14962.35</v>
      </c>
      <c r="G936" s="25">
        <f t="shared" si="59"/>
        <v>8.2853754194914028E-3</v>
      </c>
      <c r="I936" s="16">
        <v>44960</v>
      </c>
      <c r="J936" s="17">
        <v>6.5700000000000008E-2</v>
      </c>
      <c r="K936" s="25">
        <f t="shared" si="56"/>
        <v>1.7434906071533973E-4</v>
      </c>
      <c r="M936" s="16">
        <v>44960</v>
      </c>
      <c r="N936" s="26">
        <f t="shared" si="57"/>
        <v>8.111026358776063E-3</v>
      </c>
      <c r="O936" s="26">
        <f>'Part 2 - CAPM 2.1, 2.2 and 2.3'!C936-'Part 2 - CAPM 2.1, 2.2 and 2.3'!K936</f>
        <v>5.7510604896508005E-3</v>
      </c>
    </row>
    <row r="937" spans="1:15" x14ac:dyDescent="0.4">
      <c r="A937" s="16">
        <v>44963</v>
      </c>
      <c r="B937" s="14">
        <v>143.5</v>
      </c>
      <c r="C937" s="25">
        <f t="shared" si="58"/>
        <v>-5.5440055440056221E-3</v>
      </c>
      <c r="E937" s="16">
        <v>44963</v>
      </c>
      <c r="F937" s="15">
        <v>14934.15</v>
      </c>
      <c r="G937" s="25">
        <f t="shared" si="59"/>
        <v>-1.8847306739917678E-3</v>
      </c>
      <c r="I937" s="16">
        <v>44963</v>
      </c>
      <c r="J937" s="17">
        <v>6.54E-2</v>
      </c>
      <c r="K937" s="25">
        <f t="shared" si="56"/>
        <v>1.7357757106473137E-4</v>
      </c>
      <c r="M937" s="16">
        <v>44963</v>
      </c>
      <c r="N937" s="26">
        <f t="shared" si="57"/>
        <v>-2.0583082450564994E-3</v>
      </c>
      <c r="O937" s="26">
        <f>'Part 2 - CAPM 2.1, 2.2 and 2.3'!C937-'Part 2 - CAPM 2.1, 2.2 and 2.3'!K937</f>
        <v>-5.7175831150703535E-3</v>
      </c>
    </row>
    <row r="938" spans="1:15" x14ac:dyDescent="0.4">
      <c r="A938" s="16">
        <v>44964</v>
      </c>
      <c r="B938" s="14">
        <v>144.65</v>
      </c>
      <c r="C938" s="25">
        <f t="shared" si="58"/>
        <v>8.0139372822300055E-3</v>
      </c>
      <c r="E938" s="16">
        <v>44964</v>
      </c>
      <c r="F938" s="15">
        <v>14902.2</v>
      </c>
      <c r="G938" s="25">
        <f t="shared" si="59"/>
        <v>-2.1393919305751521E-3</v>
      </c>
      <c r="I938" s="16">
        <v>44964</v>
      </c>
      <c r="J938" s="17">
        <v>6.5599999999999992E-2</v>
      </c>
      <c r="K938" s="25">
        <f t="shared" si="56"/>
        <v>1.7409192156603304E-4</v>
      </c>
      <c r="M938" s="16">
        <v>44964</v>
      </c>
      <c r="N938" s="26">
        <f t="shared" si="57"/>
        <v>-2.3134838521411852E-3</v>
      </c>
      <c r="O938" s="26">
        <f>'Part 2 - CAPM 2.1, 2.2 and 2.3'!C938-'Part 2 - CAPM 2.1, 2.2 and 2.3'!K938</f>
        <v>7.8398453606639724E-3</v>
      </c>
    </row>
    <row r="939" spans="1:15" x14ac:dyDescent="0.4">
      <c r="A939" s="16">
        <v>44965</v>
      </c>
      <c r="B939" s="14">
        <v>143.9</v>
      </c>
      <c r="C939" s="25">
        <f t="shared" si="58"/>
        <v>-5.1849291393017624E-3</v>
      </c>
      <c r="E939" s="16">
        <v>44965</v>
      </c>
      <c r="F939" s="15">
        <v>15028.3</v>
      </c>
      <c r="G939" s="25">
        <f t="shared" si="59"/>
        <v>8.46183784944495E-3</v>
      </c>
      <c r="I939" s="16">
        <v>44965</v>
      </c>
      <c r="J939" s="17">
        <v>6.5799999999999997E-2</v>
      </c>
      <c r="K939" s="25">
        <f t="shared" si="56"/>
        <v>1.7460617580344895E-4</v>
      </c>
      <c r="M939" s="16">
        <v>44965</v>
      </c>
      <c r="N939" s="26">
        <f t="shared" si="57"/>
        <v>8.287231673641501E-3</v>
      </c>
      <c r="O939" s="26">
        <f>'Part 2 - CAPM 2.1, 2.2 and 2.3'!C939-'Part 2 - CAPM 2.1, 2.2 and 2.3'!K939</f>
        <v>-5.3595353151052114E-3</v>
      </c>
    </row>
    <row r="940" spans="1:15" x14ac:dyDescent="0.4">
      <c r="A940" s="16">
        <v>44966</v>
      </c>
      <c r="B940" s="14">
        <v>146.19999999999999</v>
      </c>
      <c r="C940" s="25">
        <f t="shared" si="58"/>
        <v>1.5983321751216004E-2</v>
      </c>
      <c r="E940" s="16">
        <v>44966</v>
      </c>
      <c r="F940" s="15">
        <v>15030.1</v>
      </c>
      <c r="G940" s="25">
        <f t="shared" si="59"/>
        <v>1.197740263370502E-4</v>
      </c>
      <c r="I940" s="16">
        <v>44966</v>
      </c>
      <c r="J940" s="17">
        <v>6.6900000000000001E-2</v>
      </c>
      <c r="K940" s="25">
        <f t="shared" si="56"/>
        <v>1.7743285500548822E-4</v>
      </c>
      <c r="M940" s="16">
        <v>44966</v>
      </c>
      <c r="N940" s="26">
        <f t="shared" si="57"/>
        <v>-5.7658828668438023E-5</v>
      </c>
      <c r="O940" s="26">
        <f>'Part 2 - CAPM 2.1, 2.2 and 2.3'!C940-'Part 2 - CAPM 2.1, 2.2 and 2.3'!K940</f>
        <v>1.5805888896210516E-2</v>
      </c>
    </row>
    <row r="941" spans="1:15" x14ac:dyDescent="0.4">
      <c r="A941" s="16">
        <v>44967</v>
      </c>
      <c r="B941" s="14">
        <v>146.69999999999999</v>
      </c>
      <c r="C941" s="25">
        <f t="shared" si="58"/>
        <v>3.4199726402188786E-3</v>
      </c>
      <c r="E941" s="16">
        <v>44967</v>
      </c>
      <c r="F941" s="15">
        <v>15015.85</v>
      </c>
      <c r="G941" s="25">
        <f t="shared" si="59"/>
        <v>-9.4809748438134142E-4</v>
      </c>
      <c r="I941" s="16">
        <v>44967</v>
      </c>
      <c r="J941" s="17">
        <v>6.6900000000000001E-2</v>
      </c>
      <c r="K941" s="25">
        <f t="shared" si="56"/>
        <v>1.7743285500548822E-4</v>
      </c>
      <c r="M941" s="16">
        <v>44967</v>
      </c>
      <c r="N941" s="26">
        <f t="shared" si="57"/>
        <v>-1.1255303393868296E-3</v>
      </c>
      <c r="O941" s="26">
        <f>'Part 2 - CAPM 2.1, 2.2 and 2.3'!C941-'Part 2 - CAPM 2.1, 2.2 and 2.3'!K941</f>
        <v>3.2425397852133904E-3</v>
      </c>
    </row>
    <row r="942" spans="1:15" x14ac:dyDescent="0.4">
      <c r="A942" s="16">
        <v>44970</v>
      </c>
      <c r="B942" s="14">
        <v>148.15</v>
      </c>
      <c r="C942" s="25">
        <f t="shared" si="58"/>
        <v>9.8841172460805531E-3</v>
      </c>
      <c r="E942" s="16">
        <v>44970</v>
      </c>
      <c r="F942" s="15">
        <v>14900.5</v>
      </c>
      <c r="G942" s="25">
        <f t="shared" si="59"/>
        <v>-7.6818828104969327E-3</v>
      </c>
      <c r="I942" s="16">
        <v>44970</v>
      </c>
      <c r="J942" s="17">
        <v>6.6799999999999998E-2</v>
      </c>
      <c r="K942" s="25">
        <f t="shared" si="56"/>
        <v>1.7717600429589808E-4</v>
      </c>
      <c r="M942" s="16">
        <v>44970</v>
      </c>
      <c r="N942" s="26">
        <f t="shared" si="57"/>
        <v>-7.8590588147928308E-3</v>
      </c>
      <c r="O942" s="26">
        <f>'Part 2 - CAPM 2.1, 2.2 and 2.3'!C942-'Part 2 - CAPM 2.1, 2.2 and 2.3'!K942</f>
        <v>9.706941241784655E-3</v>
      </c>
    </row>
    <row r="943" spans="1:15" x14ac:dyDescent="0.4">
      <c r="A943" s="16">
        <v>44971</v>
      </c>
      <c r="B943" s="14">
        <v>148.44999999999999</v>
      </c>
      <c r="C943" s="25">
        <f t="shared" si="58"/>
        <v>2.0249746878162871E-3</v>
      </c>
      <c r="E943" s="16">
        <v>44971</v>
      </c>
      <c r="F943" s="15">
        <v>14968.9</v>
      </c>
      <c r="G943" s="25">
        <f t="shared" si="59"/>
        <v>4.5904499848998109E-3</v>
      </c>
      <c r="I943" s="16">
        <v>44971</v>
      </c>
      <c r="J943" s="17">
        <v>6.7000000000000004E-2</v>
      </c>
      <c r="K943" s="25">
        <f t="shared" si="56"/>
        <v>1.7768968170761568E-4</v>
      </c>
      <c r="M943" s="16">
        <v>44971</v>
      </c>
      <c r="N943" s="26">
        <f t="shared" si="57"/>
        <v>4.4127603031921953E-3</v>
      </c>
      <c r="O943" s="26">
        <f>'Part 2 - CAPM 2.1, 2.2 and 2.3'!C943-'Part 2 - CAPM 2.1, 2.2 and 2.3'!K943</f>
        <v>1.8472850061086715E-3</v>
      </c>
    </row>
    <row r="944" spans="1:15" x14ac:dyDescent="0.4">
      <c r="A944" s="16">
        <v>44972</v>
      </c>
      <c r="B944" s="14">
        <v>147.5</v>
      </c>
      <c r="C944" s="25">
        <f t="shared" si="58"/>
        <v>-6.3994610980127225E-3</v>
      </c>
      <c r="E944" s="16">
        <v>44972</v>
      </c>
      <c r="F944" s="15">
        <v>15039.65</v>
      </c>
      <c r="G944" s="25">
        <f t="shared" si="59"/>
        <v>4.7264662066016875E-3</v>
      </c>
      <c r="I944" s="16">
        <v>44972</v>
      </c>
      <c r="J944" s="17">
        <v>6.7199999999999996E-2</v>
      </c>
      <c r="K944" s="25">
        <f t="shared" si="56"/>
        <v>1.7820326310769019E-4</v>
      </c>
      <c r="M944" s="16">
        <v>44972</v>
      </c>
      <c r="N944" s="26">
        <f t="shared" si="57"/>
        <v>4.5482629434939973E-3</v>
      </c>
      <c r="O944" s="26">
        <f>'Part 2 - CAPM 2.1, 2.2 and 2.3'!C944-'Part 2 - CAPM 2.1, 2.2 and 2.3'!K944</f>
        <v>-6.5776643611204126E-3</v>
      </c>
    </row>
    <row r="945" spans="1:15" x14ac:dyDescent="0.4">
      <c r="A945" s="16">
        <v>44973</v>
      </c>
      <c r="B945" s="14">
        <v>155.9</v>
      </c>
      <c r="C945" s="25">
        <f t="shared" si="58"/>
        <v>5.694915254237292E-2</v>
      </c>
      <c r="E945" s="16">
        <v>44973</v>
      </c>
      <c r="F945" s="15">
        <v>15083.75</v>
      </c>
      <c r="G945" s="25">
        <f t="shared" si="59"/>
        <v>2.9322490882434343E-3</v>
      </c>
      <c r="I945" s="16">
        <v>44973</v>
      </c>
      <c r="J945" s="17">
        <v>6.7500000000000004E-2</v>
      </c>
      <c r="K945" s="25">
        <f t="shared" si="56"/>
        <v>1.7897345526463049E-4</v>
      </c>
      <c r="M945" s="16">
        <v>44973</v>
      </c>
      <c r="N945" s="26">
        <f t="shared" si="57"/>
        <v>2.7532756329788038E-3</v>
      </c>
      <c r="O945" s="26">
        <f>'Part 2 - CAPM 2.1, 2.2 and 2.3'!C945-'Part 2 - CAPM 2.1, 2.2 and 2.3'!K945</f>
        <v>5.677017908710829E-2</v>
      </c>
    </row>
    <row r="946" spans="1:15" x14ac:dyDescent="0.4">
      <c r="A946" s="16">
        <v>44974</v>
      </c>
      <c r="B946" s="14">
        <v>156.6</v>
      </c>
      <c r="C946" s="25">
        <f t="shared" si="58"/>
        <v>4.4900577293135891E-3</v>
      </c>
      <c r="E946" s="16">
        <v>44974</v>
      </c>
      <c r="F946" s="15">
        <v>15003.95</v>
      </c>
      <c r="G946" s="25">
        <f t="shared" si="59"/>
        <v>-5.2904615894588062E-3</v>
      </c>
      <c r="I946" s="16">
        <v>44974</v>
      </c>
      <c r="J946" s="17">
        <v>6.7900000000000002E-2</v>
      </c>
      <c r="K946" s="25">
        <f t="shared" si="56"/>
        <v>1.800000424347914E-4</v>
      </c>
      <c r="M946" s="16">
        <v>44974</v>
      </c>
      <c r="N946" s="26">
        <f t="shared" si="57"/>
        <v>-5.4704616318935976E-3</v>
      </c>
      <c r="O946" s="26">
        <f>'Part 2 - CAPM 2.1, 2.2 and 2.3'!C946-'Part 2 - CAPM 2.1, 2.2 and 2.3'!K946</f>
        <v>4.3100576868787977E-3</v>
      </c>
    </row>
    <row r="947" spans="1:15" x14ac:dyDescent="0.4">
      <c r="A947" s="16">
        <v>44977</v>
      </c>
      <c r="B947" s="14">
        <v>154.85</v>
      </c>
      <c r="C947" s="25">
        <f t="shared" si="58"/>
        <v>-1.1174968071519796E-2</v>
      </c>
      <c r="E947" s="16">
        <v>44977</v>
      </c>
      <c r="F947" s="15">
        <v>14938.65</v>
      </c>
      <c r="G947" s="25">
        <f t="shared" si="59"/>
        <v>-4.3521872573556355E-3</v>
      </c>
      <c r="I947" s="16">
        <v>44977</v>
      </c>
      <c r="J947" s="17">
        <v>6.7799999999999999E-2</v>
      </c>
      <c r="K947" s="25">
        <f t="shared" si="56"/>
        <v>1.7974343159732342E-4</v>
      </c>
      <c r="M947" s="16">
        <v>44977</v>
      </c>
      <c r="N947" s="26">
        <f t="shared" si="57"/>
        <v>-4.5319306889529589E-3</v>
      </c>
      <c r="O947" s="26">
        <f>'Part 2 - CAPM 2.1, 2.2 and 2.3'!C947-'Part 2 - CAPM 2.1, 2.2 and 2.3'!K947</f>
        <v>-1.1354711503117119E-2</v>
      </c>
    </row>
    <row r="948" spans="1:15" x14ac:dyDescent="0.4">
      <c r="A948" s="16">
        <v>44978</v>
      </c>
      <c r="B948" s="14">
        <v>154.1</v>
      </c>
      <c r="C948" s="25">
        <f t="shared" si="58"/>
        <v>-4.8433968356474009E-3</v>
      </c>
      <c r="E948" s="16">
        <v>44978</v>
      </c>
      <c r="F948" s="15">
        <v>14913.95</v>
      </c>
      <c r="G948" s="25">
        <f t="shared" si="59"/>
        <v>-1.653429192062128E-3</v>
      </c>
      <c r="I948" s="16">
        <v>44978</v>
      </c>
      <c r="J948" s="17">
        <v>6.8000000000000005E-2</v>
      </c>
      <c r="K948" s="25">
        <f t="shared" si="56"/>
        <v>1.8025662930987174E-4</v>
      </c>
      <c r="M948" s="16">
        <v>44978</v>
      </c>
      <c r="N948" s="26">
        <f t="shared" si="57"/>
        <v>-1.8336858213719998E-3</v>
      </c>
      <c r="O948" s="26">
        <f>'Part 2 - CAPM 2.1, 2.2 and 2.3'!C948-'Part 2 - CAPM 2.1, 2.2 and 2.3'!K948</f>
        <v>-5.0236534649572727E-3</v>
      </c>
    </row>
    <row r="949" spans="1:15" x14ac:dyDescent="0.4">
      <c r="A949" s="16">
        <v>44979</v>
      </c>
      <c r="B949" s="14">
        <v>153.6</v>
      </c>
      <c r="C949" s="25">
        <f t="shared" si="58"/>
        <v>-3.2446463335496431E-3</v>
      </c>
      <c r="E949" s="16">
        <v>44979</v>
      </c>
      <c r="F949" s="15">
        <v>14701.9</v>
      </c>
      <c r="G949" s="25">
        <f t="shared" si="59"/>
        <v>-1.4218231923802956E-2</v>
      </c>
      <c r="I949" s="16">
        <v>44979</v>
      </c>
      <c r="J949" s="17">
        <v>6.8199999999999997E-2</v>
      </c>
      <c r="K949" s="25">
        <f t="shared" si="56"/>
        <v>1.8076973119018902E-4</v>
      </c>
      <c r="M949" s="16">
        <v>44979</v>
      </c>
      <c r="N949" s="26">
        <f t="shared" si="57"/>
        <v>-1.4399001654993145E-2</v>
      </c>
      <c r="O949" s="26">
        <f>'Part 2 - CAPM 2.1, 2.2 and 2.3'!C949-'Part 2 - CAPM 2.1, 2.2 and 2.3'!K949</f>
        <v>-3.4254160647398321E-3</v>
      </c>
    </row>
    <row r="950" spans="1:15" x14ac:dyDescent="0.4">
      <c r="A950" s="16">
        <v>44980</v>
      </c>
      <c r="B950" s="14">
        <v>154.65</v>
      </c>
      <c r="C950" s="25">
        <f t="shared" si="58"/>
        <v>6.8359375000000746E-3</v>
      </c>
      <c r="E950" s="16">
        <v>44980</v>
      </c>
      <c r="F950" s="15">
        <v>14666.75</v>
      </c>
      <c r="G950" s="25">
        <f t="shared" si="59"/>
        <v>-2.39084744148713E-3</v>
      </c>
      <c r="I950" s="16">
        <v>44980</v>
      </c>
      <c r="J950" s="17">
        <v>6.8600000000000008E-2</v>
      </c>
      <c r="K950" s="25">
        <f t="shared" si="56"/>
        <v>1.8179564759757127E-4</v>
      </c>
      <c r="M950" s="16">
        <v>44980</v>
      </c>
      <c r="N950" s="26">
        <f t="shared" si="57"/>
        <v>-2.5726430890847013E-3</v>
      </c>
      <c r="O950" s="26">
        <f>'Part 2 - CAPM 2.1, 2.2 and 2.3'!C950-'Part 2 - CAPM 2.1, 2.2 and 2.3'!K950</f>
        <v>6.6541418524025033E-3</v>
      </c>
    </row>
    <row r="951" spans="1:15" x14ac:dyDescent="0.4">
      <c r="A951" s="16">
        <v>44981</v>
      </c>
      <c r="B951" s="14">
        <v>155</v>
      </c>
      <c r="C951" s="25">
        <f t="shared" si="58"/>
        <v>2.2631749110895204E-3</v>
      </c>
      <c r="E951" s="16">
        <v>44981</v>
      </c>
      <c r="F951" s="15">
        <v>14630.45</v>
      </c>
      <c r="G951" s="25">
        <f t="shared" si="59"/>
        <v>-2.4749859375798504E-3</v>
      </c>
      <c r="I951" s="16">
        <v>44981</v>
      </c>
      <c r="J951" s="17">
        <v>6.9099999999999995E-2</v>
      </c>
      <c r="K951" s="25">
        <f t="shared" si="56"/>
        <v>1.830775046887112E-4</v>
      </c>
      <c r="M951" s="16">
        <v>44981</v>
      </c>
      <c r="N951" s="26">
        <f t="shared" si="57"/>
        <v>-2.6580634422685616E-3</v>
      </c>
      <c r="O951" s="26">
        <f>'Part 2 - CAPM 2.1, 2.2 and 2.3'!C951-'Part 2 - CAPM 2.1, 2.2 and 2.3'!K951</f>
        <v>2.0800974064008092E-3</v>
      </c>
    </row>
    <row r="952" spans="1:15" x14ac:dyDescent="0.4">
      <c r="A952" s="16">
        <v>44984</v>
      </c>
      <c r="B952" s="14">
        <v>155.25</v>
      </c>
      <c r="C952" s="25">
        <f t="shared" si="58"/>
        <v>1.6129032258064516E-3</v>
      </c>
      <c r="E952" s="16">
        <v>44984</v>
      </c>
      <c r="F952" s="15">
        <v>14548.7</v>
      </c>
      <c r="G952" s="25">
        <f t="shared" si="59"/>
        <v>-5.5876613501293533E-3</v>
      </c>
      <c r="I952" s="16">
        <v>44984</v>
      </c>
      <c r="J952" s="17">
        <v>6.9000000000000006E-2</v>
      </c>
      <c r="K952" s="25">
        <f t="shared" si="56"/>
        <v>1.8282118110590773E-4</v>
      </c>
      <c r="M952" s="16">
        <v>44984</v>
      </c>
      <c r="N952" s="26">
        <f t="shared" si="57"/>
        <v>-5.770482531235261E-3</v>
      </c>
      <c r="O952" s="26">
        <f>'Part 2 - CAPM 2.1, 2.2 and 2.3'!C952-'Part 2 - CAPM 2.1, 2.2 and 2.3'!K952</f>
        <v>1.4300820447005439E-3</v>
      </c>
    </row>
    <row r="953" spans="1:15" x14ac:dyDescent="0.4">
      <c r="A953" s="16">
        <v>44985</v>
      </c>
      <c r="B953" s="14">
        <v>152.05000000000001</v>
      </c>
      <c r="C953" s="25">
        <f t="shared" si="58"/>
        <v>-2.0611916264090105E-2</v>
      </c>
      <c r="E953" s="16">
        <v>44985</v>
      </c>
      <c r="F953" s="15">
        <v>14518.75</v>
      </c>
      <c r="G953" s="25">
        <f t="shared" si="59"/>
        <v>-2.0586031741668138E-3</v>
      </c>
      <c r="I953" s="16">
        <v>44985</v>
      </c>
      <c r="J953" s="17">
        <v>6.9099999999999995E-2</v>
      </c>
      <c r="K953" s="25">
        <f t="shared" si="56"/>
        <v>1.830775046887112E-4</v>
      </c>
      <c r="M953" s="16">
        <v>44985</v>
      </c>
      <c r="N953" s="26">
        <f t="shared" si="57"/>
        <v>-2.241680678855525E-3</v>
      </c>
      <c r="O953" s="26">
        <f>'Part 2 - CAPM 2.1, 2.2 and 2.3'!C953-'Part 2 - CAPM 2.1, 2.2 and 2.3'!K953</f>
        <v>-2.0794993768778816E-2</v>
      </c>
    </row>
    <row r="954" spans="1:15" x14ac:dyDescent="0.4">
      <c r="A954" s="16">
        <v>44986</v>
      </c>
      <c r="B954" s="14">
        <v>154.80000000000001</v>
      </c>
      <c r="C954" s="25">
        <f t="shared" si="58"/>
        <v>1.8086155869779675E-2</v>
      </c>
      <c r="E954" s="16">
        <v>44986</v>
      </c>
      <c r="F954" s="15">
        <v>14664.85</v>
      </c>
      <c r="G954" s="25">
        <f t="shared" si="59"/>
        <v>1.0062849763237219E-2</v>
      </c>
      <c r="I954" s="16">
        <v>44986</v>
      </c>
      <c r="J954" s="17">
        <v>6.9400000000000003E-2</v>
      </c>
      <c r="K954" s="25">
        <f t="shared" si="56"/>
        <v>1.8384633200141387E-4</v>
      </c>
      <c r="M954" s="16">
        <v>44986</v>
      </c>
      <c r="N954" s="26">
        <f t="shared" si="57"/>
        <v>9.8790034312358048E-3</v>
      </c>
      <c r="O954" s="26">
        <f>'Part 2 - CAPM 2.1, 2.2 and 2.3'!C954-'Part 2 - CAPM 2.1, 2.2 and 2.3'!K954</f>
        <v>1.7902309537778261E-2</v>
      </c>
    </row>
    <row r="955" spans="1:15" x14ac:dyDescent="0.4">
      <c r="A955" s="16">
        <v>44987</v>
      </c>
      <c r="B955" s="14">
        <v>154.05000000000001</v>
      </c>
      <c r="C955" s="25">
        <f t="shared" si="58"/>
        <v>-4.8449612403100775E-3</v>
      </c>
      <c r="E955" s="16">
        <v>44987</v>
      </c>
      <c r="F955" s="15">
        <v>14587.25</v>
      </c>
      <c r="G955" s="25">
        <f t="shared" si="59"/>
        <v>-5.2915645233330283E-3</v>
      </c>
      <c r="I955" s="16">
        <v>44987</v>
      </c>
      <c r="J955" s="17">
        <v>6.9400000000000003E-2</v>
      </c>
      <c r="K955" s="25">
        <f t="shared" si="56"/>
        <v>1.8384633200141387E-4</v>
      </c>
      <c r="M955" s="16">
        <v>44987</v>
      </c>
      <c r="N955" s="26">
        <f t="shared" si="57"/>
        <v>-5.4754108553344422E-3</v>
      </c>
      <c r="O955" s="26">
        <f>'Part 2 - CAPM 2.1, 2.2 and 2.3'!C955-'Part 2 - CAPM 2.1, 2.2 and 2.3'!K955</f>
        <v>-5.0288075723114913E-3</v>
      </c>
    </row>
    <row r="956" spans="1:15" x14ac:dyDescent="0.4">
      <c r="A956" s="16">
        <v>44988</v>
      </c>
      <c r="B956" s="14">
        <v>154.25</v>
      </c>
      <c r="C956" s="25">
        <f t="shared" si="58"/>
        <v>1.2982797792923636E-3</v>
      </c>
      <c r="E956" s="16">
        <v>44988</v>
      </c>
      <c r="F956" s="15">
        <v>14774.75</v>
      </c>
      <c r="G956" s="25">
        <f t="shared" si="59"/>
        <v>1.2853690723062949E-2</v>
      </c>
      <c r="I956" s="16">
        <v>44988</v>
      </c>
      <c r="J956" s="17">
        <v>6.9500000000000006E-2</v>
      </c>
      <c r="K956" s="25">
        <f t="shared" si="56"/>
        <v>1.8410255997558522E-4</v>
      </c>
      <c r="M956" s="16">
        <v>44988</v>
      </c>
      <c r="N956" s="26">
        <f t="shared" si="57"/>
        <v>1.2669588163087364E-2</v>
      </c>
      <c r="O956" s="26">
        <f>'Part 2 - CAPM 2.1, 2.2 and 2.3'!C956-'Part 2 - CAPM 2.1, 2.2 and 2.3'!K956</f>
        <v>1.1141772193167783E-3</v>
      </c>
    </row>
    <row r="957" spans="1:15" x14ac:dyDescent="0.4">
      <c r="A957" s="16">
        <v>44991</v>
      </c>
      <c r="B957" s="14">
        <v>158.19999999999999</v>
      </c>
      <c r="C957" s="25">
        <f t="shared" si="58"/>
        <v>2.5607779578606084E-2</v>
      </c>
      <c r="E957" s="16">
        <v>44991</v>
      </c>
      <c r="F957" s="15">
        <v>14881</v>
      </c>
      <c r="G957" s="25">
        <f t="shared" si="59"/>
        <v>7.1913230342306976E-3</v>
      </c>
      <c r="I957" s="16">
        <v>44991</v>
      </c>
      <c r="J957" s="17">
        <v>6.9199999999999998E-2</v>
      </c>
      <c r="K957" s="25">
        <f t="shared" si="56"/>
        <v>1.8333380436241775E-4</v>
      </c>
      <c r="M957" s="16">
        <v>44991</v>
      </c>
      <c r="N957" s="26">
        <f t="shared" si="57"/>
        <v>7.0079892298682799E-3</v>
      </c>
      <c r="O957" s="26">
        <f>'Part 2 - CAPM 2.1, 2.2 and 2.3'!C957-'Part 2 - CAPM 2.1, 2.2 and 2.3'!K957</f>
        <v>2.5424445774243666E-2</v>
      </c>
    </row>
    <row r="958" spans="1:15" x14ac:dyDescent="0.4">
      <c r="A958" s="16">
        <v>44993</v>
      </c>
      <c r="B958" s="14">
        <v>158.25</v>
      </c>
      <c r="C958" s="25">
        <f t="shared" si="58"/>
        <v>3.1605562579021097E-4</v>
      </c>
      <c r="E958" s="16">
        <v>44993</v>
      </c>
      <c r="F958" s="15">
        <v>14921.95</v>
      </c>
      <c r="G958" s="25">
        <f t="shared" si="59"/>
        <v>2.7518311941402275E-3</v>
      </c>
      <c r="I958" s="16">
        <v>44993</v>
      </c>
      <c r="J958" s="17">
        <v>6.9500000000000006E-2</v>
      </c>
      <c r="K958" s="25">
        <f t="shared" si="56"/>
        <v>1.8410255997558522E-4</v>
      </c>
      <c r="M958" s="16">
        <v>44993</v>
      </c>
      <c r="N958" s="26">
        <f t="shared" si="57"/>
        <v>2.5677286341646423E-3</v>
      </c>
      <c r="O958" s="26">
        <f>'Part 2 - CAPM 2.1, 2.2 and 2.3'!C958-'Part 2 - CAPM 2.1, 2.2 and 2.3'!K958</f>
        <v>1.3195306581462575E-4</v>
      </c>
    </row>
    <row r="959" spans="1:15" x14ac:dyDescent="0.4">
      <c r="A959" s="16">
        <v>44994</v>
      </c>
      <c r="B959" s="14">
        <v>156.30000000000001</v>
      </c>
      <c r="C959" s="25">
        <f t="shared" si="58"/>
        <v>-1.2322274881516515E-2</v>
      </c>
      <c r="E959" s="16">
        <v>44994</v>
      </c>
      <c r="F959" s="15">
        <v>14803.95</v>
      </c>
      <c r="G959" s="25">
        <f t="shared" si="59"/>
        <v>-7.9078136570622463E-3</v>
      </c>
      <c r="I959" s="16">
        <v>44994</v>
      </c>
      <c r="J959" s="17">
        <v>6.9699999999999998E-2</v>
      </c>
      <c r="K959" s="25">
        <f t="shared" si="56"/>
        <v>1.8461494425525693E-4</v>
      </c>
      <c r="M959" s="16">
        <v>44994</v>
      </c>
      <c r="N959" s="26">
        <f t="shared" si="57"/>
        <v>-8.0924286013175032E-3</v>
      </c>
      <c r="O959" s="26">
        <f>'Part 2 - CAPM 2.1, 2.2 and 2.3'!C959-'Part 2 - CAPM 2.1, 2.2 and 2.3'!K959</f>
        <v>-1.2506889825771772E-2</v>
      </c>
    </row>
    <row r="960" spans="1:15" x14ac:dyDescent="0.4">
      <c r="A960" s="16">
        <v>44995</v>
      </c>
      <c r="B960" s="14">
        <v>155.80000000000001</v>
      </c>
      <c r="C960" s="25">
        <f t="shared" si="58"/>
        <v>-3.1989763275751758E-3</v>
      </c>
      <c r="E960" s="16">
        <v>44995</v>
      </c>
      <c r="F960" s="15">
        <v>14679.85</v>
      </c>
      <c r="G960" s="25">
        <f t="shared" si="59"/>
        <v>-8.3828978076797307E-3</v>
      </c>
      <c r="I960" s="16">
        <v>44995</v>
      </c>
      <c r="J960" s="17">
        <v>6.9000000000000006E-2</v>
      </c>
      <c r="K960" s="25">
        <f t="shared" si="56"/>
        <v>1.8282118110590773E-4</v>
      </c>
      <c r="M960" s="16">
        <v>44995</v>
      </c>
      <c r="N960" s="26">
        <f t="shared" si="57"/>
        <v>-8.5657189887856384E-3</v>
      </c>
      <c r="O960" s="26">
        <f>'Part 2 - CAPM 2.1, 2.2 and 2.3'!C960-'Part 2 - CAPM 2.1, 2.2 and 2.3'!K960</f>
        <v>-3.3817975086810836E-3</v>
      </c>
    </row>
    <row r="961" spans="1:15" x14ac:dyDescent="0.4">
      <c r="A961" s="16">
        <v>44998</v>
      </c>
      <c r="B961" s="14">
        <v>155.80000000000001</v>
      </c>
      <c r="C961" s="25">
        <f t="shared" si="58"/>
        <v>0</v>
      </c>
      <c r="E961" s="16">
        <v>44998</v>
      </c>
      <c r="F961" s="15">
        <v>14454.45</v>
      </c>
      <c r="G961" s="25">
        <f t="shared" si="59"/>
        <v>-1.5354380324049607E-2</v>
      </c>
      <c r="I961" s="16">
        <v>44998</v>
      </c>
      <c r="J961" s="17">
        <v>6.8699999999999997E-2</v>
      </c>
      <c r="K961" s="25">
        <f t="shared" si="56"/>
        <v>1.8205206686028319E-4</v>
      </c>
      <c r="M961" s="16">
        <v>44998</v>
      </c>
      <c r="N961" s="26">
        <f t="shared" si="57"/>
        <v>-1.5536432390909891E-2</v>
      </c>
      <c r="O961" s="26">
        <f>'Part 2 - CAPM 2.1, 2.2 and 2.3'!C961-'Part 2 - CAPM 2.1, 2.2 and 2.3'!K961</f>
        <v>-1.8205206686028319E-4</v>
      </c>
    </row>
    <row r="962" spans="1:15" x14ac:dyDescent="0.4">
      <c r="A962" s="16">
        <v>44999</v>
      </c>
      <c r="B962" s="14">
        <v>153.30000000000001</v>
      </c>
      <c r="C962" s="25">
        <f t="shared" si="58"/>
        <v>-1.6046213093709884E-2</v>
      </c>
      <c r="E962" s="16">
        <v>44999</v>
      </c>
      <c r="F962" s="15">
        <v>14358.55</v>
      </c>
      <c r="G962" s="25">
        <f t="shared" si="59"/>
        <v>-6.634635008596069E-3</v>
      </c>
      <c r="I962" s="16">
        <v>44999</v>
      </c>
      <c r="J962" s="17">
        <v>6.9000000000000006E-2</v>
      </c>
      <c r="K962" s="25">
        <f t="shared" si="56"/>
        <v>1.8282118110590773E-4</v>
      </c>
      <c r="M962" s="16">
        <v>44999</v>
      </c>
      <c r="N962" s="26">
        <f t="shared" si="57"/>
        <v>-6.8174561897019767E-3</v>
      </c>
      <c r="O962" s="26">
        <f>'Part 2 - CAPM 2.1, 2.2 and 2.3'!C962-'Part 2 - CAPM 2.1, 2.2 and 2.3'!K962</f>
        <v>-1.6229034274815791E-2</v>
      </c>
    </row>
    <row r="963" spans="1:15" x14ac:dyDescent="0.4">
      <c r="A963" s="16">
        <v>45000</v>
      </c>
      <c r="B963" s="14">
        <v>152.55000000000001</v>
      </c>
      <c r="C963" s="25">
        <f t="shared" si="58"/>
        <v>-4.8923679060665359E-3</v>
      </c>
      <c r="E963" s="16">
        <v>45000</v>
      </c>
      <c r="F963" s="15">
        <v>14320.3</v>
      </c>
      <c r="G963" s="25">
        <f t="shared" si="59"/>
        <v>-2.6639180140055926E-3</v>
      </c>
      <c r="I963" s="16">
        <v>45000</v>
      </c>
      <c r="J963" s="17">
        <v>6.8699999999999997E-2</v>
      </c>
      <c r="K963" s="25">
        <f t="shared" si="56"/>
        <v>1.8205206686028319E-4</v>
      </c>
      <c r="M963" s="16">
        <v>45000</v>
      </c>
      <c r="N963" s="26">
        <f t="shared" si="57"/>
        <v>-2.8459700808658758E-3</v>
      </c>
      <c r="O963" s="26">
        <f>'Part 2 - CAPM 2.1, 2.2 and 2.3'!C963-'Part 2 - CAPM 2.1, 2.2 and 2.3'!K963</f>
        <v>-5.0744199729268191E-3</v>
      </c>
    </row>
    <row r="964" spans="1:15" x14ac:dyDescent="0.4">
      <c r="A964" s="16">
        <v>45001</v>
      </c>
      <c r="B964" s="14">
        <v>152.19999999999999</v>
      </c>
      <c r="C964" s="25">
        <f t="shared" si="58"/>
        <v>-2.2943297279581954E-3</v>
      </c>
      <c r="E964" s="16">
        <v>45001</v>
      </c>
      <c r="F964" s="15">
        <v>14330.35</v>
      </c>
      <c r="G964" s="25">
        <f t="shared" si="59"/>
        <v>7.0180093992451922E-4</v>
      </c>
      <c r="I964" s="16">
        <v>45001</v>
      </c>
      <c r="J964" s="17">
        <v>6.8099999999999994E-2</v>
      </c>
      <c r="K964" s="25">
        <f t="shared" ref="K964:K1027" si="60">((1+J964)^(1/365))-1</f>
        <v>1.805131922267833E-4</v>
      </c>
      <c r="M964" s="16">
        <v>45001</v>
      </c>
      <c r="N964" s="26">
        <f t="shared" ref="N964:N1027" si="61">G964-K964</f>
        <v>5.2128774769773592E-4</v>
      </c>
      <c r="O964" s="26">
        <f>'Part 2 - CAPM 2.1, 2.2 and 2.3'!C964-'Part 2 - CAPM 2.1, 2.2 and 2.3'!K964</f>
        <v>-2.4748429201849787E-3</v>
      </c>
    </row>
    <row r="965" spans="1:15" x14ac:dyDescent="0.4">
      <c r="A965" s="16">
        <v>45002</v>
      </c>
      <c r="B965" s="14">
        <v>153.15</v>
      </c>
      <c r="C965" s="25">
        <f t="shared" ref="C965:C1028" si="62">(B965-B964)/B964</f>
        <v>6.2417871222077339E-3</v>
      </c>
      <c r="E965" s="16">
        <v>45002</v>
      </c>
      <c r="F965" s="15">
        <v>14420.85</v>
      </c>
      <c r="G965" s="25">
        <f t="shared" ref="G965:G1028" si="63">(F965-F964)/F964</f>
        <v>6.3152679453048945E-3</v>
      </c>
      <c r="I965" s="16">
        <v>45002</v>
      </c>
      <c r="J965" s="17">
        <v>6.8099999999999994E-2</v>
      </c>
      <c r="K965" s="25">
        <f t="shared" si="60"/>
        <v>1.805131922267833E-4</v>
      </c>
      <c r="M965" s="16">
        <v>45002</v>
      </c>
      <c r="N965" s="26">
        <f t="shared" si="61"/>
        <v>6.1347547530781112E-3</v>
      </c>
      <c r="O965" s="26">
        <f>'Part 2 - CAPM 2.1, 2.2 and 2.3'!C965-'Part 2 - CAPM 2.1, 2.2 and 2.3'!K965</f>
        <v>6.0612739299809506E-3</v>
      </c>
    </row>
    <row r="966" spans="1:15" x14ac:dyDescent="0.4">
      <c r="A966" s="16">
        <v>45005</v>
      </c>
      <c r="B966" s="14">
        <v>152.30000000000001</v>
      </c>
      <c r="C966" s="25">
        <f t="shared" si="62"/>
        <v>-5.5501142670584024E-3</v>
      </c>
      <c r="E966" s="16">
        <v>45005</v>
      </c>
      <c r="F966" s="15">
        <v>14317.1</v>
      </c>
      <c r="G966" s="25">
        <f t="shared" si="63"/>
        <v>-7.1944441555109439E-3</v>
      </c>
      <c r="I966" s="16">
        <v>45005</v>
      </c>
      <c r="J966" s="17">
        <v>6.8099999999999994E-2</v>
      </c>
      <c r="K966" s="25">
        <f t="shared" si="60"/>
        <v>1.805131922267833E-4</v>
      </c>
      <c r="M966" s="16">
        <v>45005</v>
      </c>
      <c r="N966" s="26">
        <f t="shared" si="61"/>
        <v>-7.3749573477377272E-3</v>
      </c>
      <c r="O966" s="26">
        <f>'Part 2 - CAPM 2.1, 2.2 and 2.3'!C966-'Part 2 - CAPM 2.1, 2.2 and 2.3'!K966</f>
        <v>-5.7306274592851857E-3</v>
      </c>
    </row>
    <row r="967" spans="1:15" x14ac:dyDescent="0.4">
      <c r="A967" s="16">
        <v>45006</v>
      </c>
      <c r="B967" s="14">
        <v>151.55000000000001</v>
      </c>
      <c r="C967" s="25">
        <f t="shared" si="62"/>
        <v>-4.9244911359159552E-3</v>
      </c>
      <c r="E967" s="16">
        <v>45006</v>
      </c>
      <c r="F967" s="15">
        <v>14411.3</v>
      </c>
      <c r="G967" s="25">
        <f t="shared" si="63"/>
        <v>6.5795447402056915E-3</v>
      </c>
      <c r="I967" s="16">
        <v>45006</v>
      </c>
      <c r="J967" s="17">
        <v>6.7799999999999999E-2</v>
      </c>
      <c r="K967" s="25">
        <f t="shared" si="60"/>
        <v>1.7974343159732342E-4</v>
      </c>
      <c r="M967" s="16">
        <v>45006</v>
      </c>
      <c r="N967" s="26">
        <f t="shared" si="61"/>
        <v>6.3998013086083681E-3</v>
      </c>
      <c r="O967" s="26">
        <f>'Part 2 - CAPM 2.1, 2.2 and 2.3'!C967-'Part 2 - CAPM 2.1, 2.2 and 2.3'!K967</f>
        <v>-5.1042345675132786E-3</v>
      </c>
    </row>
    <row r="968" spans="1:15" x14ac:dyDescent="0.4">
      <c r="A968" s="16">
        <v>45008</v>
      </c>
      <c r="B968" s="14">
        <v>152.80000000000001</v>
      </c>
      <c r="C968" s="25">
        <f t="shared" si="62"/>
        <v>8.2481029363246448E-3</v>
      </c>
      <c r="E968" s="16">
        <v>45008</v>
      </c>
      <c r="F968" s="15">
        <v>14403.6</v>
      </c>
      <c r="G968" s="25">
        <f t="shared" si="63"/>
        <v>-5.3430294282950941E-4</v>
      </c>
      <c r="I968" s="16">
        <v>45008</v>
      </c>
      <c r="J968" s="17">
        <v>6.7799999999999999E-2</v>
      </c>
      <c r="K968" s="25">
        <f t="shared" si="60"/>
        <v>1.7974343159732342E-4</v>
      </c>
      <c r="M968" s="16">
        <v>45008</v>
      </c>
      <c r="N968" s="26">
        <f t="shared" si="61"/>
        <v>-7.1404637442683283E-4</v>
      </c>
      <c r="O968" s="26">
        <f>'Part 2 - CAPM 2.1, 2.2 and 2.3'!C968-'Part 2 - CAPM 2.1, 2.2 and 2.3'!K968</f>
        <v>8.0683595047273213E-3</v>
      </c>
    </row>
    <row r="969" spans="1:15" x14ac:dyDescent="0.4">
      <c r="A969" s="16">
        <v>45009</v>
      </c>
      <c r="B969" s="14">
        <v>149.4</v>
      </c>
      <c r="C969" s="25">
        <f t="shared" si="62"/>
        <v>-2.2251308900523594E-2</v>
      </c>
      <c r="E969" s="16">
        <v>45009</v>
      </c>
      <c r="F969" s="15">
        <v>14279</v>
      </c>
      <c r="G969" s="25">
        <f t="shared" si="63"/>
        <v>-8.6506151239968028E-3</v>
      </c>
      <c r="I969" s="16">
        <v>45009</v>
      </c>
      <c r="J969" s="17">
        <v>6.7599999999999993E-2</v>
      </c>
      <c r="K969" s="25">
        <f t="shared" si="60"/>
        <v>1.7923013801657284E-4</v>
      </c>
      <c r="M969" s="16">
        <v>45009</v>
      </c>
      <c r="N969" s="26">
        <f t="shared" si="61"/>
        <v>-8.8298452620133756E-3</v>
      </c>
      <c r="O969" s="26">
        <f>'Part 2 - CAPM 2.1, 2.2 and 2.3'!C969-'Part 2 - CAPM 2.1, 2.2 and 2.3'!K969</f>
        <v>-2.2430539038540167E-2</v>
      </c>
    </row>
    <row r="970" spans="1:15" x14ac:dyDescent="0.4">
      <c r="A970" s="16">
        <v>45012</v>
      </c>
      <c r="B970" s="14">
        <v>150.25</v>
      </c>
      <c r="C970" s="25">
        <f t="shared" si="62"/>
        <v>5.6894243641231208E-3</v>
      </c>
      <c r="E970" s="16">
        <v>45012</v>
      </c>
      <c r="F970" s="15">
        <v>14262.7</v>
      </c>
      <c r="G970" s="25">
        <f t="shared" si="63"/>
        <v>-1.1415365221653668E-3</v>
      </c>
      <c r="I970" s="16">
        <v>45012</v>
      </c>
      <c r="J970" s="17">
        <v>6.7799999999999999E-2</v>
      </c>
      <c r="K970" s="25">
        <f t="shared" si="60"/>
        <v>1.7974343159732342E-4</v>
      </c>
      <c r="M970" s="16">
        <v>45012</v>
      </c>
      <c r="N970" s="26">
        <f t="shared" si="61"/>
        <v>-1.3212799537626902E-3</v>
      </c>
      <c r="O970" s="26">
        <f>'Part 2 - CAPM 2.1, 2.2 and 2.3'!C970-'Part 2 - CAPM 2.1, 2.2 and 2.3'!K970</f>
        <v>5.5096809325257973E-3</v>
      </c>
    </row>
    <row r="971" spans="1:15" x14ac:dyDescent="0.4">
      <c r="A971" s="16">
        <v>45013</v>
      </c>
      <c r="B971" s="14">
        <v>147.19999999999999</v>
      </c>
      <c r="C971" s="25">
        <f t="shared" si="62"/>
        <v>-2.0299500831946832E-2</v>
      </c>
      <c r="E971" s="16">
        <v>45013</v>
      </c>
      <c r="F971" s="15">
        <v>14211.8</v>
      </c>
      <c r="G971" s="25">
        <f t="shared" si="63"/>
        <v>-3.5687492550499872E-3</v>
      </c>
      <c r="I971" s="16">
        <v>45013</v>
      </c>
      <c r="J971" s="17">
        <v>7.0300000000000001E-2</v>
      </c>
      <c r="K971" s="25">
        <f t="shared" si="60"/>
        <v>1.8615152406753488E-4</v>
      </c>
      <c r="M971" s="16">
        <v>45013</v>
      </c>
      <c r="N971" s="26">
        <f t="shared" si="61"/>
        <v>-3.7549007791175221E-3</v>
      </c>
      <c r="O971" s="26">
        <f>'Part 2 - CAPM 2.1, 2.2 and 2.3'!C971-'Part 2 - CAPM 2.1, 2.2 and 2.3'!K971</f>
        <v>-2.0485652356014367E-2</v>
      </c>
    </row>
    <row r="972" spans="1:15" x14ac:dyDescent="0.4">
      <c r="A972" s="16">
        <v>45014</v>
      </c>
      <c r="B972" s="14">
        <v>149.35</v>
      </c>
      <c r="C972" s="25">
        <f t="shared" si="62"/>
        <v>1.4605978260869606E-2</v>
      </c>
      <c r="E972" s="16">
        <v>45014</v>
      </c>
      <c r="F972" s="15">
        <v>14345.6</v>
      </c>
      <c r="G972" s="25">
        <f t="shared" si="63"/>
        <v>9.4147117184312408E-3</v>
      </c>
      <c r="I972" s="16">
        <v>45014</v>
      </c>
      <c r="J972" s="17">
        <v>7.1800000000000003E-2</v>
      </c>
      <c r="K972" s="25">
        <f t="shared" si="60"/>
        <v>1.8998921848401018E-4</v>
      </c>
      <c r="M972" s="16">
        <v>45014</v>
      </c>
      <c r="N972" s="26">
        <f t="shared" si="61"/>
        <v>9.2247224999472306E-3</v>
      </c>
      <c r="O972" s="26">
        <f>'Part 2 - CAPM 2.1, 2.2 and 2.3'!C972-'Part 2 - CAPM 2.1, 2.2 and 2.3'!K972</f>
        <v>1.4415989042385596E-2</v>
      </c>
    </row>
    <row r="973" spans="1:15" x14ac:dyDescent="0.4">
      <c r="A973" s="16">
        <v>45016</v>
      </c>
      <c r="B973" s="14">
        <v>151.05000000000001</v>
      </c>
      <c r="C973" s="25">
        <f t="shared" si="62"/>
        <v>1.1382658185470487E-2</v>
      </c>
      <c r="E973" s="16">
        <v>45016</v>
      </c>
      <c r="F973" s="15">
        <v>14557.85</v>
      </c>
      <c r="G973" s="25">
        <f t="shared" si="63"/>
        <v>1.4795477358911444E-2</v>
      </c>
      <c r="I973" s="16">
        <v>45016</v>
      </c>
      <c r="J973" s="17">
        <v>7.0300000000000001E-2</v>
      </c>
      <c r="K973" s="25">
        <f t="shared" si="60"/>
        <v>1.8615152406753488E-4</v>
      </c>
      <c r="M973" s="16">
        <v>45016</v>
      </c>
      <c r="N973" s="26">
        <f t="shared" si="61"/>
        <v>1.4609325834843909E-2</v>
      </c>
      <c r="O973" s="26">
        <f>'Part 2 - CAPM 2.1, 2.2 and 2.3'!C973-'Part 2 - CAPM 2.1, 2.2 and 2.3'!K973</f>
        <v>1.1196506661402952E-2</v>
      </c>
    </row>
    <row r="974" spans="1:15" x14ac:dyDescent="0.4">
      <c r="A974" s="16">
        <v>45019</v>
      </c>
      <c r="B974" s="14">
        <v>153.65</v>
      </c>
      <c r="C974" s="25">
        <f t="shared" si="62"/>
        <v>1.7212843429327999E-2</v>
      </c>
      <c r="E974" s="16">
        <v>45019</v>
      </c>
      <c r="F974" s="15">
        <v>14601.95</v>
      </c>
      <c r="G974" s="25">
        <f t="shared" si="63"/>
        <v>3.0292934739676782E-3</v>
      </c>
      <c r="I974" s="16">
        <v>45019</v>
      </c>
      <c r="J974" s="17">
        <v>6.9000000000000006E-2</v>
      </c>
      <c r="K974" s="25">
        <f t="shared" si="60"/>
        <v>1.8282118110590773E-4</v>
      </c>
      <c r="M974" s="16">
        <v>45019</v>
      </c>
      <c r="N974" s="26">
        <f t="shared" si="61"/>
        <v>2.8464722928617705E-3</v>
      </c>
      <c r="O974" s="26">
        <f>'Part 2 - CAPM 2.1, 2.2 and 2.3'!C974-'Part 2 - CAPM 2.1, 2.2 and 2.3'!K974</f>
        <v>1.7030022248222091E-2</v>
      </c>
    </row>
    <row r="975" spans="1:15" x14ac:dyDescent="0.4">
      <c r="A975" s="16">
        <v>45021</v>
      </c>
      <c r="B975" s="14">
        <v>152.9</v>
      </c>
      <c r="C975" s="25">
        <f t="shared" si="62"/>
        <v>-4.8812235600390495E-3</v>
      </c>
      <c r="E975" s="16">
        <v>45021</v>
      </c>
      <c r="F975" s="15">
        <v>14709.4</v>
      </c>
      <c r="G975" s="25">
        <f t="shared" si="63"/>
        <v>7.3586062135535943E-3</v>
      </c>
      <c r="I975" s="16">
        <v>45021</v>
      </c>
      <c r="J975" s="17">
        <v>6.83E-2</v>
      </c>
      <c r="K975" s="25">
        <f t="shared" si="60"/>
        <v>1.8102624620452978E-4</v>
      </c>
      <c r="M975" s="16">
        <v>45021</v>
      </c>
      <c r="N975" s="26">
        <f t="shared" si="61"/>
        <v>7.1775799673490645E-3</v>
      </c>
      <c r="O975" s="26">
        <f>'Part 2 - CAPM 2.1, 2.2 and 2.3'!C975-'Part 2 - CAPM 2.1, 2.2 and 2.3'!K975</f>
        <v>-5.0622498062435793E-3</v>
      </c>
    </row>
    <row r="976" spans="1:15" x14ac:dyDescent="0.4">
      <c r="A976" s="16">
        <v>45022</v>
      </c>
      <c r="B976" s="14">
        <v>150.6</v>
      </c>
      <c r="C976" s="25">
        <f t="shared" si="62"/>
        <v>-1.5042511445389217E-2</v>
      </c>
      <c r="E976" s="16">
        <v>45022</v>
      </c>
      <c r="F976" s="15">
        <v>14759.2</v>
      </c>
      <c r="G976" s="25">
        <f t="shared" si="63"/>
        <v>3.3855901668321683E-3</v>
      </c>
      <c r="I976" s="16">
        <v>45022</v>
      </c>
      <c r="J976" s="17">
        <v>6.7799999999999999E-2</v>
      </c>
      <c r="K976" s="25">
        <f t="shared" si="60"/>
        <v>1.7974343159732342E-4</v>
      </c>
      <c r="M976" s="16">
        <v>45022</v>
      </c>
      <c r="N976" s="26">
        <f t="shared" si="61"/>
        <v>3.2058467352348448E-3</v>
      </c>
      <c r="O976" s="26">
        <f>'Part 2 - CAPM 2.1, 2.2 and 2.3'!C976-'Part 2 - CAPM 2.1, 2.2 and 2.3'!K976</f>
        <v>-1.522225487698654E-2</v>
      </c>
    </row>
    <row r="977" spans="1:15" x14ac:dyDescent="0.4">
      <c r="A977" s="16">
        <v>45026</v>
      </c>
      <c r="B977" s="14">
        <v>157.15</v>
      </c>
      <c r="C977" s="25">
        <f t="shared" si="62"/>
        <v>4.3492695883134209E-2</v>
      </c>
      <c r="E977" s="16">
        <v>45026</v>
      </c>
      <c r="F977" s="15">
        <v>14790.55</v>
      </c>
      <c r="G977" s="25">
        <f t="shared" si="63"/>
        <v>2.1240988671471723E-3</v>
      </c>
      <c r="I977" s="16">
        <v>45026</v>
      </c>
      <c r="J977" s="17">
        <v>6.7500000000000004E-2</v>
      </c>
      <c r="K977" s="25">
        <f t="shared" si="60"/>
        <v>1.7897345526463049E-4</v>
      </c>
      <c r="M977" s="16">
        <v>45026</v>
      </c>
      <c r="N977" s="26">
        <f t="shared" si="61"/>
        <v>1.9451254118825418E-3</v>
      </c>
      <c r="O977" s="26">
        <f>'Part 2 - CAPM 2.1, 2.2 and 2.3'!C977-'Part 2 - CAPM 2.1, 2.2 and 2.3'!K977</f>
        <v>4.3313722427869579E-2</v>
      </c>
    </row>
    <row r="978" spans="1:15" x14ac:dyDescent="0.4">
      <c r="A978" s="16">
        <v>45027</v>
      </c>
      <c r="B978" s="14">
        <v>159.05000000000001</v>
      </c>
      <c r="C978" s="25">
        <f t="shared" si="62"/>
        <v>1.209035952911235E-2</v>
      </c>
      <c r="E978" s="16">
        <v>45027</v>
      </c>
      <c r="F978" s="15">
        <v>14867.25</v>
      </c>
      <c r="G978" s="25">
        <f t="shared" si="63"/>
        <v>5.1857435997985698E-3</v>
      </c>
      <c r="I978" s="16">
        <v>45027</v>
      </c>
      <c r="J978" s="17">
        <v>6.7000000000000004E-2</v>
      </c>
      <c r="K978" s="25">
        <f t="shared" si="60"/>
        <v>1.7768968170761568E-4</v>
      </c>
      <c r="M978" s="16">
        <v>45027</v>
      </c>
      <c r="N978" s="26">
        <f t="shared" si="61"/>
        <v>5.0080539180909541E-3</v>
      </c>
      <c r="O978" s="26">
        <f>'Part 2 - CAPM 2.1, 2.2 and 2.3'!C978-'Part 2 - CAPM 2.1, 2.2 and 2.3'!K978</f>
        <v>1.1912669847404734E-2</v>
      </c>
    </row>
    <row r="979" spans="1:15" x14ac:dyDescent="0.4">
      <c r="A979" s="16">
        <v>45028</v>
      </c>
      <c r="B979" s="14">
        <v>157.65</v>
      </c>
      <c r="C979" s="25">
        <f t="shared" si="62"/>
        <v>-8.8022634391701077E-3</v>
      </c>
      <c r="E979" s="16">
        <v>45028</v>
      </c>
      <c r="F979" s="15">
        <v>14941.55</v>
      </c>
      <c r="G979" s="25">
        <f t="shared" si="63"/>
        <v>4.9975617548638296E-3</v>
      </c>
      <c r="I979" s="16">
        <v>45028</v>
      </c>
      <c r="J979" s="17">
        <v>6.6799999999999998E-2</v>
      </c>
      <c r="K979" s="25">
        <f t="shared" si="60"/>
        <v>1.7717600429589808E-4</v>
      </c>
      <c r="M979" s="16">
        <v>45028</v>
      </c>
      <c r="N979" s="26">
        <f t="shared" si="61"/>
        <v>4.8203857505679315E-3</v>
      </c>
      <c r="O979" s="26">
        <f>'Part 2 - CAPM 2.1, 2.2 and 2.3'!C979-'Part 2 - CAPM 2.1, 2.2 and 2.3'!K979</f>
        <v>-8.9794394434660058E-3</v>
      </c>
    </row>
    <row r="980" spans="1:15" x14ac:dyDescent="0.4">
      <c r="A980" s="16">
        <v>45029</v>
      </c>
      <c r="B980" s="14">
        <v>158.75</v>
      </c>
      <c r="C980" s="25">
        <f t="shared" si="62"/>
        <v>6.9774817633999004E-3</v>
      </c>
      <c r="E980" s="16">
        <v>45029</v>
      </c>
      <c r="F980" s="15">
        <v>14954.25</v>
      </c>
      <c r="G980" s="25">
        <f t="shared" si="63"/>
        <v>8.4997875053128549E-4</v>
      </c>
      <c r="I980" s="16">
        <v>45029</v>
      </c>
      <c r="J980" s="17">
        <v>6.7299999999999999E-2</v>
      </c>
      <c r="K980" s="25">
        <f t="shared" si="60"/>
        <v>1.7846001781474108E-4</v>
      </c>
      <c r="M980" s="16">
        <v>45029</v>
      </c>
      <c r="N980" s="26">
        <f t="shared" si="61"/>
        <v>6.7151873271654441E-4</v>
      </c>
      <c r="O980" s="26">
        <f>'Part 2 - CAPM 2.1, 2.2 and 2.3'!C980-'Part 2 - CAPM 2.1, 2.2 and 2.3'!K980</f>
        <v>6.7990217455851593E-3</v>
      </c>
    </row>
    <row r="981" spans="1:15" x14ac:dyDescent="0.4">
      <c r="A981" s="16">
        <v>45033</v>
      </c>
      <c r="B981" s="14">
        <v>160.15</v>
      </c>
      <c r="C981" s="25">
        <f t="shared" si="62"/>
        <v>8.8188976377953122E-3</v>
      </c>
      <c r="E981" s="16">
        <v>45033</v>
      </c>
      <c r="F981" s="15">
        <v>14904.3</v>
      </c>
      <c r="G981" s="25">
        <f t="shared" si="63"/>
        <v>-3.3401875720949379E-3</v>
      </c>
      <c r="I981" s="16">
        <v>45033</v>
      </c>
      <c r="J981" s="17">
        <v>6.7199999999999996E-2</v>
      </c>
      <c r="K981" s="25">
        <f t="shared" si="60"/>
        <v>1.7820326310769019E-4</v>
      </c>
      <c r="M981" s="16">
        <v>45033</v>
      </c>
      <c r="N981" s="26">
        <f t="shared" si="61"/>
        <v>-3.5183908352026281E-3</v>
      </c>
      <c r="O981" s="26">
        <f>'Part 2 - CAPM 2.1, 2.2 and 2.3'!C981-'Part 2 - CAPM 2.1, 2.2 and 2.3'!K981</f>
        <v>8.6406943746876221E-3</v>
      </c>
    </row>
    <row r="982" spans="1:15" x14ac:dyDescent="0.4">
      <c r="A982" s="16">
        <v>45034</v>
      </c>
      <c r="B982" s="14">
        <v>160.1</v>
      </c>
      <c r="C982" s="25">
        <f t="shared" si="62"/>
        <v>-3.1220730565102321E-4</v>
      </c>
      <c r="E982" s="16">
        <v>45034</v>
      </c>
      <c r="F982" s="15">
        <v>14897</v>
      </c>
      <c r="G982" s="25">
        <f t="shared" si="63"/>
        <v>-4.8979153667057641E-4</v>
      </c>
      <c r="I982" s="16">
        <v>45034</v>
      </c>
      <c r="J982" s="17">
        <v>6.7299999999999999E-2</v>
      </c>
      <c r="K982" s="25">
        <f t="shared" si="60"/>
        <v>1.7846001781474108E-4</v>
      </c>
      <c r="M982" s="16">
        <v>45034</v>
      </c>
      <c r="N982" s="26">
        <f t="shared" si="61"/>
        <v>-6.6825155448531749E-4</v>
      </c>
      <c r="O982" s="26">
        <f>'Part 2 - CAPM 2.1, 2.2 and 2.3'!C982-'Part 2 - CAPM 2.1, 2.2 and 2.3'!K982</f>
        <v>-4.9066732346576434E-4</v>
      </c>
    </row>
    <row r="983" spans="1:15" x14ac:dyDescent="0.4">
      <c r="A983" s="16">
        <v>45035</v>
      </c>
      <c r="B983" s="14">
        <v>160.1</v>
      </c>
      <c r="C983" s="25">
        <f t="shared" si="62"/>
        <v>0</v>
      </c>
      <c r="E983" s="16">
        <v>45035</v>
      </c>
      <c r="F983" s="15">
        <v>14856.9</v>
      </c>
      <c r="G983" s="25">
        <f t="shared" si="63"/>
        <v>-2.6918171443915126E-3</v>
      </c>
      <c r="I983" s="16">
        <v>45035</v>
      </c>
      <c r="J983" s="17">
        <v>6.7299999999999999E-2</v>
      </c>
      <c r="K983" s="25">
        <f t="shared" si="60"/>
        <v>1.7846001781474108E-4</v>
      </c>
      <c r="M983" s="16">
        <v>45035</v>
      </c>
      <c r="N983" s="26">
        <f t="shared" si="61"/>
        <v>-2.8702771622062537E-3</v>
      </c>
      <c r="O983" s="26">
        <f>'Part 2 - CAPM 2.1, 2.2 and 2.3'!C983-'Part 2 - CAPM 2.1, 2.2 and 2.3'!K983</f>
        <v>-1.7846001781474108E-4</v>
      </c>
    </row>
    <row r="984" spans="1:15" x14ac:dyDescent="0.4">
      <c r="A984" s="16">
        <v>45036</v>
      </c>
      <c r="B984" s="14">
        <v>159.15</v>
      </c>
      <c r="C984" s="25">
        <f t="shared" si="62"/>
        <v>-5.9337913803871869E-3</v>
      </c>
      <c r="E984" s="16">
        <v>45036</v>
      </c>
      <c r="F984" s="15">
        <v>14861.75</v>
      </c>
      <c r="G984" s="25">
        <f t="shared" si="63"/>
        <v>3.2644764385574135E-4</v>
      </c>
      <c r="I984" s="16">
        <v>45036</v>
      </c>
      <c r="J984" s="17">
        <v>6.7799999999999999E-2</v>
      </c>
      <c r="K984" s="25">
        <f t="shared" si="60"/>
        <v>1.7974343159732342E-4</v>
      </c>
      <c r="M984" s="16">
        <v>45036</v>
      </c>
      <c r="N984" s="26">
        <f t="shared" si="61"/>
        <v>1.4670421225841792E-4</v>
      </c>
      <c r="O984" s="26">
        <f>'Part 2 - CAPM 2.1, 2.2 and 2.3'!C984-'Part 2 - CAPM 2.1, 2.2 and 2.3'!K984</f>
        <v>-6.1135348119845103E-3</v>
      </c>
    </row>
    <row r="985" spans="1:15" x14ac:dyDescent="0.4">
      <c r="A985" s="16">
        <v>45037</v>
      </c>
      <c r="B985" s="14">
        <v>159.6</v>
      </c>
      <c r="C985" s="25">
        <f t="shared" si="62"/>
        <v>2.8275212064089767E-3</v>
      </c>
      <c r="E985" s="16">
        <v>45037</v>
      </c>
      <c r="F985" s="15">
        <v>14847.1</v>
      </c>
      <c r="G985" s="25">
        <f t="shared" si="63"/>
        <v>-9.8575201439935639E-4</v>
      </c>
      <c r="I985" s="16">
        <v>45037</v>
      </c>
      <c r="J985" s="17">
        <v>6.7799999999999999E-2</v>
      </c>
      <c r="K985" s="25">
        <f t="shared" si="60"/>
        <v>1.7974343159732342E-4</v>
      </c>
      <c r="M985" s="16">
        <v>45037</v>
      </c>
      <c r="N985" s="26">
        <f t="shared" si="61"/>
        <v>-1.1654954459966798E-3</v>
      </c>
      <c r="O985" s="26">
        <f>'Part 2 - CAPM 2.1, 2.2 and 2.3'!C985-'Part 2 - CAPM 2.1, 2.2 and 2.3'!K985</f>
        <v>2.6477777748116532E-3</v>
      </c>
    </row>
    <row r="986" spans="1:15" x14ac:dyDescent="0.4">
      <c r="A986" s="16">
        <v>45040</v>
      </c>
      <c r="B986" s="14">
        <v>160.25</v>
      </c>
      <c r="C986" s="25">
        <f t="shared" si="62"/>
        <v>4.072681704260687E-3</v>
      </c>
      <c r="E986" s="16">
        <v>45040</v>
      </c>
      <c r="F986" s="15">
        <v>14930.15</v>
      </c>
      <c r="G986" s="25">
        <f t="shared" si="63"/>
        <v>5.5936849620464111E-3</v>
      </c>
      <c r="I986" s="16">
        <v>45040</v>
      </c>
      <c r="J986" s="17">
        <v>6.7500000000000004E-2</v>
      </c>
      <c r="K986" s="25">
        <f t="shared" si="60"/>
        <v>1.7897345526463049E-4</v>
      </c>
      <c r="M986" s="16">
        <v>45040</v>
      </c>
      <c r="N986" s="26">
        <f t="shared" si="61"/>
        <v>5.4147115067817806E-3</v>
      </c>
      <c r="O986" s="26">
        <f>'Part 2 - CAPM 2.1, 2.2 and 2.3'!C986-'Part 2 - CAPM 2.1, 2.2 and 2.3'!K986</f>
        <v>3.8937082489960565E-3</v>
      </c>
    </row>
    <row r="987" spans="1:15" x14ac:dyDescent="0.4">
      <c r="A987" s="16">
        <v>45041</v>
      </c>
      <c r="B987" s="14">
        <v>160.65</v>
      </c>
      <c r="C987" s="25">
        <f t="shared" si="62"/>
        <v>2.4960998439937953E-3</v>
      </c>
      <c r="E987" s="16">
        <v>45041</v>
      </c>
      <c r="F987" s="15">
        <v>14955.7</v>
      </c>
      <c r="G987" s="25">
        <f t="shared" si="63"/>
        <v>1.7113022976996944E-3</v>
      </c>
      <c r="I987" s="16">
        <v>45041</v>
      </c>
      <c r="J987" s="17">
        <v>6.7500000000000004E-2</v>
      </c>
      <c r="K987" s="25">
        <f t="shared" si="60"/>
        <v>1.7897345526463049E-4</v>
      </c>
      <c r="M987" s="16">
        <v>45041</v>
      </c>
      <c r="N987" s="26">
        <f t="shared" si="61"/>
        <v>1.5323288424350639E-3</v>
      </c>
      <c r="O987" s="26">
        <f>'Part 2 - CAPM 2.1, 2.2 and 2.3'!C987-'Part 2 - CAPM 2.1, 2.2 and 2.3'!K987</f>
        <v>2.3171263887291648E-3</v>
      </c>
    </row>
    <row r="988" spans="1:15" x14ac:dyDescent="0.4">
      <c r="A988" s="16">
        <v>45042</v>
      </c>
      <c r="B988" s="14">
        <v>161.15</v>
      </c>
      <c r="C988" s="25">
        <f t="shared" si="62"/>
        <v>3.1123560535325241E-3</v>
      </c>
      <c r="E988" s="16">
        <v>45042</v>
      </c>
      <c r="F988" s="15">
        <v>14994.4</v>
      </c>
      <c r="G988" s="25">
        <f t="shared" si="63"/>
        <v>2.5876421698749577E-3</v>
      </c>
      <c r="I988" s="16">
        <v>45042</v>
      </c>
      <c r="J988" s="17">
        <v>6.8199999999999997E-2</v>
      </c>
      <c r="K988" s="25">
        <f t="shared" si="60"/>
        <v>1.8076973119018902E-4</v>
      </c>
      <c r="M988" s="16">
        <v>45042</v>
      </c>
      <c r="N988" s="26">
        <f t="shared" si="61"/>
        <v>2.4068724386847686E-3</v>
      </c>
      <c r="O988" s="26">
        <f>'Part 2 - CAPM 2.1, 2.2 and 2.3'!C988-'Part 2 - CAPM 2.1, 2.2 and 2.3'!K988</f>
        <v>2.931586322342335E-3</v>
      </c>
    </row>
    <row r="989" spans="1:15" x14ac:dyDescent="0.4">
      <c r="A989" s="16">
        <v>45043</v>
      </c>
      <c r="B989" s="14">
        <v>160.05000000000001</v>
      </c>
      <c r="C989" s="25">
        <f t="shared" si="62"/>
        <v>-6.8259385665528655E-3</v>
      </c>
      <c r="E989" s="16">
        <v>45043</v>
      </c>
      <c r="F989" s="15">
        <v>15075.05</v>
      </c>
      <c r="G989" s="25">
        <f t="shared" si="63"/>
        <v>5.3786747052232591E-3</v>
      </c>
      <c r="I989" s="16">
        <v>45043</v>
      </c>
      <c r="J989" s="17">
        <v>6.83E-2</v>
      </c>
      <c r="K989" s="25">
        <f t="shared" si="60"/>
        <v>1.8102624620452978E-4</v>
      </c>
      <c r="M989" s="16">
        <v>45043</v>
      </c>
      <c r="N989" s="26">
        <f t="shared" si="61"/>
        <v>5.1976484590187293E-3</v>
      </c>
      <c r="O989" s="26">
        <f>'Part 2 - CAPM 2.1, 2.2 and 2.3'!C989-'Part 2 - CAPM 2.1, 2.2 and 2.3'!K989</f>
        <v>-7.0069648127573953E-3</v>
      </c>
    </row>
    <row r="990" spans="1:15" x14ac:dyDescent="0.4">
      <c r="A990" s="16">
        <v>45044</v>
      </c>
      <c r="B990" s="14">
        <v>158.94999999999999</v>
      </c>
      <c r="C990" s="25">
        <f t="shared" si="62"/>
        <v>-6.8728522336771172E-3</v>
      </c>
      <c r="E990" s="16">
        <v>45044</v>
      </c>
      <c r="F990" s="15">
        <v>15219.55</v>
      </c>
      <c r="G990" s="25">
        <f t="shared" si="63"/>
        <v>9.5853745095372828E-3</v>
      </c>
      <c r="I990" s="16">
        <v>45044</v>
      </c>
      <c r="J990" s="17">
        <v>6.8699999999999997E-2</v>
      </c>
      <c r="K990" s="25">
        <f t="shared" si="60"/>
        <v>1.8205206686028319E-4</v>
      </c>
      <c r="M990" s="16">
        <v>45044</v>
      </c>
      <c r="N990" s="26">
        <f t="shared" si="61"/>
        <v>9.4033224426769996E-3</v>
      </c>
      <c r="O990" s="26">
        <f>'Part 2 - CAPM 2.1, 2.2 and 2.3'!C990-'Part 2 - CAPM 2.1, 2.2 and 2.3'!K990</f>
        <v>-7.0549043005374004E-3</v>
      </c>
    </row>
    <row r="991" spans="1:15" x14ac:dyDescent="0.4">
      <c r="A991" s="16">
        <v>45048</v>
      </c>
      <c r="B991" s="14">
        <v>164.25</v>
      </c>
      <c r="C991" s="25">
        <f t="shared" si="62"/>
        <v>3.3343818810946911E-2</v>
      </c>
      <c r="E991" s="16">
        <v>45048</v>
      </c>
      <c r="F991" s="15">
        <v>15300.75</v>
      </c>
      <c r="G991" s="25">
        <f t="shared" si="63"/>
        <v>5.3352431576492556E-3</v>
      </c>
      <c r="I991" s="16">
        <v>45048</v>
      </c>
      <c r="J991" s="17">
        <v>6.8600000000000008E-2</v>
      </c>
      <c r="K991" s="25">
        <f t="shared" si="60"/>
        <v>1.8179564759757127E-4</v>
      </c>
      <c r="M991" s="16">
        <v>45048</v>
      </c>
      <c r="N991" s="26">
        <f t="shared" si="61"/>
        <v>5.1534475100516843E-3</v>
      </c>
      <c r="O991" s="26">
        <f>'Part 2 - CAPM 2.1, 2.2 and 2.3'!C991-'Part 2 - CAPM 2.1, 2.2 and 2.3'!K991</f>
        <v>3.316202316334934E-2</v>
      </c>
    </row>
    <row r="992" spans="1:15" x14ac:dyDescent="0.4">
      <c r="A992" s="16">
        <v>45049</v>
      </c>
      <c r="B992" s="14">
        <v>161.15</v>
      </c>
      <c r="C992" s="25">
        <f t="shared" si="62"/>
        <v>-1.8873668188736648E-2</v>
      </c>
      <c r="E992" s="16">
        <v>45049</v>
      </c>
      <c r="F992" s="15">
        <v>15276.4</v>
      </c>
      <c r="G992" s="25">
        <f t="shared" si="63"/>
        <v>-1.5914252569318736E-3</v>
      </c>
      <c r="I992" s="16">
        <v>45049</v>
      </c>
      <c r="J992" s="17">
        <v>6.88E-2</v>
      </c>
      <c r="K992" s="25">
        <f t="shared" si="60"/>
        <v>1.8230846219635666E-4</v>
      </c>
      <c r="M992" s="16">
        <v>45049</v>
      </c>
      <c r="N992" s="26">
        <f t="shared" si="61"/>
        <v>-1.7737337191282303E-3</v>
      </c>
      <c r="O992" s="26">
        <f>'Part 2 - CAPM 2.1, 2.2 and 2.3'!C992-'Part 2 - CAPM 2.1, 2.2 and 2.3'!K992</f>
        <v>-1.9055976650933004E-2</v>
      </c>
    </row>
    <row r="993" spans="1:15" x14ac:dyDescent="0.4">
      <c r="A993" s="16">
        <v>45050</v>
      </c>
      <c r="B993" s="14">
        <v>161</v>
      </c>
      <c r="C993" s="25">
        <f t="shared" si="62"/>
        <v>-9.3080980452997627E-4</v>
      </c>
      <c r="E993" s="16">
        <v>45050</v>
      </c>
      <c r="F993" s="15">
        <v>15405.5</v>
      </c>
      <c r="G993" s="25">
        <f t="shared" si="63"/>
        <v>8.4509439396716745E-3</v>
      </c>
      <c r="I993" s="16">
        <v>45050</v>
      </c>
      <c r="J993" s="17">
        <v>6.88E-2</v>
      </c>
      <c r="K993" s="25">
        <f t="shared" si="60"/>
        <v>1.8230846219635666E-4</v>
      </c>
      <c r="M993" s="16">
        <v>45050</v>
      </c>
      <c r="N993" s="26">
        <f t="shared" si="61"/>
        <v>8.2686354774753178E-3</v>
      </c>
      <c r="O993" s="26">
        <f>'Part 2 - CAPM 2.1, 2.2 and 2.3'!C993-'Part 2 - CAPM 2.1, 2.2 and 2.3'!K993</f>
        <v>-1.113118266726333E-3</v>
      </c>
    </row>
    <row r="994" spans="1:15" x14ac:dyDescent="0.4">
      <c r="A994" s="16">
        <v>45054</v>
      </c>
      <c r="B994" s="14">
        <v>165</v>
      </c>
      <c r="C994" s="25">
        <f t="shared" si="62"/>
        <v>2.4844720496894408E-2</v>
      </c>
      <c r="E994" s="16">
        <v>45054</v>
      </c>
      <c r="F994" s="15">
        <v>15427.1</v>
      </c>
      <c r="G994" s="25">
        <f t="shared" si="63"/>
        <v>1.4020966537925004E-3</v>
      </c>
      <c r="I994" s="16">
        <v>45054</v>
      </c>
      <c r="J994" s="17">
        <v>6.9099999999999995E-2</v>
      </c>
      <c r="K994" s="25">
        <f t="shared" si="60"/>
        <v>1.830775046887112E-4</v>
      </c>
      <c r="M994" s="16">
        <v>45054</v>
      </c>
      <c r="N994" s="26">
        <f t="shared" si="61"/>
        <v>1.2190191491037892E-3</v>
      </c>
      <c r="O994" s="26">
        <f>'Part 2 - CAPM 2.1, 2.2 and 2.3'!C994-'Part 2 - CAPM 2.1, 2.2 and 2.3'!K994</f>
        <v>2.4661642992205697E-2</v>
      </c>
    </row>
    <row r="995" spans="1:15" x14ac:dyDescent="0.4">
      <c r="A995" s="16">
        <v>45055</v>
      </c>
      <c r="B995" s="14">
        <v>165.25</v>
      </c>
      <c r="C995" s="25">
        <f t="shared" si="62"/>
        <v>1.5151515151515152E-3</v>
      </c>
      <c r="E995" s="16">
        <v>45055</v>
      </c>
      <c r="F995" s="15">
        <v>15420.6</v>
      </c>
      <c r="G995" s="25">
        <f t="shared" si="63"/>
        <v>-4.2133647931237887E-4</v>
      </c>
      <c r="I995" s="16">
        <v>45055</v>
      </c>
      <c r="J995" s="17">
        <v>6.88E-2</v>
      </c>
      <c r="K995" s="25">
        <f t="shared" si="60"/>
        <v>1.8230846219635666E-4</v>
      </c>
      <c r="M995" s="16">
        <v>45055</v>
      </c>
      <c r="N995" s="26">
        <f t="shared" si="61"/>
        <v>-6.0364494150873553E-4</v>
      </c>
      <c r="O995" s="26">
        <f>'Part 2 - CAPM 2.1, 2.2 and 2.3'!C995-'Part 2 - CAPM 2.1, 2.2 and 2.3'!K995</f>
        <v>1.3328430529551585E-3</v>
      </c>
    </row>
    <row r="996" spans="1:15" x14ac:dyDescent="0.4">
      <c r="A996" s="16">
        <v>45056</v>
      </c>
      <c r="B996" s="14">
        <v>166.95</v>
      </c>
      <c r="C996" s="25">
        <f t="shared" si="62"/>
        <v>1.0287443267776027E-2</v>
      </c>
      <c r="E996" s="16">
        <v>45056</v>
      </c>
      <c r="F996" s="15">
        <v>15466.05</v>
      </c>
      <c r="G996" s="25">
        <f t="shared" si="63"/>
        <v>2.947356134002497E-3</v>
      </c>
      <c r="I996" s="16">
        <v>45056</v>
      </c>
      <c r="J996" s="17">
        <v>6.9500000000000006E-2</v>
      </c>
      <c r="K996" s="25">
        <f t="shared" si="60"/>
        <v>1.8410255997558522E-4</v>
      </c>
      <c r="M996" s="16">
        <v>45056</v>
      </c>
      <c r="N996" s="26">
        <f t="shared" si="61"/>
        <v>2.7632535740269117E-3</v>
      </c>
      <c r="O996" s="26">
        <f>'Part 2 - CAPM 2.1, 2.2 and 2.3'!C996-'Part 2 - CAPM 2.1, 2.2 and 2.3'!K996</f>
        <v>1.0103340707800442E-2</v>
      </c>
    </row>
    <row r="997" spans="1:15" x14ac:dyDescent="0.4">
      <c r="A997" s="16">
        <v>45057</v>
      </c>
      <c r="B997" s="14">
        <v>167.05</v>
      </c>
      <c r="C997" s="25">
        <f t="shared" si="62"/>
        <v>5.9898173105733896E-4</v>
      </c>
      <c r="E997" s="16">
        <v>45057</v>
      </c>
      <c r="F997" s="15">
        <v>15484.05</v>
      </c>
      <c r="G997" s="25">
        <f t="shared" si="63"/>
        <v>1.1638395065320492E-3</v>
      </c>
      <c r="I997" s="16">
        <v>45057</v>
      </c>
      <c r="J997" s="17">
        <v>6.9500000000000006E-2</v>
      </c>
      <c r="K997" s="25">
        <f t="shared" si="60"/>
        <v>1.8410255997558522E-4</v>
      </c>
      <c r="M997" s="16">
        <v>45057</v>
      </c>
      <c r="N997" s="26">
        <f t="shared" si="61"/>
        <v>9.79736946556464E-4</v>
      </c>
      <c r="O997" s="26">
        <f>'Part 2 - CAPM 2.1, 2.2 and 2.3'!C997-'Part 2 - CAPM 2.1, 2.2 and 2.3'!K997</f>
        <v>4.1487917108175374E-4</v>
      </c>
    </row>
    <row r="998" spans="1:15" x14ac:dyDescent="0.4">
      <c r="A998" s="16">
        <v>45058</v>
      </c>
      <c r="B998" s="14">
        <v>165.5</v>
      </c>
      <c r="C998" s="25">
        <f t="shared" si="62"/>
        <v>-9.2786590841066226E-3</v>
      </c>
      <c r="E998" s="16">
        <v>45058</v>
      </c>
      <c r="F998" s="15">
        <v>15477.35</v>
      </c>
      <c r="G998" s="25">
        <f t="shared" si="63"/>
        <v>-4.3270333020100743E-4</v>
      </c>
      <c r="I998" s="16">
        <v>45058</v>
      </c>
      <c r="J998" s="17">
        <v>6.9500000000000006E-2</v>
      </c>
      <c r="K998" s="25">
        <f t="shared" si="60"/>
        <v>1.8410255997558522E-4</v>
      </c>
      <c r="M998" s="16">
        <v>45058</v>
      </c>
      <c r="N998" s="26">
        <f t="shared" si="61"/>
        <v>-6.168058901765926E-4</v>
      </c>
      <c r="O998" s="26">
        <f>'Part 2 - CAPM 2.1, 2.2 and 2.3'!C998-'Part 2 - CAPM 2.1, 2.2 and 2.3'!K998</f>
        <v>-9.4627616440822078E-3</v>
      </c>
    </row>
    <row r="999" spans="1:15" x14ac:dyDescent="0.4">
      <c r="A999" s="16">
        <v>45061</v>
      </c>
      <c r="B999" s="14">
        <v>165.6</v>
      </c>
      <c r="C999" s="25">
        <f t="shared" si="62"/>
        <v>6.0422960725072092E-4</v>
      </c>
      <c r="E999" s="16">
        <v>45061</v>
      </c>
      <c r="F999" s="15">
        <v>15549.7</v>
      </c>
      <c r="G999" s="25">
        <f t="shared" si="63"/>
        <v>4.6745728435423611E-3</v>
      </c>
      <c r="I999" s="16">
        <v>45061</v>
      </c>
      <c r="J999" s="17">
        <v>6.9500000000000006E-2</v>
      </c>
      <c r="K999" s="25">
        <f t="shared" si="60"/>
        <v>1.8410255997558522E-4</v>
      </c>
      <c r="M999" s="16">
        <v>45061</v>
      </c>
      <c r="N999" s="26">
        <f t="shared" si="61"/>
        <v>4.4904702835667758E-3</v>
      </c>
      <c r="O999" s="26">
        <f>'Part 2 - CAPM 2.1, 2.2 and 2.3'!C999-'Part 2 - CAPM 2.1, 2.2 and 2.3'!K999</f>
        <v>4.2012704727513569E-4</v>
      </c>
    </row>
    <row r="1000" spans="1:15" x14ac:dyDescent="0.4">
      <c r="A1000" s="16">
        <v>45062</v>
      </c>
      <c r="B1000" s="14">
        <v>168</v>
      </c>
      <c r="C1000" s="25">
        <f t="shared" si="62"/>
        <v>1.4492753623188441E-2</v>
      </c>
      <c r="E1000" s="16">
        <v>45062</v>
      </c>
      <c r="F1000" s="15">
        <v>15492.4</v>
      </c>
      <c r="G1000" s="25">
        <f t="shared" si="63"/>
        <v>-3.6849585522550975E-3</v>
      </c>
      <c r="I1000" s="16">
        <v>45062</v>
      </c>
      <c r="J1000" s="17">
        <v>6.9099999999999995E-2</v>
      </c>
      <c r="K1000" s="25">
        <f t="shared" si="60"/>
        <v>1.830775046887112E-4</v>
      </c>
      <c r="M1000" s="16">
        <v>45062</v>
      </c>
      <c r="N1000" s="26">
        <f t="shared" si="61"/>
        <v>-3.8680360569438087E-3</v>
      </c>
      <c r="O1000" s="26">
        <f>'Part 2 - CAPM 2.1, 2.2 and 2.3'!C1000-'Part 2 - CAPM 2.1, 2.2 and 2.3'!K1000</f>
        <v>1.4309676118499729E-2</v>
      </c>
    </row>
    <row r="1001" spans="1:15" x14ac:dyDescent="0.4">
      <c r="A1001" s="16">
        <v>45063</v>
      </c>
      <c r="B1001" s="14">
        <v>167.25</v>
      </c>
      <c r="C1001" s="25">
        <f t="shared" si="62"/>
        <v>-4.464285714285714E-3</v>
      </c>
      <c r="E1001" s="16">
        <v>45063</v>
      </c>
      <c r="F1001" s="15">
        <v>15426.35</v>
      </c>
      <c r="G1001" s="25">
        <f t="shared" si="63"/>
        <v>-4.2633807544343854E-3</v>
      </c>
      <c r="I1001" s="16">
        <v>45063</v>
      </c>
      <c r="J1001" s="17">
        <v>6.8699999999999997E-2</v>
      </c>
      <c r="K1001" s="25">
        <f t="shared" si="60"/>
        <v>1.8205206686028319E-4</v>
      </c>
      <c r="M1001" s="16">
        <v>45063</v>
      </c>
      <c r="N1001" s="26">
        <f t="shared" si="61"/>
        <v>-4.4454328212946686E-3</v>
      </c>
      <c r="O1001" s="26">
        <f>'Part 2 - CAPM 2.1, 2.2 and 2.3'!C1001-'Part 2 - CAPM 2.1, 2.2 and 2.3'!K1001</f>
        <v>-4.6463377811459972E-3</v>
      </c>
    </row>
    <row r="1002" spans="1:15" x14ac:dyDescent="0.4">
      <c r="A1002" s="16">
        <v>45064</v>
      </c>
      <c r="B1002" s="14">
        <v>166.35</v>
      </c>
      <c r="C1002" s="25">
        <f t="shared" si="62"/>
        <v>-5.3811659192825453E-3</v>
      </c>
      <c r="E1002" s="16">
        <v>45064</v>
      </c>
      <c r="F1002" s="15">
        <v>15361.6</v>
      </c>
      <c r="G1002" s="25">
        <f t="shared" si="63"/>
        <v>-4.1973636018889753E-3</v>
      </c>
      <c r="I1002" s="16">
        <v>45064</v>
      </c>
      <c r="J1002" s="17">
        <v>6.8499999999999991E-2</v>
      </c>
      <c r="K1002" s="25">
        <f t="shared" si="60"/>
        <v>1.8153920440378002E-4</v>
      </c>
      <c r="M1002" s="16">
        <v>45064</v>
      </c>
      <c r="N1002" s="26">
        <f t="shared" si="61"/>
        <v>-4.3789028062927553E-3</v>
      </c>
      <c r="O1002" s="26">
        <f>'Part 2 - CAPM 2.1, 2.2 and 2.3'!C1002-'Part 2 - CAPM 2.1, 2.2 and 2.3'!K1002</f>
        <v>-5.5627051236863253E-3</v>
      </c>
    </row>
    <row r="1003" spans="1:15" x14ac:dyDescent="0.4">
      <c r="A1003" s="16">
        <v>45065</v>
      </c>
      <c r="B1003" s="14">
        <v>164.9</v>
      </c>
      <c r="C1003" s="25">
        <f t="shared" si="62"/>
        <v>-8.7165614667868273E-3</v>
      </c>
      <c r="E1003" s="16">
        <v>45065</v>
      </c>
      <c r="F1003" s="15">
        <v>15407.55</v>
      </c>
      <c r="G1003" s="25">
        <f t="shared" si="63"/>
        <v>2.9912248724090528E-3</v>
      </c>
      <c r="I1003" s="16">
        <v>45065</v>
      </c>
      <c r="J1003" s="17">
        <v>6.7799999999999999E-2</v>
      </c>
      <c r="K1003" s="25">
        <f t="shared" si="60"/>
        <v>1.7974343159732342E-4</v>
      </c>
      <c r="M1003" s="16">
        <v>45065</v>
      </c>
      <c r="N1003" s="26">
        <f t="shared" si="61"/>
        <v>2.8114814408117294E-3</v>
      </c>
      <c r="O1003" s="26">
        <f>'Part 2 - CAPM 2.1, 2.2 and 2.3'!C1003-'Part 2 - CAPM 2.1, 2.2 and 2.3'!K1003</f>
        <v>-8.8963048983841508E-3</v>
      </c>
    </row>
    <row r="1004" spans="1:15" x14ac:dyDescent="0.4">
      <c r="A1004" s="16">
        <v>45068</v>
      </c>
      <c r="B1004" s="14">
        <v>165.6</v>
      </c>
      <c r="C1004" s="25">
        <f t="shared" si="62"/>
        <v>4.2449969678592398E-3</v>
      </c>
      <c r="E1004" s="16">
        <v>45068</v>
      </c>
      <c r="F1004" s="15">
        <v>15504</v>
      </c>
      <c r="G1004" s="25">
        <f t="shared" si="63"/>
        <v>6.2599180272009981E-3</v>
      </c>
      <c r="I1004" s="16">
        <v>45068</v>
      </c>
      <c r="J1004" s="17">
        <v>6.7299999999999999E-2</v>
      </c>
      <c r="K1004" s="25">
        <f t="shared" si="60"/>
        <v>1.7846001781474108E-4</v>
      </c>
      <c r="M1004" s="16">
        <v>45068</v>
      </c>
      <c r="N1004" s="26">
        <f t="shared" si="61"/>
        <v>6.0814580093862571E-3</v>
      </c>
      <c r="O1004" s="26">
        <f>'Part 2 - CAPM 2.1, 2.2 and 2.3'!C1004-'Part 2 - CAPM 2.1, 2.2 and 2.3'!K1004</f>
        <v>4.0665369500444987E-3</v>
      </c>
    </row>
    <row r="1005" spans="1:15" x14ac:dyDescent="0.4">
      <c r="A1005" s="16">
        <v>45069</v>
      </c>
      <c r="B1005" s="14">
        <v>165</v>
      </c>
      <c r="C1005" s="25">
        <f t="shared" si="62"/>
        <v>-3.6231884057970672E-3</v>
      </c>
      <c r="E1005" s="16">
        <v>45069</v>
      </c>
      <c r="F1005" s="15">
        <v>15544.75</v>
      </c>
      <c r="G1005" s="25">
        <f t="shared" si="63"/>
        <v>2.6283539731682148E-3</v>
      </c>
      <c r="I1005" s="16">
        <v>45069</v>
      </c>
      <c r="J1005" s="17">
        <v>6.7799999999999999E-2</v>
      </c>
      <c r="K1005" s="25">
        <f t="shared" si="60"/>
        <v>1.7974343159732342E-4</v>
      </c>
      <c r="M1005" s="16">
        <v>45069</v>
      </c>
      <c r="N1005" s="26">
        <f t="shared" si="61"/>
        <v>2.4486105415708914E-3</v>
      </c>
      <c r="O1005" s="26">
        <f>'Part 2 - CAPM 2.1, 2.2 and 2.3'!C1005-'Part 2 - CAPM 2.1, 2.2 and 2.3'!K1005</f>
        <v>-3.8029318373943907E-3</v>
      </c>
    </row>
    <row r="1006" spans="1:15" x14ac:dyDescent="0.4">
      <c r="A1006" s="16">
        <v>45070</v>
      </c>
      <c r="B1006" s="14">
        <v>166.25</v>
      </c>
      <c r="C1006" s="25">
        <f t="shared" si="62"/>
        <v>7.575757575757576E-3</v>
      </c>
      <c r="E1006" s="16">
        <v>45070</v>
      </c>
      <c r="F1006" s="15">
        <v>15515.95</v>
      </c>
      <c r="G1006" s="25">
        <f t="shared" si="63"/>
        <v>-1.8527155470496003E-3</v>
      </c>
      <c r="I1006" s="16">
        <v>45070</v>
      </c>
      <c r="J1006" s="17">
        <v>6.7699999999999996E-2</v>
      </c>
      <c r="K1006" s="25">
        <f t="shared" si="60"/>
        <v>1.7948679679258284E-4</v>
      </c>
      <c r="M1006" s="16">
        <v>45070</v>
      </c>
      <c r="N1006" s="26">
        <f t="shared" si="61"/>
        <v>-2.0322023438421833E-3</v>
      </c>
      <c r="O1006" s="26">
        <f>'Part 2 - CAPM 2.1, 2.2 and 2.3'!C1006-'Part 2 - CAPM 2.1, 2.2 and 2.3'!K1006</f>
        <v>7.3962707789649931E-3</v>
      </c>
    </row>
    <row r="1007" spans="1:15" x14ac:dyDescent="0.4">
      <c r="A1007" s="16">
        <v>45071</v>
      </c>
      <c r="B1007" s="14">
        <v>166</v>
      </c>
      <c r="C1007" s="25">
        <f t="shared" si="62"/>
        <v>-1.5037593984962407E-3</v>
      </c>
      <c r="E1007" s="16">
        <v>45071</v>
      </c>
      <c r="F1007" s="15">
        <v>15555.25</v>
      </c>
      <c r="G1007" s="25">
        <f t="shared" si="63"/>
        <v>2.5328774583573206E-3</v>
      </c>
      <c r="I1007" s="16">
        <v>45071</v>
      </c>
      <c r="J1007" s="17">
        <v>6.7699999999999996E-2</v>
      </c>
      <c r="K1007" s="25">
        <f t="shared" si="60"/>
        <v>1.7948679679258284E-4</v>
      </c>
      <c r="M1007" s="16">
        <v>45071</v>
      </c>
      <c r="N1007" s="26">
        <f t="shared" si="61"/>
        <v>2.3533906615647378E-3</v>
      </c>
      <c r="O1007" s="26">
        <f>'Part 2 - CAPM 2.1, 2.2 and 2.3'!C1007-'Part 2 - CAPM 2.1, 2.2 and 2.3'!K1007</f>
        <v>-1.6832461952888235E-3</v>
      </c>
    </row>
    <row r="1008" spans="1:15" x14ac:dyDescent="0.4">
      <c r="A1008" s="16">
        <v>45072</v>
      </c>
      <c r="B1008" s="14">
        <v>163.75</v>
      </c>
      <c r="C1008" s="25">
        <f t="shared" si="62"/>
        <v>-1.355421686746988E-2</v>
      </c>
      <c r="E1008" s="16">
        <v>45072</v>
      </c>
      <c r="F1008" s="15">
        <v>15696.75</v>
      </c>
      <c r="G1008" s="25">
        <f t="shared" si="63"/>
        <v>9.0966072547853626E-3</v>
      </c>
      <c r="I1008" s="16">
        <v>45072</v>
      </c>
      <c r="J1008" s="17">
        <v>6.7599999999999993E-2</v>
      </c>
      <c r="K1008" s="25">
        <f t="shared" si="60"/>
        <v>1.7923013801657284E-4</v>
      </c>
      <c r="M1008" s="16">
        <v>45072</v>
      </c>
      <c r="N1008" s="26">
        <f t="shared" si="61"/>
        <v>8.9173771167687897E-3</v>
      </c>
      <c r="O1008" s="26">
        <f>'Part 2 - CAPM 2.1, 2.2 and 2.3'!C1008-'Part 2 - CAPM 2.1, 2.2 and 2.3'!K1008</f>
        <v>-1.3733447005486453E-2</v>
      </c>
    </row>
    <row r="1009" spans="1:15" x14ac:dyDescent="0.4">
      <c r="A1009" s="16">
        <v>45075</v>
      </c>
      <c r="B1009" s="14">
        <v>159</v>
      </c>
      <c r="C1009" s="25">
        <f t="shared" si="62"/>
        <v>-2.9007633587786259E-2</v>
      </c>
      <c r="E1009" s="16">
        <v>45075</v>
      </c>
      <c r="F1009" s="15">
        <v>15772.35</v>
      </c>
      <c r="G1009" s="25">
        <f t="shared" si="63"/>
        <v>4.8162836255913081E-3</v>
      </c>
      <c r="I1009" s="16">
        <v>45075</v>
      </c>
      <c r="J1009" s="17">
        <v>6.7500000000000004E-2</v>
      </c>
      <c r="K1009" s="25">
        <f t="shared" si="60"/>
        <v>1.7897345526463049E-4</v>
      </c>
      <c r="M1009" s="16">
        <v>45075</v>
      </c>
      <c r="N1009" s="26">
        <f t="shared" si="61"/>
        <v>4.6373101703266776E-3</v>
      </c>
      <c r="O1009" s="26">
        <f>'Part 2 - CAPM 2.1, 2.2 and 2.3'!C1009-'Part 2 - CAPM 2.1, 2.2 and 2.3'!K1009</f>
        <v>-2.9186607043050889E-2</v>
      </c>
    </row>
    <row r="1010" spans="1:15" x14ac:dyDescent="0.4">
      <c r="A1010" s="16">
        <v>45076</v>
      </c>
      <c r="B1010" s="14">
        <v>158.85</v>
      </c>
      <c r="C1010" s="25">
        <f t="shared" si="62"/>
        <v>-9.4339622641513013E-4</v>
      </c>
      <c r="E1010" s="16">
        <v>45076</v>
      </c>
      <c r="F1010" s="15">
        <v>15799.45</v>
      </c>
      <c r="G1010" s="25">
        <f t="shared" si="63"/>
        <v>1.7181967176736735E-3</v>
      </c>
      <c r="I1010" s="16">
        <v>45076</v>
      </c>
      <c r="J1010" s="17">
        <v>6.7500000000000004E-2</v>
      </c>
      <c r="K1010" s="25">
        <f t="shared" si="60"/>
        <v>1.7897345526463049E-4</v>
      </c>
      <c r="M1010" s="16">
        <v>45076</v>
      </c>
      <c r="N1010" s="26">
        <f t="shared" si="61"/>
        <v>1.539223262409043E-3</v>
      </c>
      <c r="O1010" s="26">
        <f>'Part 2 - CAPM 2.1, 2.2 and 2.3'!C1010-'Part 2 - CAPM 2.1, 2.2 and 2.3'!K1010</f>
        <v>-1.1223696816797606E-3</v>
      </c>
    </row>
    <row r="1011" spans="1:15" x14ac:dyDescent="0.4">
      <c r="A1011" s="16">
        <v>45077</v>
      </c>
      <c r="B1011" s="14">
        <v>154.9</v>
      </c>
      <c r="C1011" s="25">
        <f t="shared" si="62"/>
        <v>-2.4866225999370405E-2</v>
      </c>
      <c r="E1011" s="16">
        <v>45077</v>
      </c>
      <c r="F1011" s="15">
        <v>15766.4</v>
      </c>
      <c r="G1011" s="25">
        <f t="shared" si="63"/>
        <v>-2.0918449692869747E-3</v>
      </c>
      <c r="I1011" s="16">
        <v>45077</v>
      </c>
      <c r="J1011" s="17">
        <v>6.7699999999999996E-2</v>
      </c>
      <c r="K1011" s="25">
        <f t="shared" si="60"/>
        <v>1.7948679679258284E-4</v>
      </c>
      <c r="M1011" s="16">
        <v>45077</v>
      </c>
      <c r="N1011" s="26">
        <f t="shared" si="61"/>
        <v>-2.2713317660795576E-3</v>
      </c>
      <c r="O1011" s="26">
        <f>'Part 2 - CAPM 2.1, 2.2 and 2.3'!C1011-'Part 2 - CAPM 2.1, 2.2 and 2.3'!K1011</f>
        <v>-2.5045712796162987E-2</v>
      </c>
    </row>
    <row r="1012" spans="1:15" x14ac:dyDescent="0.4">
      <c r="A1012" s="16">
        <v>45078</v>
      </c>
      <c r="B1012" s="14">
        <v>153.65</v>
      </c>
      <c r="C1012" s="25">
        <f t="shared" si="62"/>
        <v>-8.0697224015493872E-3</v>
      </c>
      <c r="E1012" s="16">
        <v>45078</v>
      </c>
      <c r="F1012" s="15">
        <v>15760.35</v>
      </c>
      <c r="G1012" s="25">
        <f t="shared" si="63"/>
        <v>-3.8372742033687289E-4</v>
      </c>
      <c r="I1012" s="16">
        <v>45078</v>
      </c>
      <c r="J1012" s="17">
        <v>6.7599999999999993E-2</v>
      </c>
      <c r="K1012" s="25">
        <f t="shared" si="60"/>
        <v>1.7923013801657284E-4</v>
      </c>
      <c r="M1012" s="16">
        <v>45078</v>
      </c>
      <c r="N1012" s="26">
        <f t="shared" si="61"/>
        <v>-5.6295755835344572E-4</v>
      </c>
      <c r="O1012" s="26">
        <f>'Part 2 - CAPM 2.1, 2.2 and 2.3'!C1012-'Part 2 - CAPM 2.1, 2.2 and 2.3'!K1012</f>
        <v>-8.24895253956596E-3</v>
      </c>
    </row>
    <row r="1013" spans="1:15" x14ac:dyDescent="0.4">
      <c r="A1013" s="16">
        <v>45079</v>
      </c>
      <c r="B1013" s="14">
        <v>154.69999999999999</v>
      </c>
      <c r="C1013" s="25">
        <f t="shared" si="62"/>
        <v>6.8337129840545588E-3</v>
      </c>
      <c r="E1013" s="16">
        <v>45079</v>
      </c>
      <c r="F1013" s="15">
        <v>15811.2</v>
      </c>
      <c r="G1013" s="25">
        <f t="shared" si="63"/>
        <v>3.2264511892185366E-3</v>
      </c>
      <c r="I1013" s="16">
        <v>45079</v>
      </c>
      <c r="J1013" s="17">
        <v>6.7500000000000004E-2</v>
      </c>
      <c r="K1013" s="25">
        <f t="shared" si="60"/>
        <v>1.7897345526463049E-4</v>
      </c>
      <c r="M1013" s="16">
        <v>45079</v>
      </c>
      <c r="N1013" s="26">
        <f t="shared" si="61"/>
        <v>3.0474777339539062E-3</v>
      </c>
      <c r="O1013" s="26">
        <f>'Part 2 - CAPM 2.1, 2.2 and 2.3'!C1013-'Part 2 - CAPM 2.1, 2.2 and 2.3'!K1013</f>
        <v>6.6547395287899283E-3</v>
      </c>
    </row>
    <row r="1014" spans="1:15" x14ac:dyDescent="0.4">
      <c r="A1014" s="16">
        <v>45082</v>
      </c>
      <c r="B1014" s="14">
        <v>155.4</v>
      </c>
      <c r="C1014" s="25">
        <f t="shared" si="62"/>
        <v>4.5248868778281649E-3</v>
      </c>
      <c r="E1014" s="16">
        <v>45082</v>
      </c>
      <c r="F1014" s="15">
        <v>15859.5</v>
      </c>
      <c r="G1014" s="25">
        <f t="shared" si="63"/>
        <v>3.0547965998785208E-3</v>
      </c>
      <c r="I1014" s="16">
        <v>45082</v>
      </c>
      <c r="J1014" s="17">
        <v>6.7299999999999999E-2</v>
      </c>
      <c r="K1014" s="25">
        <f t="shared" si="60"/>
        <v>1.7846001781474108E-4</v>
      </c>
      <c r="M1014" s="16">
        <v>45082</v>
      </c>
      <c r="N1014" s="26">
        <f t="shared" si="61"/>
        <v>2.8763365820637797E-3</v>
      </c>
      <c r="O1014" s="26">
        <f>'Part 2 - CAPM 2.1, 2.2 and 2.3'!C1014-'Part 2 - CAPM 2.1, 2.2 and 2.3'!K1014</f>
        <v>4.3464268600134238E-3</v>
      </c>
    </row>
    <row r="1015" spans="1:15" x14ac:dyDescent="0.4">
      <c r="A1015" s="16">
        <v>45083</v>
      </c>
      <c r="B1015" s="14">
        <v>153.65</v>
      </c>
      <c r="C1015" s="25">
        <f t="shared" si="62"/>
        <v>-1.1261261261261261E-2</v>
      </c>
      <c r="E1015" s="16">
        <v>45083</v>
      </c>
      <c r="F1015" s="15">
        <v>15878.4</v>
      </c>
      <c r="G1015" s="25">
        <f t="shared" si="63"/>
        <v>1.1917147451054344E-3</v>
      </c>
      <c r="I1015" s="16">
        <v>45083</v>
      </c>
      <c r="J1015" s="17">
        <v>6.7500000000000004E-2</v>
      </c>
      <c r="K1015" s="25">
        <f t="shared" si="60"/>
        <v>1.7897345526463049E-4</v>
      </c>
      <c r="M1015" s="16">
        <v>45083</v>
      </c>
      <c r="N1015" s="26">
        <f t="shared" si="61"/>
        <v>1.0127412898408039E-3</v>
      </c>
      <c r="O1015" s="26">
        <f>'Part 2 - CAPM 2.1, 2.2 and 2.3'!C1015-'Part 2 - CAPM 2.1, 2.2 and 2.3'!K1015</f>
        <v>-1.1440234716525891E-2</v>
      </c>
    </row>
    <row r="1016" spans="1:15" x14ac:dyDescent="0.4">
      <c r="A1016" s="16">
        <v>45084</v>
      </c>
      <c r="B1016" s="14">
        <v>153.85</v>
      </c>
      <c r="C1016" s="25">
        <f t="shared" si="62"/>
        <v>1.3016596160103392E-3</v>
      </c>
      <c r="E1016" s="16">
        <v>45084</v>
      </c>
      <c r="F1016" s="15">
        <v>16006.7</v>
      </c>
      <c r="G1016" s="25">
        <f t="shared" si="63"/>
        <v>8.0801592099960379E-3</v>
      </c>
      <c r="I1016" s="16">
        <v>45084</v>
      </c>
      <c r="J1016" s="17">
        <v>6.7500000000000004E-2</v>
      </c>
      <c r="K1016" s="25">
        <f t="shared" si="60"/>
        <v>1.7897345526463049E-4</v>
      </c>
      <c r="M1016" s="16">
        <v>45084</v>
      </c>
      <c r="N1016" s="26">
        <f t="shared" si="61"/>
        <v>7.9011857547314074E-3</v>
      </c>
      <c r="O1016" s="26">
        <f>'Part 2 - CAPM 2.1, 2.2 and 2.3'!C1016-'Part 2 - CAPM 2.1, 2.2 and 2.3'!K1016</f>
        <v>1.1226861607457088E-3</v>
      </c>
    </row>
    <row r="1017" spans="1:15" x14ac:dyDescent="0.4">
      <c r="A1017" s="16">
        <v>45085</v>
      </c>
      <c r="B1017" s="14">
        <v>156.1</v>
      </c>
      <c r="C1017" s="25">
        <f t="shared" si="62"/>
        <v>1.4624634384140398E-2</v>
      </c>
      <c r="E1017" s="16">
        <v>45085</v>
      </c>
      <c r="F1017" s="15">
        <v>15921.05</v>
      </c>
      <c r="G1017" s="25">
        <f t="shared" si="63"/>
        <v>-5.3508843171922666E-3</v>
      </c>
      <c r="I1017" s="16">
        <v>45085</v>
      </c>
      <c r="J1017" s="17">
        <v>6.7599999999999993E-2</v>
      </c>
      <c r="K1017" s="25">
        <f t="shared" si="60"/>
        <v>1.7923013801657284E-4</v>
      </c>
      <c r="M1017" s="16">
        <v>45085</v>
      </c>
      <c r="N1017" s="26">
        <f t="shared" si="61"/>
        <v>-5.5301144552088394E-3</v>
      </c>
      <c r="O1017" s="26">
        <f>'Part 2 - CAPM 2.1, 2.2 and 2.3'!C1017-'Part 2 - CAPM 2.1, 2.2 and 2.3'!K1017</f>
        <v>1.4445404246123825E-2</v>
      </c>
    </row>
    <row r="1018" spans="1:15" x14ac:dyDescent="0.4">
      <c r="A1018" s="16">
        <v>45086</v>
      </c>
      <c r="B1018" s="14">
        <v>154.25</v>
      </c>
      <c r="C1018" s="25">
        <f t="shared" si="62"/>
        <v>-1.1851377322229304E-2</v>
      </c>
      <c r="E1018" s="16">
        <v>45086</v>
      </c>
      <c r="F1018" s="15">
        <v>15877.4</v>
      </c>
      <c r="G1018" s="25">
        <f t="shared" si="63"/>
        <v>-2.7416533457278029E-3</v>
      </c>
      <c r="I1018" s="16">
        <v>45086</v>
      </c>
      <c r="J1018" s="17">
        <v>6.7599999999999993E-2</v>
      </c>
      <c r="K1018" s="25">
        <f t="shared" si="60"/>
        <v>1.7923013801657284E-4</v>
      </c>
      <c r="M1018" s="16">
        <v>45086</v>
      </c>
      <c r="N1018" s="26">
        <f t="shared" si="61"/>
        <v>-2.9208834837443757E-3</v>
      </c>
      <c r="O1018" s="26">
        <f>'Part 2 - CAPM 2.1, 2.2 and 2.3'!C1018-'Part 2 - CAPM 2.1, 2.2 and 2.3'!K1018</f>
        <v>-1.2030607460245877E-2</v>
      </c>
    </row>
    <row r="1019" spans="1:15" x14ac:dyDescent="0.4">
      <c r="A1019" s="16">
        <v>45089</v>
      </c>
      <c r="B1019" s="14">
        <v>155.05000000000001</v>
      </c>
      <c r="C1019" s="25">
        <f t="shared" si="62"/>
        <v>5.1863857374392953E-3</v>
      </c>
      <c r="E1019" s="16">
        <v>45089</v>
      </c>
      <c r="F1019" s="15">
        <v>15929.1</v>
      </c>
      <c r="G1019" s="25">
        <f t="shared" si="63"/>
        <v>3.2562006373840005E-3</v>
      </c>
      <c r="I1019" s="16">
        <v>45089</v>
      </c>
      <c r="J1019" s="17">
        <v>6.7500000000000004E-2</v>
      </c>
      <c r="K1019" s="25">
        <f t="shared" si="60"/>
        <v>1.7897345526463049E-4</v>
      </c>
      <c r="M1019" s="16">
        <v>45089</v>
      </c>
      <c r="N1019" s="26">
        <f t="shared" si="61"/>
        <v>3.07722718211937E-3</v>
      </c>
      <c r="O1019" s="26">
        <f>'Part 2 - CAPM 2.1, 2.2 and 2.3'!C1019-'Part 2 - CAPM 2.1, 2.2 and 2.3'!K1019</f>
        <v>5.0074122821746649E-3</v>
      </c>
    </row>
    <row r="1020" spans="1:15" x14ac:dyDescent="0.4">
      <c r="A1020" s="16">
        <v>45090</v>
      </c>
      <c r="B1020" s="14">
        <v>155.65</v>
      </c>
      <c r="C1020" s="25">
        <f t="shared" si="62"/>
        <v>3.869719445340176E-3</v>
      </c>
      <c r="E1020" s="16">
        <v>45090</v>
      </c>
      <c r="F1020" s="15">
        <v>16048.2</v>
      </c>
      <c r="G1020" s="25">
        <f t="shared" si="63"/>
        <v>7.4768819330659209E-3</v>
      </c>
      <c r="I1020" s="16">
        <v>45090</v>
      </c>
      <c r="J1020" s="17">
        <v>6.7699999999999996E-2</v>
      </c>
      <c r="K1020" s="25">
        <f t="shared" si="60"/>
        <v>1.7948679679258284E-4</v>
      </c>
      <c r="M1020" s="16">
        <v>45090</v>
      </c>
      <c r="N1020" s="26">
        <f t="shared" si="61"/>
        <v>7.297395136273338E-3</v>
      </c>
      <c r="O1020" s="26">
        <f>'Part 2 - CAPM 2.1, 2.2 and 2.3'!C1020-'Part 2 - CAPM 2.1, 2.2 and 2.3'!K1020</f>
        <v>3.6902326485475931E-3</v>
      </c>
    </row>
    <row r="1021" spans="1:15" x14ac:dyDescent="0.4">
      <c r="A1021" s="16">
        <v>45091</v>
      </c>
      <c r="B1021" s="14">
        <v>157.85</v>
      </c>
      <c r="C1021" s="25">
        <f t="shared" si="62"/>
        <v>1.4134275618374485E-2</v>
      </c>
      <c r="E1021" s="16">
        <v>45091</v>
      </c>
      <c r="F1021" s="15">
        <v>16084.05</v>
      </c>
      <c r="G1021" s="25">
        <f t="shared" si="63"/>
        <v>2.233895390137121E-3</v>
      </c>
      <c r="I1021" s="16">
        <v>45091</v>
      </c>
      <c r="J1021" s="17">
        <v>6.7699999999999996E-2</v>
      </c>
      <c r="K1021" s="25">
        <f t="shared" si="60"/>
        <v>1.7948679679258284E-4</v>
      </c>
      <c r="M1021" s="16">
        <v>45091</v>
      </c>
      <c r="N1021" s="26">
        <f t="shared" si="61"/>
        <v>2.0544085933445382E-3</v>
      </c>
      <c r="O1021" s="26">
        <f>'Part 2 - CAPM 2.1, 2.2 and 2.3'!C1021-'Part 2 - CAPM 2.1, 2.2 and 2.3'!K1021</f>
        <v>1.3954788821581902E-2</v>
      </c>
    </row>
    <row r="1022" spans="1:15" x14ac:dyDescent="0.4">
      <c r="A1022" s="16">
        <v>45092</v>
      </c>
      <c r="B1022" s="14">
        <v>157.65</v>
      </c>
      <c r="C1022" s="25">
        <f t="shared" si="62"/>
        <v>-1.2670256572694877E-3</v>
      </c>
      <c r="E1022" s="16">
        <v>45092</v>
      </c>
      <c r="F1022" s="15">
        <v>16058.25</v>
      </c>
      <c r="G1022" s="25">
        <f t="shared" si="63"/>
        <v>-1.6040736008654086E-3</v>
      </c>
      <c r="I1022" s="16">
        <v>45092</v>
      </c>
      <c r="J1022" s="17">
        <v>6.8099999999999994E-2</v>
      </c>
      <c r="K1022" s="25">
        <f t="shared" si="60"/>
        <v>1.805131922267833E-4</v>
      </c>
      <c r="M1022" s="16">
        <v>45092</v>
      </c>
      <c r="N1022" s="26">
        <f t="shared" si="61"/>
        <v>-1.7845867930921919E-3</v>
      </c>
      <c r="O1022" s="26">
        <f>'Part 2 - CAPM 2.1, 2.2 and 2.3'!C1022-'Part 2 - CAPM 2.1, 2.2 and 2.3'!K1022</f>
        <v>-1.447538849496271E-3</v>
      </c>
    </row>
    <row r="1023" spans="1:15" x14ac:dyDescent="0.4">
      <c r="A1023" s="16">
        <v>45093</v>
      </c>
      <c r="B1023" s="14">
        <v>157</v>
      </c>
      <c r="C1023" s="25">
        <f t="shared" si="62"/>
        <v>-4.1230574056454533E-3</v>
      </c>
      <c r="E1023" s="16">
        <v>45093</v>
      </c>
      <c r="F1023" s="15">
        <v>16181.45</v>
      </c>
      <c r="G1023" s="25">
        <f t="shared" si="63"/>
        <v>7.6720688742547118E-3</v>
      </c>
      <c r="I1023" s="16">
        <v>45093</v>
      </c>
      <c r="J1023" s="17">
        <v>6.7699999999999996E-2</v>
      </c>
      <c r="K1023" s="25">
        <f t="shared" si="60"/>
        <v>1.7948679679258284E-4</v>
      </c>
      <c r="M1023" s="16">
        <v>45093</v>
      </c>
      <c r="N1023" s="26">
        <f t="shared" si="61"/>
        <v>7.492582077462129E-3</v>
      </c>
      <c r="O1023" s="26">
        <f>'Part 2 - CAPM 2.1, 2.2 and 2.3'!C1023-'Part 2 - CAPM 2.1, 2.2 and 2.3'!K1023</f>
        <v>-4.3025442024380361E-3</v>
      </c>
    </row>
    <row r="1024" spans="1:15" x14ac:dyDescent="0.4">
      <c r="A1024" s="16">
        <v>45096</v>
      </c>
      <c r="B1024" s="14">
        <v>157.80000000000001</v>
      </c>
      <c r="C1024" s="25">
        <f t="shared" si="62"/>
        <v>5.0955414012739579E-3</v>
      </c>
      <c r="E1024" s="16">
        <v>45096</v>
      </c>
      <c r="F1024" s="15">
        <v>16142.15</v>
      </c>
      <c r="G1024" s="25">
        <f t="shared" si="63"/>
        <v>-2.4287069452985418E-3</v>
      </c>
      <c r="I1024" s="16">
        <v>45096</v>
      </c>
      <c r="J1024" s="17">
        <v>6.8000000000000005E-2</v>
      </c>
      <c r="K1024" s="25">
        <f t="shared" si="60"/>
        <v>1.8025662930987174E-4</v>
      </c>
      <c r="M1024" s="16">
        <v>45096</v>
      </c>
      <c r="N1024" s="26">
        <f t="shared" si="61"/>
        <v>-2.6089635746084135E-3</v>
      </c>
      <c r="O1024" s="26">
        <f>'Part 2 - CAPM 2.1, 2.2 and 2.3'!C1024-'Part 2 - CAPM 2.1, 2.2 and 2.3'!K1024</f>
        <v>4.9152847719640862E-3</v>
      </c>
    </row>
    <row r="1025" spans="1:15" x14ac:dyDescent="0.4">
      <c r="A1025" s="16">
        <v>45097</v>
      </c>
      <c r="B1025" s="14">
        <v>157.25</v>
      </c>
      <c r="C1025" s="25">
        <f t="shared" si="62"/>
        <v>-3.4854245880862568E-3</v>
      </c>
      <c r="E1025" s="16">
        <v>45097</v>
      </c>
      <c r="F1025" s="15">
        <v>16199.95</v>
      </c>
      <c r="G1025" s="25">
        <f t="shared" si="63"/>
        <v>3.5806878265907016E-3</v>
      </c>
      <c r="I1025" s="16">
        <v>45097</v>
      </c>
      <c r="J1025" s="17">
        <v>6.8099999999999994E-2</v>
      </c>
      <c r="K1025" s="25">
        <f t="shared" si="60"/>
        <v>1.805131922267833E-4</v>
      </c>
      <c r="M1025" s="16">
        <v>45097</v>
      </c>
      <c r="N1025" s="26">
        <f t="shared" si="61"/>
        <v>3.4001746343639183E-3</v>
      </c>
      <c r="O1025" s="26">
        <f>'Part 2 - CAPM 2.1, 2.2 and 2.3'!C1025-'Part 2 - CAPM 2.1, 2.2 and 2.3'!K1025</f>
        <v>-3.6659377803130401E-3</v>
      </c>
    </row>
    <row r="1026" spans="1:15" x14ac:dyDescent="0.4">
      <c r="A1026" s="16">
        <v>45098</v>
      </c>
      <c r="B1026" s="14">
        <v>160.19999999999999</v>
      </c>
      <c r="C1026" s="25">
        <f t="shared" si="62"/>
        <v>1.8759936406995158E-2</v>
      </c>
      <c r="E1026" s="16">
        <v>45098</v>
      </c>
      <c r="F1026" s="15">
        <v>16240.95</v>
      </c>
      <c r="G1026" s="25">
        <f t="shared" si="63"/>
        <v>2.5308720088642249E-3</v>
      </c>
      <c r="I1026" s="16">
        <v>45098</v>
      </c>
      <c r="J1026" s="17">
        <v>6.7699999999999996E-2</v>
      </c>
      <c r="K1026" s="25">
        <f t="shared" si="60"/>
        <v>1.7948679679258284E-4</v>
      </c>
      <c r="M1026" s="16">
        <v>45098</v>
      </c>
      <c r="N1026" s="26">
        <f t="shared" si="61"/>
        <v>2.351385212071642E-3</v>
      </c>
      <c r="O1026" s="26">
        <f>'Part 2 - CAPM 2.1, 2.2 and 2.3'!C1026-'Part 2 - CAPM 2.1, 2.2 and 2.3'!K1026</f>
        <v>1.8580449610202575E-2</v>
      </c>
    </row>
    <row r="1027" spans="1:15" x14ac:dyDescent="0.4">
      <c r="A1027" s="16">
        <v>45099</v>
      </c>
      <c r="B1027" s="14">
        <v>158.94999999999999</v>
      </c>
      <c r="C1027" s="25">
        <f t="shared" si="62"/>
        <v>-7.8027465667915115E-3</v>
      </c>
      <c r="E1027" s="16">
        <v>45099</v>
      </c>
      <c r="F1027" s="15">
        <v>16140.8</v>
      </c>
      <c r="G1027" s="25">
        <f t="shared" si="63"/>
        <v>-6.1665111954658722E-3</v>
      </c>
      <c r="I1027" s="16">
        <v>45099</v>
      </c>
      <c r="J1027" s="17">
        <v>6.7599999999999993E-2</v>
      </c>
      <c r="K1027" s="25">
        <f t="shared" si="60"/>
        <v>1.7923013801657284E-4</v>
      </c>
      <c r="M1027" s="16">
        <v>45099</v>
      </c>
      <c r="N1027" s="26">
        <f t="shared" si="61"/>
        <v>-6.345741333482445E-3</v>
      </c>
      <c r="O1027" s="26">
        <f>'Part 2 - CAPM 2.1, 2.2 and 2.3'!C1027-'Part 2 - CAPM 2.1, 2.2 and 2.3'!K1027</f>
        <v>-7.9819767048080852E-3</v>
      </c>
    </row>
    <row r="1028" spans="1:15" x14ac:dyDescent="0.4">
      <c r="A1028" s="16">
        <v>45100</v>
      </c>
      <c r="B1028" s="14">
        <v>156.9</v>
      </c>
      <c r="C1028" s="25">
        <f t="shared" si="62"/>
        <v>-1.2897137464611406E-2</v>
      </c>
      <c r="E1028" s="16">
        <v>45100</v>
      </c>
      <c r="F1028" s="15">
        <v>16011.8</v>
      </c>
      <c r="G1028" s="25">
        <f t="shared" si="63"/>
        <v>-7.9921689135606672E-3</v>
      </c>
      <c r="I1028" s="16">
        <v>45100</v>
      </c>
      <c r="J1028" s="17">
        <v>6.7400000000000002E-2</v>
      </c>
      <c r="K1028" s="25">
        <f t="shared" ref="K1028:K1091" si="64">((1+J1028)^(1/365))-1</f>
        <v>1.7871674853209285E-4</v>
      </c>
      <c r="M1028" s="16">
        <v>45100</v>
      </c>
      <c r="N1028" s="26">
        <f t="shared" ref="N1028:N1091" si="65">G1028-K1028</f>
        <v>-8.1708856620927601E-3</v>
      </c>
      <c r="O1028" s="26">
        <f>'Part 2 - CAPM 2.1, 2.2 and 2.3'!C1028-'Part 2 - CAPM 2.1, 2.2 and 2.3'!K1028</f>
        <v>-1.3075854213143499E-2</v>
      </c>
    </row>
    <row r="1029" spans="1:15" x14ac:dyDescent="0.4">
      <c r="A1029" s="16">
        <v>45103</v>
      </c>
      <c r="B1029" s="14">
        <v>156.9</v>
      </c>
      <c r="C1029" s="25">
        <f t="shared" ref="C1029:C1092" si="66">(B1029-B1028)/B1028</f>
        <v>0</v>
      </c>
      <c r="E1029" s="16">
        <v>45103</v>
      </c>
      <c r="F1029" s="15">
        <v>16066.15</v>
      </c>
      <c r="G1029" s="25">
        <f t="shared" ref="G1029:G1092" si="67">(F1029-F1028)/F1028</f>
        <v>3.3943716509074787E-3</v>
      </c>
      <c r="I1029" s="16">
        <v>45103</v>
      </c>
      <c r="J1029" s="17">
        <v>6.7799999999999999E-2</v>
      </c>
      <c r="K1029" s="25">
        <f t="shared" si="64"/>
        <v>1.7974343159732342E-4</v>
      </c>
      <c r="M1029" s="16">
        <v>45103</v>
      </c>
      <c r="N1029" s="26">
        <f t="shared" si="65"/>
        <v>3.2146282193101553E-3</v>
      </c>
      <c r="O1029" s="26">
        <f>'Part 2 - CAPM 2.1, 2.2 and 2.3'!C1029-'Part 2 - CAPM 2.1, 2.2 and 2.3'!K1029</f>
        <v>-1.7974343159732342E-4</v>
      </c>
    </row>
    <row r="1030" spans="1:15" x14ac:dyDescent="0.4">
      <c r="A1030" s="16">
        <v>45104</v>
      </c>
      <c r="B1030" s="14">
        <v>157.85</v>
      </c>
      <c r="C1030" s="25">
        <f t="shared" si="66"/>
        <v>6.0548119821541655E-3</v>
      </c>
      <c r="E1030" s="16">
        <v>45104</v>
      </c>
      <c r="F1030" s="15">
        <v>16163.5</v>
      </c>
      <c r="G1030" s="25">
        <f t="shared" si="67"/>
        <v>6.0593234844689217E-3</v>
      </c>
      <c r="I1030" s="16">
        <v>45104</v>
      </c>
      <c r="J1030" s="17">
        <v>6.7799999999999999E-2</v>
      </c>
      <c r="K1030" s="25">
        <f t="shared" si="64"/>
        <v>1.7974343159732342E-4</v>
      </c>
      <c r="M1030" s="16">
        <v>45104</v>
      </c>
      <c r="N1030" s="26">
        <f t="shared" si="65"/>
        <v>5.8795800528715983E-3</v>
      </c>
      <c r="O1030" s="26">
        <f>'Part 2 - CAPM 2.1, 2.2 and 2.3'!C1030-'Part 2 - CAPM 2.1, 2.2 and 2.3'!K1030</f>
        <v>5.8750685505568421E-3</v>
      </c>
    </row>
    <row r="1031" spans="1:15" x14ac:dyDescent="0.4">
      <c r="A1031" s="16">
        <v>45105</v>
      </c>
      <c r="B1031" s="14">
        <v>158.55000000000001</v>
      </c>
      <c r="C1031" s="25">
        <f t="shared" si="66"/>
        <v>4.4345898004435674E-3</v>
      </c>
      <c r="E1031" s="16">
        <v>45105</v>
      </c>
      <c r="F1031" s="15">
        <v>16277.2</v>
      </c>
      <c r="G1031" s="25">
        <f t="shared" si="67"/>
        <v>7.0343675565317371E-3</v>
      </c>
      <c r="I1031" s="16">
        <v>45105</v>
      </c>
      <c r="J1031" s="17">
        <v>6.7799999999999999E-2</v>
      </c>
      <c r="K1031" s="25">
        <f t="shared" si="64"/>
        <v>1.7974343159732342E-4</v>
      </c>
      <c r="M1031" s="16">
        <v>45105</v>
      </c>
      <c r="N1031" s="26">
        <f t="shared" si="65"/>
        <v>6.8546241249344136E-3</v>
      </c>
      <c r="O1031" s="26">
        <f>'Part 2 - CAPM 2.1, 2.2 and 2.3'!C1031-'Part 2 - CAPM 2.1, 2.2 and 2.3'!K1031</f>
        <v>4.254846368846244E-3</v>
      </c>
    </row>
    <row r="1032" spans="1:15" x14ac:dyDescent="0.4">
      <c r="A1032" s="16">
        <v>45107</v>
      </c>
      <c r="B1032" s="14">
        <v>160.30000000000001</v>
      </c>
      <c r="C1032" s="25">
        <f t="shared" si="66"/>
        <v>1.1037527593818984E-2</v>
      </c>
      <c r="E1032" s="16">
        <v>45107</v>
      </c>
      <c r="F1032" s="15">
        <v>16430</v>
      </c>
      <c r="G1032" s="25">
        <f t="shared" si="67"/>
        <v>9.3873639200844905E-3</v>
      </c>
      <c r="I1032" s="16">
        <v>45107</v>
      </c>
      <c r="J1032" s="17">
        <v>6.7699999999999996E-2</v>
      </c>
      <c r="K1032" s="25">
        <f t="shared" si="64"/>
        <v>1.7948679679258284E-4</v>
      </c>
      <c r="M1032" s="16">
        <v>45107</v>
      </c>
      <c r="N1032" s="26">
        <f t="shared" si="65"/>
        <v>9.2078771232919077E-3</v>
      </c>
      <c r="O1032" s="26">
        <f>'Part 2 - CAPM 2.1, 2.2 and 2.3'!C1032-'Part 2 - CAPM 2.1, 2.2 and 2.3'!K1032</f>
        <v>1.0858040797026401E-2</v>
      </c>
    </row>
    <row r="1033" spans="1:15" x14ac:dyDescent="0.4">
      <c r="A1033" s="16">
        <v>45110</v>
      </c>
      <c r="B1033" s="14">
        <v>162.9</v>
      </c>
      <c r="C1033" s="25">
        <f t="shared" si="66"/>
        <v>1.6219588271989983E-2</v>
      </c>
      <c r="E1033" s="16">
        <v>45110</v>
      </c>
      <c r="F1033" s="15">
        <v>16527.95</v>
      </c>
      <c r="G1033" s="25">
        <f t="shared" si="67"/>
        <v>5.961655508216721E-3</v>
      </c>
      <c r="I1033" s="16">
        <v>45110</v>
      </c>
      <c r="J1033" s="17">
        <v>6.7699999999999996E-2</v>
      </c>
      <c r="K1033" s="25">
        <f t="shared" si="64"/>
        <v>1.7948679679258284E-4</v>
      </c>
      <c r="M1033" s="16">
        <v>45110</v>
      </c>
      <c r="N1033" s="26">
        <f t="shared" si="65"/>
        <v>5.7821687114241382E-3</v>
      </c>
      <c r="O1033" s="26">
        <f>'Part 2 - CAPM 2.1, 2.2 and 2.3'!C1033-'Part 2 - CAPM 2.1, 2.2 and 2.3'!K1033</f>
        <v>1.60401014751974E-2</v>
      </c>
    </row>
    <row r="1034" spans="1:15" x14ac:dyDescent="0.4">
      <c r="A1034" s="16">
        <v>45111</v>
      </c>
      <c r="B1034" s="14">
        <v>161.19999999999999</v>
      </c>
      <c r="C1034" s="25">
        <f t="shared" si="66"/>
        <v>-1.0435850214855843E-2</v>
      </c>
      <c r="E1034" s="16">
        <v>45111</v>
      </c>
      <c r="F1034" s="15">
        <v>16556.05</v>
      </c>
      <c r="G1034" s="25">
        <f t="shared" si="67"/>
        <v>1.7001503513744017E-3</v>
      </c>
      <c r="I1034" s="16">
        <v>45111</v>
      </c>
      <c r="J1034" s="17">
        <v>6.7299999999999999E-2</v>
      </c>
      <c r="K1034" s="25">
        <f t="shared" si="64"/>
        <v>1.7846001781474108E-4</v>
      </c>
      <c r="M1034" s="16">
        <v>45111</v>
      </c>
      <c r="N1034" s="26">
        <f t="shared" si="65"/>
        <v>1.5216903335596606E-3</v>
      </c>
      <c r="O1034" s="26">
        <f>'Part 2 - CAPM 2.1, 2.2 and 2.3'!C1034-'Part 2 - CAPM 2.1, 2.2 and 2.3'!K1034</f>
        <v>-1.0614310232670584E-2</v>
      </c>
    </row>
    <row r="1035" spans="1:15" x14ac:dyDescent="0.4">
      <c r="A1035" s="16">
        <v>45112</v>
      </c>
      <c r="B1035" s="14">
        <v>162.80000000000001</v>
      </c>
      <c r="C1035" s="25">
        <f t="shared" si="66"/>
        <v>9.9255583126552291E-3</v>
      </c>
      <c r="E1035" s="16">
        <v>45112</v>
      </c>
      <c r="F1035" s="15">
        <v>16597.2</v>
      </c>
      <c r="G1035" s="25">
        <f t="shared" si="67"/>
        <v>2.485496238535246E-3</v>
      </c>
      <c r="I1035" s="16">
        <v>45112</v>
      </c>
      <c r="J1035" s="17">
        <v>6.7299999999999999E-2</v>
      </c>
      <c r="K1035" s="25">
        <f t="shared" si="64"/>
        <v>1.7846001781474108E-4</v>
      </c>
      <c r="M1035" s="16">
        <v>45112</v>
      </c>
      <c r="N1035" s="26">
        <f t="shared" si="65"/>
        <v>2.307036220720505E-3</v>
      </c>
      <c r="O1035" s="26">
        <f>'Part 2 - CAPM 2.1, 2.2 and 2.3'!C1035-'Part 2 - CAPM 2.1, 2.2 and 2.3'!K1035</f>
        <v>9.747098294840488E-3</v>
      </c>
    </row>
    <row r="1036" spans="1:15" x14ac:dyDescent="0.4">
      <c r="A1036" s="16">
        <v>45113</v>
      </c>
      <c r="B1036" s="14">
        <v>165.4</v>
      </c>
      <c r="C1036" s="25">
        <f t="shared" si="66"/>
        <v>1.5970515970515936E-2</v>
      </c>
      <c r="E1036" s="16">
        <v>45113</v>
      </c>
      <c r="F1036" s="15">
        <v>16695.05</v>
      </c>
      <c r="G1036" s="25">
        <f t="shared" si="67"/>
        <v>5.8955727472102849E-3</v>
      </c>
      <c r="I1036" s="16">
        <v>45113</v>
      </c>
      <c r="J1036" s="17">
        <v>6.7500000000000004E-2</v>
      </c>
      <c r="K1036" s="25">
        <f t="shared" si="64"/>
        <v>1.7897345526463049E-4</v>
      </c>
      <c r="M1036" s="16">
        <v>45113</v>
      </c>
      <c r="N1036" s="26">
        <f t="shared" si="65"/>
        <v>5.7165992919456544E-3</v>
      </c>
      <c r="O1036" s="26">
        <f>'Part 2 - CAPM 2.1, 2.2 and 2.3'!C1036-'Part 2 - CAPM 2.1, 2.2 and 2.3'!K1036</f>
        <v>1.5791542515251306E-2</v>
      </c>
    </row>
    <row r="1037" spans="1:15" x14ac:dyDescent="0.4">
      <c r="A1037" s="16">
        <v>45114</v>
      </c>
      <c r="B1037" s="14">
        <v>163.5</v>
      </c>
      <c r="C1037" s="25">
        <f t="shared" si="66"/>
        <v>-1.1487303506650578E-2</v>
      </c>
      <c r="E1037" s="16">
        <v>45114</v>
      </c>
      <c r="F1037" s="15">
        <v>16564.900000000001</v>
      </c>
      <c r="G1037" s="25">
        <f t="shared" si="67"/>
        <v>-7.7957238822284345E-3</v>
      </c>
      <c r="I1037" s="16">
        <v>45114</v>
      </c>
      <c r="J1037" s="17">
        <v>6.7299999999999999E-2</v>
      </c>
      <c r="K1037" s="25">
        <f t="shared" si="64"/>
        <v>1.7846001781474108E-4</v>
      </c>
      <c r="M1037" s="16">
        <v>45114</v>
      </c>
      <c r="N1037" s="26">
        <f t="shared" si="65"/>
        <v>-7.9741839000431747E-3</v>
      </c>
      <c r="O1037" s="26">
        <f>'Part 2 - CAPM 2.1, 2.2 and 2.3'!C1037-'Part 2 - CAPM 2.1, 2.2 and 2.3'!K1037</f>
        <v>-1.1665763524465319E-2</v>
      </c>
    </row>
    <row r="1038" spans="1:15" x14ac:dyDescent="0.4">
      <c r="A1038" s="16">
        <v>45117</v>
      </c>
      <c r="B1038" s="14">
        <v>162.75</v>
      </c>
      <c r="C1038" s="25">
        <f t="shared" si="66"/>
        <v>-4.5871559633027525E-3</v>
      </c>
      <c r="E1038" s="16">
        <v>45117</v>
      </c>
      <c r="F1038" s="15">
        <v>16553.75</v>
      </c>
      <c r="G1038" s="25">
        <f t="shared" si="67"/>
        <v>-6.7311000971943412E-4</v>
      </c>
      <c r="I1038" s="16">
        <v>45117</v>
      </c>
      <c r="J1038" s="17">
        <v>6.7500000000000004E-2</v>
      </c>
      <c r="K1038" s="25">
        <f t="shared" si="64"/>
        <v>1.7897345526463049E-4</v>
      </c>
      <c r="M1038" s="16">
        <v>45117</v>
      </c>
      <c r="N1038" s="26">
        <f t="shared" si="65"/>
        <v>-8.5208346498406461E-4</v>
      </c>
      <c r="O1038" s="26">
        <f>'Part 2 - CAPM 2.1, 2.2 and 2.3'!C1038-'Part 2 - CAPM 2.1, 2.2 and 2.3'!K1038</f>
        <v>-4.766129418567383E-3</v>
      </c>
    </row>
    <row r="1039" spans="1:15" x14ac:dyDescent="0.4">
      <c r="A1039" s="16">
        <v>45118</v>
      </c>
      <c r="B1039" s="14">
        <v>164.6</v>
      </c>
      <c r="C1039" s="25">
        <f t="shared" si="66"/>
        <v>1.1367127496159719E-2</v>
      </c>
      <c r="E1039" s="16">
        <v>45118</v>
      </c>
      <c r="F1039" s="15">
        <v>16648</v>
      </c>
      <c r="G1039" s="25">
        <f t="shared" si="67"/>
        <v>5.6935739636034127E-3</v>
      </c>
      <c r="I1039" s="16">
        <v>45118</v>
      </c>
      <c r="J1039" s="17">
        <v>6.7199999999999996E-2</v>
      </c>
      <c r="K1039" s="25">
        <f t="shared" si="64"/>
        <v>1.7820326310769019E-4</v>
      </c>
      <c r="M1039" s="16">
        <v>45118</v>
      </c>
      <c r="N1039" s="26">
        <f t="shared" si="65"/>
        <v>5.5153707004957225E-3</v>
      </c>
      <c r="O1039" s="26">
        <f>'Part 2 - CAPM 2.1, 2.2 and 2.3'!C1039-'Part 2 - CAPM 2.1, 2.2 and 2.3'!K1039</f>
        <v>1.1188924233052028E-2</v>
      </c>
    </row>
    <row r="1040" spans="1:15" x14ac:dyDescent="0.4">
      <c r="A1040" s="16">
        <v>45119</v>
      </c>
      <c r="B1040" s="14">
        <v>167.65</v>
      </c>
      <c r="C1040" s="25">
        <f t="shared" si="66"/>
        <v>1.8529769137302622E-2</v>
      </c>
      <c r="E1040" s="16">
        <v>45119</v>
      </c>
      <c r="F1040" s="15">
        <v>16641.05</v>
      </c>
      <c r="G1040" s="25">
        <f t="shared" si="67"/>
        <v>-4.1746756367135556E-4</v>
      </c>
      <c r="I1040" s="16">
        <v>45119</v>
      </c>
      <c r="J1040" s="17">
        <v>6.7199999999999996E-2</v>
      </c>
      <c r="K1040" s="25">
        <f t="shared" si="64"/>
        <v>1.7820326310769019E-4</v>
      </c>
      <c r="M1040" s="16">
        <v>45119</v>
      </c>
      <c r="N1040" s="26">
        <f t="shared" si="65"/>
        <v>-5.956708267790458E-4</v>
      </c>
      <c r="O1040" s="26">
        <f>'Part 2 - CAPM 2.1, 2.2 and 2.3'!C1040-'Part 2 - CAPM 2.1, 2.2 and 2.3'!K1040</f>
        <v>1.8351565874194932E-2</v>
      </c>
    </row>
    <row r="1041" spans="1:15" x14ac:dyDescent="0.4">
      <c r="A1041" s="16">
        <v>45120</v>
      </c>
      <c r="B1041" s="14">
        <v>167.8</v>
      </c>
      <c r="C1041" s="25">
        <f t="shared" si="66"/>
        <v>8.9472114524309979E-4</v>
      </c>
      <c r="E1041" s="16">
        <v>45120</v>
      </c>
      <c r="F1041" s="15">
        <v>16623.900000000001</v>
      </c>
      <c r="G1041" s="25">
        <f t="shared" si="67"/>
        <v>-1.0305840076195803E-3</v>
      </c>
      <c r="I1041" s="16">
        <v>45120</v>
      </c>
      <c r="J1041" s="17">
        <v>6.7199999999999996E-2</v>
      </c>
      <c r="K1041" s="25">
        <f t="shared" si="64"/>
        <v>1.7820326310769019E-4</v>
      </c>
      <c r="M1041" s="16">
        <v>45120</v>
      </c>
      <c r="N1041" s="26">
        <f t="shared" si="65"/>
        <v>-1.2087872707272705E-3</v>
      </c>
      <c r="O1041" s="26">
        <f>'Part 2 - CAPM 2.1, 2.2 and 2.3'!C1041-'Part 2 - CAPM 2.1, 2.2 and 2.3'!K1041</f>
        <v>7.165178821354096E-4</v>
      </c>
    </row>
    <row r="1042" spans="1:15" x14ac:dyDescent="0.4">
      <c r="A1042" s="16">
        <v>45121</v>
      </c>
      <c r="B1042" s="14">
        <v>169.25</v>
      </c>
      <c r="C1042" s="25">
        <f t="shared" si="66"/>
        <v>8.6412395709176901E-3</v>
      </c>
      <c r="E1042" s="16">
        <v>45121</v>
      </c>
      <c r="F1042" s="15">
        <v>16765.45</v>
      </c>
      <c r="G1042" s="25">
        <f t="shared" si="67"/>
        <v>8.5148491027977353E-3</v>
      </c>
      <c r="I1042" s="16">
        <v>45121</v>
      </c>
      <c r="J1042" s="17">
        <v>6.7299999999999999E-2</v>
      </c>
      <c r="K1042" s="25">
        <f t="shared" si="64"/>
        <v>1.7846001781474108E-4</v>
      </c>
      <c r="M1042" s="16">
        <v>45121</v>
      </c>
      <c r="N1042" s="26">
        <f t="shared" si="65"/>
        <v>8.3363890849829942E-3</v>
      </c>
      <c r="O1042" s="26">
        <f>'Part 2 - CAPM 2.1, 2.2 and 2.3'!C1042-'Part 2 - CAPM 2.1, 2.2 and 2.3'!K1042</f>
        <v>8.462779553102949E-3</v>
      </c>
    </row>
    <row r="1043" spans="1:15" x14ac:dyDescent="0.4">
      <c r="A1043" s="16">
        <v>45124</v>
      </c>
      <c r="B1043" s="14">
        <v>166.4</v>
      </c>
      <c r="C1043" s="25">
        <f t="shared" si="66"/>
        <v>-1.6838995568685344E-2</v>
      </c>
      <c r="E1043" s="16">
        <v>45124</v>
      </c>
      <c r="F1043" s="15">
        <v>16872.05</v>
      </c>
      <c r="G1043" s="25">
        <f t="shared" si="67"/>
        <v>6.3583142713138354E-3</v>
      </c>
      <c r="I1043" s="16">
        <v>45124</v>
      </c>
      <c r="J1043" s="17">
        <v>6.7299999999999999E-2</v>
      </c>
      <c r="K1043" s="25">
        <f t="shared" si="64"/>
        <v>1.7846001781474108E-4</v>
      </c>
      <c r="M1043" s="16">
        <v>45124</v>
      </c>
      <c r="N1043" s="26">
        <f t="shared" si="65"/>
        <v>6.1798542534990944E-3</v>
      </c>
      <c r="O1043" s="26">
        <f>'Part 2 - CAPM 2.1, 2.2 and 2.3'!C1043-'Part 2 - CAPM 2.1, 2.2 and 2.3'!K1043</f>
        <v>-1.7017455586500085E-2</v>
      </c>
    </row>
    <row r="1044" spans="1:15" x14ac:dyDescent="0.4">
      <c r="A1044" s="16">
        <v>45125</v>
      </c>
      <c r="B1044" s="14">
        <v>166.9</v>
      </c>
      <c r="C1044" s="25">
        <f t="shared" si="66"/>
        <v>3.004807692307692E-3</v>
      </c>
      <c r="E1044" s="16">
        <v>45125</v>
      </c>
      <c r="F1044" s="15">
        <v>16872</v>
      </c>
      <c r="G1044" s="25">
        <f t="shared" si="67"/>
        <v>-2.9634810233061427E-6</v>
      </c>
      <c r="I1044" s="16">
        <v>45125</v>
      </c>
      <c r="J1044" s="17">
        <v>6.7400000000000002E-2</v>
      </c>
      <c r="K1044" s="25">
        <f t="shared" si="64"/>
        <v>1.7871674853209285E-4</v>
      </c>
      <c r="M1044" s="16">
        <v>45125</v>
      </c>
      <c r="N1044" s="26">
        <f t="shared" si="65"/>
        <v>-1.81680229555399E-4</v>
      </c>
      <c r="O1044" s="26">
        <f>'Part 2 - CAPM 2.1, 2.2 and 2.3'!C1044-'Part 2 - CAPM 2.1, 2.2 and 2.3'!K1044</f>
        <v>2.8260909437755992E-3</v>
      </c>
    </row>
    <row r="1045" spans="1:15" x14ac:dyDescent="0.4">
      <c r="A1045" s="16">
        <v>45126</v>
      </c>
      <c r="B1045" s="14">
        <v>166.75</v>
      </c>
      <c r="C1045" s="25">
        <f t="shared" si="66"/>
        <v>-8.9874176153388662E-4</v>
      </c>
      <c r="E1045" s="16">
        <v>45126</v>
      </c>
      <c r="F1045" s="15">
        <v>16953.5</v>
      </c>
      <c r="G1045" s="25">
        <f t="shared" si="67"/>
        <v>4.8304883831199619E-3</v>
      </c>
      <c r="I1045" s="16">
        <v>45126</v>
      </c>
      <c r="J1045" s="17">
        <v>6.7400000000000002E-2</v>
      </c>
      <c r="K1045" s="25">
        <f t="shared" si="64"/>
        <v>1.7871674853209285E-4</v>
      </c>
      <c r="M1045" s="16">
        <v>45126</v>
      </c>
      <c r="N1045" s="26">
        <f t="shared" si="65"/>
        <v>4.6517716345878691E-3</v>
      </c>
      <c r="O1045" s="26">
        <f>'Part 2 - CAPM 2.1, 2.2 and 2.3'!C1045-'Part 2 - CAPM 2.1, 2.2 and 2.3'!K1045</f>
        <v>-1.0774585100659794E-3</v>
      </c>
    </row>
    <row r="1046" spans="1:15" x14ac:dyDescent="0.4">
      <c r="A1046" s="16">
        <v>45127</v>
      </c>
      <c r="B1046" s="14">
        <v>167.2</v>
      </c>
      <c r="C1046" s="25">
        <f t="shared" si="66"/>
        <v>2.6986506746626004E-3</v>
      </c>
      <c r="E1046" s="16">
        <v>45127</v>
      </c>
      <c r="F1046" s="15">
        <v>17042.55</v>
      </c>
      <c r="G1046" s="25">
        <f t="shared" si="67"/>
        <v>5.2526027074055077E-3</v>
      </c>
      <c r="I1046" s="16">
        <v>45127</v>
      </c>
      <c r="J1046" s="17">
        <v>6.7400000000000002E-2</v>
      </c>
      <c r="K1046" s="25">
        <f t="shared" si="64"/>
        <v>1.7871674853209285E-4</v>
      </c>
      <c r="M1046" s="16">
        <v>45127</v>
      </c>
      <c r="N1046" s="26">
        <f t="shared" si="65"/>
        <v>5.0738859588734149E-3</v>
      </c>
      <c r="O1046" s="26">
        <f>'Part 2 - CAPM 2.1, 2.2 and 2.3'!C1046-'Part 2 - CAPM 2.1, 2.2 and 2.3'!K1046</f>
        <v>2.5199339261305076E-3</v>
      </c>
    </row>
    <row r="1047" spans="1:15" x14ac:dyDescent="0.4">
      <c r="A1047" s="16">
        <v>45128</v>
      </c>
      <c r="B1047" s="14">
        <v>170.55</v>
      </c>
      <c r="C1047" s="25">
        <f t="shared" si="66"/>
        <v>2.0035885167464251E-2</v>
      </c>
      <c r="E1047" s="16">
        <v>45128</v>
      </c>
      <c r="F1047" s="15">
        <v>16904.3</v>
      </c>
      <c r="G1047" s="25">
        <f t="shared" si="67"/>
        <v>-8.1120489598094179E-3</v>
      </c>
      <c r="I1047" s="16">
        <v>45128</v>
      </c>
      <c r="J1047" s="17">
        <v>6.7299999999999999E-2</v>
      </c>
      <c r="K1047" s="25">
        <f t="shared" si="64"/>
        <v>1.7846001781474108E-4</v>
      </c>
      <c r="M1047" s="16">
        <v>45128</v>
      </c>
      <c r="N1047" s="26">
        <f t="shared" si="65"/>
        <v>-8.290508977624159E-3</v>
      </c>
      <c r="O1047" s="26">
        <f>'Part 2 - CAPM 2.1, 2.2 and 2.3'!C1047-'Part 2 - CAPM 2.1, 2.2 and 2.3'!K1047</f>
        <v>1.985742514964951E-2</v>
      </c>
    </row>
    <row r="1048" spans="1:15" x14ac:dyDescent="0.4">
      <c r="A1048" s="16">
        <v>45131</v>
      </c>
      <c r="B1048" s="14">
        <v>171</v>
      </c>
      <c r="C1048" s="25">
        <f t="shared" si="66"/>
        <v>2.6385224274405664E-3</v>
      </c>
      <c r="E1048" s="16">
        <v>45131</v>
      </c>
      <c r="F1048" s="15">
        <v>16865.150000000001</v>
      </c>
      <c r="G1048" s="25">
        <f t="shared" si="67"/>
        <v>-2.315978774631178E-3</v>
      </c>
      <c r="I1048" s="16">
        <v>45131</v>
      </c>
      <c r="J1048" s="17">
        <v>6.7400000000000002E-2</v>
      </c>
      <c r="K1048" s="25">
        <f t="shared" si="64"/>
        <v>1.7871674853209285E-4</v>
      </c>
      <c r="M1048" s="16">
        <v>45131</v>
      </c>
      <c r="N1048" s="26">
        <f t="shared" si="65"/>
        <v>-2.4946955231632708E-3</v>
      </c>
      <c r="O1048" s="26">
        <f>'Part 2 - CAPM 2.1, 2.2 and 2.3'!C1048-'Part 2 - CAPM 2.1, 2.2 and 2.3'!K1048</f>
        <v>2.4598056789084735E-3</v>
      </c>
    </row>
    <row r="1049" spans="1:15" x14ac:dyDescent="0.4">
      <c r="A1049" s="16">
        <v>45132</v>
      </c>
      <c r="B1049" s="14">
        <v>173</v>
      </c>
      <c r="C1049" s="25">
        <f t="shared" si="66"/>
        <v>1.1695906432748537E-2</v>
      </c>
      <c r="E1049" s="16">
        <v>45132</v>
      </c>
      <c r="F1049" s="15">
        <v>16896.900000000001</v>
      </c>
      <c r="G1049" s="25">
        <f t="shared" si="67"/>
        <v>1.8825803506046491E-3</v>
      </c>
      <c r="I1049" s="16">
        <v>45132</v>
      </c>
      <c r="J1049" s="17">
        <v>6.7299999999999999E-2</v>
      </c>
      <c r="K1049" s="25">
        <f t="shared" si="64"/>
        <v>1.7846001781474108E-4</v>
      </c>
      <c r="M1049" s="16">
        <v>45132</v>
      </c>
      <c r="N1049" s="26">
        <f t="shared" si="65"/>
        <v>1.704120332789908E-3</v>
      </c>
      <c r="O1049" s="26">
        <f>'Part 2 - CAPM 2.1, 2.2 and 2.3'!C1049-'Part 2 - CAPM 2.1, 2.2 and 2.3'!K1049</f>
        <v>1.1517446414933796E-2</v>
      </c>
    </row>
    <row r="1050" spans="1:15" x14ac:dyDescent="0.4">
      <c r="A1050" s="16">
        <v>45133</v>
      </c>
      <c r="B1050" s="14">
        <v>172.95</v>
      </c>
      <c r="C1050" s="25">
        <f t="shared" si="66"/>
        <v>-2.8901734104052815E-4</v>
      </c>
      <c r="E1050" s="16">
        <v>45133</v>
      </c>
      <c r="F1050" s="15">
        <v>16975</v>
      </c>
      <c r="G1050" s="25">
        <f t="shared" si="67"/>
        <v>4.62214962507907E-3</v>
      </c>
      <c r="I1050" s="16">
        <v>45133</v>
      </c>
      <c r="J1050" s="17">
        <v>6.7400000000000002E-2</v>
      </c>
      <c r="K1050" s="25">
        <f t="shared" si="64"/>
        <v>1.7871674853209285E-4</v>
      </c>
      <c r="M1050" s="16">
        <v>45133</v>
      </c>
      <c r="N1050" s="26">
        <f t="shared" si="65"/>
        <v>4.4434328765469771E-3</v>
      </c>
      <c r="O1050" s="26">
        <f>'Part 2 - CAPM 2.1, 2.2 and 2.3'!C1050-'Part 2 - CAPM 2.1, 2.2 and 2.3'!K1050</f>
        <v>-4.67734089572621E-4</v>
      </c>
    </row>
    <row r="1051" spans="1:15" x14ac:dyDescent="0.4">
      <c r="A1051" s="16">
        <v>45134</v>
      </c>
      <c r="B1051" s="14">
        <v>171</v>
      </c>
      <c r="C1051" s="25">
        <f t="shared" si="66"/>
        <v>-1.1274934952298287E-2</v>
      </c>
      <c r="E1051" s="16">
        <v>45134</v>
      </c>
      <c r="F1051" s="15">
        <v>16919.2</v>
      </c>
      <c r="G1051" s="25">
        <f t="shared" si="67"/>
        <v>-3.2871870397643164E-3</v>
      </c>
      <c r="I1051" s="16">
        <v>45134</v>
      </c>
      <c r="J1051" s="17">
        <v>6.7299999999999999E-2</v>
      </c>
      <c r="K1051" s="25">
        <f t="shared" si="64"/>
        <v>1.7846001781474108E-4</v>
      </c>
      <c r="M1051" s="16">
        <v>45134</v>
      </c>
      <c r="N1051" s="26">
        <f t="shared" si="65"/>
        <v>-3.4656470575790575E-3</v>
      </c>
      <c r="O1051" s="26">
        <f>'Part 2 - CAPM 2.1, 2.2 and 2.3'!C1051-'Part 2 - CAPM 2.1, 2.2 and 2.3'!K1051</f>
        <v>-1.1453394970113029E-2</v>
      </c>
    </row>
    <row r="1052" spans="1:15" x14ac:dyDescent="0.4">
      <c r="A1052" s="16">
        <v>45135</v>
      </c>
      <c r="B1052" s="14">
        <v>171.8</v>
      </c>
      <c r="C1052" s="25">
        <f t="shared" si="66"/>
        <v>4.6783625730994821E-3</v>
      </c>
      <c r="E1052" s="16">
        <v>45135</v>
      </c>
      <c r="F1052" s="15">
        <v>16948.349999999999</v>
      </c>
      <c r="G1052" s="25">
        <f t="shared" si="67"/>
        <v>1.7228946995128502E-3</v>
      </c>
      <c r="I1052" s="16">
        <v>45135</v>
      </c>
      <c r="J1052" s="17">
        <v>6.7500000000000004E-2</v>
      </c>
      <c r="K1052" s="25">
        <f t="shared" si="64"/>
        <v>1.7897345526463049E-4</v>
      </c>
      <c r="M1052" s="16">
        <v>45135</v>
      </c>
      <c r="N1052" s="26">
        <f t="shared" si="65"/>
        <v>1.5439212442482197E-3</v>
      </c>
      <c r="O1052" s="26">
        <f>'Part 2 - CAPM 2.1, 2.2 and 2.3'!C1052-'Part 2 - CAPM 2.1, 2.2 and 2.3'!K1052</f>
        <v>4.4993891178348516E-3</v>
      </c>
    </row>
    <row r="1053" spans="1:15" x14ac:dyDescent="0.4">
      <c r="A1053" s="16">
        <v>45138</v>
      </c>
      <c r="B1053" s="14">
        <v>177.05</v>
      </c>
      <c r="C1053" s="25">
        <f t="shared" si="66"/>
        <v>3.0558789289871942E-2</v>
      </c>
      <c r="E1053" s="16">
        <v>45138</v>
      </c>
      <c r="F1053" s="15">
        <v>17059</v>
      </c>
      <c r="G1053" s="25">
        <f t="shared" si="67"/>
        <v>6.5286591320099872E-3</v>
      </c>
      <c r="I1053" s="16">
        <v>45138</v>
      </c>
      <c r="J1053" s="17">
        <v>6.7400000000000002E-2</v>
      </c>
      <c r="K1053" s="25">
        <f t="shared" si="64"/>
        <v>1.7871674853209285E-4</v>
      </c>
      <c r="M1053" s="16">
        <v>45138</v>
      </c>
      <c r="N1053" s="26">
        <f t="shared" si="65"/>
        <v>6.3499423834778943E-3</v>
      </c>
      <c r="O1053" s="26">
        <f>'Part 2 - CAPM 2.1, 2.2 and 2.3'!C1053-'Part 2 - CAPM 2.1, 2.2 and 2.3'!K1053</f>
        <v>3.0380072541339849E-2</v>
      </c>
    </row>
    <row r="1054" spans="1:15" x14ac:dyDescent="0.4">
      <c r="A1054" s="16">
        <v>45139</v>
      </c>
      <c r="B1054" s="14">
        <v>176.7</v>
      </c>
      <c r="C1054" s="25">
        <f t="shared" si="66"/>
        <v>-1.9768426998024442E-3</v>
      </c>
      <c r="E1054" s="16">
        <v>45139</v>
      </c>
      <c r="F1054" s="15">
        <v>17051.150000000001</v>
      </c>
      <c r="G1054" s="25">
        <f t="shared" si="67"/>
        <v>-4.6016765343798258E-4</v>
      </c>
      <c r="I1054" s="16">
        <v>45139</v>
      </c>
      <c r="J1054" s="17">
        <v>6.7400000000000002E-2</v>
      </c>
      <c r="K1054" s="25">
        <f t="shared" si="64"/>
        <v>1.7871674853209285E-4</v>
      </c>
      <c r="M1054" s="16">
        <v>45139</v>
      </c>
      <c r="N1054" s="26">
        <f t="shared" si="65"/>
        <v>-6.3888440197007543E-4</v>
      </c>
      <c r="O1054" s="26">
        <f>'Part 2 - CAPM 2.1, 2.2 and 2.3'!C1054-'Part 2 - CAPM 2.1, 2.2 and 2.3'!K1054</f>
        <v>-2.1555594483345371E-3</v>
      </c>
    </row>
    <row r="1055" spans="1:15" x14ac:dyDescent="0.4">
      <c r="A1055" s="16">
        <v>45140</v>
      </c>
      <c r="B1055" s="14">
        <v>175.95</v>
      </c>
      <c r="C1055" s="25">
        <f t="shared" si="66"/>
        <v>-4.2444821731748728E-3</v>
      </c>
      <c r="E1055" s="16">
        <v>45140</v>
      </c>
      <c r="F1055" s="15">
        <v>16858.95</v>
      </c>
      <c r="G1055" s="25">
        <f t="shared" si="67"/>
        <v>-1.1271966993428638E-2</v>
      </c>
      <c r="I1055" s="16">
        <v>45140</v>
      </c>
      <c r="J1055" s="17">
        <v>6.7400000000000002E-2</v>
      </c>
      <c r="K1055" s="25">
        <f t="shared" si="64"/>
        <v>1.7871674853209285E-4</v>
      </c>
      <c r="M1055" s="16">
        <v>45140</v>
      </c>
      <c r="N1055" s="26">
        <f t="shared" si="65"/>
        <v>-1.145068374196073E-2</v>
      </c>
      <c r="O1055" s="26">
        <f>'Part 2 - CAPM 2.1, 2.2 and 2.3'!C1055-'Part 2 - CAPM 2.1, 2.2 and 2.3'!K1055</f>
        <v>-4.4231989217069657E-3</v>
      </c>
    </row>
    <row r="1056" spans="1:15" x14ac:dyDescent="0.4">
      <c r="A1056" s="16">
        <v>45141</v>
      </c>
      <c r="B1056" s="14">
        <v>172.1</v>
      </c>
      <c r="C1056" s="25">
        <f t="shared" si="66"/>
        <v>-2.1881216254617759E-2</v>
      </c>
      <c r="E1056" s="16">
        <v>45141</v>
      </c>
      <c r="F1056" s="15">
        <v>16772.3</v>
      </c>
      <c r="G1056" s="25">
        <f t="shared" si="67"/>
        <v>-5.1397032436777765E-3</v>
      </c>
      <c r="I1056" s="16">
        <v>45141</v>
      </c>
      <c r="J1056" s="17">
        <v>6.7400000000000002E-2</v>
      </c>
      <c r="K1056" s="25">
        <f t="shared" si="64"/>
        <v>1.7871674853209285E-4</v>
      </c>
      <c r="M1056" s="16">
        <v>45141</v>
      </c>
      <c r="N1056" s="26">
        <f t="shared" si="65"/>
        <v>-5.3184199922098694E-3</v>
      </c>
      <c r="O1056" s="26">
        <f>'Part 2 - CAPM 2.1, 2.2 and 2.3'!C1056-'Part 2 - CAPM 2.1, 2.2 and 2.3'!K1056</f>
        <v>-2.2059933003149852E-2</v>
      </c>
    </row>
    <row r="1057" spans="1:15" x14ac:dyDescent="0.4">
      <c r="A1057" s="16">
        <v>45142</v>
      </c>
      <c r="B1057" s="14">
        <v>173.35</v>
      </c>
      <c r="C1057" s="25">
        <f t="shared" si="66"/>
        <v>7.2632190586868102E-3</v>
      </c>
      <c r="E1057" s="16">
        <v>45142</v>
      </c>
      <c r="F1057" s="15">
        <v>16890.599999999999</v>
      </c>
      <c r="G1057" s="25">
        <f t="shared" si="67"/>
        <v>7.0532962086296619E-3</v>
      </c>
      <c r="I1057" s="16">
        <v>45142</v>
      </c>
      <c r="J1057" s="17">
        <v>6.7299999999999999E-2</v>
      </c>
      <c r="K1057" s="25">
        <f t="shared" si="64"/>
        <v>1.7846001781474108E-4</v>
      </c>
      <c r="M1057" s="16">
        <v>45142</v>
      </c>
      <c r="N1057" s="26">
        <f t="shared" si="65"/>
        <v>6.8748361908149208E-3</v>
      </c>
      <c r="O1057" s="26">
        <f>'Part 2 - CAPM 2.1, 2.2 and 2.3'!C1057-'Part 2 - CAPM 2.1, 2.2 and 2.3'!K1057</f>
        <v>7.0847590408720691E-3</v>
      </c>
    </row>
    <row r="1058" spans="1:15" x14ac:dyDescent="0.4">
      <c r="A1058" s="16">
        <v>45145</v>
      </c>
      <c r="B1058" s="14">
        <v>172.95</v>
      </c>
      <c r="C1058" s="25">
        <f t="shared" si="66"/>
        <v>-2.3074704355350775E-3</v>
      </c>
      <c r="E1058" s="16">
        <v>45145</v>
      </c>
      <c r="F1058" s="15">
        <v>16956.349999999999</v>
      </c>
      <c r="G1058" s="25">
        <f t="shared" si="67"/>
        <v>3.8926977135211303E-3</v>
      </c>
      <c r="I1058" s="16">
        <v>45145</v>
      </c>
      <c r="J1058" s="17">
        <v>6.7500000000000004E-2</v>
      </c>
      <c r="K1058" s="25">
        <f t="shared" si="64"/>
        <v>1.7897345526463049E-4</v>
      </c>
      <c r="M1058" s="16">
        <v>45145</v>
      </c>
      <c r="N1058" s="26">
        <f t="shared" si="65"/>
        <v>3.7137242582564998E-3</v>
      </c>
      <c r="O1058" s="26">
        <f>'Part 2 - CAPM 2.1, 2.2 and 2.3'!C1058-'Part 2 - CAPM 2.1, 2.2 and 2.3'!K1058</f>
        <v>-2.4864438907997079E-3</v>
      </c>
    </row>
    <row r="1059" spans="1:15" x14ac:dyDescent="0.4">
      <c r="A1059" s="16">
        <v>45146</v>
      </c>
      <c r="B1059" s="14">
        <v>173.35</v>
      </c>
      <c r="C1059" s="25">
        <f t="shared" si="66"/>
        <v>2.3128071697022592E-3</v>
      </c>
      <c r="E1059" s="16">
        <v>45146</v>
      </c>
      <c r="F1059" s="15">
        <v>16949.25</v>
      </c>
      <c r="G1059" s="25">
        <f t="shared" si="67"/>
        <v>-4.1872218962209115E-4</v>
      </c>
      <c r="I1059" s="16">
        <v>45146</v>
      </c>
      <c r="J1059" s="17">
        <v>6.7500000000000004E-2</v>
      </c>
      <c r="K1059" s="25">
        <f t="shared" si="64"/>
        <v>1.7897345526463049E-4</v>
      </c>
      <c r="M1059" s="16">
        <v>45146</v>
      </c>
      <c r="N1059" s="26">
        <f t="shared" si="65"/>
        <v>-5.9769564488672158E-4</v>
      </c>
      <c r="O1059" s="26">
        <f>'Part 2 - CAPM 2.1, 2.2 and 2.3'!C1059-'Part 2 - CAPM 2.1, 2.2 and 2.3'!K1059</f>
        <v>2.1338337144376288E-3</v>
      </c>
    </row>
    <row r="1060" spans="1:15" x14ac:dyDescent="0.4">
      <c r="A1060" s="16">
        <v>45147</v>
      </c>
      <c r="B1060" s="14">
        <v>176.9</v>
      </c>
      <c r="C1060" s="25">
        <f t="shared" si="66"/>
        <v>2.0478800115373588E-2</v>
      </c>
      <c r="E1060" s="16">
        <v>45147</v>
      </c>
      <c r="F1060" s="15">
        <v>17003.849999999999</v>
      </c>
      <c r="G1060" s="25">
        <f t="shared" si="67"/>
        <v>3.221381477056421E-3</v>
      </c>
      <c r="I1060" s="16">
        <v>45147</v>
      </c>
      <c r="J1060" s="17">
        <v>6.7500000000000004E-2</v>
      </c>
      <c r="K1060" s="25">
        <f t="shared" si="64"/>
        <v>1.7897345526463049E-4</v>
      </c>
      <c r="M1060" s="16">
        <v>45147</v>
      </c>
      <c r="N1060" s="26">
        <f t="shared" si="65"/>
        <v>3.0424080217917905E-3</v>
      </c>
      <c r="O1060" s="26">
        <f>'Part 2 - CAPM 2.1, 2.2 and 2.3'!C1060-'Part 2 - CAPM 2.1, 2.2 and 2.3'!K1060</f>
        <v>2.0299826660108957E-2</v>
      </c>
    </row>
    <row r="1061" spans="1:15" x14ac:dyDescent="0.4">
      <c r="A1061" s="16">
        <v>45148</v>
      </c>
      <c r="B1061" s="14">
        <v>178.65</v>
      </c>
      <c r="C1061" s="25">
        <f t="shared" si="66"/>
        <v>9.8925946862634256E-3</v>
      </c>
      <c r="E1061" s="16">
        <v>45148</v>
      </c>
      <c r="F1061" s="15">
        <v>16939.849999999999</v>
      </c>
      <c r="G1061" s="25">
        <f t="shared" si="67"/>
        <v>-3.7638534802412397E-3</v>
      </c>
      <c r="I1061" s="16">
        <v>45148</v>
      </c>
      <c r="J1061" s="17">
        <v>6.7699999999999996E-2</v>
      </c>
      <c r="K1061" s="25">
        <f t="shared" si="64"/>
        <v>1.7948679679258284E-4</v>
      </c>
      <c r="M1061" s="16">
        <v>45148</v>
      </c>
      <c r="N1061" s="26">
        <f t="shared" si="65"/>
        <v>-3.943340277033823E-3</v>
      </c>
      <c r="O1061" s="26">
        <f>'Part 2 - CAPM 2.1, 2.2 and 2.3'!C1061-'Part 2 - CAPM 2.1, 2.2 and 2.3'!K1061</f>
        <v>9.7131078894708428E-3</v>
      </c>
    </row>
    <row r="1062" spans="1:15" x14ac:dyDescent="0.4">
      <c r="A1062" s="16">
        <v>45149</v>
      </c>
      <c r="B1062" s="14">
        <v>177.2</v>
      </c>
      <c r="C1062" s="25">
        <f t="shared" si="66"/>
        <v>-8.116428771340705E-3</v>
      </c>
      <c r="E1062" s="16">
        <v>45149</v>
      </c>
      <c r="F1062" s="15">
        <v>16860.150000000001</v>
      </c>
      <c r="G1062" s="25">
        <f t="shared" si="67"/>
        <v>-4.704882274636263E-3</v>
      </c>
      <c r="I1062" s="16">
        <v>45149</v>
      </c>
      <c r="J1062" s="17">
        <v>6.7699999999999996E-2</v>
      </c>
      <c r="K1062" s="25">
        <f t="shared" si="64"/>
        <v>1.7948679679258284E-4</v>
      </c>
      <c r="M1062" s="16">
        <v>45149</v>
      </c>
      <c r="N1062" s="26">
        <f t="shared" si="65"/>
        <v>-4.8843690714288459E-3</v>
      </c>
      <c r="O1062" s="26">
        <f>'Part 2 - CAPM 2.1, 2.2 and 2.3'!C1062-'Part 2 - CAPM 2.1, 2.2 and 2.3'!K1062</f>
        <v>-8.2959155681332879E-3</v>
      </c>
    </row>
    <row r="1063" spans="1:15" x14ac:dyDescent="0.4">
      <c r="A1063" s="16">
        <v>45152</v>
      </c>
      <c r="B1063" s="14">
        <v>178</v>
      </c>
      <c r="C1063" s="25">
        <f t="shared" si="66"/>
        <v>4.514672686230313E-3</v>
      </c>
      <c r="E1063" s="16">
        <v>45152</v>
      </c>
      <c r="F1063" s="15">
        <v>16825.55</v>
      </c>
      <c r="G1063" s="25">
        <f t="shared" si="67"/>
        <v>-2.0521762855017409E-3</v>
      </c>
      <c r="I1063" s="16">
        <v>45152</v>
      </c>
      <c r="J1063" s="17">
        <v>6.7699999999999996E-2</v>
      </c>
      <c r="K1063" s="25">
        <f t="shared" si="64"/>
        <v>1.7948679679258284E-4</v>
      </c>
      <c r="M1063" s="16">
        <v>45152</v>
      </c>
      <c r="N1063" s="26">
        <f t="shared" si="65"/>
        <v>-2.2316630822943237E-3</v>
      </c>
      <c r="O1063" s="26">
        <f>'Part 2 - CAPM 2.1, 2.2 and 2.3'!C1063-'Part 2 - CAPM 2.1, 2.2 and 2.3'!K1063</f>
        <v>4.3351858894377301E-3</v>
      </c>
    </row>
    <row r="1064" spans="1:15" x14ac:dyDescent="0.4">
      <c r="A1064" s="16">
        <v>45155</v>
      </c>
      <c r="B1064" s="14">
        <v>177.75</v>
      </c>
      <c r="C1064" s="25">
        <f t="shared" si="66"/>
        <v>-1.4044943820224719E-3</v>
      </c>
      <c r="E1064" s="16">
        <v>45155</v>
      </c>
      <c r="F1064" s="15">
        <v>16802.25</v>
      </c>
      <c r="G1064" s="25">
        <f t="shared" si="67"/>
        <v>-1.3847987138607221E-3</v>
      </c>
      <c r="I1064" s="16">
        <v>45155</v>
      </c>
      <c r="J1064" s="17">
        <v>6.8699999999999997E-2</v>
      </c>
      <c r="K1064" s="25">
        <f t="shared" si="64"/>
        <v>1.8205206686028319E-4</v>
      </c>
      <c r="M1064" s="16">
        <v>45155</v>
      </c>
      <c r="N1064" s="26">
        <f t="shared" si="65"/>
        <v>-1.5668507807210053E-3</v>
      </c>
      <c r="O1064" s="26">
        <f>'Part 2 - CAPM 2.1, 2.2 and 2.3'!C1064-'Part 2 - CAPM 2.1, 2.2 and 2.3'!K1064</f>
        <v>-1.5865464488827551E-3</v>
      </c>
    </row>
    <row r="1065" spans="1:15" x14ac:dyDescent="0.4">
      <c r="A1065" s="16">
        <v>45156</v>
      </c>
      <c r="B1065" s="14">
        <v>175.3</v>
      </c>
      <c r="C1065" s="25">
        <f t="shared" si="66"/>
        <v>-1.3783403656821314E-2</v>
      </c>
      <c r="E1065" s="16">
        <v>45156</v>
      </c>
      <c r="F1065" s="15">
        <v>16757.7</v>
      </c>
      <c r="G1065" s="25">
        <f t="shared" si="67"/>
        <v>-2.6514306119715678E-3</v>
      </c>
      <c r="I1065" s="16">
        <v>45156</v>
      </c>
      <c r="J1065" s="17">
        <v>6.8600000000000008E-2</v>
      </c>
      <c r="K1065" s="25">
        <f t="shared" si="64"/>
        <v>1.8179564759757127E-4</v>
      </c>
      <c r="M1065" s="16">
        <v>45156</v>
      </c>
      <c r="N1065" s="26">
        <f t="shared" si="65"/>
        <v>-2.8332262595691391E-3</v>
      </c>
      <c r="O1065" s="26">
        <f>'Part 2 - CAPM 2.1, 2.2 and 2.3'!C1065-'Part 2 - CAPM 2.1, 2.2 and 2.3'!K1065</f>
        <v>-1.3965199304418885E-2</v>
      </c>
    </row>
    <row r="1066" spans="1:15" x14ac:dyDescent="0.4">
      <c r="A1066" s="16">
        <v>45159</v>
      </c>
      <c r="B1066" s="14">
        <v>176.05</v>
      </c>
      <c r="C1066" s="25">
        <f t="shared" si="66"/>
        <v>4.2783799201369082E-3</v>
      </c>
      <c r="E1066" s="16">
        <v>45159</v>
      </c>
      <c r="F1066" s="15">
        <v>16852.05</v>
      </c>
      <c r="G1066" s="25">
        <f t="shared" si="67"/>
        <v>5.6302475876760256E-3</v>
      </c>
      <c r="I1066" s="16">
        <v>45159</v>
      </c>
      <c r="J1066" s="17">
        <v>6.8600000000000008E-2</v>
      </c>
      <c r="K1066" s="25">
        <f t="shared" si="64"/>
        <v>1.8179564759757127E-4</v>
      </c>
      <c r="M1066" s="16">
        <v>45159</v>
      </c>
      <c r="N1066" s="26">
        <f t="shared" si="65"/>
        <v>5.4484519400784543E-3</v>
      </c>
      <c r="O1066" s="26">
        <f>'Part 2 - CAPM 2.1, 2.2 and 2.3'!C1066-'Part 2 - CAPM 2.1, 2.2 and 2.3'!K1066</f>
        <v>4.0965842725393369E-3</v>
      </c>
    </row>
    <row r="1067" spans="1:15" x14ac:dyDescent="0.4">
      <c r="A1067" s="16">
        <v>45160</v>
      </c>
      <c r="B1067" s="14">
        <v>176.15</v>
      </c>
      <c r="C1067" s="25">
        <f t="shared" si="66"/>
        <v>5.6802044873612218E-4</v>
      </c>
      <c r="E1067" s="16">
        <v>45160</v>
      </c>
      <c r="F1067" s="15">
        <v>16905.25</v>
      </c>
      <c r="G1067" s="25">
        <f t="shared" si="67"/>
        <v>3.156885957494829E-3</v>
      </c>
      <c r="I1067" s="16">
        <v>45160</v>
      </c>
      <c r="J1067" s="17">
        <v>6.8600000000000008E-2</v>
      </c>
      <c r="K1067" s="25">
        <f t="shared" si="64"/>
        <v>1.8179564759757127E-4</v>
      </c>
      <c r="M1067" s="16">
        <v>45160</v>
      </c>
      <c r="N1067" s="26">
        <f t="shared" si="65"/>
        <v>2.9750903098972577E-3</v>
      </c>
      <c r="O1067" s="26">
        <f>'Part 2 - CAPM 2.1, 2.2 and 2.3'!C1067-'Part 2 - CAPM 2.1, 2.2 and 2.3'!K1067</f>
        <v>3.8622480113855091E-4</v>
      </c>
    </row>
    <row r="1068" spans="1:15" x14ac:dyDescent="0.4">
      <c r="A1068" s="16">
        <v>45161</v>
      </c>
      <c r="B1068" s="14">
        <v>175.5</v>
      </c>
      <c r="C1068" s="25">
        <f t="shared" si="66"/>
        <v>-3.6900369003690357E-3</v>
      </c>
      <c r="E1068" s="16">
        <v>45161</v>
      </c>
      <c r="F1068" s="15">
        <v>16950.25</v>
      </c>
      <c r="G1068" s="25">
        <f t="shared" si="67"/>
        <v>2.6618949734549917E-3</v>
      </c>
      <c r="I1068" s="16">
        <v>45161</v>
      </c>
      <c r="J1068" s="17">
        <v>6.8600000000000008E-2</v>
      </c>
      <c r="K1068" s="25">
        <f t="shared" si="64"/>
        <v>1.8179564759757127E-4</v>
      </c>
      <c r="M1068" s="16">
        <v>45161</v>
      </c>
      <c r="N1068" s="26">
        <f t="shared" si="65"/>
        <v>2.4800993258574204E-3</v>
      </c>
      <c r="O1068" s="26">
        <f>'Part 2 - CAPM 2.1, 2.2 and 2.3'!C1068-'Part 2 - CAPM 2.1, 2.2 and 2.3'!K1068</f>
        <v>-3.871832547966607E-3</v>
      </c>
    </row>
    <row r="1069" spans="1:15" x14ac:dyDescent="0.4">
      <c r="A1069" s="16">
        <v>45162</v>
      </c>
      <c r="B1069" s="14">
        <v>173.1</v>
      </c>
      <c r="C1069" s="25">
        <f t="shared" si="66"/>
        <v>-1.3675213675213708E-2</v>
      </c>
      <c r="E1069" s="16">
        <v>45162</v>
      </c>
      <c r="F1069" s="15">
        <v>16930.150000000001</v>
      </c>
      <c r="G1069" s="25">
        <f t="shared" si="67"/>
        <v>-1.1858232179465522E-3</v>
      </c>
      <c r="I1069" s="16">
        <v>45162</v>
      </c>
      <c r="J1069" s="17">
        <v>6.88E-2</v>
      </c>
      <c r="K1069" s="25">
        <f t="shared" si="64"/>
        <v>1.8230846219635666E-4</v>
      </c>
      <c r="M1069" s="16">
        <v>45162</v>
      </c>
      <c r="N1069" s="26">
        <f t="shared" si="65"/>
        <v>-1.3681316801429089E-3</v>
      </c>
      <c r="O1069" s="26">
        <f>'Part 2 - CAPM 2.1, 2.2 and 2.3'!C1069-'Part 2 - CAPM 2.1, 2.2 and 2.3'!K1069</f>
        <v>-1.3857522137410065E-2</v>
      </c>
    </row>
    <row r="1070" spans="1:15" x14ac:dyDescent="0.4">
      <c r="A1070" s="16">
        <v>45163</v>
      </c>
      <c r="B1070" s="14">
        <v>174.7</v>
      </c>
      <c r="C1070" s="25">
        <f t="shared" si="66"/>
        <v>9.2432120161755893E-3</v>
      </c>
      <c r="E1070" s="16">
        <v>45163</v>
      </c>
      <c r="F1070" s="15">
        <v>16820.849999999999</v>
      </c>
      <c r="G1070" s="25">
        <f t="shared" si="67"/>
        <v>-6.4559380749729268E-3</v>
      </c>
      <c r="I1070" s="16">
        <v>45163</v>
      </c>
      <c r="J1070" s="17">
        <v>6.8699999999999997E-2</v>
      </c>
      <c r="K1070" s="25">
        <f t="shared" si="64"/>
        <v>1.8205206686028319E-4</v>
      </c>
      <c r="M1070" s="16">
        <v>45163</v>
      </c>
      <c r="N1070" s="26">
        <f t="shared" si="65"/>
        <v>-6.63799014183321E-3</v>
      </c>
      <c r="O1070" s="26">
        <f>'Part 2 - CAPM 2.1, 2.2 and 2.3'!C1070-'Part 2 - CAPM 2.1, 2.2 and 2.3'!K1070</f>
        <v>9.0611599493153061E-3</v>
      </c>
    </row>
    <row r="1071" spans="1:15" x14ac:dyDescent="0.4">
      <c r="A1071" s="16">
        <v>45166</v>
      </c>
      <c r="B1071" s="14">
        <v>175.2</v>
      </c>
      <c r="C1071" s="25">
        <f t="shared" si="66"/>
        <v>2.8620492272467086E-3</v>
      </c>
      <c r="E1071" s="16">
        <v>45166</v>
      </c>
      <c r="F1071" s="15">
        <v>16875.3</v>
      </c>
      <c r="G1071" s="25">
        <f t="shared" si="67"/>
        <v>3.2370540133227948E-3</v>
      </c>
      <c r="I1071" s="16">
        <v>45166</v>
      </c>
      <c r="J1071" s="17">
        <v>6.8000000000000005E-2</v>
      </c>
      <c r="K1071" s="25">
        <f t="shared" si="64"/>
        <v>1.8025662930987174E-4</v>
      </c>
      <c r="M1071" s="16">
        <v>45166</v>
      </c>
      <c r="N1071" s="26">
        <f t="shared" si="65"/>
        <v>3.056797384012923E-3</v>
      </c>
      <c r="O1071" s="26">
        <f>'Part 2 - CAPM 2.1, 2.2 and 2.3'!C1071-'Part 2 - CAPM 2.1, 2.2 and 2.3'!K1071</f>
        <v>2.6817925979368369E-3</v>
      </c>
    </row>
    <row r="1072" spans="1:15" x14ac:dyDescent="0.4">
      <c r="A1072" s="16">
        <v>45167</v>
      </c>
      <c r="B1072" s="14">
        <v>175.7</v>
      </c>
      <c r="C1072" s="25">
        <f t="shared" si="66"/>
        <v>2.8538812785388131E-3</v>
      </c>
      <c r="E1072" s="16">
        <v>45167</v>
      </c>
      <c r="F1072" s="15">
        <v>16927.3</v>
      </c>
      <c r="G1072" s="25">
        <f t="shared" si="67"/>
        <v>3.0814267005623607E-3</v>
      </c>
      <c r="I1072" s="16">
        <v>45167</v>
      </c>
      <c r="J1072" s="17">
        <v>6.8000000000000005E-2</v>
      </c>
      <c r="K1072" s="25">
        <f t="shared" si="64"/>
        <v>1.8025662930987174E-4</v>
      </c>
      <c r="M1072" s="16">
        <v>45167</v>
      </c>
      <c r="N1072" s="26">
        <f t="shared" si="65"/>
        <v>2.9011700712524889E-3</v>
      </c>
      <c r="O1072" s="26">
        <f>'Part 2 - CAPM 2.1, 2.2 and 2.3'!C1072-'Part 2 - CAPM 2.1, 2.2 and 2.3'!K1072</f>
        <v>2.6736246492289413E-3</v>
      </c>
    </row>
    <row r="1073" spans="1:15" x14ac:dyDescent="0.4">
      <c r="A1073" s="16">
        <v>45168</v>
      </c>
      <c r="B1073" s="14">
        <v>175.75</v>
      </c>
      <c r="C1073" s="25">
        <f t="shared" si="66"/>
        <v>2.845759817872019E-4</v>
      </c>
      <c r="E1073" s="16">
        <v>45168</v>
      </c>
      <c r="F1073" s="15">
        <v>16968.95</v>
      </c>
      <c r="G1073" s="25">
        <f t="shared" si="67"/>
        <v>2.4605223514678333E-3</v>
      </c>
      <c r="I1073" s="16">
        <v>45168</v>
      </c>
      <c r="J1073" s="17">
        <v>6.83E-2</v>
      </c>
      <c r="K1073" s="25">
        <f t="shared" si="64"/>
        <v>1.8102624620452978E-4</v>
      </c>
      <c r="M1073" s="16">
        <v>45168</v>
      </c>
      <c r="N1073" s="26">
        <f t="shared" si="65"/>
        <v>2.2794961052633035E-3</v>
      </c>
      <c r="O1073" s="26">
        <f>'Part 2 - CAPM 2.1, 2.2 and 2.3'!C1073-'Part 2 - CAPM 2.1, 2.2 and 2.3'!K1073</f>
        <v>1.0354973558267212E-4</v>
      </c>
    </row>
    <row r="1074" spans="1:15" x14ac:dyDescent="0.4">
      <c r="A1074" s="16">
        <v>45169</v>
      </c>
      <c r="B1074" s="14">
        <v>174.15</v>
      </c>
      <c r="C1074" s="25">
        <f t="shared" si="66"/>
        <v>-9.103840682788019E-3</v>
      </c>
      <c r="E1074" s="16">
        <v>45169</v>
      </c>
      <c r="F1074" s="15">
        <v>16924.3</v>
      </c>
      <c r="G1074" s="25">
        <f t="shared" si="67"/>
        <v>-2.6312765374405284E-3</v>
      </c>
      <c r="I1074" s="16">
        <v>45169</v>
      </c>
      <c r="J1074" s="17">
        <v>6.7900000000000002E-2</v>
      </c>
      <c r="K1074" s="25">
        <f t="shared" si="64"/>
        <v>1.800000424347914E-4</v>
      </c>
      <c r="M1074" s="16">
        <v>45169</v>
      </c>
      <c r="N1074" s="26">
        <f t="shared" si="65"/>
        <v>-2.8112765798753198E-3</v>
      </c>
      <c r="O1074" s="26">
        <f>'Part 2 - CAPM 2.1, 2.2 and 2.3'!C1074-'Part 2 - CAPM 2.1, 2.2 and 2.3'!K1074</f>
        <v>-9.2838407252228104E-3</v>
      </c>
    </row>
    <row r="1075" spans="1:15" x14ac:dyDescent="0.4">
      <c r="A1075" s="16">
        <v>45170</v>
      </c>
      <c r="B1075" s="14">
        <v>181.75</v>
      </c>
      <c r="C1075" s="25">
        <f t="shared" si="66"/>
        <v>4.3640539764570739E-2</v>
      </c>
      <c r="E1075" s="16">
        <v>45170</v>
      </c>
      <c r="F1075" s="15">
        <v>17074.55</v>
      </c>
      <c r="G1075" s="25">
        <f t="shared" si="67"/>
        <v>8.8777674704419093E-3</v>
      </c>
      <c r="I1075" s="16">
        <v>45170</v>
      </c>
      <c r="J1075" s="17">
        <v>6.8099999999999994E-2</v>
      </c>
      <c r="K1075" s="25">
        <f t="shared" si="64"/>
        <v>1.805131922267833E-4</v>
      </c>
      <c r="M1075" s="16">
        <v>45170</v>
      </c>
      <c r="N1075" s="26">
        <f t="shared" si="65"/>
        <v>8.697254278215126E-3</v>
      </c>
      <c r="O1075" s="26">
        <f>'Part 2 - CAPM 2.1, 2.2 and 2.3'!C1075-'Part 2 - CAPM 2.1, 2.2 and 2.3'!K1075</f>
        <v>4.3460026572343956E-2</v>
      </c>
    </row>
    <row r="1076" spans="1:15" x14ac:dyDescent="0.4">
      <c r="A1076" s="16">
        <v>45173</v>
      </c>
      <c r="B1076" s="14">
        <v>182.95</v>
      </c>
      <c r="C1076" s="25">
        <f t="shared" si="66"/>
        <v>6.6024759284731152E-3</v>
      </c>
      <c r="E1076" s="16">
        <v>45173</v>
      </c>
      <c r="F1076" s="15">
        <v>17180.95</v>
      </c>
      <c r="G1076" s="25">
        <f t="shared" si="67"/>
        <v>6.2314965840974705E-3</v>
      </c>
      <c r="I1076" s="16">
        <v>45173</v>
      </c>
      <c r="J1076" s="17">
        <v>6.8000000000000005E-2</v>
      </c>
      <c r="K1076" s="25">
        <f t="shared" si="64"/>
        <v>1.8025662930987174E-4</v>
      </c>
      <c r="M1076" s="16">
        <v>45173</v>
      </c>
      <c r="N1076" s="26">
        <f t="shared" si="65"/>
        <v>6.0512399547875987E-3</v>
      </c>
      <c r="O1076" s="26">
        <f>'Part 2 - CAPM 2.1, 2.2 and 2.3'!C1076-'Part 2 - CAPM 2.1, 2.2 and 2.3'!K1076</f>
        <v>6.4222192991632435E-3</v>
      </c>
    </row>
    <row r="1077" spans="1:15" x14ac:dyDescent="0.4">
      <c r="A1077" s="16">
        <v>45174</v>
      </c>
      <c r="B1077" s="14">
        <v>183.1</v>
      </c>
      <c r="C1077" s="25">
        <f t="shared" si="66"/>
        <v>8.1989614648814266E-4</v>
      </c>
      <c r="E1077" s="16">
        <v>45174</v>
      </c>
      <c r="F1077" s="15">
        <v>17252.099999999999</v>
      </c>
      <c r="G1077" s="25">
        <f t="shared" si="67"/>
        <v>4.141214542851112E-3</v>
      </c>
      <c r="I1077" s="16">
        <v>45174</v>
      </c>
      <c r="J1077" s="17">
        <v>6.8000000000000005E-2</v>
      </c>
      <c r="K1077" s="25">
        <f t="shared" si="64"/>
        <v>1.8025662930987174E-4</v>
      </c>
      <c r="M1077" s="16">
        <v>45174</v>
      </c>
      <c r="N1077" s="26">
        <f t="shared" si="65"/>
        <v>3.9609579135412402E-3</v>
      </c>
      <c r="O1077" s="26">
        <f>'Part 2 - CAPM 2.1, 2.2 and 2.3'!C1077-'Part 2 - CAPM 2.1, 2.2 and 2.3'!K1077</f>
        <v>6.3963951717827092E-4</v>
      </c>
    </row>
    <row r="1078" spans="1:15" x14ac:dyDescent="0.4">
      <c r="A1078" s="16">
        <v>45175</v>
      </c>
      <c r="B1078" s="14">
        <v>183.05</v>
      </c>
      <c r="C1078" s="25">
        <f t="shared" si="66"/>
        <v>-2.7307482250127227E-4</v>
      </c>
      <c r="E1078" s="16">
        <v>45175</v>
      </c>
      <c r="F1078" s="15">
        <v>17284.599999999999</v>
      </c>
      <c r="G1078" s="25">
        <f t="shared" si="67"/>
        <v>1.8838286353545367E-3</v>
      </c>
      <c r="I1078" s="16">
        <v>45175</v>
      </c>
      <c r="J1078" s="17">
        <v>6.8199999999999997E-2</v>
      </c>
      <c r="K1078" s="25">
        <f t="shared" si="64"/>
        <v>1.8076973119018902E-4</v>
      </c>
      <c r="M1078" s="16">
        <v>45175</v>
      </c>
      <c r="N1078" s="26">
        <f t="shared" si="65"/>
        <v>1.7030589041643477E-3</v>
      </c>
      <c r="O1078" s="26">
        <f>'Part 2 - CAPM 2.1, 2.2 and 2.3'!C1078-'Part 2 - CAPM 2.1, 2.2 and 2.3'!K1078</f>
        <v>-4.5384455369146129E-4</v>
      </c>
    </row>
    <row r="1079" spans="1:15" x14ac:dyDescent="0.4">
      <c r="A1079" s="16">
        <v>45176</v>
      </c>
      <c r="B1079" s="14">
        <v>181.75</v>
      </c>
      <c r="C1079" s="25">
        <f t="shared" si="66"/>
        <v>-7.10188473094789E-3</v>
      </c>
      <c r="E1079" s="16">
        <v>45176</v>
      </c>
      <c r="F1079" s="15">
        <v>17385.5</v>
      </c>
      <c r="G1079" s="25">
        <f t="shared" si="67"/>
        <v>5.8375663885771997E-3</v>
      </c>
      <c r="I1079" s="16">
        <v>45176</v>
      </c>
      <c r="J1079" s="17">
        <v>6.8099999999999994E-2</v>
      </c>
      <c r="K1079" s="25">
        <f t="shared" si="64"/>
        <v>1.805131922267833E-4</v>
      </c>
      <c r="M1079" s="16">
        <v>45176</v>
      </c>
      <c r="N1079" s="26">
        <f t="shared" si="65"/>
        <v>5.6570531963504164E-3</v>
      </c>
      <c r="O1079" s="26">
        <f>'Part 2 - CAPM 2.1, 2.2 and 2.3'!C1079-'Part 2 - CAPM 2.1, 2.2 and 2.3'!K1079</f>
        <v>-7.2823979231746733E-3</v>
      </c>
    </row>
    <row r="1080" spans="1:15" x14ac:dyDescent="0.4">
      <c r="A1080" s="16">
        <v>45177</v>
      </c>
      <c r="B1080" s="14">
        <v>184.45</v>
      </c>
      <c r="C1080" s="25">
        <f t="shared" si="66"/>
        <v>1.4855570839064587E-2</v>
      </c>
      <c r="E1080" s="16">
        <v>45177</v>
      </c>
      <c r="F1080" s="15">
        <v>17487.45</v>
      </c>
      <c r="G1080" s="25">
        <f t="shared" si="67"/>
        <v>5.8640821374134032E-3</v>
      </c>
      <c r="I1080" s="16">
        <v>45177</v>
      </c>
      <c r="J1080" s="17">
        <v>6.8499999999999991E-2</v>
      </c>
      <c r="K1080" s="25">
        <f t="shared" si="64"/>
        <v>1.8153920440378002E-4</v>
      </c>
      <c r="M1080" s="16">
        <v>45177</v>
      </c>
      <c r="N1080" s="26">
        <f t="shared" si="65"/>
        <v>5.6825429330096232E-3</v>
      </c>
      <c r="O1080" s="26">
        <f>'Part 2 - CAPM 2.1, 2.2 and 2.3'!C1080-'Part 2 - CAPM 2.1, 2.2 and 2.3'!K1080</f>
        <v>1.4674031634660807E-2</v>
      </c>
    </row>
    <row r="1081" spans="1:15" x14ac:dyDescent="0.4">
      <c r="A1081" s="16">
        <v>45180</v>
      </c>
      <c r="B1081" s="14">
        <v>183.4</v>
      </c>
      <c r="C1081" s="25">
        <f t="shared" si="66"/>
        <v>-5.6925996204932666E-3</v>
      </c>
      <c r="E1081" s="16">
        <v>45180</v>
      </c>
      <c r="F1081" s="15">
        <v>17653.349999999999</v>
      </c>
      <c r="G1081" s="25">
        <f t="shared" si="67"/>
        <v>9.4868033932904924E-3</v>
      </c>
      <c r="I1081" s="16">
        <v>45180</v>
      </c>
      <c r="J1081" s="17">
        <v>6.83E-2</v>
      </c>
      <c r="K1081" s="25">
        <f t="shared" si="64"/>
        <v>1.8102624620452978E-4</v>
      </c>
      <c r="M1081" s="16">
        <v>45180</v>
      </c>
      <c r="N1081" s="26">
        <f t="shared" si="65"/>
        <v>9.3057771470859627E-3</v>
      </c>
      <c r="O1081" s="26">
        <f>'Part 2 - CAPM 2.1, 2.2 and 2.3'!C1081-'Part 2 - CAPM 2.1, 2.2 and 2.3'!K1081</f>
        <v>-5.8736258666977964E-3</v>
      </c>
    </row>
    <row r="1082" spans="1:15" x14ac:dyDescent="0.4">
      <c r="A1082" s="16">
        <v>45181</v>
      </c>
      <c r="B1082" s="14">
        <v>180.9</v>
      </c>
      <c r="C1082" s="25">
        <f t="shared" si="66"/>
        <v>-1.3631406761177753E-2</v>
      </c>
      <c r="E1082" s="16">
        <v>45181</v>
      </c>
      <c r="F1082" s="15">
        <v>17460.55</v>
      </c>
      <c r="G1082" s="25">
        <f t="shared" si="67"/>
        <v>-1.0921439840030323E-2</v>
      </c>
      <c r="I1082" s="16">
        <v>45181</v>
      </c>
      <c r="J1082" s="17">
        <v>6.8699999999999997E-2</v>
      </c>
      <c r="K1082" s="25">
        <f t="shared" si="64"/>
        <v>1.8205206686028319E-4</v>
      </c>
      <c r="M1082" s="16">
        <v>45181</v>
      </c>
      <c r="N1082" s="26">
        <f t="shared" si="65"/>
        <v>-1.1103491906890606E-2</v>
      </c>
      <c r="O1082" s="26">
        <f>'Part 2 - CAPM 2.1, 2.2 and 2.3'!C1082-'Part 2 - CAPM 2.1, 2.2 and 2.3'!K1082</f>
        <v>-1.3813458828038036E-2</v>
      </c>
    </row>
    <row r="1083" spans="1:15" x14ac:dyDescent="0.4">
      <c r="A1083" s="16">
        <v>45182</v>
      </c>
      <c r="B1083" s="14">
        <v>183.9</v>
      </c>
      <c r="C1083" s="25">
        <f t="shared" si="66"/>
        <v>1.658374792703151E-2</v>
      </c>
      <c r="E1083" s="16">
        <v>45182</v>
      </c>
      <c r="F1083" s="15">
        <v>17526.75</v>
      </c>
      <c r="G1083" s="25">
        <f t="shared" si="67"/>
        <v>3.791404050846092E-3</v>
      </c>
      <c r="I1083" s="16">
        <v>45182</v>
      </c>
      <c r="J1083" s="17">
        <v>6.8499999999999991E-2</v>
      </c>
      <c r="K1083" s="25">
        <f t="shared" si="64"/>
        <v>1.8153920440378002E-4</v>
      </c>
      <c r="M1083" s="16">
        <v>45182</v>
      </c>
      <c r="N1083" s="26">
        <f t="shared" si="65"/>
        <v>3.609864846442312E-3</v>
      </c>
      <c r="O1083" s="26">
        <f>'Part 2 - CAPM 2.1, 2.2 and 2.3'!C1083-'Part 2 - CAPM 2.1, 2.2 and 2.3'!K1083</f>
        <v>1.640220872262773E-2</v>
      </c>
    </row>
    <row r="1084" spans="1:15" x14ac:dyDescent="0.4">
      <c r="A1084" s="16">
        <v>45183</v>
      </c>
      <c r="B1084" s="14">
        <v>187.9</v>
      </c>
      <c r="C1084" s="25">
        <f t="shared" si="66"/>
        <v>2.1750951604132679E-2</v>
      </c>
      <c r="E1084" s="16">
        <v>45183</v>
      </c>
      <c r="F1084" s="15">
        <v>17603.5</v>
      </c>
      <c r="G1084" s="25">
        <f t="shared" si="67"/>
        <v>4.3790206398790421E-3</v>
      </c>
      <c r="I1084" s="16">
        <v>45183</v>
      </c>
      <c r="J1084" s="17">
        <v>6.8400000000000002E-2</v>
      </c>
      <c r="K1084" s="25">
        <f t="shared" si="64"/>
        <v>1.8128273727402444E-4</v>
      </c>
      <c r="M1084" s="16">
        <v>45183</v>
      </c>
      <c r="N1084" s="26">
        <f t="shared" si="65"/>
        <v>4.1977379026050176E-3</v>
      </c>
      <c r="O1084" s="26">
        <f>'Part 2 - CAPM 2.1, 2.2 and 2.3'!C1084-'Part 2 - CAPM 2.1, 2.2 and 2.3'!K1084</f>
        <v>2.1569668866858654E-2</v>
      </c>
    </row>
    <row r="1085" spans="1:15" x14ac:dyDescent="0.4">
      <c r="A1085" s="16">
        <v>45184</v>
      </c>
      <c r="B1085" s="14">
        <v>186.65</v>
      </c>
      <c r="C1085" s="25">
        <f t="shared" si="66"/>
        <v>-6.6524747205960614E-3</v>
      </c>
      <c r="E1085" s="16">
        <v>45184</v>
      </c>
      <c r="F1085" s="15">
        <v>17665.8</v>
      </c>
      <c r="G1085" s="25">
        <f t="shared" si="67"/>
        <v>3.5390689351548995E-3</v>
      </c>
      <c r="I1085" s="16">
        <v>45184</v>
      </c>
      <c r="J1085" s="17">
        <v>6.8600000000000008E-2</v>
      </c>
      <c r="K1085" s="25">
        <f t="shared" si="64"/>
        <v>1.8179564759757127E-4</v>
      </c>
      <c r="M1085" s="16">
        <v>45184</v>
      </c>
      <c r="N1085" s="26">
        <f t="shared" si="65"/>
        <v>3.3572732875573282E-3</v>
      </c>
      <c r="O1085" s="26">
        <f>'Part 2 - CAPM 2.1, 2.2 and 2.3'!C1085-'Part 2 - CAPM 2.1, 2.2 and 2.3'!K1085</f>
        <v>-6.8342703681936326E-3</v>
      </c>
    </row>
    <row r="1086" spans="1:15" x14ac:dyDescent="0.4">
      <c r="A1086" s="16">
        <v>45187</v>
      </c>
      <c r="B1086" s="14">
        <v>186.75</v>
      </c>
      <c r="C1086" s="25">
        <f t="shared" si="66"/>
        <v>5.3576212161797118E-4</v>
      </c>
      <c r="E1086" s="16">
        <v>45187</v>
      </c>
      <c r="F1086" s="15">
        <v>17613.599999999999</v>
      </c>
      <c r="G1086" s="25">
        <f t="shared" si="67"/>
        <v>-2.9548619366233475E-3</v>
      </c>
      <c r="I1086" s="16">
        <v>45187</v>
      </c>
      <c r="J1086" s="17">
        <v>6.8400000000000002E-2</v>
      </c>
      <c r="K1086" s="25">
        <f t="shared" si="64"/>
        <v>1.8128273727402444E-4</v>
      </c>
      <c r="M1086" s="16">
        <v>45187</v>
      </c>
      <c r="N1086" s="26">
        <f t="shared" si="65"/>
        <v>-3.1361446738973719E-3</v>
      </c>
      <c r="O1086" s="26">
        <f>'Part 2 - CAPM 2.1, 2.2 and 2.3'!C1086-'Part 2 - CAPM 2.1, 2.2 and 2.3'!K1086</f>
        <v>3.5447938434394674E-4</v>
      </c>
    </row>
    <row r="1087" spans="1:15" x14ac:dyDescent="0.4">
      <c r="A1087" s="16">
        <v>45189</v>
      </c>
      <c r="B1087" s="14">
        <v>188.2</v>
      </c>
      <c r="C1087" s="25">
        <f t="shared" si="66"/>
        <v>7.7643908969209563E-3</v>
      </c>
      <c r="E1087" s="16">
        <v>45189</v>
      </c>
      <c r="F1087" s="15">
        <v>17449.349999999999</v>
      </c>
      <c r="G1087" s="25">
        <f t="shared" si="67"/>
        <v>-9.3251805423082163E-3</v>
      </c>
      <c r="I1087" s="16">
        <v>45189</v>
      </c>
      <c r="J1087" s="17">
        <v>6.8499999999999991E-2</v>
      </c>
      <c r="K1087" s="25">
        <f t="shared" si="64"/>
        <v>1.8153920440378002E-4</v>
      </c>
      <c r="M1087" s="16">
        <v>45189</v>
      </c>
      <c r="N1087" s="26">
        <f t="shared" si="65"/>
        <v>-9.5067197467119963E-3</v>
      </c>
      <c r="O1087" s="26">
        <f>'Part 2 - CAPM 2.1, 2.2 and 2.3'!C1087-'Part 2 - CAPM 2.1, 2.2 and 2.3'!K1087</f>
        <v>7.5828516925171762E-3</v>
      </c>
    </row>
    <row r="1088" spans="1:15" x14ac:dyDescent="0.4">
      <c r="A1088" s="16">
        <v>45190</v>
      </c>
      <c r="B1088" s="14">
        <v>186.7</v>
      </c>
      <c r="C1088" s="25">
        <f t="shared" si="66"/>
        <v>-7.970244420828906E-3</v>
      </c>
      <c r="E1088" s="16">
        <v>45190</v>
      </c>
      <c r="F1088" s="15">
        <v>17303.5</v>
      </c>
      <c r="G1088" s="25">
        <f t="shared" si="67"/>
        <v>-8.3584775364124488E-3</v>
      </c>
      <c r="I1088" s="16">
        <v>45190</v>
      </c>
      <c r="J1088" s="17">
        <v>6.8499999999999991E-2</v>
      </c>
      <c r="K1088" s="25">
        <f t="shared" si="64"/>
        <v>1.8153920440378002E-4</v>
      </c>
      <c r="M1088" s="16">
        <v>45190</v>
      </c>
      <c r="N1088" s="26">
        <f t="shared" si="65"/>
        <v>-8.5400167408162288E-3</v>
      </c>
      <c r="O1088" s="26">
        <f>'Part 2 - CAPM 2.1, 2.2 and 2.3'!C1088-'Part 2 - CAPM 2.1, 2.2 and 2.3'!K1088</f>
        <v>-8.1517836252326861E-3</v>
      </c>
    </row>
    <row r="1089" spans="1:15" x14ac:dyDescent="0.4">
      <c r="A1089" s="16">
        <v>45191</v>
      </c>
      <c r="B1089" s="14">
        <v>185.1</v>
      </c>
      <c r="C1089" s="25">
        <f t="shared" si="66"/>
        <v>-8.5698982324584599E-3</v>
      </c>
      <c r="E1089" s="16">
        <v>45191</v>
      </c>
      <c r="F1089" s="15">
        <v>17260.8</v>
      </c>
      <c r="G1089" s="25">
        <f t="shared" si="67"/>
        <v>-2.4677088450313941E-3</v>
      </c>
      <c r="I1089" s="16">
        <v>45191</v>
      </c>
      <c r="J1089" s="17">
        <v>6.8199999999999997E-2</v>
      </c>
      <c r="K1089" s="25">
        <f t="shared" si="64"/>
        <v>1.8076973119018902E-4</v>
      </c>
      <c r="M1089" s="16">
        <v>45191</v>
      </c>
      <c r="N1089" s="26">
        <f t="shared" si="65"/>
        <v>-2.6484785762215832E-3</v>
      </c>
      <c r="O1089" s="26">
        <f>'Part 2 - CAPM 2.1, 2.2 and 2.3'!C1089-'Part 2 - CAPM 2.1, 2.2 and 2.3'!K1089</f>
        <v>-8.7506679636486489E-3</v>
      </c>
    </row>
    <row r="1090" spans="1:15" x14ac:dyDescent="0.4">
      <c r="A1090" s="16">
        <v>45194</v>
      </c>
      <c r="B1090" s="14">
        <v>185.5</v>
      </c>
      <c r="C1090" s="25">
        <f t="shared" si="66"/>
        <v>2.1609940572663733E-3</v>
      </c>
      <c r="E1090" s="16">
        <v>45194</v>
      </c>
      <c r="F1090" s="15">
        <v>17272.55</v>
      </c>
      <c r="G1090" s="25">
        <f t="shared" si="67"/>
        <v>6.8073322209862811E-4</v>
      </c>
      <c r="I1090" s="16">
        <v>45194</v>
      </c>
      <c r="J1090" s="17">
        <v>6.8199999999999997E-2</v>
      </c>
      <c r="K1090" s="25">
        <f t="shared" si="64"/>
        <v>1.8076973119018902E-4</v>
      </c>
      <c r="M1090" s="16">
        <v>45194</v>
      </c>
      <c r="N1090" s="26">
        <f t="shared" si="65"/>
        <v>4.9996349090843909E-4</v>
      </c>
      <c r="O1090" s="26">
        <f>'Part 2 - CAPM 2.1, 2.2 and 2.3'!C1090-'Part 2 - CAPM 2.1, 2.2 and 2.3'!K1090</f>
        <v>1.9802243260761843E-3</v>
      </c>
    </row>
    <row r="1091" spans="1:15" x14ac:dyDescent="0.4">
      <c r="A1091" s="16">
        <v>45195</v>
      </c>
      <c r="B1091" s="14">
        <v>187.75</v>
      </c>
      <c r="C1091" s="25">
        <f t="shared" si="66"/>
        <v>1.2129380053908356E-2</v>
      </c>
      <c r="E1091" s="16">
        <v>45195</v>
      </c>
      <c r="F1091" s="15">
        <v>17276.75</v>
      </c>
      <c r="G1091" s="25">
        <f t="shared" si="67"/>
        <v>2.4316039033036395E-4</v>
      </c>
      <c r="I1091" s="16">
        <v>45195</v>
      </c>
      <c r="J1091" s="17">
        <v>6.8600000000000008E-2</v>
      </c>
      <c r="K1091" s="25">
        <f t="shared" si="64"/>
        <v>1.8179564759757127E-4</v>
      </c>
      <c r="M1091" s="16">
        <v>45195</v>
      </c>
      <c r="N1091" s="26">
        <f t="shared" si="65"/>
        <v>6.1364742732792672E-5</v>
      </c>
      <c r="O1091" s="26">
        <f>'Part 2 - CAPM 2.1, 2.2 and 2.3'!C1091-'Part 2 - CAPM 2.1, 2.2 and 2.3'!K1091</f>
        <v>1.1947584406310784E-2</v>
      </c>
    </row>
    <row r="1092" spans="1:15" x14ac:dyDescent="0.4">
      <c r="A1092" s="16">
        <v>45196</v>
      </c>
      <c r="B1092" s="14">
        <v>187.25</v>
      </c>
      <c r="C1092" s="25">
        <f t="shared" si="66"/>
        <v>-2.6631158455392811E-3</v>
      </c>
      <c r="E1092" s="16">
        <v>45196</v>
      </c>
      <c r="F1092" s="15">
        <v>17341.599999999999</v>
      </c>
      <c r="G1092" s="25">
        <f t="shared" si="67"/>
        <v>3.7535994906448575E-3</v>
      </c>
      <c r="I1092" s="16">
        <v>45196</v>
      </c>
      <c r="J1092" s="17">
        <v>6.8699999999999997E-2</v>
      </c>
      <c r="K1092" s="25">
        <f t="shared" ref="K1092:K1155" si="68">((1+J1092)^(1/365))-1</f>
        <v>1.8205206686028319E-4</v>
      </c>
      <c r="M1092" s="16">
        <v>45196</v>
      </c>
      <c r="N1092" s="26">
        <f t="shared" ref="N1092:N1155" si="69">G1092-K1092</f>
        <v>3.5715474237845743E-3</v>
      </c>
      <c r="O1092" s="26">
        <f>'Part 2 - CAPM 2.1, 2.2 and 2.3'!C1092-'Part 2 - CAPM 2.1, 2.2 and 2.3'!K1092</f>
        <v>-2.8451679123995643E-3</v>
      </c>
    </row>
    <row r="1093" spans="1:15" x14ac:dyDescent="0.4">
      <c r="A1093" s="16">
        <v>45197</v>
      </c>
      <c r="B1093" s="14">
        <v>187.45</v>
      </c>
      <c r="C1093" s="25">
        <f t="shared" ref="C1093:C1156" si="70">(B1093-B1092)/B1092</f>
        <v>1.0680907877168952E-3</v>
      </c>
      <c r="E1093" s="16">
        <v>45197</v>
      </c>
      <c r="F1093" s="15">
        <v>17170.45</v>
      </c>
      <c r="G1093" s="25">
        <f t="shared" ref="G1093:G1156" si="71">(F1093-F1092)/F1092</f>
        <v>-9.869331549568542E-3</v>
      </c>
      <c r="I1093" s="16">
        <v>45197</v>
      </c>
      <c r="J1093" s="17">
        <v>6.8699999999999997E-2</v>
      </c>
      <c r="K1093" s="25">
        <f t="shared" si="68"/>
        <v>1.8205206686028319E-4</v>
      </c>
      <c r="M1093" s="16">
        <v>45197</v>
      </c>
      <c r="N1093" s="26">
        <f t="shared" si="69"/>
        <v>-1.0051383616428825E-2</v>
      </c>
      <c r="O1093" s="26">
        <f>'Part 2 - CAPM 2.1, 2.2 and 2.3'!C1093-'Part 2 - CAPM 2.1, 2.2 and 2.3'!K1093</f>
        <v>8.8603872085661205E-4</v>
      </c>
    </row>
    <row r="1094" spans="1:15" x14ac:dyDescent="0.4">
      <c r="A1094" s="16">
        <v>45198</v>
      </c>
      <c r="B1094" s="14">
        <v>191.85</v>
      </c>
      <c r="C1094" s="25">
        <f t="shared" si="70"/>
        <v>2.3472926113630332E-2</v>
      </c>
      <c r="E1094" s="16">
        <v>45198</v>
      </c>
      <c r="F1094" s="15">
        <v>17292.599999999999</v>
      </c>
      <c r="G1094" s="25">
        <f t="shared" si="71"/>
        <v>7.1139661453251263E-3</v>
      </c>
      <c r="I1094" s="16">
        <v>45198</v>
      </c>
      <c r="J1094" s="17">
        <v>6.8699999999999997E-2</v>
      </c>
      <c r="K1094" s="25">
        <f t="shared" si="68"/>
        <v>1.8205206686028319E-4</v>
      </c>
      <c r="M1094" s="16">
        <v>45198</v>
      </c>
      <c r="N1094" s="26">
        <f t="shared" si="69"/>
        <v>6.9319140784648431E-3</v>
      </c>
      <c r="O1094" s="26">
        <f>'Part 2 - CAPM 2.1, 2.2 and 2.3'!C1094-'Part 2 - CAPM 2.1, 2.2 and 2.3'!K1094</f>
        <v>2.3290874046770049E-2</v>
      </c>
    </row>
    <row r="1095" spans="1:15" x14ac:dyDescent="0.4">
      <c r="A1095" s="16">
        <v>45202</v>
      </c>
      <c r="B1095" s="14">
        <v>184.6</v>
      </c>
      <c r="C1095" s="25">
        <f t="shared" si="70"/>
        <v>-3.7789940057336463E-2</v>
      </c>
      <c r="E1095" s="16">
        <v>45202</v>
      </c>
      <c r="F1095" s="15">
        <v>17254.400000000001</v>
      </c>
      <c r="G1095" s="25">
        <f t="shared" si="71"/>
        <v>-2.20903739171652E-3</v>
      </c>
      <c r="I1095" s="16">
        <v>45202</v>
      </c>
      <c r="J1095" s="17">
        <v>6.83E-2</v>
      </c>
      <c r="K1095" s="25">
        <f t="shared" si="68"/>
        <v>1.8102624620452978E-4</v>
      </c>
      <c r="M1095" s="16">
        <v>45202</v>
      </c>
      <c r="N1095" s="26">
        <f t="shared" si="69"/>
        <v>-2.3900636379210497E-3</v>
      </c>
      <c r="O1095" s="26">
        <f>'Part 2 - CAPM 2.1, 2.2 and 2.3'!C1095-'Part 2 - CAPM 2.1, 2.2 and 2.3'!K1095</f>
        <v>-3.7970966303540993E-2</v>
      </c>
    </row>
    <row r="1096" spans="1:15" x14ac:dyDescent="0.4">
      <c r="A1096" s="16">
        <v>45203</v>
      </c>
      <c r="B1096" s="14">
        <v>182.75</v>
      </c>
      <c r="C1096" s="25">
        <f t="shared" si="70"/>
        <v>-1.0021668472372668E-2</v>
      </c>
      <c r="E1096" s="16">
        <v>45203</v>
      </c>
      <c r="F1096" s="15">
        <v>17123.099999999999</v>
      </c>
      <c r="G1096" s="25">
        <f t="shared" si="71"/>
        <v>-7.6096531899111476E-3</v>
      </c>
      <c r="I1096" s="16">
        <v>45203</v>
      </c>
      <c r="J1096" s="17">
        <v>6.8499999999999991E-2</v>
      </c>
      <c r="K1096" s="25">
        <f t="shared" si="68"/>
        <v>1.8153920440378002E-4</v>
      </c>
      <c r="M1096" s="16">
        <v>45203</v>
      </c>
      <c r="N1096" s="26">
        <f t="shared" si="69"/>
        <v>-7.7911923943149277E-3</v>
      </c>
      <c r="O1096" s="26">
        <f>'Part 2 - CAPM 2.1, 2.2 and 2.3'!C1096-'Part 2 - CAPM 2.1, 2.2 and 2.3'!K1096</f>
        <v>-1.0203207676776448E-2</v>
      </c>
    </row>
    <row r="1097" spans="1:15" x14ac:dyDescent="0.4">
      <c r="A1097" s="16">
        <v>45204</v>
      </c>
      <c r="B1097" s="14">
        <v>182.2</v>
      </c>
      <c r="C1097" s="25">
        <f t="shared" si="70"/>
        <v>-3.0095759233926753E-3</v>
      </c>
      <c r="E1097" s="16">
        <v>45204</v>
      </c>
      <c r="F1097" s="15">
        <v>17195.8</v>
      </c>
      <c r="G1097" s="25">
        <f t="shared" si="71"/>
        <v>4.2457265331628464E-3</v>
      </c>
      <c r="I1097" s="16">
        <v>45204</v>
      </c>
      <c r="J1097" s="17">
        <v>6.8699999999999997E-2</v>
      </c>
      <c r="K1097" s="25">
        <f t="shared" si="68"/>
        <v>1.8205206686028319E-4</v>
      </c>
      <c r="M1097" s="16">
        <v>45204</v>
      </c>
      <c r="N1097" s="26">
        <f t="shared" si="69"/>
        <v>4.0636744663025632E-3</v>
      </c>
      <c r="O1097" s="26">
        <f>'Part 2 - CAPM 2.1, 2.2 and 2.3'!C1097-'Part 2 - CAPM 2.1, 2.2 and 2.3'!K1097</f>
        <v>-3.1916279902529585E-3</v>
      </c>
    </row>
    <row r="1098" spans="1:15" x14ac:dyDescent="0.4">
      <c r="A1098" s="16">
        <v>45205</v>
      </c>
      <c r="B1098" s="14">
        <v>181.45</v>
      </c>
      <c r="C1098" s="25">
        <f t="shared" si="70"/>
        <v>-4.1163556531284302E-3</v>
      </c>
      <c r="E1098" s="16">
        <v>45205</v>
      </c>
      <c r="F1098" s="15">
        <v>17293.599999999999</v>
      </c>
      <c r="G1098" s="25">
        <f t="shared" si="71"/>
        <v>5.6874353039695321E-3</v>
      </c>
      <c r="I1098" s="16">
        <v>45205</v>
      </c>
      <c r="J1098" s="17">
        <v>6.88E-2</v>
      </c>
      <c r="K1098" s="25">
        <f t="shared" si="68"/>
        <v>1.8230846219635666E-4</v>
      </c>
      <c r="M1098" s="16">
        <v>45205</v>
      </c>
      <c r="N1098" s="26">
        <f t="shared" si="69"/>
        <v>5.5051268417731754E-3</v>
      </c>
      <c r="O1098" s="26">
        <f>'Part 2 - CAPM 2.1, 2.2 and 2.3'!C1098-'Part 2 - CAPM 2.1, 2.2 and 2.3'!K1098</f>
        <v>-4.2986641153247868E-3</v>
      </c>
    </row>
    <row r="1099" spans="1:15" x14ac:dyDescent="0.4">
      <c r="A1099" s="16">
        <v>45208</v>
      </c>
      <c r="B1099" s="14">
        <v>181.7</v>
      </c>
      <c r="C1099" s="25">
        <f t="shared" si="70"/>
        <v>1.3777900248002205E-3</v>
      </c>
      <c r="E1099" s="16">
        <v>45208</v>
      </c>
      <c r="F1099" s="15">
        <v>17127.7</v>
      </c>
      <c r="G1099" s="25">
        <f t="shared" si="71"/>
        <v>-9.5931442845907065E-3</v>
      </c>
      <c r="I1099" s="16">
        <v>45208</v>
      </c>
      <c r="J1099" s="17">
        <v>6.8900000000000003E-2</v>
      </c>
      <c r="K1099" s="25">
        <f t="shared" si="68"/>
        <v>1.8256483361001052E-4</v>
      </c>
      <c r="M1099" s="16">
        <v>45208</v>
      </c>
      <c r="N1099" s="26">
        <f t="shared" si="69"/>
        <v>-9.7757091182007171E-3</v>
      </c>
      <c r="O1099" s="26">
        <f>'Part 2 - CAPM 2.1, 2.2 and 2.3'!C1099-'Part 2 - CAPM 2.1, 2.2 and 2.3'!K1099</f>
        <v>1.19522519119021E-3</v>
      </c>
    </row>
    <row r="1100" spans="1:15" x14ac:dyDescent="0.4">
      <c r="A1100" s="16">
        <v>45209</v>
      </c>
      <c r="B1100" s="14">
        <v>183.5</v>
      </c>
      <c r="C1100" s="25">
        <f t="shared" si="70"/>
        <v>9.9064391854706193E-3</v>
      </c>
      <c r="E1100" s="16">
        <v>45209</v>
      </c>
      <c r="F1100" s="15">
        <v>17303.349999999999</v>
      </c>
      <c r="G1100" s="25">
        <f t="shared" si="71"/>
        <v>1.0255317409809712E-2</v>
      </c>
      <c r="I1100" s="16">
        <v>45209</v>
      </c>
      <c r="J1100" s="17">
        <v>6.88E-2</v>
      </c>
      <c r="K1100" s="25">
        <f t="shared" si="68"/>
        <v>1.8230846219635666E-4</v>
      </c>
      <c r="M1100" s="16">
        <v>45209</v>
      </c>
      <c r="N1100" s="26">
        <f t="shared" si="69"/>
        <v>1.0073008947613355E-2</v>
      </c>
      <c r="O1100" s="26">
        <f>'Part 2 - CAPM 2.1, 2.2 and 2.3'!C1100-'Part 2 - CAPM 2.1, 2.2 and 2.3'!K1100</f>
        <v>9.7241307232742626E-3</v>
      </c>
    </row>
    <row r="1101" spans="1:15" x14ac:dyDescent="0.4">
      <c r="A1101" s="16">
        <v>45210</v>
      </c>
      <c r="B1101" s="14">
        <v>183.25</v>
      </c>
      <c r="C1101" s="25">
        <f t="shared" si="70"/>
        <v>-1.3623978201634877E-3</v>
      </c>
      <c r="E1101" s="16">
        <v>45210</v>
      </c>
      <c r="F1101" s="15">
        <v>17407.349999999999</v>
      </c>
      <c r="G1101" s="25">
        <f t="shared" si="71"/>
        <v>6.010396830671518E-3</v>
      </c>
      <c r="I1101" s="16">
        <v>45210</v>
      </c>
      <c r="J1101" s="17">
        <v>6.8900000000000003E-2</v>
      </c>
      <c r="K1101" s="25">
        <f t="shared" si="68"/>
        <v>1.8256483361001052E-4</v>
      </c>
      <c r="M1101" s="16">
        <v>45210</v>
      </c>
      <c r="N1101" s="26">
        <f t="shared" si="69"/>
        <v>5.8278319970615075E-3</v>
      </c>
      <c r="O1101" s="26">
        <f>'Part 2 - CAPM 2.1, 2.2 and 2.3'!C1101-'Part 2 - CAPM 2.1, 2.2 and 2.3'!K1101</f>
        <v>-1.5449626537734982E-3</v>
      </c>
    </row>
    <row r="1102" spans="1:15" x14ac:dyDescent="0.4">
      <c r="A1102" s="16">
        <v>45211</v>
      </c>
      <c r="B1102" s="14">
        <v>184.45</v>
      </c>
      <c r="C1102" s="25">
        <f t="shared" si="70"/>
        <v>6.5484311050476871E-3</v>
      </c>
      <c r="E1102" s="16">
        <v>45211</v>
      </c>
      <c r="F1102" s="15">
        <v>17419.7</v>
      </c>
      <c r="G1102" s="25">
        <f t="shared" si="71"/>
        <v>7.0947042484939885E-4</v>
      </c>
      <c r="I1102" s="16">
        <v>45211</v>
      </c>
      <c r="J1102" s="17">
        <v>6.9000000000000006E-2</v>
      </c>
      <c r="K1102" s="25">
        <f t="shared" si="68"/>
        <v>1.8282118110590773E-4</v>
      </c>
      <c r="M1102" s="16">
        <v>45211</v>
      </c>
      <c r="N1102" s="26">
        <f t="shared" si="69"/>
        <v>5.2664924374349112E-4</v>
      </c>
      <c r="O1102" s="26">
        <f>'Part 2 - CAPM 2.1, 2.2 and 2.3'!C1102-'Part 2 - CAPM 2.1, 2.2 and 2.3'!K1102</f>
        <v>6.3656099239417794E-3</v>
      </c>
    </row>
    <row r="1103" spans="1:15" x14ac:dyDescent="0.4">
      <c r="A1103" s="16">
        <v>45212</v>
      </c>
      <c r="B1103" s="14">
        <v>184.9</v>
      </c>
      <c r="C1103" s="25">
        <f t="shared" si="70"/>
        <v>2.4396855516401034E-3</v>
      </c>
      <c r="E1103" s="16">
        <v>45212</v>
      </c>
      <c r="F1103" s="15">
        <v>17390.349999999999</v>
      </c>
      <c r="G1103" s="25">
        <f t="shared" si="71"/>
        <v>-1.6848740219408017E-3</v>
      </c>
      <c r="I1103" s="16">
        <v>45212</v>
      </c>
      <c r="J1103" s="17">
        <v>6.9000000000000006E-2</v>
      </c>
      <c r="K1103" s="25">
        <f t="shared" si="68"/>
        <v>1.8282118110590773E-4</v>
      </c>
      <c r="M1103" s="16">
        <v>45212</v>
      </c>
      <c r="N1103" s="26">
        <f t="shared" si="69"/>
        <v>-1.8676952030467094E-3</v>
      </c>
      <c r="O1103" s="26">
        <f>'Part 2 - CAPM 2.1, 2.2 and 2.3'!C1103-'Part 2 - CAPM 2.1, 2.2 and 2.3'!K1103</f>
        <v>2.2568643705341957E-3</v>
      </c>
    </row>
    <row r="1104" spans="1:15" x14ac:dyDescent="0.4">
      <c r="A1104" s="16">
        <v>45215</v>
      </c>
      <c r="B1104" s="14">
        <v>186.55</v>
      </c>
      <c r="C1104" s="25">
        <f t="shared" si="70"/>
        <v>8.9237425635478942E-3</v>
      </c>
      <c r="E1104" s="16">
        <v>45215</v>
      </c>
      <c r="F1104" s="15">
        <v>17393</v>
      </c>
      <c r="G1104" s="25">
        <f t="shared" si="71"/>
        <v>1.5238336203707547E-4</v>
      </c>
      <c r="I1104" s="16">
        <v>45215</v>
      </c>
      <c r="J1104" s="17">
        <v>6.88E-2</v>
      </c>
      <c r="K1104" s="25">
        <f t="shared" si="68"/>
        <v>1.8230846219635666E-4</v>
      </c>
      <c r="M1104" s="16">
        <v>45215</v>
      </c>
      <c r="N1104" s="26">
        <f t="shared" si="69"/>
        <v>-2.9925100159281187E-5</v>
      </c>
      <c r="O1104" s="26">
        <f>'Part 2 - CAPM 2.1, 2.2 and 2.3'!C1104-'Part 2 - CAPM 2.1, 2.2 and 2.3'!K1104</f>
        <v>8.7414341013515376E-3</v>
      </c>
    </row>
    <row r="1105" spans="1:15" x14ac:dyDescent="0.4">
      <c r="A1105" s="16">
        <v>45216</v>
      </c>
      <c r="B1105" s="14">
        <v>186.25</v>
      </c>
      <c r="C1105" s="25">
        <f t="shared" si="70"/>
        <v>-1.6081479496114252E-3</v>
      </c>
      <c r="E1105" s="16">
        <v>45216</v>
      </c>
      <c r="F1105" s="15">
        <v>17467.7</v>
      </c>
      <c r="G1105" s="25">
        <f t="shared" si="71"/>
        <v>4.2948312539527814E-3</v>
      </c>
      <c r="I1105" s="16">
        <v>45216</v>
      </c>
      <c r="J1105" s="17">
        <v>6.88E-2</v>
      </c>
      <c r="K1105" s="25">
        <f t="shared" si="68"/>
        <v>1.8230846219635666E-4</v>
      </c>
      <c r="M1105" s="16">
        <v>45216</v>
      </c>
      <c r="N1105" s="26">
        <f t="shared" si="69"/>
        <v>4.1125227917564247E-3</v>
      </c>
      <c r="O1105" s="26">
        <f>'Part 2 - CAPM 2.1, 2.2 and 2.3'!C1105-'Part 2 - CAPM 2.1, 2.2 and 2.3'!K1105</f>
        <v>-1.7904564118077818E-3</v>
      </c>
    </row>
    <row r="1106" spans="1:15" x14ac:dyDescent="0.4">
      <c r="A1106" s="16">
        <v>45217</v>
      </c>
      <c r="B1106" s="14">
        <v>186.95</v>
      </c>
      <c r="C1106" s="25">
        <f t="shared" si="70"/>
        <v>3.7583892617449053E-3</v>
      </c>
      <c r="E1106" s="16">
        <v>45217</v>
      </c>
      <c r="F1106" s="15">
        <v>17344</v>
      </c>
      <c r="G1106" s="25">
        <f t="shared" si="71"/>
        <v>-7.0816421165923807E-3</v>
      </c>
      <c r="I1106" s="16">
        <v>45217</v>
      </c>
      <c r="J1106" s="17">
        <v>6.8900000000000003E-2</v>
      </c>
      <c r="K1106" s="25">
        <f t="shared" si="68"/>
        <v>1.8256483361001052E-4</v>
      </c>
      <c r="M1106" s="16">
        <v>45217</v>
      </c>
      <c r="N1106" s="26">
        <f t="shared" si="69"/>
        <v>-7.2642069502023912E-3</v>
      </c>
      <c r="O1106" s="26">
        <f>'Part 2 - CAPM 2.1, 2.2 and 2.3'!C1106-'Part 2 - CAPM 2.1, 2.2 and 2.3'!K1106</f>
        <v>3.5758244281348947E-3</v>
      </c>
    </row>
    <row r="1107" spans="1:15" x14ac:dyDescent="0.4">
      <c r="A1107" s="16">
        <v>45218</v>
      </c>
      <c r="B1107" s="14">
        <v>186.3</v>
      </c>
      <c r="C1107" s="25">
        <f t="shared" si="70"/>
        <v>-3.4768654720512293E-3</v>
      </c>
      <c r="E1107" s="16">
        <v>45218</v>
      </c>
      <c r="F1107" s="15">
        <v>17310.5</v>
      </c>
      <c r="G1107" s="25">
        <f t="shared" si="71"/>
        <v>-1.9315036900369004E-3</v>
      </c>
      <c r="I1107" s="16">
        <v>45218</v>
      </c>
      <c r="J1107" s="17">
        <v>6.93E-2</v>
      </c>
      <c r="K1107" s="25">
        <f t="shared" si="68"/>
        <v>1.8359008013191236E-4</v>
      </c>
      <c r="M1107" s="16">
        <v>45218</v>
      </c>
      <c r="N1107" s="26">
        <f t="shared" si="69"/>
        <v>-2.1150937701688126E-3</v>
      </c>
      <c r="O1107" s="26">
        <f>'Part 2 - CAPM 2.1, 2.2 and 2.3'!C1107-'Part 2 - CAPM 2.1, 2.2 and 2.3'!K1107</f>
        <v>-3.6604555521831416E-3</v>
      </c>
    </row>
    <row r="1108" spans="1:15" x14ac:dyDescent="0.4">
      <c r="A1108" s="16">
        <v>45219</v>
      </c>
      <c r="B1108" s="14">
        <v>186.2</v>
      </c>
      <c r="C1108" s="25">
        <f t="shared" si="70"/>
        <v>-5.3676865271080367E-4</v>
      </c>
      <c r="E1108" s="16">
        <v>45219</v>
      </c>
      <c r="F1108" s="15">
        <v>17208.75</v>
      </c>
      <c r="G1108" s="25">
        <f t="shared" si="71"/>
        <v>-5.8779353571531733E-3</v>
      </c>
      <c r="I1108" s="16">
        <v>45219</v>
      </c>
      <c r="J1108" s="17">
        <v>6.93E-2</v>
      </c>
      <c r="K1108" s="25">
        <f t="shared" si="68"/>
        <v>1.8359008013191236E-4</v>
      </c>
      <c r="M1108" s="16">
        <v>45219</v>
      </c>
      <c r="N1108" s="26">
        <f t="shared" si="69"/>
        <v>-6.0615254372850856E-3</v>
      </c>
      <c r="O1108" s="26">
        <f>'Part 2 - CAPM 2.1, 2.2 and 2.3'!C1108-'Part 2 - CAPM 2.1, 2.2 and 2.3'!K1108</f>
        <v>-7.2035873284271603E-4</v>
      </c>
    </row>
    <row r="1109" spans="1:15" x14ac:dyDescent="0.4">
      <c r="A1109" s="16">
        <v>45222</v>
      </c>
      <c r="B1109" s="14">
        <v>184.85</v>
      </c>
      <c r="C1109" s="25">
        <f t="shared" si="70"/>
        <v>-7.2502685284639868E-3</v>
      </c>
      <c r="E1109" s="16">
        <v>45222</v>
      </c>
      <c r="F1109" s="15">
        <v>16888.7</v>
      </c>
      <c r="G1109" s="25">
        <f t="shared" si="71"/>
        <v>-1.8598096898380143E-2</v>
      </c>
      <c r="I1109" s="16">
        <v>45222</v>
      </c>
      <c r="J1109" s="17">
        <v>6.93E-2</v>
      </c>
      <c r="K1109" s="25">
        <f t="shared" si="68"/>
        <v>1.8359008013191236E-4</v>
      </c>
      <c r="M1109" s="16">
        <v>45222</v>
      </c>
      <c r="N1109" s="26">
        <f t="shared" si="69"/>
        <v>-1.8781686978512055E-2</v>
      </c>
      <c r="O1109" s="26">
        <f>'Part 2 - CAPM 2.1, 2.2 and 2.3'!C1109-'Part 2 - CAPM 2.1, 2.2 and 2.3'!K1109</f>
        <v>-7.4338586085958992E-3</v>
      </c>
    </row>
    <row r="1110" spans="1:15" x14ac:dyDescent="0.4">
      <c r="A1110" s="16">
        <v>45224</v>
      </c>
      <c r="B1110" s="14">
        <v>184.35</v>
      </c>
      <c r="C1110" s="25">
        <f t="shared" si="70"/>
        <v>-2.7048958615093319E-3</v>
      </c>
      <c r="E1110" s="16">
        <v>45224</v>
      </c>
      <c r="F1110" s="15">
        <v>16760.8</v>
      </c>
      <c r="G1110" s="25">
        <f t="shared" si="71"/>
        <v>-7.5731110150574913E-3</v>
      </c>
      <c r="I1110" s="16">
        <v>45224</v>
      </c>
      <c r="J1110" s="17">
        <v>6.93E-2</v>
      </c>
      <c r="K1110" s="25">
        <f t="shared" si="68"/>
        <v>1.8359008013191236E-4</v>
      </c>
      <c r="M1110" s="16">
        <v>45224</v>
      </c>
      <c r="N1110" s="26">
        <f t="shared" si="69"/>
        <v>-7.7567010951894036E-3</v>
      </c>
      <c r="O1110" s="26">
        <f>'Part 2 - CAPM 2.1, 2.2 and 2.3'!C1110-'Part 2 - CAPM 2.1, 2.2 and 2.3'!K1110</f>
        <v>-2.8884859416412442E-3</v>
      </c>
    </row>
    <row r="1111" spans="1:15" x14ac:dyDescent="0.4">
      <c r="A1111" s="16">
        <v>45225</v>
      </c>
      <c r="B1111" s="14">
        <v>180.9</v>
      </c>
      <c r="C1111" s="25">
        <f t="shared" si="70"/>
        <v>-1.8714401952807099E-2</v>
      </c>
      <c r="E1111" s="16">
        <v>45225</v>
      </c>
      <c r="F1111" s="15">
        <v>16555.45</v>
      </c>
      <c r="G1111" s="25">
        <f t="shared" si="71"/>
        <v>-1.2251801823301904E-2</v>
      </c>
      <c r="I1111" s="16">
        <v>45225</v>
      </c>
      <c r="J1111" s="17">
        <v>6.93E-2</v>
      </c>
      <c r="K1111" s="25">
        <f t="shared" si="68"/>
        <v>1.8359008013191236E-4</v>
      </c>
      <c r="M1111" s="16">
        <v>45225</v>
      </c>
      <c r="N1111" s="26">
        <f t="shared" si="69"/>
        <v>-1.2435391903433816E-2</v>
      </c>
      <c r="O1111" s="26">
        <f>'Part 2 - CAPM 2.1, 2.2 and 2.3'!C1111-'Part 2 - CAPM 2.1, 2.2 and 2.3'!K1111</f>
        <v>-1.8897992032939012E-2</v>
      </c>
    </row>
    <row r="1112" spans="1:15" x14ac:dyDescent="0.4">
      <c r="A1112" s="16">
        <v>45226</v>
      </c>
      <c r="B1112" s="14">
        <v>184.75</v>
      </c>
      <c r="C1112" s="25">
        <f t="shared" si="70"/>
        <v>2.1282476506357072E-2</v>
      </c>
      <c r="E1112" s="16">
        <v>45226</v>
      </c>
      <c r="F1112" s="15">
        <v>16765.45</v>
      </c>
      <c r="G1112" s="25">
        <f t="shared" si="71"/>
        <v>1.2684644633640281E-2</v>
      </c>
      <c r="I1112" s="16">
        <v>45226</v>
      </c>
      <c r="J1112" s="17">
        <v>6.9500000000000006E-2</v>
      </c>
      <c r="K1112" s="25">
        <f t="shared" si="68"/>
        <v>1.8410255997558522E-4</v>
      </c>
      <c r="M1112" s="16">
        <v>45226</v>
      </c>
      <c r="N1112" s="26">
        <f t="shared" si="69"/>
        <v>1.2500542073664696E-2</v>
      </c>
      <c r="O1112" s="26">
        <f>'Part 2 - CAPM 2.1, 2.2 and 2.3'!C1112-'Part 2 - CAPM 2.1, 2.2 and 2.3'!K1112</f>
        <v>2.1098373946381487E-2</v>
      </c>
    </row>
    <row r="1113" spans="1:15" x14ac:dyDescent="0.4">
      <c r="A1113" s="16">
        <v>45229</v>
      </c>
      <c r="B1113" s="14">
        <v>188.8</v>
      </c>
      <c r="C1113" s="25">
        <f t="shared" si="70"/>
        <v>2.1921515561569752E-2</v>
      </c>
      <c r="E1113" s="16">
        <v>45229</v>
      </c>
      <c r="F1113" s="15">
        <v>16826.099999999999</v>
      </c>
      <c r="G1113" s="25">
        <f t="shared" si="71"/>
        <v>3.617558729410652E-3</v>
      </c>
      <c r="I1113" s="16">
        <v>45229</v>
      </c>
      <c r="J1113" s="17">
        <v>6.9199999999999998E-2</v>
      </c>
      <c r="K1113" s="25">
        <f t="shared" si="68"/>
        <v>1.8333380436241775E-4</v>
      </c>
      <c r="M1113" s="16">
        <v>45229</v>
      </c>
      <c r="N1113" s="26">
        <f t="shared" si="69"/>
        <v>3.4342249250482342E-3</v>
      </c>
      <c r="O1113" s="26">
        <f>'Part 2 - CAPM 2.1, 2.2 and 2.3'!C1113-'Part 2 - CAPM 2.1, 2.2 and 2.3'!K1113</f>
        <v>2.1738181757207334E-2</v>
      </c>
    </row>
    <row r="1114" spans="1:15" x14ac:dyDescent="0.4">
      <c r="A1114" s="16">
        <v>45230</v>
      </c>
      <c r="B1114" s="14">
        <v>186.15</v>
      </c>
      <c r="C1114" s="25">
        <f t="shared" si="70"/>
        <v>-1.4036016949152571E-2</v>
      </c>
      <c r="E1114" s="16">
        <v>45230</v>
      </c>
      <c r="F1114" s="15">
        <v>16801.099999999999</v>
      </c>
      <c r="G1114" s="25">
        <f t="shared" si="71"/>
        <v>-1.4857869619222519E-3</v>
      </c>
      <c r="I1114" s="16">
        <v>45230</v>
      </c>
      <c r="J1114" s="17">
        <v>6.9400000000000003E-2</v>
      </c>
      <c r="K1114" s="25">
        <f t="shared" si="68"/>
        <v>1.8384633200141387E-4</v>
      </c>
      <c r="M1114" s="16">
        <v>45230</v>
      </c>
      <c r="N1114" s="26">
        <f t="shared" si="69"/>
        <v>-1.6696332939236658E-3</v>
      </c>
      <c r="O1114" s="26">
        <f>'Part 2 - CAPM 2.1, 2.2 and 2.3'!C1114-'Part 2 - CAPM 2.1, 2.2 and 2.3'!K1114</f>
        <v>-1.4219863281153985E-2</v>
      </c>
    </row>
    <row r="1115" spans="1:15" x14ac:dyDescent="0.4">
      <c r="A1115" s="16">
        <v>45231</v>
      </c>
      <c r="B1115" s="14">
        <v>186.7</v>
      </c>
      <c r="C1115" s="25">
        <f t="shared" si="70"/>
        <v>2.9546065001342086E-3</v>
      </c>
      <c r="E1115" s="16">
        <v>45231</v>
      </c>
      <c r="F1115" s="15">
        <v>16732.95</v>
      </c>
      <c r="G1115" s="25">
        <f t="shared" si="71"/>
        <v>-4.0562820291527232E-3</v>
      </c>
      <c r="I1115" s="16">
        <v>45231</v>
      </c>
      <c r="J1115" s="17">
        <v>6.93E-2</v>
      </c>
      <c r="K1115" s="25">
        <f t="shared" si="68"/>
        <v>1.8359008013191236E-4</v>
      </c>
      <c r="M1115" s="16">
        <v>45231</v>
      </c>
      <c r="N1115" s="26">
        <f t="shared" si="69"/>
        <v>-4.2398721092846356E-3</v>
      </c>
      <c r="O1115" s="26">
        <f>'Part 2 - CAPM 2.1, 2.2 and 2.3'!C1115-'Part 2 - CAPM 2.1, 2.2 and 2.3'!K1115</f>
        <v>2.7710164200022962E-3</v>
      </c>
    </row>
    <row r="1116" spans="1:15" x14ac:dyDescent="0.4">
      <c r="A1116" s="16">
        <v>45232</v>
      </c>
      <c r="B1116" s="14">
        <v>186.2</v>
      </c>
      <c r="C1116" s="25">
        <f t="shared" si="70"/>
        <v>-2.6780931976432784E-3</v>
      </c>
      <c r="E1116" s="16">
        <v>45232</v>
      </c>
      <c r="F1116" s="15">
        <v>16890.8</v>
      </c>
      <c r="G1116" s="25">
        <f t="shared" si="71"/>
        <v>9.4334830379579539E-3</v>
      </c>
      <c r="I1116" s="16">
        <v>45232</v>
      </c>
      <c r="J1116" s="17">
        <v>6.9500000000000006E-2</v>
      </c>
      <c r="K1116" s="25">
        <f t="shared" si="68"/>
        <v>1.8410255997558522E-4</v>
      </c>
      <c r="M1116" s="16">
        <v>45232</v>
      </c>
      <c r="N1116" s="26">
        <f t="shared" si="69"/>
        <v>9.2493804779823687E-3</v>
      </c>
      <c r="O1116" s="26">
        <f>'Part 2 - CAPM 2.1, 2.2 and 2.3'!C1116-'Part 2 - CAPM 2.1, 2.2 and 2.3'!K1116</f>
        <v>-2.8621957576188636E-3</v>
      </c>
    </row>
    <row r="1117" spans="1:15" x14ac:dyDescent="0.4">
      <c r="A1117" s="16">
        <v>45233</v>
      </c>
      <c r="B1117" s="14">
        <v>190</v>
      </c>
      <c r="C1117" s="25">
        <f t="shared" si="70"/>
        <v>2.0408163265306183E-2</v>
      </c>
      <c r="E1117" s="16">
        <v>45233</v>
      </c>
      <c r="F1117" s="15">
        <v>17000.95</v>
      </c>
      <c r="G1117" s="25">
        <f t="shared" si="71"/>
        <v>6.5213015369314335E-3</v>
      </c>
      <c r="I1117" s="16">
        <v>45233</v>
      </c>
      <c r="J1117" s="17">
        <v>6.9500000000000006E-2</v>
      </c>
      <c r="K1117" s="25">
        <f t="shared" si="68"/>
        <v>1.8410255997558522E-4</v>
      </c>
      <c r="M1117" s="16">
        <v>45233</v>
      </c>
      <c r="N1117" s="26">
        <f t="shared" si="69"/>
        <v>6.3371989769558483E-3</v>
      </c>
      <c r="O1117" s="26">
        <f>'Part 2 - CAPM 2.1, 2.2 and 2.3'!C1117-'Part 2 - CAPM 2.1, 2.2 and 2.3'!K1117</f>
        <v>2.0224060705330598E-2</v>
      </c>
    </row>
    <row r="1118" spans="1:15" x14ac:dyDescent="0.4">
      <c r="A1118" s="16">
        <v>45236</v>
      </c>
      <c r="B1118" s="14">
        <v>193.3</v>
      </c>
      <c r="C1118" s="25">
        <f t="shared" si="70"/>
        <v>1.7368421052631637E-2</v>
      </c>
      <c r="E1118" s="16">
        <v>45236</v>
      </c>
      <c r="F1118" s="15">
        <v>17159.400000000001</v>
      </c>
      <c r="G1118" s="25">
        <f t="shared" si="71"/>
        <v>9.3200674079978313E-3</v>
      </c>
      <c r="I1118" s="16">
        <v>45236</v>
      </c>
      <c r="J1118" s="17">
        <v>6.93E-2</v>
      </c>
      <c r="K1118" s="25">
        <f t="shared" si="68"/>
        <v>1.8359008013191236E-4</v>
      </c>
      <c r="M1118" s="16">
        <v>45236</v>
      </c>
      <c r="N1118" s="26">
        <f t="shared" si="69"/>
        <v>9.1364773278659189E-3</v>
      </c>
      <c r="O1118" s="26">
        <f>'Part 2 - CAPM 2.1, 2.2 and 2.3'!C1118-'Part 2 - CAPM 2.1, 2.2 and 2.3'!K1118</f>
        <v>1.7184830972499725E-2</v>
      </c>
    </row>
    <row r="1119" spans="1:15" x14ac:dyDescent="0.4">
      <c r="A1119" s="16">
        <v>45237</v>
      </c>
      <c r="B1119" s="14">
        <v>193.2</v>
      </c>
      <c r="C1119" s="25">
        <f t="shared" si="70"/>
        <v>-5.1733057423705502E-4</v>
      </c>
      <c r="E1119" s="16">
        <v>45237</v>
      </c>
      <c r="F1119" s="15">
        <v>17187.8</v>
      </c>
      <c r="G1119" s="25">
        <f t="shared" si="71"/>
        <v>1.655069524575324E-3</v>
      </c>
      <c r="I1119" s="16">
        <v>45237</v>
      </c>
      <c r="J1119" s="17">
        <v>6.93E-2</v>
      </c>
      <c r="K1119" s="25">
        <f t="shared" si="68"/>
        <v>1.8359008013191236E-4</v>
      </c>
      <c r="M1119" s="16">
        <v>45237</v>
      </c>
      <c r="N1119" s="26">
        <f t="shared" si="69"/>
        <v>1.4714794444434117E-3</v>
      </c>
      <c r="O1119" s="26">
        <f>'Part 2 - CAPM 2.1, 2.2 and 2.3'!C1119-'Part 2 - CAPM 2.1, 2.2 and 2.3'!K1119</f>
        <v>-7.0092065436896738E-4</v>
      </c>
    </row>
    <row r="1120" spans="1:15" x14ac:dyDescent="0.4">
      <c r="A1120" s="16">
        <v>45238</v>
      </c>
      <c r="B1120" s="14">
        <v>195.35</v>
      </c>
      <c r="C1120" s="25">
        <f t="shared" si="70"/>
        <v>1.1128364389233985E-2</v>
      </c>
      <c r="E1120" s="16">
        <v>45238</v>
      </c>
      <c r="F1120" s="15">
        <v>17259.7</v>
      </c>
      <c r="G1120" s="25">
        <f t="shared" si="71"/>
        <v>4.1831997114233034E-3</v>
      </c>
      <c r="I1120" s="16">
        <v>45238</v>
      </c>
      <c r="J1120" s="17">
        <v>6.93E-2</v>
      </c>
      <c r="K1120" s="25">
        <f t="shared" si="68"/>
        <v>1.8359008013191236E-4</v>
      </c>
      <c r="M1120" s="16">
        <v>45238</v>
      </c>
      <c r="N1120" s="26">
        <f t="shared" si="69"/>
        <v>3.999609631291391E-3</v>
      </c>
      <c r="O1120" s="26">
        <f>'Part 2 - CAPM 2.1, 2.2 and 2.3'!C1120-'Part 2 - CAPM 2.1, 2.2 and 2.3'!K1120</f>
        <v>1.0944774309102073E-2</v>
      </c>
    </row>
    <row r="1121" spans="1:15" x14ac:dyDescent="0.4">
      <c r="A1121" s="16">
        <v>45239</v>
      </c>
      <c r="B1121" s="14">
        <v>192.7</v>
      </c>
      <c r="C1121" s="25">
        <f t="shared" si="70"/>
        <v>-1.3565395444074767E-2</v>
      </c>
      <c r="E1121" s="16">
        <v>45239</v>
      </c>
      <c r="F1121" s="15">
        <v>17218.900000000001</v>
      </c>
      <c r="G1121" s="25">
        <f t="shared" si="71"/>
        <v>-2.3638881324703946E-3</v>
      </c>
      <c r="I1121" s="16">
        <v>45239</v>
      </c>
      <c r="J1121" s="17">
        <v>6.9400000000000003E-2</v>
      </c>
      <c r="K1121" s="25">
        <f t="shared" si="68"/>
        <v>1.8384633200141387E-4</v>
      </c>
      <c r="M1121" s="16">
        <v>45239</v>
      </c>
      <c r="N1121" s="26">
        <f t="shared" si="69"/>
        <v>-2.5477344644718085E-3</v>
      </c>
      <c r="O1121" s="26">
        <f>'Part 2 - CAPM 2.1, 2.2 and 2.3'!C1121-'Part 2 - CAPM 2.1, 2.2 and 2.3'!K1121</f>
        <v>-1.3749241776076181E-2</v>
      </c>
    </row>
    <row r="1122" spans="1:15" x14ac:dyDescent="0.4">
      <c r="A1122" s="16">
        <v>45240</v>
      </c>
      <c r="B1122" s="14">
        <v>195.9</v>
      </c>
      <c r="C1122" s="25">
        <f t="shared" si="70"/>
        <v>1.660612350804368E-2</v>
      </c>
      <c r="E1122" s="16">
        <v>45240</v>
      </c>
      <c r="F1122" s="15">
        <v>17256.599999999999</v>
      </c>
      <c r="G1122" s="25">
        <f t="shared" si="71"/>
        <v>2.1894546109215507E-3</v>
      </c>
      <c r="I1122" s="16">
        <v>45240</v>
      </c>
      <c r="J1122" s="17">
        <v>6.9400000000000003E-2</v>
      </c>
      <c r="K1122" s="25">
        <f t="shared" si="68"/>
        <v>1.8384633200141387E-4</v>
      </c>
      <c r="M1122" s="16">
        <v>45240</v>
      </c>
      <c r="N1122" s="26">
        <f t="shared" si="69"/>
        <v>2.0056082789201369E-3</v>
      </c>
      <c r="O1122" s="26">
        <f>'Part 2 - CAPM 2.1, 2.2 and 2.3'!C1122-'Part 2 - CAPM 2.1, 2.2 and 2.3'!K1122</f>
        <v>1.6422277176042267E-2</v>
      </c>
    </row>
    <row r="1123" spans="1:15" x14ac:dyDescent="0.4">
      <c r="A1123" s="16">
        <v>45243</v>
      </c>
      <c r="B1123" s="14">
        <v>195.8</v>
      </c>
      <c r="C1123" s="25">
        <f t="shared" si="70"/>
        <v>-5.1046452271564222E-4</v>
      </c>
      <c r="E1123" s="16">
        <v>45243</v>
      </c>
      <c r="F1123" s="15">
        <v>17318.599999999999</v>
      </c>
      <c r="G1123" s="25">
        <f t="shared" si="71"/>
        <v>3.5928282512198233E-3</v>
      </c>
      <c r="I1123" s="16">
        <v>45243</v>
      </c>
      <c r="J1123" s="17">
        <v>6.9400000000000003E-2</v>
      </c>
      <c r="K1123" s="25">
        <f t="shared" si="68"/>
        <v>1.8384633200141387E-4</v>
      </c>
      <c r="M1123" s="16">
        <v>45243</v>
      </c>
      <c r="N1123" s="26">
        <f t="shared" si="69"/>
        <v>3.4089819192184095E-3</v>
      </c>
      <c r="O1123" s="26">
        <f>'Part 2 - CAPM 2.1, 2.2 and 2.3'!C1123-'Part 2 - CAPM 2.1, 2.2 and 2.3'!K1123</f>
        <v>-6.9431085471705609E-4</v>
      </c>
    </row>
    <row r="1124" spans="1:15" x14ac:dyDescent="0.4">
      <c r="A1124" s="16">
        <v>45245</v>
      </c>
      <c r="B1124" s="14">
        <v>199.5</v>
      </c>
      <c r="C1124" s="25">
        <f t="shared" si="70"/>
        <v>1.8896833503575017E-2</v>
      </c>
      <c r="E1124" s="16">
        <v>45245</v>
      </c>
      <c r="F1124" s="15">
        <v>17508.05</v>
      </c>
      <c r="G1124" s="25">
        <f t="shared" si="71"/>
        <v>1.0939105932350233E-2</v>
      </c>
      <c r="I1124" s="16">
        <v>45245</v>
      </c>
      <c r="J1124" s="17">
        <v>6.93E-2</v>
      </c>
      <c r="K1124" s="25">
        <f t="shared" si="68"/>
        <v>1.8359008013191236E-4</v>
      </c>
      <c r="M1124" s="16">
        <v>45245</v>
      </c>
      <c r="N1124" s="26">
        <f t="shared" si="69"/>
        <v>1.075551585221832E-2</v>
      </c>
      <c r="O1124" s="26">
        <f>'Part 2 - CAPM 2.1, 2.2 and 2.3'!C1124-'Part 2 - CAPM 2.1, 2.2 and 2.3'!K1124</f>
        <v>1.8713243423443104E-2</v>
      </c>
    </row>
    <row r="1125" spans="1:15" x14ac:dyDescent="0.4">
      <c r="A1125" s="16">
        <v>45246</v>
      </c>
      <c r="B1125" s="14">
        <v>201.8</v>
      </c>
      <c r="C1125" s="25">
        <f t="shared" si="70"/>
        <v>1.1528822055137902E-2</v>
      </c>
      <c r="E1125" s="16">
        <v>45246</v>
      </c>
      <c r="F1125" s="15">
        <v>17593.099999999999</v>
      </c>
      <c r="G1125" s="25">
        <f t="shared" si="71"/>
        <v>4.8577654279031235E-3</v>
      </c>
      <c r="I1125" s="16">
        <v>45246</v>
      </c>
      <c r="J1125" s="17">
        <v>6.93E-2</v>
      </c>
      <c r="K1125" s="25">
        <f t="shared" si="68"/>
        <v>1.8359008013191236E-4</v>
      </c>
      <c r="M1125" s="16">
        <v>45246</v>
      </c>
      <c r="N1125" s="26">
        <f t="shared" si="69"/>
        <v>4.6741753477712112E-3</v>
      </c>
      <c r="O1125" s="26">
        <f>'Part 2 - CAPM 2.1, 2.2 and 2.3'!C1125-'Part 2 - CAPM 2.1, 2.2 and 2.3'!K1125</f>
        <v>1.134523197500599E-2</v>
      </c>
    </row>
    <row r="1126" spans="1:15" x14ac:dyDescent="0.4">
      <c r="A1126" s="16">
        <v>45247</v>
      </c>
      <c r="B1126" s="14">
        <v>196.35</v>
      </c>
      <c r="C1126" s="25">
        <f t="shared" si="70"/>
        <v>-2.7006937561942602E-2</v>
      </c>
      <c r="E1126" s="16">
        <v>45247</v>
      </c>
      <c r="F1126" s="15">
        <v>17600.5</v>
      </c>
      <c r="G1126" s="25">
        <f t="shared" si="71"/>
        <v>4.206194473970736E-4</v>
      </c>
      <c r="I1126" s="16">
        <v>45247</v>
      </c>
      <c r="J1126" s="17">
        <v>6.93E-2</v>
      </c>
      <c r="K1126" s="25">
        <f t="shared" si="68"/>
        <v>1.8359008013191236E-4</v>
      </c>
      <c r="M1126" s="16">
        <v>45247</v>
      </c>
      <c r="N1126" s="26">
        <f t="shared" si="69"/>
        <v>2.3702936726516125E-4</v>
      </c>
      <c r="O1126" s="26">
        <f>'Part 2 - CAPM 2.1, 2.2 and 2.3'!C1126-'Part 2 - CAPM 2.1, 2.2 and 2.3'!K1126</f>
        <v>-2.7190527642074514E-2</v>
      </c>
    </row>
    <row r="1127" spans="1:15" x14ac:dyDescent="0.4">
      <c r="A1127" s="16">
        <v>45250</v>
      </c>
      <c r="B1127" s="14">
        <v>197.85</v>
      </c>
      <c r="C1127" s="25">
        <f t="shared" si="70"/>
        <v>7.6394194041252868E-3</v>
      </c>
      <c r="E1127" s="16">
        <v>45250</v>
      </c>
      <c r="F1127" s="15">
        <v>17573.650000000001</v>
      </c>
      <c r="G1127" s="25">
        <f t="shared" si="71"/>
        <v>-1.5255248430441489E-3</v>
      </c>
      <c r="I1127" s="16">
        <v>45250</v>
      </c>
      <c r="J1127" s="17">
        <v>6.9500000000000006E-2</v>
      </c>
      <c r="K1127" s="25">
        <f t="shared" si="68"/>
        <v>1.8410255997558522E-4</v>
      </c>
      <c r="M1127" s="16">
        <v>45250</v>
      </c>
      <c r="N1127" s="26">
        <f t="shared" si="69"/>
        <v>-1.7096274030197341E-3</v>
      </c>
      <c r="O1127" s="26">
        <f>'Part 2 - CAPM 2.1, 2.2 and 2.3'!C1127-'Part 2 - CAPM 2.1, 2.2 and 2.3'!K1127</f>
        <v>7.4553168441497016E-3</v>
      </c>
    </row>
    <row r="1128" spans="1:15" x14ac:dyDescent="0.4">
      <c r="A1128" s="16">
        <v>45251</v>
      </c>
      <c r="B1128" s="14">
        <v>191.2</v>
      </c>
      <c r="C1128" s="25">
        <f t="shared" si="70"/>
        <v>-3.361132170836495E-2</v>
      </c>
      <c r="E1128" s="16">
        <v>45251</v>
      </c>
      <c r="F1128" s="15">
        <v>17627.599999999999</v>
      </c>
      <c r="G1128" s="25">
        <f t="shared" si="71"/>
        <v>3.0699370933185244E-3</v>
      </c>
      <c r="I1128" s="16">
        <v>45251</v>
      </c>
      <c r="J1128" s="17">
        <v>6.9500000000000006E-2</v>
      </c>
      <c r="K1128" s="25">
        <f t="shared" si="68"/>
        <v>1.8410255997558522E-4</v>
      </c>
      <c r="M1128" s="16">
        <v>45251</v>
      </c>
      <c r="N1128" s="26">
        <f t="shared" si="69"/>
        <v>2.8858345333429391E-3</v>
      </c>
      <c r="O1128" s="26">
        <f>'Part 2 - CAPM 2.1, 2.2 and 2.3'!C1128-'Part 2 - CAPM 2.1, 2.2 and 2.3'!K1128</f>
        <v>-3.3795424268340535E-2</v>
      </c>
    </row>
    <row r="1129" spans="1:15" x14ac:dyDescent="0.4">
      <c r="A1129" s="16">
        <v>45252</v>
      </c>
      <c r="B1129" s="14">
        <v>191</v>
      </c>
      <c r="C1129" s="25">
        <f t="shared" si="70"/>
        <v>-1.046025104602451E-3</v>
      </c>
      <c r="E1129" s="16">
        <v>45252</v>
      </c>
      <c r="F1129" s="15">
        <v>17627.7</v>
      </c>
      <c r="G1129" s="25">
        <f t="shared" si="71"/>
        <v>5.6729220087920535E-6</v>
      </c>
      <c r="I1129" s="16">
        <v>45252</v>
      </c>
      <c r="J1129" s="17">
        <v>6.9400000000000003E-2</v>
      </c>
      <c r="K1129" s="25">
        <f t="shared" si="68"/>
        <v>1.8384633200141387E-4</v>
      </c>
      <c r="M1129" s="16">
        <v>45252</v>
      </c>
      <c r="N1129" s="26">
        <f t="shared" si="69"/>
        <v>-1.7817340999262181E-4</v>
      </c>
      <c r="O1129" s="26">
        <f>'Part 2 - CAPM 2.1, 2.2 and 2.3'!C1129-'Part 2 - CAPM 2.1, 2.2 and 2.3'!K1129</f>
        <v>-1.2298714366038648E-3</v>
      </c>
    </row>
    <row r="1130" spans="1:15" x14ac:dyDescent="0.4">
      <c r="A1130" s="16">
        <v>45253</v>
      </c>
      <c r="B1130" s="14">
        <v>190.65</v>
      </c>
      <c r="C1130" s="25">
        <f t="shared" si="70"/>
        <v>-1.8324607329842635E-3</v>
      </c>
      <c r="E1130" s="16">
        <v>45253</v>
      </c>
      <c r="F1130" s="15">
        <v>17639.400000000001</v>
      </c>
      <c r="G1130" s="25">
        <f t="shared" si="71"/>
        <v>6.6372810973642203E-4</v>
      </c>
      <c r="I1130" s="16">
        <v>45253</v>
      </c>
      <c r="J1130" s="17">
        <v>6.9500000000000006E-2</v>
      </c>
      <c r="K1130" s="25">
        <f t="shared" si="68"/>
        <v>1.8410255997558522E-4</v>
      </c>
      <c r="M1130" s="16">
        <v>45253</v>
      </c>
      <c r="N1130" s="26">
        <f t="shared" si="69"/>
        <v>4.7962554976083681E-4</v>
      </c>
      <c r="O1130" s="26">
        <f>'Part 2 - CAPM 2.1, 2.2 and 2.3'!C1130-'Part 2 - CAPM 2.1, 2.2 and 2.3'!K1130</f>
        <v>-2.016563292959849E-3</v>
      </c>
    </row>
    <row r="1131" spans="1:15" x14ac:dyDescent="0.4">
      <c r="A1131" s="16">
        <v>45254</v>
      </c>
      <c r="B1131" s="14">
        <v>188.85</v>
      </c>
      <c r="C1131" s="25">
        <f t="shared" si="70"/>
        <v>-9.4413847364280684E-3</v>
      </c>
      <c r="E1131" s="16">
        <v>45254</v>
      </c>
      <c r="F1131" s="15">
        <v>17643.5</v>
      </c>
      <c r="G1131" s="25">
        <f t="shared" si="71"/>
        <v>2.3243420978029549E-4</v>
      </c>
      <c r="I1131" s="16">
        <v>45254</v>
      </c>
      <c r="J1131" s="17">
        <v>6.9500000000000006E-2</v>
      </c>
      <c r="K1131" s="25">
        <f t="shared" si="68"/>
        <v>1.8410255997558522E-4</v>
      </c>
      <c r="M1131" s="16">
        <v>45254</v>
      </c>
      <c r="N1131" s="26">
        <f t="shared" si="69"/>
        <v>4.8331649804710266E-5</v>
      </c>
      <c r="O1131" s="26">
        <f>'Part 2 - CAPM 2.1, 2.2 and 2.3'!C1131-'Part 2 - CAPM 2.1, 2.2 and 2.3'!K1131</f>
        <v>-9.6254872964036536E-3</v>
      </c>
    </row>
    <row r="1132" spans="1:15" x14ac:dyDescent="0.4">
      <c r="A1132" s="16">
        <v>45258</v>
      </c>
      <c r="B1132" s="14">
        <v>193.95</v>
      </c>
      <c r="C1132" s="25">
        <f t="shared" si="70"/>
        <v>2.7005559968228725E-2</v>
      </c>
      <c r="E1132" s="16">
        <v>45258</v>
      </c>
      <c r="F1132" s="15">
        <v>17741.8</v>
      </c>
      <c r="G1132" s="25">
        <f t="shared" si="71"/>
        <v>5.5714569104769046E-3</v>
      </c>
      <c r="I1132" s="16">
        <v>45258</v>
      </c>
      <c r="J1132" s="17">
        <v>6.9500000000000006E-2</v>
      </c>
      <c r="K1132" s="25">
        <f t="shared" si="68"/>
        <v>1.8410255997558522E-4</v>
      </c>
      <c r="M1132" s="16">
        <v>45258</v>
      </c>
      <c r="N1132" s="26">
        <f t="shared" si="69"/>
        <v>5.3873543505013194E-3</v>
      </c>
      <c r="O1132" s="26">
        <f>'Part 2 - CAPM 2.1, 2.2 and 2.3'!C1132-'Part 2 - CAPM 2.1, 2.2 and 2.3'!K1132</f>
        <v>2.682145740825314E-2</v>
      </c>
    </row>
    <row r="1133" spans="1:15" x14ac:dyDescent="0.4">
      <c r="A1133" s="16">
        <v>45259</v>
      </c>
      <c r="B1133" s="14">
        <v>192</v>
      </c>
      <c r="C1133" s="25">
        <f t="shared" si="70"/>
        <v>-1.0054137664346423E-2</v>
      </c>
      <c r="E1133" s="16">
        <v>45259</v>
      </c>
      <c r="F1133" s="15">
        <v>17904.099999999999</v>
      </c>
      <c r="G1133" s="25">
        <f t="shared" si="71"/>
        <v>9.1478880384177081E-3</v>
      </c>
      <c r="I1133" s="16">
        <v>45259</v>
      </c>
      <c r="J1133" s="17">
        <v>6.9800000000000001E-2</v>
      </c>
      <c r="K1133" s="25">
        <f t="shared" si="68"/>
        <v>1.8487110056986111E-4</v>
      </c>
      <c r="M1133" s="16">
        <v>45259</v>
      </c>
      <c r="N1133" s="26">
        <f t="shared" si="69"/>
        <v>8.963016937847847E-3</v>
      </c>
      <c r="O1133" s="26">
        <f>'Part 2 - CAPM 2.1, 2.2 and 2.3'!C1133-'Part 2 - CAPM 2.1, 2.2 and 2.3'!K1133</f>
        <v>-1.0239008764916284E-2</v>
      </c>
    </row>
    <row r="1134" spans="1:15" x14ac:dyDescent="0.4">
      <c r="A1134" s="16">
        <v>45260</v>
      </c>
      <c r="B1134" s="14">
        <v>194.95</v>
      </c>
      <c r="C1134" s="25">
        <f t="shared" si="70"/>
        <v>1.5364583333333274E-2</v>
      </c>
      <c r="E1134" s="16">
        <v>45260</v>
      </c>
      <c r="F1134" s="15">
        <v>17987.95</v>
      </c>
      <c r="G1134" s="25">
        <f t="shared" si="71"/>
        <v>4.6832848342001103E-3</v>
      </c>
      <c r="I1134" s="16">
        <v>45260</v>
      </c>
      <c r="J1134" s="17">
        <v>6.9900000000000004E-2</v>
      </c>
      <c r="K1134" s="25">
        <f t="shared" si="68"/>
        <v>1.8512723300667666E-4</v>
      </c>
      <c r="M1134" s="16">
        <v>45260</v>
      </c>
      <c r="N1134" s="26">
        <f t="shared" si="69"/>
        <v>4.4981576011934336E-3</v>
      </c>
      <c r="O1134" s="26">
        <f>'Part 2 - CAPM 2.1, 2.2 and 2.3'!C1134-'Part 2 - CAPM 2.1, 2.2 and 2.3'!K1134</f>
        <v>1.5179456100326597E-2</v>
      </c>
    </row>
    <row r="1135" spans="1:15" x14ac:dyDescent="0.4">
      <c r="A1135" s="16">
        <v>45261</v>
      </c>
      <c r="B1135" s="14">
        <v>194.55</v>
      </c>
      <c r="C1135" s="25">
        <f t="shared" si="70"/>
        <v>-2.0518081559373035E-3</v>
      </c>
      <c r="E1135" s="16">
        <v>45261</v>
      </c>
      <c r="F1135" s="15">
        <v>18115.349999999999</v>
      </c>
      <c r="G1135" s="25">
        <f t="shared" si="71"/>
        <v>7.0825191308624838E-3</v>
      </c>
      <c r="I1135" s="16">
        <v>45261</v>
      </c>
      <c r="J1135" s="17">
        <v>6.9800000000000001E-2</v>
      </c>
      <c r="K1135" s="25">
        <f t="shared" si="68"/>
        <v>1.8487110056986111E-4</v>
      </c>
      <c r="M1135" s="16">
        <v>45261</v>
      </c>
      <c r="N1135" s="26">
        <f t="shared" si="69"/>
        <v>6.8976480302926227E-3</v>
      </c>
      <c r="O1135" s="26">
        <f>'Part 2 - CAPM 2.1, 2.2 and 2.3'!C1135-'Part 2 - CAPM 2.1, 2.2 and 2.3'!K1135</f>
        <v>-2.2366792565071646E-3</v>
      </c>
    </row>
    <row r="1136" spans="1:15" x14ac:dyDescent="0.4">
      <c r="A1136" s="16">
        <v>45264</v>
      </c>
      <c r="B1136" s="14">
        <v>202.05</v>
      </c>
      <c r="C1136" s="25">
        <f t="shared" si="70"/>
        <v>3.8550501156515031E-2</v>
      </c>
      <c r="E1136" s="16">
        <v>45264</v>
      </c>
      <c r="F1136" s="15">
        <v>18448.5</v>
      </c>
      <c r="G1136" s="25">
        <f t="shared" si="71"/>
        <v>1.8390481000919192E-2</v>
      </c>
      <c r="I1136" s="16">
        <v>45264</v>
      </c>
      <c r="J1136" s="17">
        <v>6.9800000000000001E-2</v>
      </c>
      <c r="K1136" s="25">
        <f t="shared" si="68"/>
        <v>1.8487110056986111E-4</v>
      </c>
      <c r="M1136" s="16">
        <v>45264</v>
      </c>
      <c r="N1136" s="26">
        <f t="shared" si="69"/>
        <v>1.8205609900349331E-2</v>
      </c>
      <c r="O1136" s="26">
        <f>'Part 2 - CAPM 2.1, 2.2 and 2.3'!C1136-'Part 2 - CAPM 2.1, 2.2 and 2.3'!K1136</f>
        <v>3.836563005594517E-2</v>
      </c>
    </row>
    <row r="1137" spans="1:15" x14ac:dyDescent="0.4">
      <c r="A1137" s="16">
        <v>45265</v>
      </c>
      <c r="B1137" s="14">
        <v>202.05</v>
      </c>
      <c r="C1137" s="25">
        <f t="shared" si="70"/>
        <v>0</v>
      </c>
      <c r="E1137" s="16">
        <v>45265</v>
      </c>
      <c r="F1137" s="15">
        <v>18588.55</v>
      </c>
      <c r="G1137" s="25">
        <f t="shared" si="71"/>
        <v>7.5914030951025431E-3</v>
      </c>
      <c r="I1137" s="16">
        <v>45265</v>
      </c>
      <c r="J1137" s="17">
        <v>6.9800000000000001E-2</v>
      </c>
      <c r="K1137" s="25">
        <f t="shared" si="68"/>
        <v>1.8487110056986111E-4</v>
      </c>
      <c r="M1137" s="16">
        <v>45265</v>
      </c>
      <c r="N1137" s="26">
        <f t="shared" si="69"/>
        <v>7.406531994532682E-3</v>
      </c>
      <c r="O1137" s="26">
        <f>'Part 2 - CAPM 2.1, 2.2 and 2.3'!C1137-'Part 2 - CAPM 2.1, 2.2 and 2.3'!K1137</f>
        <v>-1.8487110056986111E-4</v>
      </c>
    </row>
    <row r="1138" spans="1:15" x14ac:dyDescent="0.4">
      <c r="A1138" s="16">
        <v>45266</v>
      </c>
      <c r="B1138" s="14">
        <v>201.95</v>
      </c>
      <c r="C1138" s="25">
        <f t="shared" si="70"/>
        <v>-4.9492699826786802E-4</v>
      </c>
      <c r="E1138" s="16">
        <v>45266</v>
      </c>
      <c r="F1138" s="15">
        <v>18680</v>
      </c>
      <c r="G1138" s="25">
        <f t="shared" si="71"/>
        <v>4.9196951887049145E-3</v>
      </c>
      <c r="I1138" s="16">
        <v>45266</v>
      </c>
      <c r="J1138" s="17">
        <v>6.9699999999999998E-2</v>
      </c>
      <c r="K1138" s="25">
        <f t="shared" si="68"/>
        <v>1.8461494425525693E-4</v>
      </c>
      <c r="M1138" s="16">
        <v>45266</v>
      </c>
      <c r="N1138" s="26">
        <f t="shared" si="69"/>
        <v>4.7350802444496576E-3</v>
      </c>
      <c r="O1138" s="26">
        <f>'Part 2 - CAPM 2.1, 2.2 and 2.3'!C1138-'Part 2 - CAPM 2.1, 2.2 and 2.3'!K1138</f>
        <v>-6.7954194252312495E-4</v>
      </c>
    </row>
    <row r="1139" spans="1:15" x14ac:dyDescent="0.4">
      <c r="A1139" s="16">
        <v>45267</v>
      </c>
      <c r="B1139" s="14">
        <v>198.9</v>
      </c>
      <c r="C1139" s="25">
        <f t="shared" si="70"/>
        <v>-1.5102748205001154E-2</v>
      </c>
      <c r="E1139" s="16">
        <v>45267</v>
      </c>
      <c r="F1139" s="15">
        <v>18703.849999999999</v>
      </c>
      <c r="G1139" s="25">
        <f t="shared" si="71"/>
        <v>1.2767665952890014E-3</v>
      </c>
      <c r="I1139" s="16">
        <v>45267</v>
      </c>
      <c r="J1139" s="17">
        <v>6.9800000000000001E-2</v>
      </c>
      <c r="K1139" s="25">
        <f t="shared" si="68"/>
        <v>1.8487110056986111E-4</v>
      </c>
      <c r="M1139" s="16">
        <v>45267</v>
      </c>
      <c r="N1139" s="26">
        <f t="shared" si="69"/>
        <v>1.0918954947191403E-3</v>
      </c>
      <c r="O1139" s="26">
        <f>'Part 2 - CAPM 2.1, 2.2 and 2.3'!C1139-'Part 2 - CAPM 2.1, 2.2 and 2.3'!K1139</f>
        <v>-1.5287619305571015E-2</v>
      </c>
    </row>
    <row r="1140" spans="1:15" x14ac:dyDescent="0.4">
      <c r="A1140" s="16">
        <v>45268</v>
      </c>
      <c r="B1140" s="14">
        <v>195.95</v>
      </c>
      <c r="C1140" s="25">
        <f t="shared" si="70"/>
        <v>-1.4831573655103153E-2</v>
      </c>
      <c r="E1140" s="16">
        <v>45268</v>
      </c>
      <c r="F1140" s="15">
        <v>18703.5</v>
      </c>
      <c r="G1140" s="25">
        <f t="shared" si="71"/>
        <v>-1.8712724920192626E-5</v>
      </c>
      <c r="I1140" s="16">
        <v>45268</v>
      </c>
      <c r="J1140" s="17">
        <v>6.9699999999999998E-2</v>
      </c>
      <c r="K1140" s="25">
        <f t="shared" si="68"/>
        <v>1.8461494425525693E-4</v>
      </c>
      <c r="M1140" s="16">
        <v>45268</v>
      </c>
      <c r="N1140" s="26">
        <f t="shared" si="69"/>
        <v>-2.0332766917544956E-4</v>
      </c>
      <c r="O1140" s="26">
        <f>'Part 2 - CAPM 2.1, 2.2 and 2.3'!C1140-'Part 2 - CAPM 2.1, 2.2 and 2.3'!K1140</f>
        <v>-1.501618859935841E-2</v>
      </c>
    </row>
    <row r="1141" spans="1:15" x14ac:dyDescent="0.4">
      <c r="A1141" s="16">
        <v>45271</v>
      </c>
      <c r="B1141" s="14">
        <v>197.8</v>
      </c>
      <c r="C1141" s="25">
        <f t="shared" si="70"/>
        <v>9.4411839755040722E-3</v>
      </c>
      <c r="E1141" s="16">
        <v>45271</v>
      </c>
      <c r="F1141" s="15">
        <v>18770.2</v>
      </c>
      <c r="G1141" s="25">
        <f t="shared" si="71"/>
        <v>3.5661774534178482E-3</v>
      </c>
      <c r="I1141" s="16">
        <v>45271</v>
      </c>
      <c r="J1141" s="17">
        <v>6.9500000000000006E-2</v>
      </c>
      <c r="K1141" s="25">
        <f t="shared" si="68"/>
        <v>1.8410255997558522E-4</v>
      </c>
      <c r="M1141" s="16">
        <v>45271</v>
      </c>
      <c r="N1141" s="26">
        <f t="shared" si="69"/>
        <v>3.382074893442263E-3</v>
      </c>
      <c r="O1141" s="26">
        <f>'Part 2 - CAPM 2.1, 2.2 and 2.3'!C1141-'Part 2 - CAPM 2.1, 2.2 and 2.3'!K1141</f>
        <v>9.257081415528487E-3</v>
      </c>
    </row>
    <row r="1142" spans="1:15" x14ac:dyDescent="0.4">
      <c r="A1142" s="16">
        <v>45272</v>
      </c>
      <c r="B1142" s="14">
        <v>195.4</v>
      </c>
      <c r="C1142" s="25">
        <f t="shared" si="70"/>
        <v>-1.2133468149646135E-2</v>
      </c>
      <c r="E1142" s="16">
        <v>45272</v>
      </c>
      <c r="F1142" s="15">
        <v>18686.8</v>
      </c>
      <c r="G1142" s="25">
        <f t="shared" si="71"/>
        <v>-4.4432131783359499E-3</v>
      </c>
      <c r="I1142" s="16">
        <v>45272</v>
      </c>
      <c r="J1142" s="17">
        <v>6.9699999999999998E-2</v>
      </c>
      <c r="K1142" s="25">
        <f t="shared" si="68"/>
        <v>1.8461494425525693E-4</v>
      </c>
      <c r="M1142" s="16">
        <v>45272</v>
      </c>
      <c r="N1142" s="26">
        <f t="shared" si="69"/>
        <v>-4.6278281225912068E-3</v>
      </c>
      <c r="O1142" s="26">
        <f>'Part 2 - CAPM 2.1, 2.2 and 2.3'!C1142-'Part 2 - CAPM 2.1, 2.2 and 2.3'!K1142</f>
        <v>-1.2318083093901392E-2</v>
      </c>
    </row>
    <row r="1143" spans="1:15" x14ac:dyDescent="0.4">
      <c r="A1143" s="16">
        <v>45273</v>
      </c>
      <c r="B1143" s="14">
        <v>193.15</v>
      </c>
      <c r="C1143" s="25">
        <f t="shared" si="70"/>
        <v>-1.1514841351074718E-2</v>
      </c>
      <c r="E1143" s="16">
        <v>45273</v>
      </c>
      <c r="F1143" s="15">
        <v>18751.45</v>
      </c>
      <c r="G1143" s="25">
        <f t="shared" si="71"/>
        <v>3.459661365241853E-3</v>
      </c>
      <c r="I1143" s="16">
        <v>45273</v>
      </c>
      <c r="J1143" s="17">
        <v>6.9699999999999998E-2</v>
      </c>
      <c r="K1143" s="25">
        <f t="shared" si="68"/>
        <v>1.8461494425525693E-4</v>
      </c>
      <c r="M1143" s="16">
        <v>45273</v>
      </c>
      <c r="N1143" s="26">
        <f t="shared" si="69"/>
        <v>3.2750464209865961E-3</v>
      </c>
      <c r="O1143" s="26">
        <f>'Part 2 - CAPM 2.1, 2.2 and 2.3'!C1143-'Part 2 - CAPM 2.1, 2.2 and 2.3'!K1143</f>
        <v>-1.1699456295329974E-2</v>
      </c>
    </row>
    <row r="1144" spans="1:15" x14ac:dyDescent="0.4">
      <c r="A1144" s="16">
        <v>45274</v>
      </c>
      <c r="B1144" s="14">
        <v>195.95</v>
      </c>
      <c r="C1144" s="25">
        <f t="shared" si="70"/>
        <v>1.4496505306756318E-2</v>
      </c>
      <c r="E1144" s="16">
        <v>45274</v>
      </c>
      <c r="F1144" s="15">
        <v>18973.849999999999</v>
      </c>
      <c r="G1144" s="25">
        <f t="shared" si="71"/>
        <v>1.1860416127819332E-2</v>
      </c>
      <c r="I1144" s="16">
        <v>45274</v>
      </c>
      <c r="J1144" s="17">
        <v>6.9900000000000004E-2</v>
      </c>
      <c r="K1144" s="25">
        <f t="shared" si="68"/>
        <v>1.8512723300667666E-4</v>
      </c>
      <c r="M1144" s="16">
        <v>45274</v>
      </c>
      <c r="N1144" s="26">
        <f t="shared" si="69"/>
        <v>1.1675288894812655E-2</v>
      </c>
      <c r="O1144" s="26">
        <f>'Part 2 - CAPM 2.1, 2.2 and 2.3'!C1144-'Part 2 - CAPM 2.1, 2.2 and 2.3'!K1144</f>
        <v>1.4311378073749641E-2</v>
      </c>
    </row>
    <row r="1145" spans="1:15" x14ac:dyDescent="0.4">
      <c r="A1145" s="16">
        <v>45275</v>
      </c>
      <c r="B1145" s="14">
        <v>201.05</v>
      </c>
      <c r="C1145" s="25">
        <f t="shared" si="70"/>
        <v>2.6027047716254265E-2</v>
      </c>
      <c r="E1145" s="16">
        <v>45275</v>
      </c>
      <c r="F1145" s="15">
        <v>19145.05</v>
      </c>
      <c r="G1145" s="25">
        <f t="shared" si="71"/>
        <v>9.0229447370987308E-3</v>
      </c>
      <c r="I1145" s="16">
        <v>45275</v>
      </c>
      <c r="J1145" s="17">
        <v>6.8900000000000003E-2</v>
      </c>
      <c r="K1145" s="25">
        <f t="shared" si="68"/>
        <v>1.8256483361001052E-4</v>
      </c>
      <c r="M1145" s="16">
        <v>45275</v>
      </c>
      <c r="N1145" s="26">
        <f t="shared" si="69"/>
        <v>8.8403799034887202E-3</v>
      </c>
      <c r="O1145" s="26">
        <f>'Part 2 - CAPM 2.1, 2.2 and 2.3'!C1145-'Part 2 - CAPM 2.1, 2.2 and 2.3'!K1145</f>
        <v>2.5844482882644255E-2</v>
      </c>
    </row>
    <row r="1146" spans="1:15" x14ac:dyDescent="0.4">
      <c r="A1146" s="16">
        <v>45278</v>
      </c>
      <c r="B1146" s="14">
        <v>199</v>
      </c>
      <c r="C1146" s="25">
        <f t="shared" si="70"/>
        <v>-1.0196468540164195E-2</v>
      </c>
      <c r="E1146" s="16">
        <v>45278</v>
      </c>
      <c r="F1146" s="15">
        <v>19155.55</v>
      </c>
      <c r="G1146" s="25">
        <f t="shared" si="71"/>
        <v>5.4844463712552327E-4</v>
      </c>
      <c r="I1146" s="16">
        <v>45278</v>
      </c>
      <c r="J1146" s="17">
        <v>6.93E-2</v>
      </c>
      <c r="K1146" s="25">
        <f t="shared" si="68"/>
        <v>1.8359008013191236E-4</v>
      </c>
      <c r="M1146" s="16">
        <v>45278</v>
      </c>
      <c r="N1146" s="26">
        <f t="shared" si="69"/>
        <v>3.6485455699361092E-4</v>
      </c>
      <c r="O1146" s="26">
        <f>'Part 2 - CAPM 2.1, 2.2 and 2.3'!C1146-'Part 2 - CAPM 2.1, 2.2 and 2.3'!K1146</f>
        <v>-1.0380058620296107E-2</v>
      </c>
    </row>
    <row r="1147" spans="1:15" x14ac:dyDescent="0.4">
      <c r="A1147" s="16">
        <v>45279</v>
      </c>
      <c r="B1147" s="14">
        <v>200.3</v>
      </c>
      <c r="C1147" s="25">
        <f t="shared" si="70"/>
        <v>6.5326633165829718E-3</v>
      </c>
      <c r="E1147" s="16">
        <v>45279</v>
      </c>
      <c r="F1147" s="15">
        <v>19169.25</v>
      </c>
      <c r="G1147" s="25">
        <f t="shared" si="71"/>
        <v>7.1519742320114686E-4</v>
      </c>
      <c r="I1147" s="16">
        <v>45279</v>
      </c>
      <c r="J1147" s="17">
        <v>6.9500000000000006E-2</v>
      </c>
      <c r="K1147" s="25">
        <f t="shared" si="68"/>
        <v>1.8410255997558522E-4</v>
      </c>
      <c r="M1147" s="16">
        <v>45279</v>
      </c>
      <c r="N1147" s="26">
        <f t="shared" si="69"/>
        <v>5.3109486322556164E-4</v>
      </c>
      <c r="O1147" s="26">
        <f>'Part 2 - CAPM 2.1, 2.2 and 2.3'!C1147-'Part 2 - CAPM 2.1, 2.2 and 2.3'!K1147</f>
        <v>6.3485607566073866E-3</v>
      </c>
    </row>
    <row r="1148" spans="1:15" x14ac:dyDescent="0.4">
      <c r="A1148" s="16">
        <v>45280</v>
      </c>
      <c r="B1148" s="14">
        <v>203.2</v>
      </c>
      <c r="C1148" s="25">
        <f t="shared" si="70"/>
        <v>1.4478282576135681E-2</v>
      </c>
      <c r="E1148" s="16">
        <v>45280</v>
      </c>
      <c r="F1148" s="15">
        <v>18779.45</v>
      </c>
      <c r="G1148" s="25">
        <f t="shared" si="71"/>
        <v>-2.0334650547100135E-2</v>
      </c>
      <c r="I1148" s="16">
        <v>45280</v>
      </c>
      <c r="J1148" s="17">
        <v>6.9800000000000001E-2</v>
      </c>
      <c r="K1148" s="25">
        <f t="shared" si="68"/>
        <v>1.8487110056986111E-4</v>
      </c>
      <c r="M1148" s="16">
        <v>45280</v>
      </c>
      <c r="N1148" s="26">
        <f t="shared" si="69"/>
        <v>-2.0519521647669996E-2</v>
      </c>
      <c r="O1148" s="26">
        <f>'Part 2 - CAPM 2.1, 2.2 and 2.3'!C1148-'Part 2 - CAPM 2.1, 2.2 and 2.3'!K1148</f>
        <v>1.429341147556582E-2</v>
      </c>
    </row>
    <row r="1149" spans="1:15" x14ac:dyDescent="0.4">
      <c r="A1149" s="16">
        <v>45281</v>
      </c>
      <c r="B1149" s="14">
        <v>202.65</v>
      </c>
      <c r="C1149" s="25">
        <f t="shared" si="70"/>
        <v>-2.706692913385743E-3</v>
      </c>
      <c r="E1149" s="16">
        <v>45281</v>
      </c>
      <c r="F1149" s="15">
        <v>18941.8</v>
      </c>
      <c r="G1149" s="25">
        <f t="shared" si="71"/>
        <v>8.6450881149340662E-3</v>
      </c>
      <c r="I1149" s="16">
        <v>45281</v>
      </c>
      <c r="J1149" s="17">
        <v>6.9599999999999995E-2</v>
      </c>
      <c r="K1149" s="25">
        <f t="shared" si="68"/>
        <v>1.8435876405864526E-4</v>
      </c>
      <c r="M1149" s="16">
        <v>45281</v>
      </c>
      <c r="N1149" s="26">
        <f t="shared" si="69"/>
        <v>8.4607293508754209E-3</v>
      </c>
      <c r="O1149" s="26">
        <f>'Part 2 - CAPM 2.1, 2.2 and 2.3'!C1149-'Part 2 - CAPM 2.1, 2.2 and 2.3'!K1149</f>
        <v>-2.8910516774443883E-3</v>
      </c>
    </row>
    <row r="1150" spans="1:15" x14ac:dyDescent="0.4">
      <c r="A1150" s="16">
        <v>45282</v>
      </c>
      <c r="B1150" s="14">
        <v>203.95</v>
      </c>
      <c r="C1150" s="25">
        <f t="shared" si="70"/>
        <v>6.415001233653999E-3</v>
      </c>
      <c r="E1150" s="16">
        <v>45282</v>
      </c>
      <c r="F1150" s="15">
        <v>19054.7</v>
      </c>
      <c r="G1150" s="25">
        <f t="shared" si="71"/>
        <v>5.9603627955105353E-3</v>
      </c>
      <c r="I1150" s="16">
        <v>45282</v>
      </c>
      <c r="J1150" s="17">
        <v>6.9699999999999998E-2</v>
      </c>
      <c r="K1150" s="25">
        <f t="shared" si="68"/>
        <v>1.8461494425525693E-4</v>
      </c>
      <c r="M1150" s="16">
        <v>45282</v>
      </c>
      <c r="N1150" s="26">
        <f t="shared" si="69"/>
        <v>5.7757478512552784E-3</v>
      </c>
      <c r="O1150" s="26">
        <f>'Part 2 - CAPM 2.1, 2.2 and 2.3'!C1150-'Part 2 - CAPM 2.1, 2.2 and 2.3'!K1150</f>
        <v>6.230386289398742E-3</v>
      </c>
    </row>
    <row r="1151" spans="1:15" x14ac:dyDescent="0.4">
      <c r="A1151" s="16">
        <v>45286</v>
      </c>
      <c r="B1151" s="14">
        <v>207.35</v>
      </c>
      <c r="C1151" s="25">
        <f t="shared" si="70"/>
        <v>1.6670752635449895E-2</v>
      </c>
      <c r="E1151" s="16">
        <v>45286</v>
      </c>
      <c r="F1151" s="15">
        <v>19148.849999999999</v>
      </c>
      <c r="G1151" s="25">
        <f t="shared" si="71"/>
        <v>4.9410381690605373E-3</v>
      </c>
      <c r="I1151" s="16">
        <v>45286</v>
      </c>
      <c r="J1151" s="17">
        <v>6.9900000000000004E-2</v>
      </c>
      <c r="K1151" s="25">
        <f t="shared" si="68"/>
        <v>1.8512723300667666E-4</v>
      </c>
      <c r="M1151" s="16">
        <v>45286</v>
      </c>
      <c r="N1151" s="26">
        <f t="shared" si="69"/>
        <v>4.7559109360538606E-3</v>
      </c>
      <c r="O1151" s="26">
        <f>'Part 2 - CAPM 2.1, 2.2 and 2.3'!C1151-'Part 2 - CAPM 2.1, 2.2 and 2.3'!K1151</f>
        <v>1.6485625402443218E-2</v>
      </c>
    </row>
    <row r="1152" spans="1:15" x14ac:dyDescent="0.4">
      <c r="A1152" s="16">
        <v>45287</v>
      </c>
      <c r="B1152" s="14">
        <v>205.55</v>
      </c>
      <c r="C1152" s="25">
        <f t="shared" si="70"/>
        <v>-8.6809741982154954E-3</v>
      </c>
      <c r="E1152" s="16">
        <v>45287</v>
      </c>
      <c r="F1152" s="15">
        <v>19296.95</v>
      </c>
      <c r="G1152" s="25">
        <f t="shared" si="71"/>
        <v>7.7341459147678418E-3</v>
      </c>
      <c r="I1152" s="16">
        <v>45287</v>
      </c>
      <c r="J1152" s="17">
        <v>6.9699999999999998E-2</v>
      </c>
      <c r="K1152" s="25">
        <f t="shared" si="68"/>
        <v>1.8461494425525693E-4</v>
      </c>
      <c r="M1152" s="16">
        <v>45287</v>
      </c>
      <c r="N1152" s="26">
        <f t="shared" si="69"/>
        <v>7.5495309705125848E-3</v>
      </c>
      <c r="O1152" s="26">
        <f>'Part 2 - CAPM 2.1, 2.2 and 2.3'!C1152-'Part 2 - CAPM 2.1, 2.2 and 2.3'!K1152</f>
        <v>-8.8655891424707523E-3</v>
      </c>
    </row>
    <row r="1153" spans="1:15" x14ac:dyDescent="0.4">
      <c r="A1153" s="16">
        <v>45288</v>
      </c>
      <c r="B1153" s="14">
        <v>208.3</v>
      </c>
      <c r="C1153" s="25">
        <f t="shared" si="70"/>
        <v>1.3378739965945024E-2</v>
      </c>
      <c r="E1153" s="16">
        <v>45288</v>
      </c>
      <c r="F1153" s="15">
        <v>19399.25</v>
      </c>
      <c r="G1153" s="25">
        <f t="shared" si="71"/>
        <v>5.3013559137583544E-3</v>
      </c>
      <c r="I1153" s="16">
        <v>45288</v>
      </c>
      <c r="J1153" s="17">
        <v>6.9599999999999995E-2</v>
      </c>
      <c r="K1153" s="25">
        <f t="shared" si="68"/>
        <v>1.8435876405864526E-4</v>
      </c>
      <c r="M1153" s="16">
        <v>45288</v>
      </c>
      <c r="N1153" s="26">
        <f t="shared" si="69"/>
        <v>5.1169971496997091E-3</v>
      </c>
      <c r="O1153" s="26">
        <f>'Part 2 - CAPM 2.1, 2.2 and 2.3'!C1153-'Part 2 - CAPM 2.1, 2.2 and 2.3'!K1153</f>
        <v>1.3194381201886379E-2</v>
      </c>
    </row>
    <row r="1154" spans="1:15" x14ac:dyDescent="0.4">
      <c r="A1154" s="16">
        <v>45289</v>
      </c>
      <c r="B1154" s="14">
        <v>205.05</v>
      </c>
      <c r="C1154" s="25">
        <f t="shared" si="70"/>
        <v>-1.5602496399423908E-2</v>
      </c>
      <c r="E1154" s="16">
        <v>45289</v>
      </c>
      <c r="F1154" s="15">
        <v>19429.150000000001</v>
      </c>
      <c r="G1154" s="25">
        <f t="shared" si="71"/>
        <v>1.5412966996147508E-3</v>
      </c>
      <c r="I1154" s="16">
        <v>45289</v>
      </c>
      <c r="J1154" s="17">
        <v>6.9000000000000006E-2</v>
      </c>
      <c r="K1154" s="25">
        <f t="shared" si="68"/>
        <v>1.8282118110590773E-4</v>
      </c>
      <c r="M1154" s="16">
        <v>45289</v>
      </c>
      <c r="N1154" s="26">
        <f t="shared" si="69"/>
        <v>1.3584755185088431E-3</v>
      </c>
      <c r="O1154" s="26">
        <f>'Part 2 - CAPM 2.1, 2.2 and 2.3'!C1154-'Part 2 - CAPM 2.1, 2.2 and 2.3'!K1154</f>
        <v>-1.5785317580529815E-2</v>
      </c>
    </row>
    <row r="1155" spans="1:15" x14ac:dyDescent="0.4">
      <c r="A1155" s="16">
        <v>45292</v>
      </c>
      <c r="B1155" s="14">
        <v>205.35</v>
      </c>
      <c r="C1155" s="25">
        <f t="shared" si="70"/>
        <v>1.4630577907826527E-3</v>
      </c>
      <c r="E1155" s="16">
        <v>45292</v>
      </c>
      <c r="F1155" s="15">
        <v>19469.5</v>
      </c>
      <c r="G1155" s="25">
        <f t="shared" si="71"/>
        <v>2.076776390114778E-3</v>
      </c>
      <c r="I1155" s="16">
        <v>45292</v>
      </c>
      <c r="J1155" s="17">
        <v>6.9400000000000003E-2</v>
      </c>
      <c r="K1155" s="25">
        <f t="shared" si="68"/>
        <v>1.8384633200141387E-4</v>
      </c>
      <c r="M1155" s="16">
        <v>45292</v>
      </c>
      <c r="N1155" s="26">
        <f t="shared" si="69"/>
        <v>1.8929300581133641E-3</v>
      </c>
      <c r="O1155" s="26">
        <f>'Part 2 - CAPM 2.1, 2.2 and 2.3'!C1155-'Part 2 - CAPM 2.1, 2.2 and 2.3'!K1155</f>
        <v>1.2792114587812388E-3</v>
      </c>
    </row>
    <row r="1156" spans="1:15" x14ac:dyDescent="0.4">
      <c r="A1156" s="16">
        <v>45293</v>
      </c>
      <c r="B1156" s="14">
        <v>207.05</v>
      </c>
      <c r="C1156" s="25">
        <f t="shared" si="70"/>
        <v>8.2785488190894423E-3</v>
      </c>
      <c r="E1156" s="16">
        <v>45293</v>
      </c>
      <c r="F1156" s="15">
        <v>19418.400000000001</v>
      </c>
      <c r="G1156" s="25">
        <f t="shared" si="71"/>
        <v>-2.6246179922442049E-3</v>
      </c>
      <c r="I1156" s="16">
        <v>45293</v>
      </c>
      <c r="J1156" s="17">
        <v>6.93E-2</v>
      </c>
      <c r="K1156" s="25">
        <f t="shared" ref="K1156:K1213" si="72">((1+J1156)^(1/365))-1</f>
        <v>1.8359008013191236E-4</v>
      </c>
      <c r="M1156" s="16">
        <v>45293</v>
      </c>
      <c r="N1156" s="26">
        <f t="shared" ref="N1156:N1213" si="73">G1156-K1156</f>
        <v>-2.8082080723761172E-3</v>
      </c>
      <c r="O1156" s="26">
        <f>'Part 2 - CAPM 2.1, 2.2 and 2.3'!C1156-'Part 2 - CAPM 2.1, 2.2 and 2.3'!K1156</f>
        <v>8.0949587389575299E-3</v>
      </c>
    </row>
    <row r="1157" spans="1:15" x14ac:dyDescent="0.4">
      <c r="A1157" s="16">
        <v>45294</v>
      </c>
      <c r="B1157" s="14">
        <v>208.25</v>
      </c>
      <c r="C1157" s="25">
        <f t="shared" ref="C1157:C1213" si="74">(B1157-B1156)/B1156</f>
        <v>5.7957015213715938E-3</v>
      </c>
      <c r="E1157" s="16">
        <v>45294</v>
      </c>
      <c r="F1157" s="15">
        <v>19367.150000000001</v>
      </c>
      <c r="G1157" s="25">
        <f t="shared" ref="G1157:G1213" si="75">(F1157-F1156)/F1156</f>
        <v>-2.6392493717299053E-3</v>
      </c>
      <c r="I1157" s="16">
        <v>45294</v>
      </c>
      <c r="J1157" s="17">
        <v>6.93E-2</v>
      </c>
      <c r="K1157" s="25">
        <f t="shared" si="72"/>
        <v>1.8359008013191236E-4</v>
      </c>
      <c r="M1157" s="16">
        <v>45294</v>
      </c>
      <c r="N1157" s="26">
        <f t="shared" si="73"/>
        <v>-2.8228394518618177E-3</v>
      </c>
      <c r="O1157" s="26">
        <f>'Part 2 - CAPM 2.1, 2.2 and 2.3'!C1157-'Part 2 - CAPM 2.1, 2.2 and 2.3'!K1157</f>
        <v>5.6121114412396814E-3</v>
      </c>
    </row>
    <row r="1158" spans="1:15" x14ac:dyDescent="0.4">
      <c r="A1158" s="16">
        <v>45295</v>
      </c>
      <c r="B1158" s="14">
        <v>214.65</v>
      </c>
      <c r="C1158" s="25">
        <f t="shared" si="74"/>
        <v>3.0732292917166892E-2</v>
      </c>
      <c r="E1158" s="16">
        <v>45295</v>
      </c>
      <c r="F1158" s="15">
        <v>19541.25</v>
      </c>
      <c r="G1158" s="25">
        <f t="shared" si="75"/>
        <v>8.9894486282183252E-3</v>
      </c>
      <c r="I1158" s="16">
        <v>45295</v>
      </c>
      <c r="J1158" s="17">
        <v>6.9599999999999995E-2</v>
      </c>
      <c r="K1158" s="25">
        <f t="shared" si="72"/>
        <v>1.8435876405864526E-4</v>
      </c>
      <c r="M1158" s="16">
        <v>45295</v>
      </c>
      <c r="N1158" s="26">
        <f t="shared" si="73"/>
        <v>8.8050898641596799E-3</v>
      </c>
      <c r="O1158" s="26">
        <f>'Part 2 - CAPM 2.1, 2.2 and 2.3'!C1158-'Part 2 - CAPM 2.1, 2.2 and 2.3'!K1158</f>
        <v>3.0547934153108247E-2</v>
      </c>
    </row>
    <row r="1159" spans="1:15" x14ac:dyDescent="0.4">
      <c r="A1159" s="16">
        <v>45296</v>
      </c>
      <c r="B1159" s="14">
        <v>216.45</v>
      </c>
      <c r="C1159" s="25">
        <f t="shared" si="74"/>
        <v>8.3857442348007592E-3</v>
      </c>
      <c r="E1159" s="16">
        <v>45296</v>
      </c>
      <c r="F1159" s="15">
        <v>19590.599999999999</v>
      </c>
      <c r="G1159" s="25">
        <f t="shared" si="75"/>
        <v>2.5254269813854563E-3</v>
      </c>
      <c r="I1159" s="16">
        <v>45296</v>
      </c>
      <c r="J1159" s="17">
        <v>6.93E-2</v>
      </c>
      <c r="K1159" s="25">
        <f t="shared" si="72"/>
        <v>1.8359008013191236E-4</v>
      </c>
      <c r="M1159" s="16">
        <v>45296</v>
      </c>
      <c r="N1159" s="26">
        <f t="shared" si="73"/>
        <v>2.3418369012535439E-3</v>
      </c>
      <c r="O1159" s="26">
        <f>'Part 2 - CAPM 2.1, 2.2 and 2.3'!C1159-'Part 2 - CAPM 2.1, 2.2 and 2.3'!K1159</f>
        <v>8.2021541546688469E-3</v>
      </c>
    </row>
    <row r="1160" spans="1:15" x14ac:dyDescent="0.4">
      <c r="A1160" s="16">
        <v>45299</v>
      </c>
      <c r="B1160" s="14">
        <v>217.95</v>
      </c>
      <c r="C1160" s="25">
        <f t="shared" si="74"/>
        <v>6.9300069300069307E-3</v>
      </c>
      <c r="E1160" s="16">
        <v>45299</v>
      </c>
      <c r="F1160" s="15">
        <v>19417.7</v>
      </c>
      <c r="G1160" s="25">
        <f t="shared" si="75"/>
        <v>-8.825661286535268E-3</v>
      </c>
      <c r="I1160" s="16">
        <v>45299</v>
      </c>
      <c r="J1160" s="17">
        <v>6.9500000000000006E-2</v>
      </c>
      <c r="K1160" s="25">
        <f t="shared" si="72"/>
        <v>1.8410255997558522E-4</v>
      </c>
      <c r="M1160" s="16">
        <v>45299</v>
      </c>
      <c r="N1160" s="26">
        <f t="shared" si="73"/>
        <v>-9.0097638465108532E-3</v>
      </c>
      <c r="O1160" s="26">
        <f>'Part 2 - CAPM 2.1, 2.2 and 2.3'!C1160-'Part 2 - CAPM 2.1, 2.2 and 2.3'!K1160</f>
        <v>6.7459043700313455E-3</v>
      </c>
    </row>
    <row r="1161" spans="1:15" x14ac:dyDescent="0.4">
      <c r="A1161" s="16">
        <v>45300</v>
      </c>
      <c r="B1161" s="14">
        <v>216.65</v>
      </c>
      <c r="C1161" s="25">
        <f t="shared" si="74"/>
        <v>-5.964670796054063E-3</v>
      </c>
      <c r="E1161" s="16">
        <v>45300</v>
      </c>
      <c r="F1161" s="15">
        <v>19459.55</v>
      </c>
      <c r="G1161" s="25">
        <f t="shared" si="75"/>
        <v>2.1552501068611905E-3</v>
      </c>
      <c r="I1161" s="16">
        <v>45300</v>
      </c>
      <c r="J1161" s="17">
        <v>6.9599999999999995E-2</v>
      </c>
      <c r="K1161" s="25">
        <f t="shared" si="72"/>
        <v>1.8435876405864526E-4</v>
      </c>
      <c r="M1161" s="16">
        <v>45300</v>
      </c>
      <c r="N1161" s="26">
        <f t="shared" si="73"/>
        <v>1.9708913428025453E-3</v>
      </c>
      <c r="O1161" s="26">
        <f>'Part 2 - CAPM 2.1, 2.2 and 2.3'!C1161-'Part 2 - CAPM 2.1, 2.2 and 2.3'!K1161</f>
        <v>-6.1490295601127083E-3</v>
      </c>
    </row>
    <row r="1162" spans="1:15" x14ac:dyDescent="0.4">
      <c r="A1162" s="16">
        <v>45301</v>
      </c>
      <c r="B1162" s="14">
        <v>212.1</v>
      </c>
      <c r="C1162" s="25">
        <f t="shared" si="74"/>
        <v>-2.1001615508885352E-2</v>
      </c>
      <c r="E1162" s="16">
        <v>45301</v>
      </c>
      <c r="F1162" s="15">
        <v>19517.849999999999</v>
      </c>
      <c r="G1162" s="25">
        <f t="shared" si="75"/>
        <v>2.9959582826940643E-3</v>
      </c>
      <c r="I1162" s="16">
        <v>45301</v>
      </c>
      <c r="J1162" s="17">
        <v>6.9599999999999995E-2</v>
      </c>
      <c r="K1162" s="25">
        <f t="shared" si="72"/>
        <v>1.8435876405864526E-4</v>
      </c>
      <c r="M1162" s="16">
        <v>45301</v>
      </c>
      <c r="N1162" s="26">
        <f t="shared" si="73"/>
        <v>2.811599518635419E-3</v>
      </c>
      <c r="O1162" s="26">
        <f>'Part 2 - CAPM 2.1, 2.2 and 2.3'!C1162-'Part 2 - CAPM 2.1, 2.2 and 2.3'!K1162</f>
        <v>-2.1185974272943997E-2</v>
      </c>
    </row>
    <row r="1163" spans="1:15" x14ac:dyDescent="0.4">
      <c r="A1163" s="16">
        <v>45302</v>
      </c>
      <c r="B1163" s="14">
        <v>211.85</v>
      </c>
      <c r="C1163" s="25">
        <f t="shared" si="74"/>
        <v>-1.1786892975011788E-3</v>
      </c>
      <c r="E1163" s="16">
        <v>45302</v>
      </c>
      <c r="F1163" s="15">
        <v>19584.349999999999</v>
      </c>
      <c r="G1163" s="25">
        <f t="shared" si="75"/>
        <v>3.4071375689433011E-3</v>
      </c>
      <c r="I1163" s="16">
        <v>45302</v>
      </c>
      <c r="J1163" s="17">
        <v>6.9500000000000006E-2</v>
      </c>
      <c r="K1163" s="25">
        <f t="shared" si="72"/>
        <v>1.8410255997558522E-4</v>
      </c>
      <c r="M1163" s="16">
        <v>45302</v>
      </c>
      <c r="N1163" s="26">
        <f t="shared" si="73"/>
        <v>3.2230350089677159E-3</v>
      </c>
      <c r="O1163" s="26">
        <f>'Part 2 - CAPM 2.1, 2.2 and 2.3'!C1163-'Part 2 - CAPM 2.1, 2.2 and 2.3'!K1163</f>
        <v>-1.362791857476764E-3</v>
      </c>
    </row>
    <row r="1164" spans="1:15" x14ac:dyDescent="0.4">
      <c r="A1164" s="16">
        <v>45303</v>
      </c>
      <c r="B1164" s="14">
        <v>223.4</v>
      </c>
      <c r="C1164" s="25">
        <f t="shared" si="74"/>
        <v>5.4519707340099179E-2</v>
      </c>
      <c r="E1164" s="16">
        <v>45303</v>
      </c>
      <c r="F1164" s="15">
        <v>19745.599999999999</v>
      </c>
      <c r="G1164" s="25">
        <f t="shared" si="75"/>
        <v>8.2336151059391825E-3</v>
      </c>
      <c r="I1164" s="16">
        <v>45303</v>
      </c>
      <c r="J1164" s="17">
        <v>6.9500000000000006E-2</v>
      </c>
      <c r="K1164" s="25">
        <f t="shared" si="72"/>
        <v>1.8410255997558522E-4</v>
      </c>
      <c r="M1164" s="16">
        <v>45303</v>
      </c>
      <c r="N1164" s="26">
        <f t="shared" si="73"/>
        <v>8.0495125459635972E-3</v>
      </c>
      <c r="O1164" s="26">
        <f>'Part 2 - CAPM 2.1, 2.2 and 2.3'!C1164-'Part 2 - CAPM 2.1, 2.2 and 2.3'!K1164</f>
        <v>5.4335604780123593E-2</v>
      </c>
    </row>
    <row r="1165" spans="1:15" x14ac:dyDescent="0.4">
      <c r="A1165" s="16">
        <v>45306</v>
      </c>
      <c r="B1165" s="14">
        <v>233.5</v>
      </c>
      <c r="C1165" s="25">
        <f t="shared" si="74"/>
        <v>4.5210384959713489E-2</v>
      </c>
      <c r="E1165" s="16">
        <v>45306</v>
      </c>
      <c r="F1165" s="15">
        <v>19885.55</v>
      </c>
      <c r="G1165" s="25">
        <f t="shared" si="75"/>
        <v>7.0876549712341353E-3</v>
      </c>
      <c r="I1165" s="16">
        <v>45306</v>
      </c>
      <c r="J1165" s="17">
        <v>6.9500000000000006E-2</v>
      </c>
      <c r="K1165" s="25">
        <f t="shared" si="72"/>
        <v>1.8410255997558522E-4</v>
      </c>
      <c r="M1165" s="16">
        <v>45306</v>
      </c>
      <c r="N1165" s="26">
        <f t="shared" si="73"/>
        <v>6.9035524112585501E-3</v>
      </c>
      <c r="O1165" s="26">
        <f>'Part 2 - CAPM 2.1, 2.2 and 2.3'!C1165-'Part 2 - CAPM 2.1, 2.2 and 2.3'!K1165</f>
        <v>4.5026282399737903E-2</v>
      </c>
    </row>
    <row r="1166" spans="1:15" x14ac:dyDescent="0.4">
      <c r="A1166" s="16">
        <v>45307</v>
      </c>
      <c r="B1166" s="14">
        <v>235.1</v>
      </c>
      <c r="C1166" s="25">
        <f t="shared" si="74"/>
        <v>6.8522483940042581E-3</v>
      </c>
      <c r="E1166" s="16">
        <v>45307</v>
      </c>
      <c r="F1166" s="15">
        <v>19827.55</v>
      </c>
      <c r="G1166" s="25">
        <f t="shared" si="75"/>
        <v>-2.9166907628906417E-3</v>
      </c>
      <c r="I1166" s="16">
        <v>45307</v>
      </c>
      <c r="J1166" s="17">
        <v>6.9699999999999998E-2</v>
      </c>
      <c r="K1166" s="25">
        <f t="shared" si="72"/>
        <v>1.8461494425525693E-4</v>
      </c>
      <c r="M1166" s="16">
        <v>45307</v>
      </c>
      <c r="N1166" s="26">
        <f t="shared" si="73"/>
        <v>-3.1013057071458986E-3</v>
      </c>
      <c r="O1166" s="26">
        <f>'Part 2 - CAPM 2.1, 2.2 and 2.3'!C1166-'Part 2 - CAPM 2.1, 2.2 and 2.3'!K1166</f>
        <v>6.6676334497490011E-3</v>
      </c>
    </row>
    <row r="1167" spans="1:15" x14ac:dyDescent="0.4">
      <c r="A1167" s="16">
        <v>45308</v>
      </c>
      <c r="B1167" s="14">
        <v>232.05</v>
      </c>
      <c r="C1167" s="25">
        <f t="shared" si="74"/>
        <v>-1.2973202892386147E-2</v>
      </c>
      <c r="E1167" s="16">
        <v>45308</v>
      </c>
      <c r="F1167" s="15">
        <v>19487.599999999999</v>
      </c>
      <c r="G1167" s="25">
        <f t="shared" si="75"/>
        <v>-1.7145335656699932E-2</v>
      </c>
      <c r="I1167" s="16">
        <v>45308</v>
      </c>
      <c r="J1167" s="17">
        <v>6.9500000000000006E-2</v>
      </c>
      <c r="K1167" s="25">
        <f t="shared" si="72"/>
        <v>1.8410255997558522E-4</v>
      </c>
      <c r="M1167" s="16">
        <v>45308</v>
      </c>
      <c r="N1167" s="26">
        <f t="shared" si="73"/>
        <v>-1.7329438216675517E-2</v>
      </c>
      <c r="O1167" s="26">
        <f>'Part 2 - CAPM 2.1, 2.2 and 2.3'!C1167-'Part 2 - CAPM 2.1, 2.2 and 2.3'!K1167</f>
        <v>-1.3157305452361732E-2</v>
      </c>
    </row>
    <row r="1168" spans="1:15" x14ac:dyDescent="0.4">
      <c r="A1168" s="16">
        <v>45309</v>
      </c>
      <c r="B1168" s="14">
        <v>233.55</v>
      </c>
      <c r="C1168" s="25">
        <f t="shared" si="74"/>
        <v>6.4641241111829343E-3</v>
      </c>
      <c r="E1168" s="16">
        <v>45309</v>
      </c>
      <c r="F1168" s="15">
        <v>19414.8</v>
      </c>
      <c r="G1168" s="25">
        <f t="shared" si="75"/>
        <v>-3.7357088610192779E-3</v>
      </c>
      <c r="I1168" s="16">
        <v>45309</v>
      </c>
      <c r="J1168" s="17">
        <v>6.9900000000000004E-2</v>
      </c>
      <c r="K1168" s="25">
        <f t="shared" si="72"/>
        <v>1.8512723300667666E-4</v>
      </c>
      <c r="M1168" s="16">
        <v>45309</v>
      </c>
      <c r="N1168" s="26">
        <f t="shared" si="73"/>
        <v>-3.9208360940259541E-3</v>
      </c>
      <c r="O1168" s="26">
        <f>'Part 2 - CAPM 2.1, 2.2 and 2.3'!C1168-'Part 2 - CAPM 2.1, 2.2 and 2.3'!K1168</f>
        <v>6.2789968781762576E-3</v>
      </c>
    </row>
    <row r="1169" spans="1:15" x14ac:dyDescent="0.4">
      <c r="A1169" s="16">
        <v>45310</v>
      </c>
      <c r="B1169" s="14">
        <v>242.05</v>
      </c>
      <c r="C1169" s="25">
        <f t="shared" si="74"/>
        <v>3.6394776279169344E-2</v>
      </c>
      <c r="E1169" s="16">
        <v>45310</v>
      </c>
      <c r="F1169" s="15">
        <v>19606.400000000001</v>
      </c>
      <c r="G1169" s="25">
        <f t="shared" si="75"/>
        <v>9.8687599151164162E-3</v>
      </c>
      <c r="I1169" s="16">
        <v>45310</v>
      </c>
      <c r="J1169" s="17">
        <v>7.0000000000000007E-2</v>
      </c>
      <c r="K1169" s="25">
        <f t="shared" si="72"/>
        <v>1.8538334157058856E-4</v>
      </c>
      <c r="M1169" s="16">
        <v>45310</v>
      </c>
      <c r="N1169" s="26">
        <f t="shared" si="73"/>
        <v>9.6833765735458276E-3</v>
      </c>
      <c r="O1169" s="26">
        <f>'Part 2 - CAPM 2.1, 2.2 and 2.3'!C1169-'Part 2 - CAPM 2.1, 2.2 and 2.3'!K1169</f>
        <v>3.6209392937598756E-2</v>
      </c>
    </row>
    <row r="1170" spans="1:15" x14ac:dyDescent="0.4">
      <c r="A1170" s="16">
        <v>45314</v>
      </c>
      <c r="B1170" s="14">
        <v>229.9</v>
      </c>
      <c r="C1170" s="25">
        <f t="shared" si="74"/>
        <v>-5.0196240446188825E-2</v>
      </c>
      <c r="E1170" s="16">
        <v>45314</v>
      </c>
      <c r="F1170" s="15">
        <v>19206.45</v>
      </c>
      <c r="G1170" s="25">
        <f t="shared" si="75"/>
        <v>-2.0398951362820338E-2</v>
      </c>
      <c r="I1170" s="16">
        <v>45314</v>
      </c>
      <c r="J1170" s="17">
        <v>6.9900000000000004E-2</v>
      </c>
      <c r="K1170" s="25">
        <f t="shared" si="72"/>
        <v>1.8512723300667666E-4</v>
      </c>
      <c r="M1170" s="16">
        <v>45314</v>
      </c>
      <c r="N1170" s="26">
        <f t="shared" si="73"/>
        <v>-2.0584078595827015E-2</v>
      </c>
      <c r="O1170" s="26">
        <f>'Part 2 - CAPM 2.1, 2.2 and 2.3'!C1170-'Part 2 - CAPM 2.1, 2.2 and 2.3'!K1170</f>
        <v>-5.0381367679195502E-2</v>
      </c>
    </row>
    <row r="1171" spans="1:15" x14ac:dyDescent="0.4">
      <c r="A1171" s="16">
        <v>45315</v>
      </c>
      <c r="B1171" s="14">
        <v>234.35</v>
      </c>
      <c r="C1171" s="25">
        <f t="shared" si="74"/>
        <v>1.9356241844280073E-2</v>
      </c>
      <c r="E1171" s="16">
        <v>45315</v>
      </c>
      <c r="F1171" s="15">
        <v>19451</v>
      </c>
      <c r="G1171" s="25">
        <f t="shared" si="75"/>
        <v>1.2732701774664202E-2</v>
      </c>
      <c r="I1171" s="16">
        <v>45315</v>
      </c>
      <c r="J1171" s="17">
        <v>6.9900000000000004E-2</v>
      </c>
      <c r="K1171" s="25">
        <f t="shared" si="72"/>
        <v>1.8512723300667666E-4</v>
      </c>
      <c r="M1171" s="16">
        <v>45315</v>
      </c>
      <c r="N1171" s="26">
        <f t="shared" si="73"/>
        <v>1.2547574541657525E-2</v>
      </c>
      <c r="O1171" s="26">
        <f>'Part 2 - CAPM 2.1, 2.2 and 2.3'!C1171-'Part 2 - CAPM 2.1, 2.2 and 2.3'!K1171</f>
        <v>1.9171114611273396E-2</v>
      </c>
    </row>
    <row r="1172" spans="1:15" x14ac:dyDescent="0.4">
      <c r="A1172" s="16">
        <v>45316</v>
      </c>
      <c r="B1172" s="14">
        <v>234.05</v>
      </c>
      <c r="C1172" s="25">
        <f t="shared" si="74"/>
        <v>-1.2801365478983698E-3</v>
      </c>
      <c r="E1172" s="16">
        <v>45316</v>
      </c>
      <c r="F1172" s="15">
        <v>19393</v>
      </c>
      <c r="G1172" s="25">
        <f t="shared" si="75"/>
        <v>-2.9818518328106522E-3</v>
      </c>
      <c r="I1172" s="16">
        <v>45316</v>
      </c>
      <c r="J1172" s="17">
        <v>7.0300000000000001E-2</v>
      </c>
      <c r="K1172" s="25">
        <f t="shared" si="72"/>
        <v>1.8615152406753488E-4</v>
      </c>
      <c r="M1172" s="16">
        <v>45316</v>
      </c>
      <c r="N1172" s="26">
        <f t="shared" si="73"/>
        <v>-3.1680033568781871E-3</v>
      </c>
      <c r="O1172" s="26">
        <f>'Part 2 - CAPM 2.1, 2.2 and 2.3'!C1172-'Part 2 - CAPM 2.1, 2.2 and 2.3'!K1172</f>
        <v>-1.4662880719659046E-3</v>
      </c>
    </row>
    <row r="1173" spans="1:15" x14ac:dyDescent="0.4">
      <c r="A1173" s="16">
        <v>45320</v>
      </c>
      <c r="B1173" s="14">
        <v>252.5</v>
      </c>
      <c r="C1173" s="25">
        <f t="shared" si="74"/>
        <v>7.88293099765007E-2</v>
      </c>
      <c r="E1173" s="16">
        <v>45320</v>
      </c>
      <c r="F1173" s="15">
        <v>19711.650000000001</v>
      </c>
      <c r="G1173" s="25">
        <f t="shared" si="75"/>
        <v>1.6431186510596683E-2</v>
      </c>
      <c r="I1173" s="16">
        <v>45320</v>
      </c>
      <c r="J1173" s="17">
        <v>7.0400000000000004E-2</v>
      </c>
      <c r="K1173" s="25">
        <f t="shared" si="72"/>
        <v>1.8640753718313086E-4</v>
      </c>
      <c r="M1173" s="16">
        <v>45320</v>
      </c>
      <c r="N1173" s="26">
        <f t="shared" si="73"/>
        <v>1.6244778973413553E-2</v>
      </c>
      <c r="O1173" s="26">
        <f>'Part 2 - CAPM 2.1, 2.2 and 2.3'!C1173-'Part 2 - CAPM 2.1, 2.2 and 2.3'!K1173</f>
        <v>7.8642902439317569E-2</v>
      </c>
    </row>
    <row r="1174" spans="1:15" x14ac:dyDescent="0.4">
      <c r="A1174" s="16">
        <v>45321</v>
      </c>
      <c r="B1174" s="14">
        <v>249.2</v>
      </c>
      <c r="C1174" s="25">
        <f t="shared" si="74"/>
        <v>-1.3069306930693114E-2</v>
      </c>
      <c r="E1174" s="16">
        <v>45321</v>
      </c>
      <c r="F1174" s="15">
        <v>19574.2</v>
      </c>
      <c r="G1174" s="25">
        <f t="shared" si="75"/>
        <v>-6.9730337135653648E-3</v>
      </c>
      <c r="I1174" s="16">
        <v>45321</v>
      </c>
      <c r="J1174" s="17">
        <v>7.0400000000000004E-2</v>
      </c>
      <c r="K1174" s="25">
        <f t="shared" si="72"/>
        <v>1.8640753718313086E-4</v>
      </c>
      <c r="M1174" s="16">
        <v>45321</v>
      </c>
      <c r="N1174" s="26">
        <f t="shared" si="73"/>
        <v>-7.1594412507484956E-3</v>
      </c>
      <c r="O1174" s="26">
        <f>'Part 2 - CAPM 2.1, 2.2 and 2.3'!C1174-'Part 2 - CAPM 2.1, 2.2 and 2.3'!K1174</f>
        <v>-1.3255714467876245E-2</v>
      </c>
    </row>
    <row r="1175" spans="1:15" x14ac:dyDescent="0.4">
      <c r="A1175" s="16">
        <v>45322</v>
      </c>
      <c r="B1175" s="14">
        <v>252.25</v>
      </c>
      <c r="C1175" s="25">
        <f t="shared" si="74"/>
        <v>1.2239165329053016E-2</v>
      </c>
      <c r="E1175" s="16">
        <v>45322</v>
      </c>
      <c r="F1175" s="15">
        <v>19802.099999999999</v>
      </c>
      <c r="G1175" s="25">
        <f t="shared" si="75"/>
        <v>1.164287684809585E-2</v>
      </c>
      <c r="I1175" s="16">
        <v>45322</v>
      </c>
      <c r="J1175" s="17">
        <v>7.0400000000000004E-2</v>
      </c>
      <c r="K1175" s="25">
        <f t="shared" si="72"/>
        <v>1.8640753718313086E-4</v>
      </c>
      <c r="M1175" s="16">
        <v>45322</v>
      </c>
      <c r="N1175" s="26">
        <f t="shared" si="73"/>
        <v>1.145646931091272E-2</v>
      </c>
      <c r="O1175" s="26">
        <f>'Part 2 - CAPM 2.1, 2.2 and 2.3'!C1175-'Part 2 - CAPM 2.1, 2.2 and 2.3'!K1175</f>
        <v>1.2052757791869885E-2</v>
      </c>
    </row>
    <row r="1176" spans="1:15" x14ac:dyDescent="0.4">
      <c r="A1176" s="16">
        <v>45323</v>
      </c>
      <c r="B1176" s="14">
        <v>247.65</v>
      </c>
      <c r="C1176" s="25">
        <f t="shared" si="74"/>
        <v>-1.8235877106045566E-2</v>
      </c>
      <c r="E1176" s="16">
        <v>45323</v>
      </c>
      <c r="F1176" s="15">
        <v>19777.349999999999</v>
      </c>
      <c r="G1176" s="25">
        <f t="shared" si="75"/>
        <v>-1.2498674383019984E-3</v>
      </c>
      <c r="I1176" s="16">
        <v>45323</v>
      </c>
      <c r="J1176" s="17">
        <v>7.0400000000000004E-2</v>
      </c>
      <c r="K1176" s="25">
        <f t="shared" si="72"/>
        <v>1.8640753718313086E-4</v>
      </c>
      <c r="M1176" s="16">
        <v>45323</v>
      </c>
      <c r="N1176" s="26">
        <f t="shared" si="73"/>
        <v>-1.4362749754851293E-3</v>
      </c>
      <c r="O1176" s="26">
        <f>'Part 2 - CAPM 2.1, 2.2 and 2.3'!C1176-'Part 2 - CAPM 2.1, 2.2 and 2.3'!K1176</f>
        <v>-1.8422284643228697E-2</v>
      </c>
    </row>
    <row r="1177" spans="1:15" x14ac:dyDescent="0.4">
      <c r="A1177" s="16">
        <v>45324</v>
      </c>
      <c r="B1177" s="14">
        <v>257.25</v>
      </c>
      <c r="C1177" s="25">
        <f t="shared" si="74"/>
        <v>3.8764385221078113E-2</v>
      </c>
      <c r="E1177" s="16">
        <v>45324</v>
      </c>
      <c r="F1177" s="15">
        <v>19910.8</v>
      </c>
      <c r="G1177" s="25">
        <f t="shared" si="75"/>
        <v>6.747617855779502E-3</v>
      </c>
      <c r="I1177" s="16">
        <v>45324</v>
      </c>
      <c r="J1177" s="17">
        <v>7.0199999999999999E-2</v>
      </c>
      <c r="K1177" s="25">
        <f t="shared" si="72"/>
        <v>1.8589548709635473E-4</v>
      </c>
      <c r="M1177" s="16">
        <v>45324</v>
      </c>
      <c r="N1177" s="26">
        <f t="shared" si="73"/>
        <v>6.5617223686831472E-3</v>
      </c>
      <c r="O1177" s="26">
        <f>'Part 2 - CAPM 2.1, 2.2 and 2.3'!C1177-'Part 2 - CAPM 2.1, 2.2 and 2.3'!K1177</f>
        <v>3.8578489733981758E-2</v>
      </c>
    </row>
    <row r="1178" spans="1:15" x14ac:dyDescent="0.4">
      <c r="A1178" s="16">
        <v>45327</v>
      </c>
      <c r="B1178" s="14">
        <v>262.95</v>
      </c>
      <c r="C1178" s="25">
        <f t="shared" si="74"/>
        <v>2.2157434402332317E-2</v>
      </c>
      <c r="E1178" s="16">
        <v>45327</v>
      </c>
      <c r="F1178" s="15">
        <v>19853.5</v>
      </c>
      <c r="G1178" s="25">
        <f t="shared" si="75"/>
        <v>-2.877835144745529E-3</v>
      </c>
      <c r="I1178" s="16">
        <v>45327</v>
      </c>
      <c r="J1178" s="17">
        <v>7.0300000000000001E-2</v>
      </c>
      <c r="K1178" s="25">
        <f t="shared" si="72"/>
        <v>1.8615152406753488E-4</v>
      </c>
      <c r="M1178" s="16">
        <v>45327</v>
      </c>
      <c r="N1178" s="26">
        <f t="shared" si="73"/>
        <v>-3.0639866688130638E-3</v>
      </c>
      <c r="O1178" s="26">
        <f>'Part 2 - CAPM 2.1, 2.2 and 2.3'!C1178-'Part 2 - CAPM 2.1, 2.2 and 2.3'!K1178</f>
        <v>2.1971282878264782E-2</v>
      </c>
    </row>
    <row r="1179" spans="1:15" x14ac:dyDescent="0.4">
      <c r="A1179" s="16">
        <v>45328</v>
      </c>
      <c r="B1179" s="14">
        <v>272.3</v>
      </c>
      <c r="C1179" s="25">
        <f t="shared" si="74"/>
        <v>3.5558090891804617E-2</v>
      </c>
      <c r="E1179" s="16">
        <v>45328</v>
      </c>
      <c r="F1179" s="15">
        <v>20033.75</v>
      </c>
      <c r="G1179" s="25">
        <f t="shared" si="75"/>
        <v>9.0790037021180152E-3</v>
      </c>
      <c r="I1179" s="16">
        <v>45328</v>
      </c>
      <c r="J1179" s="17">
        <v>7.0499999999999993E-2</v>
      </c>
      <c r="K1179" s="25">
        <f t="shared" si="72"/>
        <v>1.8666352644802764E-4</v>
      </c>
      <c r="M1179" s="16">
        <v>45328</v>
      </c>
      <c r="N1179" s="26">
        <f t="shared" si="73"/>
        <v>8.8923401756699876E-3</v>
      </c>
      <c r="O1179" s="26">
        <f>'Part 2 - CAPM 2.1, 2.2 and 2.3'!C1179-'Part 2 - CAPM 2.1, 2.2 and 2.3'!K1179</f>
        <v>3.5371427365356589E-2</v>
      </c>
    </row>
    <row r="1180" spans="1:15" x14ac:dyDescent="0.4">
      <c r="A1180" s="16">
        <v>45329</v>
      </c>
      <c r="B1180" s="14">
        <v>271.89999999999998</v>
      </c>
      <c r="C1180" s="25">
        <f t="shared" si="74"/>
        <v>-1.468968049945039E-3</v>
      </c>
      <c r="E1180" s="16">
        <v>45329</v>
      </c>
      <c r="F1180" s="15">
        <v>20109.55</v>
      </c>
      <c r="G1180" s="25">
        <f t="shared" si="75"/>
        <v>3.7836151494352916E-3</v>
      </c>
      <c r="I1180" s="16">
        <v>45329</v>
      </c>
      <c r="J1180" s="17">
        <v>7.0300000000000001E-2</v>
      </c>
      <c r="K1180" s="25">
        <f t="shared" si="72"/>
        <v>1.8615152406753488E-4</v>
      </c>
      <c r="M1180" s="16">
        <v>45329</v>
      </c>
      <c r="N1180" s="26">
        <f t="shared" si="73"/>
        <v>3.5974636253677567E-3</v>
      </c>
      <c r="O1180" s="26">
        <f>'Part 2 - CAPM 2.1, 2.2 and 2.3'!C1180-'Part 2 - CAPM 2.1, 2.2 and 2.3'!K1180</f>
        <v>-1.6551195740125738E-3</v>
      </c>
    </row>
    <row r="1181" spans="1:15" x14ac:dyDescent="0.4">
      <c r="A1181" s="16">
        <v>45330</v>
      </c>
      <c r="B1181" s="14">
        <v>273.14999999999998</v>
      </c>
      <c r="C1181" s="25">
        <f t="shared" si="74"/>
        <v>4.5972784111805816E-3</v>
      </c>
      <c r="E1181" s="16">
        <v>45330</v>
      </c>
      <c r="F1181" s="15">
        <v>19987.55</v>
      </c>
      <c r="G1181" s="25">
        <f t="shared" si="75"/>
        <v>-6.0667692713163648E-3</v>
      </c>
      <c r="I1181" s="16">
        <v>45330</v>
      </c>
      <c r="J1181" s="17">
        <v>7.0400000000000004E-2</v>
      </c>
      <c r="K1181" s="25">
        <f t="shared" si="72"/>
        <v>1.8640753718313086E-4</v>
      </c>
      <c r="M1181" s="16">
        <v>45330</v>
      </c>
      <c r="N1181" s="26">
        <f t="shared" si="73"/>
        <v>-6.2531768084994957E-3</v>
      </c>
      <c r="O1181" s="26">
        <f>'Part 2 - CAPM 2.1, 2.2 and 2.3'!C1181-'Part 2 - CAPM 2.1, 2.2 and 2.3'!K1181</f>
        <v>4.4108708739974507E-3</v>
      </c>
    </row>
    <row r="1182" spans="1:15" x14ac:dyDescent="0.4">
      <c r="A1182" s="16">
        <v>45331</v>
      </c>
      <c r="B1182" s="14">
        <v>267.55</v>
      </c>
      <c r="C1182" s="25">
        <f t="shared" si="74"/>
        <v>-2.0501555921654646E-2</v>
      </c>
      <c r="E1182" s="16">
        <v>45331</v>
      </c>
      <c r="F1182" s="15">
        <v>19961.5</v>
      </c>
      <c r="G1182" s="25">
        <f t="shared" si="75"/>
        <v>-1.3033113112912425E-3</v>
      </c>
      <c r="I1182" s="16">
        <v>45331</v>
      </c>
      <c r="J1182" s="17">
        <v>7.0300000000000001E-2</v>
      </c>
      <c r="K1182" s="25">
        <f t="shared" si="72"/>
        <v>1.8615152406753488E-4</v>
      </c>
      <c r="M1182" s="16">
        <v>45331</v>
      </c>
      <c r="N1182" s="26">
        <f t="shared" si="73"/>
        <v>-1.4894628353587774E-3</v>
      </c>
      <c r="O1182" s="26">
        <f>'Part 2 - CAPM 2.1, 2.2 and 2.3'!C1182-'Part 2 - CAPM 2.1, 2.2 and 2.3'!K1182</f>
        <v>-2.0687707445722181E-2</v>
      </c>
    </row>
    <row r="1183" spans="1:15" x14ac:dyDescent="0.4">
      <c r="A1183" s="16">
        <v>45334</v>
      </c>
      <c r="B1183" s="14">
        <v>257.89999999999998</v>
      </c>
      <c r="C1183" s="25">
        <f t="shared" si="74"/>
        <v>-3.606802466828643E-2</v>
      </c>
      <c r="E1183" s="16">
        <v>45334</v>
      </c>
      <c r="F1183" s="15">
        <v>19675.2</v>
      </c>
      <c r="G1183" s="25">
        <f t="shared" si="75"/>
        <v>-1.4342609523332378E-2</v>
      </c>
      <c r="I1183" s="16">
        <v>45334</v>
      </c>
      <c r="J1183" s="17">
        <v>7.0199999999999999E-2</v>
      </c>
      <c r="K1183" s="25">
        <f t="shared" si="72"/>
        <v>1.8589548709635473E-4</v>
      </c>
      <c r="M1183" s="16">
        <v>45334</v>
      </c>
      <c r="N1183" s="26">
        <f t="shared" si="73"/>
        <v>-1.4528505010428733E-2</v>
      </c>
      <c r="O1183" s="26">
        <f>'Part 2 - CAPM 2.1, 2.2 and 2.3'!C1183-'Part 2 - CAPM 2.1, 2.2 and 2.3'!K1183</f>
        <v>-3.6253920155382785E-2</v>
      </c>
    </row>
    <row r="1184" spans="1:15" x14ac:dyDescent="0.4">
      <c r="A1184" s="16">
        <v>45335</v>
      </c>
      <c r="B1184" s="14">
        <v>259.5</v>
      </c>
      <c r="C1184" s="25">
        <f t="shared" si="74"/>
        <v>6.2039550213261845E-3</v>
      </c>
      <c r="E1184" s="16">
        <v>45335</v>
      </c>
      <c r="F1184" s="15">
        <v>19782.900000000001</v>
      </c>
      <c r="G1184" s="25">
        <f t="shared" si="75"/>
        <v>5.473896072212772E-3</v>
      </c>
      <c r="I1184" s="16">
        <v>45335</v>
      </c>
      <c r="J1184" s="17">
        <v>7.0300000000000001E-2</v>
      </c>
      <c r="K1184" s="25">
        <f t="shared" si="72"/>
        <v>1.8615152406753488E-4</v>
      </c>
      <c r="M1184" s="16">
        <v>45335</v>
      </c>
      <c r="N1184" s="26">
        <f t="shared" si="73"/>
        <v>5.2877445481452371E-3</v>
      </c>
      <c r="O1184" s="26">
        <f>'Part 2 - CAPM 2.1, 2.2 and 2.3'!C1184-'Part 2 - CAPM 2.1, 2.2 and 2.3'!K1184</f>
        <v>6.0178034972586496E-3</v>
      </c>
    </row>
    <row r="1185" spans="1:15" x14ac:dyDescent="0.4">
      <c r="A1185" s="16">
        <v>45336</v>
      </c>
      <c r="B1185" s="14">
        <v>268.85000000000002</v>
      </c>
      <c r="C1185" s="25">
        <f t="shared" si="74"/>
        <v>3.603082851637774E-2</v>
      </c>
      <c r="E1185" s="16">
        <v>45336</v>
      </c>
      <c r="F1185" s="15">
        <v>19922.3</v>
      </c>
      <c r="G1185" s="25">
        <f t="shared" si="75"/>
        <v>7.0464896450974229E-3</v>
      </c>
      <c r="I1185" s="16">
        <v>45336</v>
      </c>
      <c r="J1185" s="17">
        <v>7.0499999999999993E-2</v>
      </c>
      <c r="K1185" s="25">
        <f t="shared" si="72"/>
        <v>1.8666352644802764E-4</v>
      </c>
      <c r="M1185" s="16">
        <v>45336</v>
      </c>
      <c r="N1185" s="26">
        <f t="shared" si="73"/>
        <v>6.8598261186493953E-3</v>
      </c>
      <c r="O1185" s="26">
        <f>'Part 2 - CAPM 2.1, 2.2 and 2.3'!C1185-'Part 2 - CAPM 2.1, 2.2 and 2.3'!K1185</f>
        <v>3.5844164989929712E-2</v>
      </c>
    </row>
    <row r="1186" spans="1:15" x14ac:dyDescent="0.4">
      <c r="A1186" s="16">
        <v>45337</v>
      </c>
      <c r="B1186" s="14">
        <v>277.3</v>
      </c>
      <c r="C1186" s="25">
        <f t="shared" si="74"/>
        <v>3.1430165519806541E-2</v>
      </c>
      <c r="E1186" s="16">
        <v>45337</v>
      </c>
      <c r="F1186" s="15">
        <v>20037</v>
      </c>
      <c r="G1186" s="25">
        <f t="shared" si="75"/>
        <v>5.7573673722411938E-3</v>
      </c>
      <c r="I1186" s="16">
        <v>45337</v>
      </c>
      <c r="J1186" s="17">
        <v>7.0599999999999996E-2</v>
      </c>
      <c r="K1186" s="25">
        <f t="shared" si="72"/>
        <v>1.8691949186644408E-4</v>
      </c>
      <c r="M1186" s="16">
        <v>45337</v>
      </c>
      <c r="N1186" s="26">
        <f t="shared" si="73"/>
        <v>5.5704478803747497E-3</v>
      </c>
      <c r="O1186" s="26">
        <f>'Part 2 - CAPM 2.1, 2.2 and 2.3'!C1186-'Part 2 - CAPM 2.1, 2.2 and 2.3'!K1186</f>
        <v>3.1243246027940097E-2</v>
      </c>
    </row>
    <row r="1187" spans="1:15" x14ac:dyDescent="0.4">
      <c r="A1187" s="16">
        <v>45338</v>
      </c>
      <c r="B1187" s="14">
        <v>274.7</v>
      </c>
      <c r="C1187" s="25">
        <f t="shared" si="74"/>
        <v>-9.3761269383340166E-3</v>
      </c>
      <c r="E1187" s="16">
        <v>45338</v>
      </c>
      <c r="F1187" s="15">
        <v>20164.900000000001</v>
      </c>
      <c r="G1187" s="25">
        <f t="shared" si="75"/>
        <v>6.3831910964716005E-3</v>
      </c>
      <c r="I1187" s="16">
        <v>45338</v>
      </c>
      <c r="J1187" s="17">
        <v>7.0499999999999993E-2</v>
      </c>
      <c r="K1187" s="25">
        <f t="shared" si="72"/>
        <v>1.8666352644802764E-4</v>
      </c>
      <c r="M1187" s="16">
        <v>45338</v>
      </c>
      <c r="N1187" s="26">
        <f t="shared" si="73"/>
        <v>6.1965275700235729E-3</v>
      </c>
      <c r="O1187" s="26">
        <f>'Part 2 - CAPM 2.1, 2.2 and 2.3'!C1187-'Part 2 - CAPM 2.1, 2.2 and 2.3'!K1187</f>
        <v>-9.5627904647820443E-3</v>
      </c>
    </row>
    <row r="1188" spans="1:15" x14ac:dyDescent="0.4">
      <c r="A1188" s="16">
        <v>45342</v>
      </c>
      <c r="B1188" s="14">
        <v>276.60000000000002</v>
      </c>
      <c r="C1188" s="25">
        <f t="shared" si="74"/>
        <v>6.9166363305425346E-3</v>
      </c>
      <c r="E1188" s="16">
        <v>45342</v>
      </c>
      <c r="F1188" s="15">
        <v>20271.900000000001</v>
      </c>
      <c r="G1188" s="25">
        <f t="shared" si="75"/>
        <v>5.3062499690055493E-3</v>
      </c>
      <c r="I1188" s="16">
        <v>45342</v>
      </c>
      <c r="J1188" s="17">
        <v>7.0599999999999996E-2</v>
      </c>
      <c r="K1188" s="25">
        <f t="shared" si="72"/>
        <v>1.8691949186644408E-4</v>
      </c>
      <c r="M1188" s="16">
        <v>45342</v>
      </c>
      <c r="N1188" s="26">
        <f t="shared" si="73"/>
        <v>5.1193304771391052E-3</v>
      </c>
      <c r="O1188" s="26">
        <f>'Part 2 - CAPM 2.1, 2.2 and 2.3'!C1188-'Part 2 - CAPM 2.1, 2.2 and 2.3'!K1188</f>
        <v>6.7297168386760906E-3</v>
      </c>
    </row>
    <row r="1189" spans="1:15" x14ac:dyDescent="0.4">
      <c r="A1189" s="16">
        <v>45343</v>
      </c>
      <c r="B1189" s="14">
        <v>272.95</v>
      </c>
      <c r="C1189" s="25">
        <f t="shared" si="74"/>
        <v>-1.3195950831525791E-2</v>
      </c>
      <c r="E1189" s="16">
        <v>45343</v>
      </c>
      <c r="F1189" s="15">
        <v>20128.3</v>
      </c>
      <c r="G1189" s="25">
        <f t="shared" si="75"/>
        <v>-7.0836971374169258E-3</v>
      </c>
      <c r="I1189" s="16">
        <v>45343</v>
      </c>
      <c r="J1189" s="17">
        <v>7.0599999999999996E-2</v>
      </c>
      <c r="K1189" s="25">
        <f t="shared" si="72"/>
        <v>1.8691949186644408E-4</v>
      </c>
      <c r="M1189" s="16">
        <v>45343</v>
      </c>
      <c r="N1189" s="26">
        <f t="shared" si="73"/>
        <v>-7.2706166292833699E-3</v>
      </c>
      <c r="O1189" s="26">
        <f>'Part 2 - CAPM 2.1, 2.2 and 2.3'!C1189-'Part 2 - CAPM 2.1, 2.2 and 2.3'!K1189</f>
        <v>-1.3382870323392235E-2</v>
      </c>
    </row>
    <row r="1190" spans="1:15" x14ac:dyDescent="0.4">
      <c r="A1190" s="16">
        <v>45344</v>
      </c>
      <c r="B1190" s="14">
        <v>274.7</v>
      </c>
      <c r="C1190" s="25">
        <f t="shared" si="74"/>
        <v>6.4114306649569524E-3</v>
      </c>
      <c r="E1190" s="16">
        <v>45344</v>
      </c>
      <c r="F1190" s="15">
        <v>20283.95</v>
      </c>
      <c r="G1190" s="25">
        <f t="shared" si="75"/>
        <v>7.7328934882728026E-3</v>
      </c>
      <c r="I1190" s="16">
        <v>45344</v>
      </c>
      <c r="J1190" s="17">
        <v>7.0499999999999993E-2</v>
      </c>
      <c r="K1190" s="25">
        <f t="shared" si="72"/>
        <v>1.8666352644802764E-4</v>
      </c>
      <c r="M1190" s="16">
        <v>45344</v>
      </c>
      <c r="N1190" s="26">
        <f t="shared" si="73"/>
        <v>7.546229961824775E-3</v>
      </c>
      <c r="O1190" s="26">
        <f>'Part 2 - CAPM 2.1, 2.2 and 2.3'!C1190-'Part 2 - CAPM 2.1, 2.2 and 2.3'!K1190</f>
        <v>6.2247671385089248E-3</v>
      </c>
    </row>
    <row r="1191" spans="1:15" x14ac:dyDescent="0.4">
      <c r="A1191" s="16">
        <v>45345</v>
      </c>
      <c r="B1191" s="14">
        <v>272.2</v>
      </c>
      <c r="C1191" s="25">
        <f t="shared" si="74"/>
        <v>-9.1008372770294867E-3</v>
      </c>
      <c r="E1191" s="16">
        <v>45345</v>
      </c>
      <c r="F1191" s="15">
        <v>20313.5</v>
      </c>
      <c r="G1191" s="25">
        <f t="shared" si="75"/>
        <v>1.4568168428732704E-3</v>
      </c>
      <c r="I1191" s="16">
        <v>45345</v>
      </c>
      <c r="J1191" s="17">
        <v>7.0499999999999993E-2</v>
      </c>
      <c r="K1191" s="25">
        <f t="shared" si="72"/>
        <v>1.8666352644802764E-4</v>
      </c>
      <c r="M1191" s="16">
        <v>45345</v>
      </c>
      <c r="N1191" s="26">
        <f t="shared" si="73"/>
        <v>1.2701533164252428E-3</v>
      </c>
      <c r="O1191" s="26">
        <f>'Part 2 - CAPM 2.1, 2.2 and 2.3'!C1191-'Part 2 - CAPM 2.1, 2.2 and 2.3'!K1191</f>
        <v>-9.2875008034775143E-3</v>
      </c>
    </row>
    <row r="1192" spans="1:15" x14ac:dyDescent="0.4">
      <c r="A1192" s="16">
        <v>45348</v>
      </c>
      <c r="B1192" s="14">
        <v>269.85000000000002</v>
      </c>
      <c r="C1192" s="25">
        <f t="shared" si="74"/>
        <v>-8.6333578251284564E-3</v>
      </c>
      <c r="E1192" s="16">
        <v>45348</v>
      </c>
      <c r="F1192" s="15">
        <v>20255.8</v>
      </c>
      <c r="G1192" s="25">
        <f t="shared" si="75"/>
        <v>-2.8404755458193184E-3</v>
      </c>
      <c r="I1192" s="16">
        <v>45348</v>
      </c>
      <c r="J1192" s="17">
        <v>7.0199999999999999E-2</v>
      </c>
      <c r="K1192" s="25">
        <f t="shared" si="72"/>
        <v>1.8589548709635473E-4</v>
      </c>
      <c r="M1192" s="16">
        <v>45348</v>
      </c>
      <c r="N1192" s="26">
        <f t="shared" si="73"/>
        <v>-3.0263710329156731E-3</v>
      </c>
      <c r="O1192" s="26">
        <f>'Part 2 - CAPM 2.1, 2.2 and 2.3'!C1192-'Part 2 - CAPM 2.1, 2.2 and 2.3'!K1192</f>
        <v>-8.8192533122248111E-3</v>
      </c>
    </row>
    <row r="1193" spans="1:15" x14ac:dyDescent="0.4">
      <c r="A1193" s="16">
        <v>45349</v>
      </c>
      <c r="B1193" s="14">
        <v>269.35000000000002</v>
      </c>
      <c r="C1193" s="25">
        <f t="shared" si="74"/>
        <v>-1.8528812303131369E-3</v>
      </c>
      <c r="E1193" s="16">
        <v>45349</v>
      </c>
      <c r="F1193" s="15">
        <v>20292.849999999999</v>
      </c>
      <c r="G1193" s="25">
        <f t="shared" si="75"/>
        <v>1.8291057376158568E-3</v>
      </c>
      <c r="I1193" s="16">
        <v>45349</v>
      </c>
      <c r="J1193" s="17">
        <v>7.0199999999999999E-2</v>
      </c>
      <c r="K1193" s="25">
        <f t="shared" si="72"/>
        <v>1.8589548709635473E-4</v>
      </c>
      <c r="M1193" s="16">
        <v>45349</v>
      </c>
      <c r="N1193" s="26">
        <f t="shared" si="73"/>
        <v>1.643210250519502E-3</v>
      </c>
      <c r="O1193" s="26">
        <f>'Part 2 - CAPM 2.1, 2.2 and 2.3'!C1193-'Part 2 - CAPM 2.1, 2.2 and 2.3'!K1193</f>
        <v>-2.0387767174094916E-3</v>
      </c>
    </row>
    <row r="1194" spans="1:15" x14ac:dyDescent="0.4">
      <c r="A1194" s="16">
        <v>45350</v>
      </c>
      <c r="B1194" s="14">
        <v>265.75</v>
      </c>
      <c r="C1194" s="25">
        <f t="shared" si="74"/>
        <v>-1.336550956005206E-2</v>
      </c>
      <c r="E1194" s="16">
        <v>45350</v>
      </c>
      <c r="F1194" s="15">
        <v>20020.400000000001</v>
      </c>
      <c r="G1194" s="25">
        <f t="shared" si="75"/>
        <v>-1.3425911096765468E-2</v>
      </c>
      <c r="I1194" s="16">
        <v>45350</v>
      </c>
      <c r="J1194" s="17">
        <v>6.9699999999999998E-2</v>
      </c>
      <c r="K1194" s="25">
        <f t="shared" si="72"/>
        <v>1.8461494425525693E-4</v>
      </c>
      <c r="M1194" s="16">
        <v>45350</v>
      </c>
      <c r="N1194" s="26">
        <f t="shared" si="73"/>
        <v>-1.3610526041020725E-2</v>
      </c>
      <c r="O1194" s="26">
        <f>'Part 2 - CAPM 2.1, 2.2 and 2.3'!C1194-'Part 2 - CAPM 2.1, 2.2 and 2.3'!K1194</f>
        <v>-1.3550124504307317E-2</v>
      </c>
    </row>
    <row r="1195" spans="1:15" x14ac:dyDescent="0.4">
      <c r="A1195" s="16">
        <v>45351</v>
      </c>
      <c r="B1195" s="14">
        <v>264.60000000000002</v>
      </c>
      <c r="C1195" s="25">
        <f t="shared" si="74"/>
        <v>-4.3273753527750787E-3</v>
      </c>
      <c r="E1195" s="16">
        <v>45351</v>
      </c>
      <c r="F1195" s="15">
        <v>20090.05</v>
      </c>
      <c r="G1195" s="25">
        <f t="shared" si="75"/>
        <v>3.4789514695009998E-3</v>
      </c>
      <c r="I1195" s="16">
        <v>45351</v>
      </c>
      <c r="J1195" s="17">
        <v>6.8900000000000003E-2</v>
      </c>
      <c r="K1195" s="25">
        <f t="shared" si="72"/>
        <v>1.8256483361001052E-4</v>
      </c>
      <c r="M1195" s="16">
        <v>45351</v>
      </c>
      <c r="N1195" s="26">
        <f t="shared" si="73"/>
        <v>3.2963866358909893E-3</v>
      </c>
      <c r="O1195" s="26">
        <f>'Part 2 - CAPM 2.1, 2.2 and 2.3'!C1195-'Part 2 - CAPM 2.1, 2.2 and 2.3'!K1195</f>
        <v>-4.5099401863850893E-3</v>
      </c>
    </row>
    <row r="1196" spans="1:15" x14ac:dyDescent="0.4">
      <c r="A1196" s="16">
        <v>45352</v>
      </c>
      <c r="B1196" s="14">
        <v>270.55</v>
      </c>
      <c r="C1196" s="25">
        <f t="shared" si="74"/>
        <v>2.248677248677244E-2</v>
      </c>
      <c r="E1196" s="16">
        <v>45352</v>
      </c>
      <c r="F1196" s="15">
        <v>20349.8</v>
      </c>
      <c r="G1196" s="25">
        <f t="shared" si="75"/>
        <v>1.2929285890279019E-2</v>
      </c>
      <c r="I1196" s="16">
        <v>45352</v>
      </c>
      <c r="J1196" s="17">
        <v>6.9000000000000006E-2</v>
      </c>
      <c r="K1196" s="25">
        <f t="shared" si="72"/>
        <v>1.8282118110590773E-4</v>
      </c>
      <c r="M1196" s="16">
        <v>45352</v>
      </c>
      <c r="N1196" s="26">
        <f t="shared" si="73"/>
        <v>1.2746464709173112E-2</v>
      </c>
      <c r="O1196" s="26">
        <f>'Part 2 - CAPM 2.1, 2.2 and 2.3'!C1196-'Part 2 - CAPM 2.1, 2.2 and 2.3'!K1196</f>
        <v>2.2303951305666533E-2</v>
      </c>
    </row>
    <row r="1197" spans="1:15" x14ac:dyDescent="0.4">
      <c r="A1197" s="16">
        <v>45355</v>
      </c>
      <c r="B1197" s="14">
        <v>279.2</v>
      </c>
      <c r="C1197" s="25">
        <f t="shared" si="74"/>
        <v>3.1971909074108212E-2</v>
      </c>
      <c r="E1197" s="16">
        <v>45355</v>
      </c>
      <c r="F1197" s="15">
        <v>20432.05</v>
      </c>
      <c r="G1197" s="25">
        <f t="shared" si="75"/>
        <v>4.0418087647053043E-3</v>
      </c>
      <c r="I1197" s="16">
        <v>45355</v>
      </c>
      <c r="J1197" s="17">
        <v>6.9000000000000006E-2</v>
      </c>
      <c r="K1197" s="25">
        <f t="shared" si="72"/>
        <v>1.8282118110590773E-4</v>
      </c>
      <c r="M1197" s="16">
        <v>45355</v>
      </c>
      <c r="N1197" s="26">
        <f t="shared" si="73"/>
        <v>3.8589875835993966E-3</v>
      </c>
      <c r="O1197" s="26">
        <f>'Part 2 - CAPM 2.1, 2.2 and 2.3'!C1197-'Part 2 - CAPM 2.1, 2.2 and 2.3'!K1197</f>
        <v>3.1789087893002305E-2</v>
      </c>
    </row>
    <row r="1198" spans="1:15" x14ac:dyDescent="0.4">
      <c r="A1198" s="16">
        <v>45356</v>
      </c>
      <c r="B1198" s="14">
        <v>283.75</v>
      </c>
      <c r="C1198" s="25">
        <f t="shared" si="74"/>
        <v>1.6296561604584568E-2</v>
      </c>
      <c r="E1198" s="16">
        <v>45356</v>
      </c>
      <c r="F1198" s="15">
        <v>20382</v>
      </c>
      <c r="G1198" s="25">
        <f t="shared" si="75"/>
        <v>-2.4495828857113836E-3</v>
      </c>
      <c r="I1198" s="16">
        <v>45356</v>
      </c>
      <c r="J1198" s="17">
        <v>6.9400000000000003E-2</v>
      </c>
      <c r="K1198" s="25">
        <f t="shared" si="72"/>
        <v>1.8384633200141387E-4</v>
      </c>
      <c r="M1198" s="16">
        <v>45356</v>
      </c>
      <c r="N1198" s="26">
        <f t="shared" si="73"/>
        <v>-2.6334292177127975E-3</v>
      </c>
      <c r="O1198" s="26">
        <f>'Part 2 - CAPM 2.1, 2.2 and 2.3'!C1198-'Part 2 - CAPM 2.1, 2.2 and 2.3'!K1198</f>
        <v>1.6112715272583154E-2</v>
      </c>
    </row>
    <row r="1199" spans="1:15" x14ac:dyDescent="0.4">
      <c r="A1199" s="16">
        <v>45357</v>
      </c>
      <c r="B1199" s="14">
        <v>280.25</v>
      </c>
      <c r="C1199" s="25">
        <f t="shared" si="74"/>
        <v>-1.2334801762114538E-2</v>
      </c>
      <c r="E1199" s="16">
        <v>45357</v>
      </c>
      <c r="F1199" s="15">
        <v>20379.55</v>
      </c>
      <c r="G1199" s="25">
        <f t="shared" si="75"/>
        <v>-1.2020410165836168E-4</v>
      </c>
      <c r="I1199" s="16">
        <v>45357</v>
      </c>
      <c r="J1199" s="17">
        <v>6.93E-2</v>
      </c>
      <c r="K1199" s="25">
        <f t="shared" si="72"/>
        <v>1.8359008013191236E-4</v>
      </c>
      <c r="M1199" s="16">
        <v>45357</v>
      </c>
      <c r="N1199" s="26">
        <f t="shared" si="73"/>
        <v>-3.0379418179027405E-4</v>
      </c>
      <c r="O1199" s="26">
        <f>'Part 2 - CAPM 2.1, 2.2 and 2.3'!C1199-'Part 2 - CAPM 2.1, 2.2 and 2.3'!K1199</f>
        <v>-1.251839184224645E-2</v>
      </c>
    </row>
    <row r="1200" spans="1:15" x14ac:dyDescent="0.4">
      <c r="A1200" s="16">
        <v>45358</v>
      </c>
      <c r="B1200" s="14">
        <v>278.10000000000002</v>
      </c>
      <c r="C1200" s="25">
        <f t="shared" si="74"/>
        <v>-7.6717216770739597E-3</v>
      </c>
      <c r="E1200" s="16">
        <v>45358</v>
      </c>
      <c r="F1200" s="15">
        <v>20434.8</v>
      </c>
      <c r="G1200" s="25">
        <f t="shared" si="75"/>
        <v>2.7110510290953432E-3</v>
      </c>
      <c r="I1200" s="16">
        <v>45358</v>
      </c>
      <c r="J1200" s="17">
        <v>6.9099999999999995E-2</v>
      </c>
      <c r="K1200" s="25">
        <f t="shared" si="72"/>
        <v>1.830775046887112E-4</v>
      </c>
      <c r="M1200" s="16">
        <v>45358</v>
      </c>
      <c r="N1200" s="26">
        <f t="shared" si="73"/>
        <v>2.527973524406632E-3</v>
      </c>
      <c r="O1200" s="26">
        <f>'Part 2 - CAPM 2.1, 2.2 and 2.3'!C1200-'Part 2 - CAPM 2.1, 2.2 and 2.3'!K1200</f>
        <v>-7.85479918176267E-3</v>
      </c>
    </row>
    <row r="1201" spans="1:15" x14ac:dyDescent="0.4">
      <c r="A1201" s="16">
        <v>45362</v>
      </c>
      <c r="B1201" s="14">
        <v>274</v>
      </c>
      <c r="C1201" s="25">
        <f t="shared" si="74"/>
        <v>-1.474289823804395E-2</v>
      </c>
      <c r="E1201" s="16">
        <v>45362</v>
      </c>
      <c r="F1201" s="15">
        <v>20288.75</v>
      </c>
      <c r="G1201" s="25">
        <f t="shared" si="75"/>
        <v>-7.1471215769177716E-3</v>
      </c>
      <c r="I1201" s="16">
        <v>45362</v>
      </c>
      <c r="J1201" s="17">
        <v>6.9199999999999998E-2</v>
      </c>
      <c r="K1201" s="25">
        <f t="shared" si="72"/>
        <v>1.8333380436241775E-4</v>
      </c>
      <c r="M1201" s="16">
        <v>45362</v>
      </c>
      <c r="N1201" s="26">
        <f t="shared" si="73"/>
        <v>-7.3304553812801893E-3</v>
      </c>
      <c r="O1201" s="26">
        <f>'Part 2 - CAPM 2.1, 2.2 and 2.3'!C1201-'Part 2 - CAPM 2.1, 2.2 and 2.3'!K1201</f>
        <v>-1.4926232042406368E-2</v>
      </c>
    </row>
    <row r="1202" spans="1:15" x14ac:dyDescent="0.4">
      <c r="A1202" s="16">
        <v>45363</v>
      </c>
      <c r="B1202" s="14">
        <v>270.39999999999998</v>
      </c>
      <c r="C1202" s="25">
        <f t="shared" si="74"/>
        <v>-1.3138686131386945E-2</v>
      </c>
      <c r="E1202" s="16">
        <v>45363</v>
      </c>
      <c r="F1202" s="15">
        <v>20171.400000000001</v>
      </c>
      <c r="G1202" s="25">
        <f t="shared" si="75"/>
        <v>-5.7839935925080915E-3</v>
      </c>
      <c r="I1202" s="16">
        <v>45363</v>
      </c>
      <c r="J1202" s="17">
        <v>6.8900000000000003E-2</v>
      </c>
      <c r="K1202" s="25">
        <f t="shared" si="72"/>
        <v>1.8256483361001052E-4</v>
      </c>
      <c r="M1202" s="16">
        <v>45363</v>
      </c>
      <c r="N1202" s="26">
        <f t="shared" si="73"/>
        <v>-5.966558426118102E-3</v>
      </c>
      <c r="O1202" s="26">
        <f>'Part 2 - CAPM 2.1, 2.2 and 2.3'!C1202-'Part 2 - CAPM 2.1, 2.2 and 2.3'!K1202</f>
        <v>-1.3321250964996955E-2</v>
      </c>
    </row>
    <row r="1203" spans="1:15" x14ac:dyDescent="0.4">
      <c r="A1203" s="16">
        <v>45364</v>
      </c>
      <c r="B1203" s="14">
        <v>255.35</v>
      </c>
      <c r="C1203" s="25">
        <f t="shared" si="74"/>
        <v>-5.5658284023668583E-2</v>
      </c>
      <c r="E1203" s="16">
        <v>45364</v>
      </c>
      <c r="F1203" s="15">
        <v>19646.3</v>
      </c>
      <c r="G1203" s="25">
        <f t="shared" si="75"/>
        <v>-2.6031906560774271E-2</v>
      </c>
      <c r="I1203" s="16">
        <v>45364</v>
      </c>
      <c r="J1203" s="17">
        <v>6.9099999999999995E-2</v>
      </c>
      <c r="K1203" s="25">
        <f t="shared" si="72"/>
        <v>1.830775046887112E-4</v>
      </c>
      <c r="M1203" s="16">
        <v>45364</v>
      </c>
      <c r="N1203" s="26">
        <f t="shared" si="73"/>
        <v>-2.6214984065462982E-2</v>
      </c>
      <c r="O1203" s="26">
        <f>'Part 2 - CAPM 2.1, 2.2 and 2.3'!C1203-'Part 2 - CAPM 2.1, 2.2 and 2.3'!K1203</f>
        <v>-5.5841361528357294E-2</v>
      </c>
    </row>
    <row r="1204" spans="1:15" x14ac:dyDescent="0.4">
      <c r="A1204" s="16">
        <v>45365</v>
      </c>
      <c r="B1204" s="14">
        <v>263.25</v>
      </c>
      <c r="C1204" s="25">
        <f t="shared" si="74"/>
        <v>3.0937928333659707E-2</v>
      </c>
      <c r="E1204" s="16">
        <v>45365</v>
      </c>
      <c r="F1204" s="15">
        <v>19916.349999999999</v>
      </c>
      <c r="G1204" s="25">
        <f t="shared" si="75"/>
        <v>1.3745590772817238E-2</v>
      </c>
      <c r="I1204" s="16">
        <v>45365</v>
      </c>
      <c r="J1204" s="17">
        <v>6.9000000000000006E-2</v>
      </c>
      <c r="K1204" s="25">
        <f t="shared" si="72"/>
        <v>1.8282118110590773E-4</v>
      </c>
      <c r="M1204" s="16">
        <v>45365</v>
      </c>
      <c r="N1204" s="26">
        <f t="shared" si="73"/>
        <v>1.356276959171133E-2</v>
      </c>
      <c r="O1204" s="26">
        <f>'Part 2 - CAPM 2.1, 2.2 and 2.3'!C1204-'Part 2 - CAPM 2.1, 2.2 and 2.3'!K1204</f>
        <v>3.07551071525538E-2</v>
      </c>
    </row>
    <row r="1205" spans="1:15" x14ac:dyDescent="0.4">
      <c r="A1205" s="16">
        <v>45366</v>
      </c>
      <c r="B1205" s="14">
        <v>258.75</v>
      </c>
      <c r="C1205" s="25">
        <f t="shared" si="74"/>
        <v>-1.7094017094017096E-2</v>
      </c>
      <c r="E1205" s="16">
        <v>45366</v>
      </c>
      <c r="F1205" s="15">
        <v>19825.2</v>
      </c>
      <c r="G1205" s="25">
        <f t="shared" si="75"/>
        <v>-4.5766418043465705E-3</v>
      </c>
      <c r="I1205" s="16">
        <v>45366</v>
      </c>
      <c r="J1205" s="17">
        <v>6.88E-2</v>
      </c>
      <c r="K1205" s="25">
        <f t="shared" si="72"/>
        <v>1.8230846219635666E-4</v>
      </c>
      <c r="M1205" s="16">
        <v>45366</v>
      </c>
      <c r="N1205" s="26">
        <f t="shared" si="73"/>
        <v>-4.7589502665429271E-3</v>
      </c>
      <c r="O1205" s="26">
        <f>'Part 2 - CAPM 2.1, 2.2 and 2.3'!C1205-'Part 2 - CAPM 2.1, 2.2 and 2.3'!K1205</f>
        <v>-1.7276325556213452E-2</v>
      </c>
    </row>
    <row r="1206" spans="1:15" x14ac:dyDescent="0.4">
      <c r="A1206" s="16">
        <v>45369</v>
      </c>
      <c r="B1206" s="14">
        <v>261.60000000000002</v>
      </c>
      <c r="C1206" s="25">
        <f t="shared" si="74"/>
        <v>1.1014492753623276E-2</v>
      </c>
      <c r="E1206" s="16">
        <v>45369</v>
      </c>
      <c r="F1206" s="15">
        <v>19843.099999999999</v>
      </c>
      <c r="G1206" s="25">
        <f t="shared" si="75"/>
        <v>9.0289126969704298E-4</v>
      </c>
      <c r="I1206" s="16">
        <v>45369</v>
      </c>
      <c r="J1206" s="17">
        <v>6.8699999999999997E-2</v>
      </c>
      <c r="K1206" s="25">
        <f t="shared" si="72"/>
        <v>1.8205206686028319E-4</v>
      </c>
      <c r="M1206" s="16">
        <v>45369</v>
      </c>
      <c r="N1206" s="26">
        <f t="shared" si="73"/>
        <v>7.2083920283675979E-4</v>
      </c>
      <c r="O1206" s="26">
        <f>'Part 2 - CAPM 2.1, 2.2 and 2.3'!C1206-'Part 2 - CAPM 2.1, 2.2 and 2.3'!K1206</f>
        <v>1.0832440686762992E-2</v>
      </c>
    </row>
    <row r="1207" spans="1:15" x14ac:dyDescent="0.4">
      <c r="A1207" s="16">
        <v>45370</v>
      </c>
      <c r="B1207" s="14">
        <v>259.25</v>
      </c>
      <c r="C1207" s="25">
        <f t="shared" si="74"/>
        <v>-8.9831804281346427E-3</v>
      </c>
      <c r="E1207" s="16">
        <v>45370</v>
      </c>
      <c r="F1207" s="15">
        <v>19610.55</v>
      </c>
      <c r="G1207" s="25">
        <f t="shared" si="75"/>
        <v>-1.1719438998946702E-2</v>
      </c>
      <c r="I1207" s="16">
        <v>45370</v>
      </c>
      <c r="J1207" s="17">
        <v>6.8699999999999997E-2</v>
      </c>
      <c r="K1207" s="25">
        <f t="shared" si="72"/>
        <v>1.8205206686028319E-4</v>
      </c>
      <c r="M1207" s="16">
        <v>45370</v>
      </c>
      <c r="N1207" s="26">
        <f t="shared" si="73"/>
        <v>-1.1901491065806985E-2</v>
      </c>
      <c r="O1207" s="26">
        <f>'Part 2 - CAPM 2.1, 2.2 and 2.3'!C1207-'Part 2 - CAPM 2.1, 2.2 and 2.3'!K1207</f>
        <v>-9.1652324949949258E-3</v>
      </c>
    </row>
    <row r="1208" spans="1:15" x14ac:dyDescent="0.4">
      <c r="A1208" s="16">
        <v>45371</v>
      </c>
      <c r="B1208" s="14">
        <v>263.85000000000002</v>
      </c>
      <c r="C1208" s="25">
        <f t="shared" si="74"/>
        <v>1.7743490838958622E-2</v>
      </c>
      <c r="E1208" s="16">
        <v>45371</v>
      </c>
      <c r="F1208" s="15">
        <v>19632.05</v>
      </c>
      <c r="G1208" s="25">
        <f t="shared" si="75"/>
        <v>1.0963486490689961E-3</v>
      </c>
      <c r="I1208" s="16">
        <v>45371</v>
      </c>
      <c r="J1208" s="17">
        <v>6.93E-2</v>
      </c>
      <c r="K1208" s="25">
        <f t="shared" si="72"/>
        <v>1.8359008013191236E-4</v>
      </c>
      <c r="M1208" s="16">
        <v>45371</v>
      </c>
      <c r="N1208" s="26">
        <f t="shared" si="73"/>
        <v>9.127585689370837E-4</v>
      </c>
      <c r="O1208" s="26">
        <f>'Part 2 - CAPM 2.1, 2.2 and 2.3'!C1208-'Part 2 - CAPM 2.1, 2.2 and 2.3'!K1208</f>
        <v>1.755990075882671E-2</v>
      </c>
    </row>
    <row r="1209" spans="1:15" x14ac:dyDescent="0.4">
      <c r="A1209" s="16">
        <v>45372</v>
      </c>
      <c r="B1209" s="14">
        <v>262.95</v>
      </c>
      <c r="C1209" s="25">
        <f t="shared" si="74"/>
        <v>-3.4110289937465759E-3</v>
      </c>
      <c r="E1209" s="16">
        <v>45372</v>
      </c>
      <c r="F1209" s="15">
        <v>19897.400000000001</v>
      </c>
      <c r="G1209" s="25">
        <f t="shared" si="75"/>
        <v>1.351616362020279E-2</v>
      </c>
      <c r="I1209" s="16">
        <v>45372</v>
      </c>
      <c r="J1209" s="17">
        <v>6.9000000000000006E-2</v>
      </c>
      <c r="K1209" s="25">
        <f t="shared" si="72"/>
        <v>1.8282118110590773E-4</v>
      </c>
      <c r="M1209" s="16">
        <v>45372</v>
      </c>
      <c r="N1209" s="26">
        <f t="shared" si="73"/>
        <v>1.3333342439096882E-2</v>
      </c>
      <c r="O1209" s="26">
        <f>'Part 2 - CAPM 2.1, 2.2 and 2.3'!C1209-'Part 2 - CAPM 2.1, 2.2 and 2.3'!K1209</f>
        <v>-3.5938501748524836E-3</v>
      </c>
    </row>
    <row r="1210" spans="1:15" x14ac:dyDescent="0.4">
      <c r="A1210" s="16">
        <v>45373</v>
      </c>
      <c r="B1210" s="14">
        <v>263.25</v>
      </c>
      <c r="C1210" s="25">
        <f t="shared" si="74"/>
        <v>1.1409013120365521E-3</v>
      </c>
      <c r="E1210" s="16">
        <v>45373</v>
      </c>
      <c r="F1210" s="15">
        <v>19994.599999999999</v>
      </c>
      <c r="G1210" s="25">
        <f t="shared" si="75"/>
        <v>4.8850603596448322E-3</v>
      </c>
      <c r="I1210" s="16">
        <v>45373</v>
      </c>
      <c r="J1210" s="17">
        <v>6.8699999999999997E-2</v>
      </c>
      <c r="K1210" s="25">
        <f t="shared" si="72"/>
        <v>1.8205206686028319E-4</v>
      </c>
      <c r="M1210" s="16">
        <v>45373</v>
      </c>
      <c r="N1210" s="26">
        <f t="shared" si="73"/>
        <v>4.7030082927845491E-3</v>
      </c>
      <c r="O1210" s="26">
        <f>'Part 2 - CAPM 2.1, 2.2 and 2.3'!C1210-'Part 2 - CAPM 2.1, 2.2 and 2.3'!K1210</f>
        <v>9.5884924517626894E-4</v>
      </c>
    </row>
    <row r="1211" spans="1:15" x14ac:dyDescent="0.4">
      <c r="A1211" s="16">
        <v>45377</v>
      </c>
      <c r="B1211" s="14">
        <v>265.5</v>
      </c>
      <c r="C1211" s="25">
        <f t="shared" si="74"/>
        <v>8.5470085470085479E-3</v>
      </c>
      <c r="E1211" s="16">
        <v>45377</v>
      </c>
      <c r="F1211" s="15">
        <v>20005.25</v>
      </c>
      <c r="G1211" s="25">
        <f t="shared" si="75"/>
        <v>5.3264381382980689E-4</v>
      </c>
      <c r="I1211" s="16">
        <v>45377</v>
      </c>
      <c r="J1211" s="17">
        <v>6.9400000000000003E-2</v>
      </c>
      <c r="K1211" s="25">
        <f t="shared" si="72"/>
        <v>1.8384633200141387E-4</v>
      </c>
      <c r="M1211" s="16">
        <v>45377</v>
      </c>
      <c r="N1211" s="26">
        <f t="shared" si="73"/>
        <v>3.4879748182839302E-4</v>
      </c>
      <c r="O1211" s="26">
        <f>'Part 2 - CAPM 2.1, 2.2 and 2.3'!C1211-'Part 2 - CAPM 2.1, 2.2 and 2.3'!K1211</f>
        <v>8.363162215007134E-3</v>
      </c>
    </row>
    <row r="1212" spans="1:15" x14ac:dyDescent="0.4">
      <c r="A1212" s="16">
        <v>45378</v>
      </c>
      <c r="B1212" s="14">
        <v>261.75</v>
      </c>
      <c r="C1212" s="25">
        <f t="shared" si="74"/>
        <v>-1.4124293785310734E-2</v>
      </c>
      <c r="E1212" s="16">
        <v>45378</v>
      </c>
      <c r="F1212" s="15">
        <v>20087.8</v>
      </c>
      <c r="G1212" s="25">
        <f t="shared" si="75"/>
        <v>4.1264168155858722E-3</v>
      </c>
      <c r="I1212" s="16">
        <v>45378</v>
      </c>
      <c r="J1212" s="17">
        <v>6.9699999999999998E-2</v>
      </c>
      <c r="K1212" s="25">
        <f t="shared" si="72"/>
        <v>1.8461494425525693E-4</v>
      </c>
      <c r="M1212" s="16">
        <v>45378</v>
      </c>
      <c r="N1212" s="26">
        <f t="shared" si="73"/>
        <v>3.9418018713306153E-3</v>
      </c>
      <c r="O1212" s="26">
        <f>'Part 2 - CAPM 2.1, 2.2 and 2.3'!C1212-'Part 2 - CAPM 2.1, 2.2 and 2.3'!K1212</f>
        <v>-1.4308908729565991E-2</v>
      </c>
    </row>
    <row r="1213" spans="1:15" x14ac:dyDescent="0.4">
      <c r="A1213" s="16">
        <v>45379</v>
      </c>
      <c r="B1213" s="14">
        <v>268.05</v>
      </c>
      <c r="C1213" s="25">
        <f t="shared" si="74"/>
        <v>2.4068767908309498E-2</v>
      </c>
      <c r="E1213" s="16">
        <v>45379</v>
      </c>
      <c r="F1213" s="15">
        <v>20255.150000000001</v>
      </c>
      <c r="G1213" s="25">
        <f t="shared" si="75"/>
        <v>8.3309272294627684E-3</v>
      </c>
      <c r="I1213" s="16">
        <v>45379</v>
      </c>
      <c r="J1213" s="17">
        <v>7.0199999999999999E-2</v>
      </c>
      <c r="K1213" s="25">
        <f t="shared" si="72"/>
        <v>1.8589548709635473E-4</v>
      </c>
      <c r="M1213" s="16">
        <v>45379</v>
      </c>
      <c r="N1213" s="26">
        <f t="shared" si="73"/>
        <v>8.1450317423664136E-3</v>
      </c>
      <c r="O1213" s="26">
        <f>'Part 2 - CAPM 2.1, 2.2 and 2.3'!C1213-'Part 2 - CAPM 2.1, 2.2 and 2.3'!K1213</f>
        <v>2.3882872421213144E-2</v>
      </c>
    </row>
  </sheetData>
  <autoFilter ref="A2:O2" xr:uid="{D08B2584-5E58-450F-9F5F-C54EB2185CCF}"/>
  <mergeCells count="4">
    <mergeCell ref="M1:O1"/>
    <mergeCell ref="A1:C1"/>
    <mergeCell ref="E1:G1"/>
    <mergeCell ref="I1:K1"/>
  </mergeCells>
  <conditionalFormatting sqref="A3:A1213">
    <cfRule type="duplicateValues" dxfId="9" priority="6"/>
  </conditionalFormatting>
  <conditionalFormatting sqref="E3:E1197">
    <cfRule type="duplicateValues" dxfId="8" priority="5"/>
  </conditionalFormatting>
  <conditionalFormatting sqref="I3:I1213">
    <cfRule type="duplicateValues" dxfId="7" priority="4"/>
  </conditionalFormatting>
  <conditionalFormatting sqref="M3:M1213">
    <cfRule type="duplicateValues" dxfId="6" priority="2"/>
  </conditionalFormatting>
  <conditionalFormatting sqref="N3:N1213">
    <cfRule type="duplicateValues" dxfId="5" priority="3"/>
  </conditionalFormatting>
  <conditionalFormatting sqref="O3:O1213">
    <cfRule type="duplicateValues" dxfId="4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959C9-F9BF-4AD8-97EE-811E7AEA0F91}">
  <sheetPr>
    <tabColor theme="7" tint="0.39997558519241921"/>
  </sheetPr>
  <dimension ref="A1:O22"/>
  <sheetViews>
    <sheetView showGridLines="0" zoomScaleNormal="100" workbookViewId="0">
      <selection activeCell="E13" sqref="E13"/>
    </sheetView>
  </sheetViews>
  <sheetFormatPr defaultColWidth="8.73046875" defaultRowHeight="13.15" x14ac:dyDescent="0.45"/>
  <cols>
    <col min="1" max="1" width="17.46484375" style="23" bestFit="1" customWidth="1"/>
    <col min="2" max="2" width="11.265625" style="23" bestFit="1" customWidth="1"/>
    <col min="3" max="3" width="12.86328125" style="23" bestFit="1" customWidth="1"/>
    <col min="4" max="4" width="11" style="23" bestFit="1" customWidth="1"/>
    <col min="5" max="5" width="11.265625" style="23" bestFit="1" customWidth="1"/>
    <col min="6" max="6" width="12.19921875" style="23" bestFit="1" customWidth="1"/>
    <col min="7" max="7" width="11" style="23" bestFit="1" customWidth="1"/>
    <col min="8" max="8" width="11.59765625" style="23" bestFit="1" customWidth="1"/>
    <col min="9" max="9" width="11.19921875" style="23" bestFit="1" customWidth="1"/>
    <col min="10" max="16384" width="8.73046875" style="23"/>
  </cols>
  <sheetData>
    <row r="1" spans="1:15" ht="17.649999999999999" thickBot="1" x14ac:dyDescent="0.5">
      <c r="A1" s="257" t="s">
        <v>386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9"/>
    </row>
    <row r="2" spans="1:15" x14ac:dyDescent="0.45">
      <c r="A2" s="231" t="s">
        <v>347</v>
      </c>
      <c r="O2" s="229"/>
    </row>
    <row r="3" spans="1:15" ht="13.5" thickBot="1" x14ac:dyDescent="0.5">
      <c r="A3" s="231"/>
      <c r="O3" s="229"/>
    </row>
    <row r="4" spans="1:15" x14ac:dyDescent="0.45">
      <c r="A4" s="232" t="s">
        <v>348</v>
      </c>
      <c r="B4" s="233"/>
      <c r="O4" s="229"/>
    </row>
    <row r="5" spans="1:15" x14ac:dyDescent="0.45">
      <c r="A5" s="231" t="s">
        <v>349</v>
      </c>
      <c r="B5" s="229">
        <v>0.49633431838392006</v>
      </c>
      <c r="O5" s="229"/>
    </row>
    <row r="6" spans="1:15" x14ac:dyDescent="0.45">
      <c r="A6" s="231" t="s">
        <v>350</v>
      </c>
      <c r="B6" s="229">
        <v>0.24634775560563055</v>
      </c>
      <c r="O6" s="229"/>
    </row>
    <row r="7" spans="1:15" x14ac:dyDescent="0.45">
      <c r="A7" s="231" t="s">
        <v>351</v>
      </c>
      <c r="B7" s="229">
        <v>0.24572438733069724</v>
      </c>
      <c r="O7" s="229"/>
    </row>
    <row r="8" spans="1:15" x14ac:dyDescent="0.45">
      <c r="A8" s="231" t="s">
        <v>352</v>
      </c>
      <c r="B8" s="229">
        <v>2.1064256953031452E-2</v>
      </c>
      <c r="O8" s="229"/>
    </row>
    <row r="9" spans="1:15" ht="13.5" thickBot="1" x14ac:dyDescent="0.5">
      <c r="A9" s="234" t="s">
        <v>353</v>
      </c>
      <c r="B9" s="230">
        <v>1211</v>
      </c>
      <c r="O9" s="229"/>
    </row>
    <row r="10" spans="1:15" x14ac:dyDescent="0.45">
      <c r="A10" s="231"/>
      <c r="O10" s="229"/>
    </row>
    <row r="11" spans="1:15" ht="13.5" thickBot="1" x14ac:dyDescent="0.5">
      <c r="A11" s="231" t="s">
        <v>354</v>
      </c>
      <c r="O11" s="229"/>
    </row>
    <row r="12" spans="1:15" x14ac:dyDescent="0.45">
      <c r="A12" s="232"/>
      <c r="B12" s="235" t="s">
        <v>359</v>
      </c>
      <c r="C12" s="235" t="s">
        <v>360</v>
      </c>
      <c r="D12" s="235" t="s">
        <v>361</v>
      </c>
      <c r="E12" s="235" t="s">
        <v>362</v>
      </c>
      <c r="F12" s="233" t="s">
        <v>363</v>
      </c>
      <c r="O12" s="229"/>
    </row>
    <row r="13" spans="1:15" x14ac:dyDescent="0.45">
      <c r="A13" s="231" t="s">
        <v>355</v>
      </c>
      <c r="B13" s="23">
        <v>1</v>
      </c>
      <c r="C13" s="23">
        <v>0.17534613668236632</v>
      </c>
      <c r="D13" s="23">
        <v>0.17534613668236632</v>
      </c>
      <c r="E13" s="23">
        <v>395.18815042678648</v>
      </c>
      <c r="F13" s="229">
        <v>2.592030290214899E-76</v>
      </c>
      <c r="O13" s="229"/>
    </row>
    <row r="14" spans="1:15" x14ac:dyDescent="0.45">
      <c r="A14" s="231" t="s">
        <v>356</v>
      </c>
      <c r="B14" s="23">
        <v>1209</v>
      </c>
      <c r="C14" s="23">
        <v>0.53643683146885068</v>
      </c>
      <c r="D14" s="23">
        <v>4.437029209833339E-4</v>
      </c>
      <c r="F14" s="229"/>
      <c r="O14" s="229"/>
    </row>
    <row r="15" spans="1:15" ht="13.5" thickBot="1" x14ac:dyDescent="0.5">
      <c r="A15" s="234" t="s">
        <v>357</v>
      </c>
      <c r="B15" s="192">
        <v>1210</v>
      </c>
      <c r="C15" s="192">
        <v>0.711782968151217</v>
      </c>
      <c r="D15" s="192"/>
      <c r="E15" s="192"/>
      <c r="F15" s="230"/>
      <c r="O15" s="229"/>
    </row>
    <row r="16" spans="1:15" ht="13.5" thickBot="1" x14ac:dyDescent="0.5">
      <c r="A16" s="231"/>
      <c r="O16" s="229"/>
    </row>
    <row r="17" spans="1:15" x14ac:dyDescent="0.45">
      <c r="A17" s="232"/>
      <c r="B17" s="235" t="s">
        <v>364</v>
      </c>
      <c r="C17" s="235" t="s">
        <v>352</v>
      </c>
      <c r="D17" s="235" t="s">
        <v>365</v>
      </c>
      <c r="E17" s="235" t="s">
        <v>366</v>
      </c>
      <c r="F17" s="235" t="s">
        <v>367</v>
      </c>
      <c r="G17" s="235" t="s">
        <v>368</v>
      </c>
      <c r="H17" s="235" t="s">
        <v>369</v>
      </c>
      <c r="I17" s="233" t="s">
        <v>370</v>
      </c>
      <c r="O17" s="229"/>
    </row>
    <row r="18" spans="1:15" x14ac:dyDescent="0.45">
      <c r="A18" s="231" t="s">
        <v>358</v>
      </c>
      <c r="B18" s="23">
        <v>5.3280233871410686E-5</v>
      </c>
      <c r="C18" s="23">
        <v>6.0593064023609338E-4</v>
      </c>
      <c r="D18" s="23">
        <v>8.7931242180871894E-2</v>
      </c>
      <c r="E18" s="23">
        <v>0.92994588699396519</v>
      </c>
      <c r="F18" s="23">
        <v>-1.1355121118300636E-3</v>
      </c>
      <c r="G18" s="23">
        <v>1.242072579572885E-3</v>
      </c>
      <c r="H18" s="23">
        <v>-1.1355121118300636E-3</v>
      </c>
      <c r="I18" s="229">
        <v>1.242072579572885E-3</v>
      </c>
      <c r="O18" s="229"/>
    </row>
    <row r="19" spans="1:15" ht="39.75" thickBot="1" x14ac:dyDescent="0.5">
      <c r="A19" s="236" t="s">
        <v>680</v>
      </c>
      <c r="B19" s="237">
        <v>1.0021992959873915</v>
      </c>
      <c r="C19" s="192">
        <v>5.0414113680323107E-2</v>
      </c>
      <c r="D19" s="192">
        <v>19.879339788503614</v>
      </c>
      <c r="E19" s="192">
        <v>2.5920302902182976E-76</v>
      </c>
      <c r="F19" s="192">
        <v>0.90329043005656429</v>
      </c>
      <c r="G19" s="192">
        <v>1.1011081619182188</v>
      </c>
      <c r="H19" s="192">
        <v>0.90329043005656429</v>
      </c>
      <c r="I19" s="230">
        <v>1.1011081619182188</v>
      </c>
      <c r="O19" s="229"/>
    </row>
    <row r="20" spans="1:15" x14ac:dyDescent="0.45">
      <c r="A20" s="231"/>
      <c r="O20" s="229"/>
    </row>
    <row r="21" spans="1:15" ht="13.5" thickBot="1" x14ac:dyDescent="0.5">
      <c r="A21" s="234"/>
      <c r="B21" s="192"/>
      <c r="C21" s="192"/>
      <c r="D21" s="192"/>
      <c r="E21" s="192"/>
      <c r="F21" s="192"/>
      <c r="G21" s="192"/>
      <c r="H21" s="192"/>
      <c r="I21" s="192"/>
      <c r="J21" s="192"/>
      <c r="K21" s="192"/>
      <c r="L21" s="192"/>
      <c r="M21" s="192"/>
      <c r="N21" s="192"/>
      <c r="O21" s="230"/>
    </row>
    <row r="22" spans="1:15" ht="14.25" x14ac:dyDescent="0.45">
      <c r="A22"/>
      <c r="B22"/>
      <c r="C22"/>
      <c r="D22"/>
      <c r="E22"/>
      <c r="F22"/>
      <c r="G22"/>
      <c r="H22"/>
      <c r="I22"/>
    </row>
  </sheetData>
  <mergeCells count="1">
    <mergeCell ref="A1:O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E4568-9E7C-49A7-80D0-5191C0EA3930}">
  <sheetPr>
    <tabColor theme="7" tint="0.39997558519241921"/>
  </sheetPr>
  <dimension ref="A1:S1213"/>
  <sheetViews>
    <sheetView showGridLines="0" zoomScale="64" workbookViewId="0">
      <pane ySplit="2" topLeftCell="A3" activePane="bottomLeft" state="frozen"/>
      <selection pane="bottomLeft" activeCell="J8" sqref="J8"/>
    </sheetView>
  </sheetViews>
  <sheetFormatPr defaultColWidth="8.73046875" defaultRowHeight="14.25" x14ac:dyDescent="0.45"/>
  <cols>
    <col min="1" max="1" width="9.46484375" style="1" bestFit="1" customWidth="1"/>
    <col min="2" max="3" width="11.59765625" style="1" bestFit="1" customWidth="1"/>
    <col min="4" max="4" width="4.9296875" style="1" customWidth="1"/>
    <col min="5" max="5" width="9.46484375" style="1" bestFit="1" customWidth="1"/>
    <col min="6" max="6" width="16.73046875" style="1" bestFit="1" customWidth="1"/>
    <col min="7" max="7" width="16.06640625" style="1" customWidth="1"/>
    <col min="8" max="8" width="5.53125" style="1" customWidth="1"/>
    <col min="9" max="9" width="22.265625" style="1" bestFit="1" customWidth="1"/>
    <col min="10" max="10" width="11.9296875" style="1" bestFit="1" customWidth="1"/>
    <col min="11" max="11" width="5.53125" style="1" customWidth="1"/>
    <col min="12" max="12" width="25" style="1" bestFit="1" customWidth="1"/>
    <col min="13" max="13" width="24.9296875" style="1" customWidth="1"/>
    <col min="14" max="14" width="5.73046875" customWidth="1"/>
    <col min="15" max="15" width="21.33203125" style="1" bestFit="1" customWidth="1"/>
    <col min="16" max="16" width="12.9296875" style="1" customWidth="1"/>
    <col min="17" max="17" width="19.19921875" style="1" bestFit="1" customWidth="1"/>
    <col min="18" max="18" width="12.796875" style="1" customWidth="1"/>
    <col min="19" max="19" width="8.73046875" style="1"/>
    <col min="20" max="20" width="25.19921875" style="1" customWidth="1"/>
    <col min="21" max="16384" width="8.73046875" style="1"/>
  </cols>
  <sheetData>
    <row r="1" spans="1:19" ht="59" customHeight="1" x14ac:dyDescent="0.45">
      <c r="A1" s="260" t="s">
        <v>381</v>
      </c>
      <c r="B1" s="261"/>
      <c r="C1" s="262"/>
      <c r="E1" s="256" t="s">
        <v>344</v>
      </c>
      <c r="F1" s="256"/>
      <c r="G1" s="256"/>
      <c r="I1" s="39" t="s">
        <v>383</v>
      </c>
      <c r="J1" s="39">
        <f>'Part 2 - CAPM - 2.4'!B19</f>
        <v>1.0021992959873915</v>
      </c>
      <c r="L1" s="263" t="s">
        <v>384</v>
      </c>
      <c r="M1" s="263" t="s">
        <v>385</v>
      </c>
      <c r="O1" s="265" t="s">
        <v>671</v>
      </c>
      <c r="P1" s="265"/>
      <c r="Q1" s="265"/>
      <c r="R1" s="265"/>
      <c r="S1" s="265"/>
    </row>
    <row r="2" spans="1:19" ht="65" customHeight="1" x14ac:dyDescent="0.45">
      <c r="A2" s="33" t="s">
        <v>343</v>
      </c>
      <c r="B2" s="34" t="s">
        <v>680</v>
      </c>
      <c r="C2" s="34" t="s">
        <v>681</v>
      </c>
      <c r="E2" s="35" t="s">
        <v>372</v>
      </c>
      <c r="F2" s="35" t="s">
        <v>375</v>
      </c>
      <c r="G2" s="35" t="s">
        <v>376</v>
      </c>
      <c r="I2" s="39" t="s">
        <v>382</v>
      </c>
      <c r="J2" s="39">
        <f>SLOPE(C3:C1213,B3:B1213)</f>
        <v>1.0021992959873951</v>
      </c>
      <c r="L2" s="264"/>
      <c r="M2" s="264"/>
      <c r="O2" s="210" t="s">
        <v>667</v>
      </c>
      <c r="P2" s="210" t="s">
        <v>668</v>
      </c>
      <c r="Q2" s="210" t="s">
        <v>328</v>
      </c>
      <c r="R2" s="210" t="s">
        <v>669</v>
      </c>
      <c r="S2" s="210" t="s">
        <v>670</v>
      </c>
    </row>
    <row r="3" spans="1:19" x14ac:dyDescent="0.45">
      <c r="A3" s="16">
        <v>43557</v>
      </c>
      <c r="B3" s="42">
        <f>'Part 2 - CAPM 2.1, 2.2 and 2.3'!N3</f>
        <v>-1.6430275969248065E-4</v>
      </c>
      <c r="C3" s="42">
        <f>'Part 2 - CAPM 2.1, 2.2 and 2.3'!O3</f>
        <v>-1.6430275969248065E-4</v>
      </c>
      <c r="E3" s="16">
        <v>43557</v>
      </c>
      <c r="F3" s="17">
        <v>6.1799999999999994E-2</v>
      </c>
      <c r="G3" s="41">
        <f>((1+F3)^(1/365))-1</f>
        <v>1.6430275969248065E-4</v>
      </c>
      <c r="L3" s="40">
        <f>G3+($J$1*(B3))</f>
        <v>-3.6135040010903952E-7</v>
      </c>
      <c r="M3" s="40">
        <f>G3+($J$1*(C3))</f>
        <v>-3.6135040010903952E-7</v>
      </c>
      <c r="O3" s="40">
        <f>P3+(Q3*(R3))+S3</f>
        <v>-3.6135040010903952E-7</v>
      </c>
      <c r="P3" s="207">
        <f>G3</f>
        <v>1.6430275969248065E-4</v>
      </c>
      <c r="Q3" s="208">
        <f>$J$1</f>
        <v>1.0021992959873915</v>
      </c>
      <c r="R3" s="40">
        <f>B3</f>
        <v>-1.6430275969248065E-4</v>
      </c>
      <c r="S3" s="209">
        <v>0</v>
      </c>
    </row>
    <row r="4" spans="1:19" x14ac:dyDescent="0.45">
      <c r="A4" s="16">
        <v>43558</v>
      </c>
      <c r="B4" s="42">
        <f>'Part 2 - CAPM 2.1, 2.2 and 2.3'!N4</f>
        <v>-6.5845595968220738E-3</v>
      </c>
      <c r="C4" s="42">
        <f>'Part 2 - CAPM 2.1, 2.2 and 2.3'!O4</f>
        <v>-1.3181207857531015E-2</v>
      </c>
      <c r="E4" s="16">
        <v>43558</v>
      </c>
      <c r="F4" s="17">
        <v>6.2199999999999998E-2</v>
      </c>
      <c r="G4" s="41">
        <f t="shared" ref="G4:G67" si="0">((1+F4)^(1/365))-1</f>
        <v>1.65334841657927E-4</v>
      </c>
      <c r="L4" s="40">
        <f t="shared" ref="L4:L66" si="1">G4+($J$1*(B4))</f>
        <v>-6.4337061506641782E-3</v>
      </c>
      <c r="M4" s="40">
        <f t="shared" ref="M4:M66" si="2">G4+($J$1*(C4))</f>
        <v>-1.304486239342313E-2</v>
      </c>
      <c r="O4" s="40">
        <f t="shared" ref="O4:O67" si="3">P4+(Q4*(R4))+S4</f>
        <v>-6.4337061506641782E-3</v>
      </c>
      <c r="P4" s="207">
        <f t="shared" ref="P4:P67" si="4">G4</f>
        <v>1.65334841657927E-4</v>
      </c>
      <c r="Q4" s="208">
        <f t="shared" ref="Q4:Q67" si="5">$J$1</f>
        <v>1.0021992959873915</v>
      </c>
      <c r="R4" s="40">
        <f t="shared" ref="R4:R67" si="6">B4</f>
        <v>-6.5845595968220738E-3</v>
      </c>
      <c r="S4" s="209">
        <v>0</v>
      </c>
    </row>
    <row r="5" spans="1:19" x14ac:dyDescent="0.45">
      <c r="A5" s="16">
        <v>43559</v>
      </c>
      <c r="B5" s="42">
        <f>'Part 2 - CAPM 2.1, 2.2 and 2.3'!N5</f>
        <v>-3.4526288033907195E-3</v>
      </c>
      <c r="C5" s="42">
        <f>'Part 2 - CAPM 2.1, 2.2 and 2.3'!O5</f>
        <v>-1.4519221687726818E-3</v>
      </c>
      <c r="E5" s="16">
        <v>43559</v>
      </c>
      <c r="F5" s="17">
        <v>6.2199999999999998E-2</v>
      </c>
      <c r="G5" s="41">
        <f t="shared" si="0"/>
        <v>1.65334841657927E-4</v>
      </c>
      <c r="L5" s="40">
        <f t="shared" si="1"/>
        <v>-3.2948873144060422E-3</v>
      </c>
      <c r="M5" s="40">
        <f t="shared" si="2"/>
        <v>-1.2897805337145414E-3</v>
      </c>
      <c r="O5" s="40">
        <f t="shared" si="3"/>
        <v>-3.2948873144060422E-3</v>
      </c>
      <c r="P5" s="207">
        <f t="shared" si="4"/>
        <v>1.65334841657927E-4</v>
      </c>
      <c r="Q5" s="208">
        <f t="shared" si="5"/>
        <v>1.0021992959873915</v>
      </c>
      <c r="R5" s="40">
        <f t="shared" si="6"/>
        <v>-3.4526288033907195E-3</v>
      </c>
      <c r="S5" s="209">
        <v>0</v>
      </c>
    </row>
    <row r="6" spans="1:19" x14ac:dyDescent="0.45">
      <c r="A6" s="16">
        <v>43560</v>
      </c>
      <c r="B6" s="42">
        <f>'Part 2 - CAPM 2.1, 2.2 and 2.3'!N6</f>
        <v>5.8910278102632463E-3</v>
      </c>
      <c r="C6" s="42">
        <f>'Part 2 - CAPM 2.1, 2.2 and 2.3'!O6</f>
        <v>8.2085141247786007E-3</v>
      </c>
      <c r="E6" s="16">
        <v>43560</v>
      </c>
      <c r="F6" s="17">
        <v>6.2100000000000002E-2</v>
      </c>
      <c r="G6" s="41">
        <f t="shared" si="0"/>
        <v>1.650768575081063E-4</v>
      </c>
      <c r="L6" s="40">
        <f t="shared" si="1"/>
        <v>6.0690607815960763E-3</v>
      </c>
      <c r="M6" s="40">
        <f t="shared" si="2"/>
        <v>8.3916439344637796E-3</v>
      </c>
      <c r="O6" s="40">
        <f t="shared" si="3"/>
        <v>6.0690607815960763E-3</v>
      </c>
      <c r="P6" s="207">
        <f t="shared" si="4"/>
        <v>1.650768575081063E-4</v>
      </c>
      <c r="Q6" s="208">
        <f t="shared" si="5"/>
        <v>1.0021992959873915</v>
      </c>
      <c r="R6" s="40">
        <f t="shared" si="6"/>
        <v>5.8910278102632463E-3</v>
      </c>
      <c r="S6" s="209">
        <v>0</v>
      </c>
    </row>
    <row r="7" spans="1:19" x14ac:dyDescent="0.45">
      <c r="A7" s="16">
        <v>43563</v>
      </c>
      <c r="B7" s="42">
        <f>'Part 2 - CAPM 2.1, 2.2 and 2.3'!N7</f>
        <v>-5.3842572561467184E-3</v>
      </c>
      <c r="C7" s="42">
        <f>'Part 2 - CAPM 2.1, 2.2 and 2.3'!O7</f>
        <v>9.7361712498761285E-3</v>
      </c>
      <c r="E7" s="16">
        <v>43563</v>
      </c>
      <c r="F7" s="17">
        <v>6.2E-2</v>
      </c>
      <c r="G7" s="41">
        <f t="shared" si="0"/>
        <v>1.6481884913366329E-4</v>
      </c>
      <c r="L7" s="40">
        <f t="shared" si="1"/>
        <v>-5.2312799823915823E-3</v>
      </c>
      <c r="M7" s="40">
        <f t="shared" si="2"/>
        <v>9.9224028213722015E-3</v>
      </c>
      <c r="O7" s="40">
        <f t="shared" si="3"/>
        <v>-5.2312799823915823E-3</v>
      </c>
      <c r="P7" s="207">
        <f t="shared" si="4"/>
        <v>1.6481884913366329E-4</v>
      </c>
      <c r="Q7" s="208">
        <f t="shared" si="5"/>
        <v>1.0021992959873915</v>
      </c>
      <c r="R7" s="40">
        <f t="shared" si="6"/>
        <v>-5.3842572561467184E-3</v>
      </c>
      <c r="S7" s="209">
        <v>0</v>
      </c>
    </row>
    <row r="8" spans="1:19" x14ac:dyDescent="0.45">
      <c r="A8" s="16">
        <v>43564</v>
      </c>
      <c r="B8" s="42">
        <f>'Part 2 - CAPM 2.1, 2.2 and 2.3'!N8</f>
        <v>4.3346829361358254E-3</v>
      </c>
      <c r="C8" s="42">
        <f>'Part 2 - CAPM 2.1, 2.2 and 2.3'!O8</f>
        <v>-3.6436297283239413E-3</v>
      </c>
      <c r="E8" s="16">
        <v>43564</v>
      </c>
      <c r="F8" s="17">
        <v>6.2E-2</v>
      </c>
      <c r="G8" s="41">
        <f t="shared" si="0"/>
        <v>1.6481884913366329E-4</v>
      </c>
      <c r="L8" s="40">
        <f t="shared" si="1"/>
        <v>4.5090350360575465E-3</v>
      </c>
      <c r="M8" s="40">
        <f t="shared" si="2"/>
        <v>-3.4868242994313212E-3</v>
      </c>
      <c r="O8" s="40">
        <f t="shared" si="3"/>
        <v>4.5090350360575465E-3</v>
      </c>
      <c r="P8" s="207">
        <f t="shared" si="4"/>
        <v>1.6481884913366329E-4</v>
      </c>
      <c r="Q8" s="208">
        <f t="shared" si="5"/>
        <v>1.0021992959873915</v>
      </c>
      <c r="R8" s="40">
        <f t="shared" si="6"/>
        <v>4.3346829361358254E-3</v>
      </c>
      <c r="S8" s="209">
        <v>0</v>
      </c>
    </row>
    <row r="9" spans="1:19" x14ac:dyDescent="0.45">
      <c r="A9" s="16">
        <v>43565</v>
      </c>
      <c r="B9" s="42">
        <f>'Part 2 - CAPM 2.1, 2.2 and 2.3'!N9</f>
        <v>-5.8278080404902252E-3</v>
      </c>
      <c r="C9" s="42">
        <f>'Part 2 - CAPM 2.1, 2.2 and 2.3'!O9</f>
        <v>2.6909012738608835E-3</v>
      </c>
      <c r="E9" s="16">
        <v>43565</v>
      </c>
      <c r="F9" s="17">
        <v>6.2199999999999998E-2</v>
      </c>
      <c r="G9" s="41">
        <f t="shared" si="0"/>
        <v>1.65334841657927E-4</v>
      </c>
      <c r="L9" s="40">
        <f t="shared" si="1"/>
        <v>-5.6752902736710367E-3</v>
      </c>
      <c r="M9" s="40">
        <f t="shared" si="2"/>
        <v>2.8621542038928796E-3</v>
      </c>
      <c r="O9" s="40">
        <f t="shared" si="3"/>
        <v>-5.6752902736710367E-3</v>
      </c>
      <c r="P9" s="207">
        <f t="shared" si="4"/>
        <v>1.65334841657927E-4</v>
      </c>
      <c r="Q9" s="208">
        <f t="shared" si="5"/>
        <v>1.0021992959873915</v>
      </c>
      <c r="R9" s="40">
        <f t="shared" si="6"/>
        <v>-5.8278080404902252E-3</v>
      </c>
      <c r="S9" s="209">
        <v>0</v>
      </c>
    </row>
    <row r="10" spans="1:19" x14ac:dyDescent="0.45">
      <c r="A10" s="16">
        <v>43566</v>
      </c>
      <c r="B10" s="42">
        <f>'Part 2 - CAPM 2.1, 2.2 and 2.3'!N10</f>
        <v>1.0375381989139716E-3</v>
      </c>
      <c r="C10" s="42">
        <f>'Part 2 - CAPM 2.1, 2.2 and 2.3'!O10</f>
        <v>3.6295550026245729E-3</v>
      </c>
      <c r="E10" s="16">
        <v>43566</v>
      </c>
      <c r="F10" s="17">
        <v>6.3200000000000006E-2</v>
      </c>
      <c r="G10" s="41">
        <f t="shared" si="0"/>
        <v>1.6791335180577072E-4</v>
      </c>
      <c r="L10" s="40">
        <f t="shared" si="1"/>
        <v>1.2077334043173794E-3</v>
      </c>
      <c r="M10" s="40">
        <f t="shared" si="2"/>
        <v>3.8054508201836325E-3</v>
      </c>
      <c r="O10" s="40">
        <f t="shared" si="3"/>
        <v>1.2077334043173794E-3</v>
      </c>
      <c r="P10" s="207">
        <f t="shared" si="4"/>
        <v>1.6791335180577072E-4</v>
      </c>
      <c r="Q10" s="208">
        <f t="shared" si="5"/>
        <v>1.0021992959873915</v>
      </c>
      <c r="R10" s="40">
        <f t="shared" si="6"/>
        <v>1.0375381989139716E-3</v>
      </c>
      <c r="S10" s="209">
        <v>0</v>
      </c>
    </row>
    <row r="11" spans="1:19" x14ac:dyDescent="0.45">
      <c r="A11" s="16">
        <v>43567</v>
      </c>
      <c r="B11" s="42">
        <f>'Part 2 - CAPM 2.1, 2.2 and 2.3'!N11</f>
        <v>3.9892588284905243E-3</v>
      </c>
      <c r="C11" s="42">
        <f>'Part 2 - CAPM 2.1, 2.2 and 2.3'!O11</f>
        <v>-6.4728258492479538E-3</v>
      </c>
      <c r="E11" s="16">
        <v>43567</v>
      </c>
      <c r="F11" s="17">
        <v>6.3099999999999989E-2</v>
      </c>
      <c r="G11" s="41">
        <f t="shared" si="0"/>
        <v>1.6765560965148474E-4</v>
      </c>
      <c r="L11" s="40">
        <f t="shared" si="1"/>
        <v>4.1656879990761746E-3</v>
      </c>
      <c r="M11" s="40">
        <f t="shared" si="2"/>
        <v>-6.3194058995138047E-3</v>
      </c>
      <c r="O11" s="40">
        <f t="shared" si="3"/>
        <v>4.1656879990761746E-3</v>
      </c>
      <c r="P11" s="207">
        <f t="shared" si="4"/>
        <v>1.6765560965148474E-4</v>
      </c>
      <c r="Q11" s="208">
        <f t="shared" si="5"/>
        <v>1.0021992959873915</v>
      </c>
      <c r="R11" s="40">
        <f t="shared" si="6"/>
        <v>3.9892588284905243E-3</v>
      </c>
      <c r="S11" s="209">
        <v>0</v>
      </c>
    </row>
    <row r="12" spans="1:19" x14ac:dyDescent="0.45">
      <c r="A12" s="16">
        <v>43570</v>
      </c>
      <c r="B12" s="42">
        <f>'Part 2 - CAPM 2.1, 2.2 and 2.3'!N12</f>
        <v>4.1632728008253964E-3</v>
      </c>
      <c r="C12" s="42">
        <f>'Part 2 - CAPM 2.1, 2.2 and 2.3'!O12</f>
        <v>-7.4646099243723335E-3</v>
      </c>
      <c r="E12" s="16">
        <v>43570</v>
      </c>
      <c r="F12" s="17">
        <v>6.3099999999999989E-2</v>
      </c>
      <c r="G12" s="41">
        <f t="shared" si="0"/>
        <v>1.6765560965148474E-4</v>
      </c>
      <c r="L12" s="40">
        <f t="shared" si="1"/>
        <v>4.3400846796421526E-3</v>
      </c>
      <c r="M12" s="40">
        <f t="shared" si="2"/>
        <v>-7.3133712013749644E-3</v>
      </c>
      <c r="O12" s="40">
        <f t="shared" si="3"/>
        <v>4.3400846796421526E-3</v>
      </c>
      <c r="P12" s="207">
        <f t="shared" si="4"/>
        <v>1.6765560965148474E-4</v>
      </c>
      <c r="Q12" s="208">
        <f t="shared" si="5"/>
        <v>1.0021992959873915</v>
      </c>
      <c r="R12" s="40">
        <f t="shared" si="6"/>
        <v>4.1632728008253964E-3</v>
      </c>
      <c r="S12" s="209">
        <v>0</v>
      </c>
    </row>
    <row r="13" spans="1:19" x14ac:dyDescent="0.45">
      <c r="A13" s="16">
        <v>43571</v>
      </c>
      <c r="B13" s="42">
        <f>'Part 2 - CAPM 2.1, 2.2 and 2.3'!N13</f>
        <v>6.5109310882034309E-3</v>
      </c>
      <c r="C13" s="42">
        <f>'Part 2 - CAPM 2.1, 2.2 and 2.3'!O13</f>
        <v>2.5398845125826523E-2</v>
      </c>
      <c r="E13" s="16">
        <v>43571</v>
      </c>
      <c r="F13" s="17">
        <v>6.3399999999999998E-2</v>
      </c>
      <c r="G13" s="41">
        <f t="shared" si="0"/>
        <v>1.6842876359501879E-4</v>
      </c>
      <c r="L13" s="40">
        <f t="shared" si="1"/>
        <v>6.6936793164149187E-3</v>
      </c>
      <c r="M13" s="40">
        <f t="shared" si="2"/>
        <v>2.5623133467591153E-2</v>
      </c>
      <c r="O13" s="40">
        <f t="shared" si="3"/>
        <v>6.6936793164149187E-3</v>
      </c>
      <c r="P13" s="207">
        <f t="shared" si="4"/>
        <v>1.6842876359501879E-4</v>
      </c>
      <c r="Q13" s="208">
        <f t="shared" si="5"/>
        <v>1.0021992959873915</v>
      </c>
      <c r="R13" s="40">
        <f t="shared" si="6"/>
        <v>6.5109310882034309E-3</v>
      </c>
      <c r="S13" s="209">
        <v>0</v>
      </c>
    </row>
    <row r="14" spans="1:19" x14ac:dyDescent="0.45">
      <c r="A14" s="16">
        <v>43573</v>
      </c>
      <c r="B14" s="42">
        <f>'Part 2 - CAPM 2.1, 2.2 and 2.3'!N14</f>
        <v>-4.5338570253979213E-3</v>
      </c>
      <c r="C14" s="42">
        <f>'Part 2 - CAPM 2.1, 2.2 and 2.3'!O14</f>
        <v>7.6644191262813916E-4</v>
      </c>
      <c r="E14" s="16">
        <v>43573</v>
      </c>
      <c r="F14" s="17">
        <v>6.3399999999999998E-2</v>
      </c>
      <c r="G14" s="41">
        <f t="shared" si="0"/>
        <v>1.6842876359501879E-4</v>
      </c>
      <c r="L14" s="40">
        <f t="shared" si="1"/>
        <v>-4.3753995553662672E-3</v>
      </c>
      <c r="M14" s="40">
        <f t="shared" si="2"/>
        <v>9.3655630884616973E-4</v>
      </c>
      <c r="O14" s="40">
        <f t="shared" si="3"/>
        <v>-4.3753995553662672E-3</v>
      </c>
      <c r="P14" s="207">
        <f t="shared" si="4"/>
        <v>1.6842876359501879E-4</v>
      </c>
      <c r="Q14" s="208">
        <f t="shared" si="5"/>
        <v>1.0021992959873915</v>
      </c>
      <c r="R14" s="40">
        <f t="shared" si="6"/>
        <v>-4.5338570253979213E-3</v>
      </c>
      <c r="S14" s="209">
        <v>0</v>
      </c>
    </row>
    <row r="15" spans="1:19" x14ac:dyDescent="0.45">
      <c r="A15" s="16">
        <v>43577</v>
      </c>
      <c r="B15" s="42">
        <f>'Part 2 - CAPM 2.1, 2.2 and 2.3'!N15</f>
        <v>-1.4431370364359625E-2</v>
      </c>
      <c r="C15" s="42">
        <f>'Part 2 - CAPM 2.1, 2.2 and 2.3'!O15</f>
        <v>-1.6980641601358787E-2</v>
      </c>
      <c r="E15" s="16">
        <v>43577</v>
      </c>
      <c r="F15" s="17">
        <v>6.3500000000000001E-2</v>
      </c>
      <c r="G15" s="41">
        <f t="shared" si="0"/>
        <v>1.6868643323930677E-4</v>
      </c>
      <c r="L15" s="40">
        <f t="shared" si="1"/>
        <v>-1.4294422786055215E-2</v>
      </c>
      <c r="M15" s="40">
        <f t="shared" si="2"/>
        <v>-1.6849300625056681E-2</v>
      </c>
      <c r="O15" s="40">
        <f t="shared" si="3"/>
        <v>-1.4294422786055215E-2</v>
      </c>
      <c r="P15" s="207">
        <f t="shared" si="4"/>
        <v>1.6868643323930677E-4</v>
      </c>
      <c r="Q15" s="208">
        <f t="shared" si="5"/>
        <v>1.0021992959873915</v>
      </c>
      <c r="R15" s="40">
        <f t="shared" si="6"/>
        <v>-1.4431370364359625E-2</v>
      </c>
      <c r="S15" s="209">
        <v>0</v>
      </c>
    </row>
    <row r="16" spans="1:19" x14ac:dyDescent="0.45">
      <c r="A16" s="16">
        <v>43578</v>
      </c>
      <c r="B16" s="42">
        <f>'Part 2 - CAPM 2.1, 2.2 and 2.3'!N16</f>
        <v>-1.4707968938739034E-3</v>
      </c>
      <c r="C16" s="42">
        <f>'Part 2 - CAPM 2.1, 2.2 and 2.3'!O16</f>
        <v>3.6880078607925949E-2</v>
      </c>
      <c r="E16" s="16">
        <v>43578</v>
      </c>
      <c r="F16" s="17">
        <v>6.3500000000000001E-2</v>
      </c>
      <c r="G16" s="41">
        <f t="shared" si="0"/>
        <v>1.6868643323930677E-4</v>
      </c>
      <c r="L16" s="40">
        <f t="shared" si="1"/>
        <v>-1.3053451783415614E-3</v>
      </c>
      <c r="M16" s="40">
        <f t="shared" si="2"/>
        <v>3.7129875250062352E-2</v>
      </c>
      <c r="O16" s="40">
        <f t="shared" si="3"/>
        <v>-1.3053451783415614E-3</v>
      </c>
      <c r="P16" s="207">
        <f t="shared" si="4"/>
        <v>1.6868643323930677E-4</v>
      </c>
      <c r="Q16" s="208">
        <f t="shared" si="5"/>
        <v>1.0021992959873915</v>
      </c>
      <c r="R16" s="40">
        <f t="shared" si="6"/>
        <v>-1.4707968938739034E-3</v>
      </c>
      <c r="S16" s="209">
        <v>0</v>
      </c>
    </row>
    <row r="17" spans="1:19" x14ac:dyDescent="0.45">
      <c r="A17" s="16">
        <v>43579</v>
      </c>
      <c r="B17" s="42">
        <f>'Part 2 - CAPM 2.1, 2.2 and 2.3'!N17</f>
        <v>1.0287597387592336E-2</v>
      </c>
      <c r="C17" s="42">
        <f>'Part 2 - CAPM 2.1, 2.2 and 2.3'!O17</f>
        <v>2.9754720043414961E-2</v>
      </c>
      <c r="E17" s="16">
        <v>43579</v>
      </c>
      <c r="F17" s="17">
        <v>6.3600000000000004E-2</v>
      </c>
      <c r="G17" s="41">
        <f t="shared" si="0"/>
        <v>1.6894407872247719E-4</v>
      </c>
      <c r="L17" s="40">
        <f t="shared" si="1"/>
        <v>1.0479166937969244E-2</v>
      </c>
      <c r="M17" s="40">
        <f t="shared" si="2"/>
        <v>2.9989103558534881E-2</v>
      </c>
      <c r="O17" s="40">
        <f t="shared" si="3"/>
        <v>1.0479166937969244E-2</v>
      </c>
      <c r="P17" s="207">
        <f t="shared" si="4"/>
        <v>1.6894407872247719E-4</v>
      </c>
      <c r="Q17" s="208">
        <f t="shared" si="5"/>
        <v>1.0021992959873915</v>
      </c>
      <c r="R17" s="40">
        <f t="shared" si="6"/>
        <v>1.0287597387592336E-2</v>
      </c>
      <c r="S17" s="209">
        <v>0</v>
      </c>
    </row>
    <row r="18" spans="1:19" x14ac:dyDescent="0.45">
      <c r="A18" s="16">
        <v>43580</v>
      </c>
      <c r="B18" s="42">
        <f>'Part 2 - CAPM 2.1, 2.2 and 2.3'!N18</f>
        <v>-6.234201698717314E-3</v>
      </c>
      <c r="C18" s="42">
        <f>'Part 2 - CAPM 2.1, 2.2 and 2.3'!O18</f>
        <v>1.0161710633382957E-3</v>
      </c>
      <c r="E18" s="16">
        <v>43580</v>
      </c>
      <c r="F18" s="17">
        <v>6.3899999999999998E-2</v>
      </c>
      <c r="G18" s="41">
        <f t="shared" si="0"/>
        <v>1.6971687025191251E-4</v>
      </c>
      <c r="L18" s="40">
        <f t="shared" si="1"/>
        <v>-6.0781956832459804E-3</v>
      </c>
      <c r="M18" s="40">
        <f t="shared" si="2"/>
        <v>1.1881227945323115E-3</v>
      </c>
      <c r="O18" s="40">
        <f t="shared" si="3"/>
        <v>-6.0781956832459804E-3</v>
      </c>
      <c r="P18" s="207">
        <f t="shared" si="4"/>
        <v>1.6971687025191251E-4</v>
      </c>
      <c r="Q18" s="208">
        <f t="shared" si="5"/>
        <v>1.0021992959873915</v>
      </c>
      <c r="R18" s="40">
        <f t="shared" si="6"/>
        <v>-6.234201698717314E-3</v>
      </c>
      <c r="S18" s="209">
        <v>0</v>
      </c>
    </row>
    <row r="19" spans="1:19" x14ac:dyDescent="0.45">
      <c r="A19" s="16">
        <v>43581</v>
      </c>
      <c r="B19" s="42">
        <f>'Part 2 - CAPM 2.1, 2.2 and 2.3'!N19</f>
        <v>6.1550588027292959E-3</v>
      </c>
      <c r="C19" s="42">
        <f>'Part 2 - CAPM 2.1, 2.2 and 2.3'!O19</f>
        <v>-2.8348042258929469E-3</v>
      </c>
      <c r="E19" s="16">
        <v>43581</v>
      </c>
      <c r="F19" s="17">
        <v>6.3899999999999998E-2</v>
      </c>
      <c r="G19" s="41">
        <f t="shared" si="0"/>
        <v>1.6971687025191251E-4</v>
      </c>
      <c r="L19" s="40">
        <f t="shared" si="1"/>
        <v>6.3383124691082102E-3</v>
      </c>
      <c r="M19" s="40">
        <f t="shared" si="2"/>
        <v>-2.6713219292000814E-3</v>
      </c>
      <c r="O19" s="40">
        <f t="shared" si="3"/>
        <v>6.3383124691082102E-3</v>
      </c>
      <c r="P19" s="207">
        <f t="shared" si="4"/>
        <v>1.6971687025191251E-4</v>
      </c>
      <c r="Q19" s="208">
        <f t="shared" si="5"/>
        <v>1.0021992959873915</v>
      </c>
      <c r="R19" s="40">
        <f t="shared" si="6"/>
        <v>6.1550588027292959E-3</v>
      </c>
      <c r="S19" s="209">
        <v>0</v>
      </c>
    </row>
    <row r="20" spans="1:19" x14ac:dyDescent="0.45">
      <c r="A20" s="16">
        <v>43585</v>
      </c>
      <c r="B20" s="42">
        <f>'Part 2 - CAPM 2.1, 2.2 and 2.3'!N20</f>
        <v>-2.7913146051073956E-3</v>
      </c>
      <c r="C20" s="42">
        <f>'Part 2 - CAPM 2.1, 2.2 and 2.3'!O20</f>
        <v>4.5806194050913513E-3</v>
      </c>
      <c r="E20" s="16">
        <v>43585</v>
      </c>
      <c r="F20" s="17">
        <v>6.4000000000000001E-2</v>
      </c>
      <c r="G20" s="41">
        <f t="shared" si="0"/>
        <v>1.6997441913657596E-4</v>
      </c>
      <c r="L20" s="40">
        <f t="shared" si="1"/>
        <v>-2.6274791129813797E-3</v>
      </c>
      <c r="M20" s="40">
        <f t="shared" si="2"/>
        <v>4.7606679621053126E-3</v>
      </c>
      <c r="O20" s="40">
        <f t="shared" si="3"/>
        <v>-2.6274791129813797E-3</v>
      </c>
      <c r="P20" s="207">
        <f t="shared" si="4"/>
        <v>1.6997441913657596E-4</v>
      </c>
      <c r="Q20" s="208">
        <f t="shared" si="5"/>
        <v>1.0021992959873915</v>
      </c>
      <c r="R20" s="40">
        <f t="shared" si="6"/>
        <v>-2.7913146051073956E-3</v>
      </c>
      <c r="S20" s="209">
        <v>0</v>
      </c>
    </row>
    <row r="21" spans="1:19" x14ac:dyDescent="0.45">
      <c r="A21" s="16">
        <v>43587</v>
      </c>
      <c r="B21" s="42">
        <f>'Part 2 - CAPM 2.1, 2.2 and 2.3'!N21</f>
        <v>-2.9453839961219993E-3</v>
      </c>
      <c r="C21" s="42">
        <f>'Part 2 - CAPM 2.1, 2.2 and 2.3'!O21</f>
        <v>-1.9453409188109694E-3</v>
      </c>
      <c r="E21" s="16">
        <v>43587</v>
      </c>
      <c r="F21" s="17">
        <v>6.4899999999999999E-2</v>
      </c>
      <c r="G21" s="41">
        <f t="shared" si="0"/>
        <v>1.7229127342099915E-4</v>
      </c>
      <c r="L21" s="40">
        <f t="shared" si="1"/>
        <v>-2.7795704939049984E-3</v>
      </c>
      <c r="M21" s="40">
        <f t="shared" si="2"/>
        <v>-1.7773280258668199E-3</v>
      </c>
      <c r="O21" s="40">
        <f t="shared" si="3"/>
        <v>-2.7795704939049984E-3</v>
      </c>
      <c r="P21" s="207">
        <f t="shared" si="4"/>
        <v>1.7229127342099915E-4</v>
      </c>
      <c r="Q21" s="208">
        <f t="shared" si="5"/>
        <v>1.0021992959873915</v>
      </c>
      <c r="R21" s="40">
        <f t="shared" si="6"/>
        <v>-2.9453839961219993E-3</v>
      </c>
      <c r="S21" s="209">
        <v>0</v>
      </c>
    </row>
    <row r="22" spans="1:19" x14ac:dyDescent="0.45">
      <c r="A22" s="16">
        <v>43588</v>
      </c>
      <c r="B22" s="42">
        <f>'Part 2 - CAPM 2.1, 2.2 and 2.3'!N22</f>
        <v>-1.5154860539354869E-3</v>
      </c>
      <c r="C22" s="42">
        <f>'Part 2 - CAPM 2.1, 2.2 and 2.3'!O22</f>
        <v>7.82111861855052E-3</v>
      </c>
      <c r="E22" s="16">
        <v>43588</v>
      </c>
      <c r="F22" s="17">
        <v>6.4699999999999994E-2</v>
      </c>
      <c r="G22" s="41">
        <f t="shared" si="0"/>
        <v>1.7177658571232435E-4</v>
      </c>
      <c r="L22" s="40">
        <f t="shared" si="1"/>
        <v>-1.3470424706205307E-3</v>
      </c>
      <c r="M22" s="40">
        <f t="shared" si="2"/>
        <v>8.0100961590575358E-3</v>
      </c>
      <c r="O22" s="40">
        <f t="shared" si="3"/>
        <v>-1.3470424706205307E-3</v>
      </c>
      <c r="P22" s="207">
        <f t="shared" si="4"/>
        <v>1.7177658571232435E-4</v>
      </c>
      <c r="Q22" s="208">
        <f t="shared" si="5"/>
        <v>1.0021992959873915</v>
      </c>
      <c r="R22" s="40">
        <f t="shared" si="6"/>
        <v>-1.5154860539354869E-3</v>
      </c>
      <c r="S22" s="209">
        <v>0</v>
      </c>
    </row>
    <row r="23" spans="1:19" x14ac:dyDescent="0.45">
      <c r="A23" s="16">
        <v>43591</v>
      </c>
      <c r="B23" s="42">
        <f>'Part 2 - CAPM 2.1, 2.2 and 2.3'!N23</f>
        <v>-9.7407977693733105E-3</v>
      </c>
      <c r="C23" s="42">
        <f>'Part 2 - CAPM 2.1, 2.2 and 2.3'!O23</f>
        <v>-7.5889071818196574E-4</v>
      </c>
      <c r="E23" s="16">
        <v>43591</v>
      </c>
      <c r="F23" s="17">
        <v>6.4600000000000005E-2</v>
      </c>
      <c r="G23" s="41">
        <f t="shared" si="0"/>
        <v>1.715192057003545E-4</v>
      </c>
      <c r="L23" s="40">
        <f t="shared" si="1"/>
        <v>-9.5907014611211309E-3</v>
      </c>
      <c r="M23" s="40">
        <f t="shared" si="2"/>
        <v>-5.8904053779297756E-4</v>
      </c>
      <c r="O23" s="40">
        <f t="shared" si="3"/>
        <v>-9.5907014611211309E-3</v>
      </c>
      <c r="P23" s="207">
        <f t="shared" si="4"/>
        <v>1.715192057003545E-4</v>
      </c>
      <c r="Q23" s="208">
        <f t="shared" si="5"/>
        <v>1.0021992959873915</v>
      </c>
      <c r="R23" s="40">
        <f t="shared" si="6"/>
        <v>-9.7407977693733105E-3</v>
      </c>
      <c r="S23" s="209">
        <v>0</v>
      </c>
    </row>
    <row r="24" spans="1:19" x14ac:dyDescent="0.45">
      <c r="A24" s="16">
        <v>43592</v>
      </c>
      <c r="B24" s="42">
        <f>'Part 2 - CAPM 2.1, 2.2 and 2.3'!N24</f>
        <v>-8.7367407707825678E-3</v>
      </c>
      <c r="C24" s="42">
        <f>'Part 2 - CAPM 2.1, 2.2 and 2.3'!O24</f>
        <v>8.9383473668035122E-3</v>
      </c>
      <c r="E24" s="16">
        <v>43592</v>
      </c>
      <c r="F24" s="17">
        <v>6.4500000000000002E-2</v>
      </c>
      <c r="G24" s="41">
        <f t="shared" si="0"/>
        <v>1.7126180157722715E-4</v>
      </c>
      <c r="L24" s="40">
        <f t="shared" si="1"/>
        <v>-8.5846936481254032E-3</v>
      </c>
      <c r="M24" s="40">
        <f t="shared" si="2"/>
        <v>9.1292672398784625E-3</v>
      </c>
      <c r="O24" s="40">
        <f t="shared" si="3"/>
        <v>-8.5846936481254032E-3</v>
      </c>
      <c r="P24" s="207">
        <f t="shared" si="4"/>
        <v>1.7126180157722715E-4</v>
      </c>
      <c r="Q24" s="208">
        <f t="shared" si="5"/>
        <v>1.0021992959873915</v>
      </c>
      <c r="R24" s="40">
        <f t="shared" si="6"/>
        <v>-8.7367407707825678E-3</v>
      </c>
      <c r="S24" s="209">
        <v>0</v>
      </c>
    </row>
    <row r="25" spans="1:19" x14ac:dyDescent="0.45">
      <c r="A25" s="16">
        <v>43593</v>
      </c>
      <c r="B25" s="42">
        <f>'Part 2 - CAPM 2.1, 2.2 and 2.3'!N25</f>
        <v>-1.1868941646128601E-2</v>
      </c>
      <c r="C25" s="42">
        <f>'Part 2 - CAPM 2.1, 2.2 and 2.3'!O25</f>
        <v>-1.6479032309951857E-2</v>
      </c>
      <c r="E25" s="16">
        <v>43593</v>
      </c>
      <c r="F25" s="17">
        <v>6.4600000000000005E-2</v>
      </c>
      <c r="G25" s="41">
        <f t="shared" si="0"/>
        <v>1.715192057003545E-4</v>
      </c>
      <c r="L25" s="40">
        <f t="shared" si="1"/>
        <v>-1.1723525756165162E-2</v>
      </c>
      <c r="M25" s="40">
        <f t="shared" si="2"/>
        <v>-1.6343755373886874E-2</v>
      </c>
      <c r="O25" s="40">
        <f t="shared" si="3"/>
        <v>-1.1723525756165162E-2</v>
      </c>
      <c r="P25" s="207">
        <f t="shared" si="4"/>
        <v>1.715192057003545E-4</v>
      </c>
      <c r="Q25" s="208">
        <f t="shared" si="5"/>
        <v>1.0021992959873915</v>
      </c>
      <c r="R25" s="40">
        <f t="shared" si="6"/>
        <v>-1.1868941646128601E-2</v>
      </c>
      <c r="S25" s="209">
        <v>0</v>
      </c>
    </row>
    <row r="26" spans="1:19" x14ac:dyDescent="0.45">
      <c r="A26" s="16">
        <v>43594</v>
      </c>
      <c r="B26" s="42">
        <f>'Part 2 - CAPM 2.1, 2.2 and 2.3'!N26</f>
        <v>-4.5073341765136579E-3</v>
      </c>
      <c r="C26" s="42">
        <f>'Part 2 - CAPM 2.1, 2.2 and 2.3'!O26</f>
        <v>2.7890697555571719E-3</v>
      </c>
      <c r="E26" s="16">
        <v>43594</v>
      </c>
      <c r="F26" s="17">
        <v>6.4500000000000002E-2</v>
      </c>
      <c r="G26" s="41">
        <f t="shared" si="0"/>
        <v>1.7126180157722715E-4</v>
      </c>
      <c r="L26" s="40">
        <f t="shared" si="1"/>
        <v>-4.3459853369046701E-3</v>
      </c>
      <c r="M26" s="40">
        <f t="shared" si="2"/>
        <v>2.9664655470563509E-3</v>
      </c>
      <c r="O26" s="40">
        <f t="shared" si="3"/>
        <v>-4.3459853369046701E-3</v>
      </c>
      <c r="P26" s="207">
        <f t="shared" si="4"/>
        <v>1.7126180157722715E-4</v>
      </c>
      <c r="Q26" s="208">
        <f t="shared" si="5"/>
        <v>1.0021992959873915</v>
      </c>
      <c r="R26" s="40">
        <f t="shared" si="6"/>
        <v>-4.5073341765136579E-3</v>
      </c>
      <c r="S26" s="209">
        <v>0</v>
      </c>
    </row>
    <row r="27" spans="1:19" x14ac:dyDescent="0.45">
      <c r="A27" s="16">
        <v>43595</v>
      </c>
      <c r="B27" s="42">
        <f>'Part 2 - CAPM 2.1, 2.2 and 2.3'!N27</f>
        <v>-1.198171127096652E-3</v>
      </c>
      <c r="C27" s="42">
        <f>'Part 2 - CAPM 2.1, 2.2 and 2.3'!O27</f>
        <v>-1.8471143737822767E-2</v>
      </c>
      <c r="E27" s="16">
        <v>43595</v>
      </c>
      <c r="F27" s="17">
        <v>6.4500000000000002E-2</v>
      </c>
      <c r="G27" s="41">
        <f t="shared" si="0"/>
        <v>1.7126180157722715E-4</v>
      </c>
      <c r="L27" s="40">
        <f t="shared" si="1"/>
        <v>-1.0295444584714571E-3</v>
      </c>
      <c r="M27" s="40">
        <f t="shared" si="2"/>
        <v>-1.8340505448550665E-2</v>
      </c>
      <c r="O27" s="40">
        <f t="shared" si="3"/>
        <v>-1.0295444584714571E-3</v>
      </c>
      <c r="P27" s="207">
        <f t="shared" si="4"/>
        <v>1.7126180157722715E-4</v>
      </c>
      <c r="Q27" s="208">
        <f t="shared" si="5"/>
        <v>1.0021992959873915</v>
      </c>
      <c r="R27" s="40">
        <f t="shared" si="6"/>
        <v>-1.198171127096652E-3</v>
      </c>
      <c r="S27" s="209">
        <v>0</v>
      </c>
    </row>
    <row r="28" spans="1:19" x14ac:dyDescent="0.45">
      <c r="A28" s="16">
        <v>43598</v>
      </c>
      <c r="B28" s="42">
        <f>'Part 2 - CAPM 2.1, 2.2 and 2.3'!N28</f>
        <v>-1.419141206744879E-2</v>
      </c>
      <c r="C28" s="42">
        <f>'Part 2 - CAPM 2.1, 2.2 and 2.3'!O28</f>
        <v>-1.3400365830440828E-2</v>
      </c>
      <c r="E28" s="16">
        <v>43598</v>
      </c>
      <c r="F28" s="17">
        <v>6.4500000000000002E-2</v>
      </c>
      <c r="G28" s="41">
        <f t="shared" si="0"/>
        <v>1.7126180157722715E-4</v>
      </c>
      <c r="L28" s="40">
        <f t="shared" si="1"/>
        <v>-1.4051361381486924E-2</v>
      </c>
      <c r="M28" s="40">
        <f t="shared" si="2"/>
        <v>-1.3258575399664069E-2</v>
      </c>
      <c r="O28" s="40">
        <f t="shared" si="3"/>
        <v>-1.4051361381486924E-2</v>
      </c>
      <c r="P28" s="207">
        <f t="shared" si="4"/>
        <v>1.7126180157722715E-4</v>
      </c>
      <c r="Q28" s="208">
        <f t="shared" si="5"/>
        <v>1.0021992959873915</v>
      </c>
      <c r="R28" s="40">
        <f t="shared" si="6"/>
        <v>-1.419141206744879E-2</v>
      </c>
      <c r="S28" s="209">
        <v>0</v>
      </c>
    </row>
    <row r="29" spans="1:19" x14ac:dyDescent="0.45">
      <c r="A29" s="16">
        <v>43599</v>
      </c>
      <c r="B29" s="42">
        <f>'Part 2 - CAPM 2.1, 2.2 and 2.3'!N29</f>
        <v>5.5510959459813191E-3</v>
      </c>
      <c r="C29" s="42">
        <f>'Part 2 - CAPM 2.1, 2.2 and 2.3'!O29</f>
        <v>1.3523296359252743E-4</v>
      </c>
      <c r="E29" s="16">
        <v>43599</v>
      </c>
      <c r="F29" s="17">
        <v>6.3799999999999996E-2</v>
      </c>
      <c r="G29" s="41">
        <f t="shared" si="0"/>
        <v>1.6945929722411712E-4</v>
      </c>
      <c r="L29" s="40">
        <f t="shared" si="1"/>
        <v>5.732763746245058E-3</v>
      </c>
      <c r="M29" s="40">
        <f t="shared" si="2"/>
        <v>3.0498967813083667E-4</v>
      </c>
      <c r="O29" s="40">
        <f t="shared" si="3"/>
        <v>5.732763746245058E-3</v>
      </c>
      <c r="P29" s="207">
        <f t="shared" si="4"/>
        <v>1.6945929722411712E-4</v>
      </c>
      <c r="Q29" s="208">
        <f t="shared" si="5"/>
        <v>1.0021992959873915</v>
      </c>
      <c r="R29" s="40">
        <f t="shared" si="6"/>
        <v>5.5510959459813191E-3</v>
      </c>
      <c r="S29" s="209">
        <v>0</v>
      </c>
    </row>
    <row r="30" spans="1:19" x14ac:dyDescent="0.45">
      <c r="A30" s="16">
        <v>43600</v>
      </c>
      <c r="B30" s="42">
        <f>'Part 2 - CAPM 2.1, 2.2 and 2.3'!N30</f>
        <v>-5.8414510097494349E-3</v>
      </c>
      <c r="C30" s="42">
        <f>'Part 2 - CAPM 2.1, 2.2 and 2.3'!O30</f>
        <v>-8.6985015184395803E-3</v>
      </c>
      <c r="E30" s="16">
        <v>43600</v>
      </c>
      <c r="F30" s="17">
        <v>6.3899999999999998E-2</v>
      </c>
      <c r="G30" s="41">
        <f t="shared" si="0"/>
        <v>1.6971687025191251E-4</v>
      </c>
      <c r="L30" s="40">
        <f t="shared" si="1"/>
        <v>-5.6845812192638087E-3</v>
      </c>
      <c r="M30" s="40">
        <f t="shared" si="2"/>
        <v>-8.5479152276734909E-3</v>
      </c>
      <c r="O30" s="40">
        <f t="shared" si="3"/>
        <v>-5.6845812192638087E-3</v>
      </c>
      <c r="P30" s="207">
        <f t="shared" si="4"/>
        <v>1.6971687025191251E-4</v>
      </c>
      <c r="Q30" s="208">
        <f t="shared" si="5"/>
        <v>1.0021992959873915</v>
      </c>
      <c r="R30" s="40">
        <f t="shared" si="6"/>
        <v>-5.8414510097494349E-3</v>
      </c>
      <c r="S30" s="209">
        <v>0</v>
      </c>
    </row>
    <row r="31" spans="1:19" x14ac:dyDescent="0.45">
      <c r="A31" s="16">
        <v>43601</v>
      </c>
      <c r="B31" s="42">
        <f>'Part 2 - CAPM 2.1, 2.2 and 2.3'!N31</f>
        <v>6.5498996617391336E-3</v>
      </c>
      <c r="C31" s="42">
        <f>'Part 2 - CAPM 2.1, 2.2 and 2.3'!O31</f>
        <v>1.9492599074511605E-2</v>
      </c>
      <c r="E31" s="16">
        <v>43601</v>
      </c>
      <c r="F31" s="17">
        <v>6.3799999999999996E-2</v>
      </c>
      <c r="G31" s="41">
        <f t="shared" si="0"/>
        <v>1.6945929722411712E-4</v>
      </c>
      <c r="L31" s="40">
        <f t="shared" si="1"/>
        <v>6.7337641270071311E-3</v>
      </c>
      <c r="M31" s="40">
        <f t="shared" si="2"/>
        <v>1.9704928366664126E-2</v>
      </c>
      <c r="O31" s="40">
        <f t="shared" si="3"/>
        <v>6.7337641270071311E-3</v>
      </c>
      <c r="P31" s="207">
        <f t="shared" si="4"/>
        <v>1.6945929722411712E-4</v>
      </c>
      <c r="Q31" s="208">
        <f t="shared" si="5"/>
        <v>1.0021992959873915</v>
      </c>
      <c r="R31" s="40">
        <f t="shared" si="6"/>
        <v>6.5498996617391336E-3</v>
      </c>
      <c r="S31" s="209">
        <v>0</v>
      </c>
    </row>
    <row r="32" spans="1:19" x14ac:dyDescent="0.45">
      <c r="A32" s="16">
        <v>43602</v>
      </c>
      <c r="B32" s="42">
        <f>'Part 2 - CAPM 2.1, 2.2 and 2.3'!N32</f>
        <v>1.1548305645184956E-2</v>
      </c>
      <c r="C32" s="42">
        <f>'Part 2 - CAPM 2.1, 2.2 and 2.3'!O32</f>
        <v>8.2675895535037226E-3</v>
      </c>
      <c r="E32" s="16">
        <v>43602</v>
      </c>
      <c r="F32" s="17">
        <v>6.3500000000000001E-2</v>
      </c>
      <c r="G32" s="41">
        <f t="shared" si="0"/>
        <v>1.6868643323930677E-4</v>
      </c>
      <c r="L32" s="40">
        <f t="shared" si="1"/>
        <v>1.1742390220690889E-2</v>
      </c>
      <c r="M32" s="40">
        <f t="shared" si="2"/>
        <v>8.4544588632734508E-3</v>
      </c>
      <c r="O32" s="40">
        <f t="shared" si="3"/>
        <v>1.1742390220690889E-2</v>
      </c>
      <c r="P32" s="207">
        <f t="shared" si="4"/>
        <v>1.6868643323930677E-4</v>
      </c>
      <c r="Q32" s="208">
        <f t="shared" si="5"/>
        <v>1.0021992959873915</v>
      </c>
      <c r="R32" s="40">
        <f t="shared" si="6"/>
        <v>1.1548305645184956E-2</v>
      </c>
      <c r="S32" s="209">
        <v>0</v>
      </c>
    </row>
    <row r="33" spans="1:19" x14ac:dyDescent="0.45">
      <c r="A33" s="16">
        <v>43605</v>
      </c>
      <c r="B33" s="42">
        <f>'Part 2 - CAPM 2.1, 2.2 and 2.3'!N33</f>
        <v>3.6511939756133767E-2</v>
      </c>
      <c r="C33" s="42">
        <f>'Part 2 - CAPM 2.1, 2.2 and 2.3'!O33</f>
        <v>5.1521454477407941E-2</v>
      </c>
      <c r="E33" s="16">
        <v>43605</v>
      </c>
      <c r="F33" s="17">
        <v>6.2699999999999992E-2</v>
      </c>
      <c r="G33" s="41">
        <f t="shared" si="0"/>
        <v>1.6662439919801209E-4</v>
      </c>
      <c r="L33" s="40">
        <f t="shared" si="1"/>
        <v>3.6758864717929329E-2</v>
      </c>
      <c r="M33" s="40">
        <f t="shared" si="2"/>
        <v>5.180138980470269E-2</v>
      </c>
      <c r="O33" s="40">
        <f t="shared" si="3"/>
        <v>3.6758864717929329E-2</v>
      </c>
      <c r="P33" s="207">
        <f t="shared" si="4"/>
        <v>1.6662439919801209E-4</v>
      </c>
      <c r="Q33" s="208">
        <f t="shared" si="5"/>
        <v>1.0021992959873915</v>
      </c>
      <c r="R33" s="40">
        <f t="shared" si="6"/>
        <v>3.6511939756133767E-2</v>
      </c>
      <c r="S33" s="209">
        <v>0</v>
      </c>
    </row>
    <row r="34" spans="1:19" x14ac:dyDescent="0.45">
      <c r="A34" s="16">
        <v>43606</v>
      </c>
      <c r="B34" s="42">
        <f>'Part 2 - CAPM 2.1, 2.2 and 2.3'!N34</f>
        <v>-9.7880514894475301E-3</v>
      </c>
      <c r="C34" s="42">
        <f>'Part 2 - CAPM 2.1, 2.2 and 2.3'!O34</f>
        <v>-7.2696705705908226E-3</v>
      </c>
      <c r="E34" s="16">
        <v>43606</v>
      </c>
      <c r="F34" s="17">
        <v>6.3E-2</v>
      </c>
      <c r="G34" s="41">
        <f t="shared" si="0"/>
        <v>1.673978433180956E-4</v>
      </c>
      <c r="L34" s="40">
        <f t="shared" si="1"/>
        <v>-9.6421804684945576E-3</v>
      </c>
      <c r="M34" s="40">
        <f t="shared" si="2"/>
        <v>-7.1182608845882858E-3</v>
      </c>
      <c r="O34" s="40">
        <f t="shared" si="3"/>
        <v>-9.6421804684945576E-3</v>
      </c>
      <c r="P34" s="207">
        <f t="shared" si="4"/>
        <v>1.673978433180956E-4</v>
      </c>
      <c r="Q34" s="208">
        <f t="shared" si="5"/>
        <v>1.0021992959873915</v>
      </c>
      <c r="R34" s="40">
        <f t="shared" si="6"/>
        <v>-9.7880514894475301E-3</v>
      </c>
      <c r="S34" s="209">
        <v>0</v>
      </c>
    </row>
    <row r="35" spans="1:19" x14ac:dyDescent="0.45">
      <c r="A35" s="16">
        <v>43607</v>
      </c>
      <c r="B35" s="42">
        <f>'Part 2 - CAPM 2.1, 2.2 and 2.3'!N35</f>
        <v>1.8513890455499385E-3</v>
      </c>
      <c r="C35" s="42">
        <f>'Part 2 - CAPM 2.1, 2.2 and 2.3'!O35</f>
        <v>1.2706850047447388E-2</v>
      </c>
      <c r="E35" s="16">
        <v>43607</v>
      </c>
      <c r="F35" s="17">
        <v>6.3500000000000001E-2</v>
      </c>
      <c r="G35" s="41">
        <f t="shared" si="0"/>
        <v>1.6868643323930677E-4</v>
      </c>
      <c r="L35" s="40">
        <f t="shared" si="1"/>
        <v>2.0241472312882243E-3</v>
      </c>
      <c r="M35" s="40">
        <f t="shared" si="2"/>
        <v>1.2903482605008433E-2</v>
      </c>
      <c r="O35" s="40">
        <f t="shared" si="3"/>
        <v>2.0241472312882243E-3</v>
      </c>
      <c r="P35" s="207">
        <f t="shared" si="4"/>
        <v>1.6868643323930677E-4</v>
      </c>
      <c r="Q35" s="208">
        <f t="shared" si="5"/>
        <v>1.0021992959873915</v>
      </c>
      <c r="R35" s="40">
        <f t="shared" si="6"/>
        <v>1.8513890455499385E-3</v>
      </c>
      <c r="S35" s="209">
        <v>0</v>
      </c>
    </row>
    <row r="36" spans="1:19" x14ac:dyDescent="0.45">
      <c r="A36" s="16">
        <v>43608</v>
      </c>
      <c r="B36" s="42">
        <f>'Part 2 - CAPM 2.1, 2.2 and 2.3'!N36</f>
        <v>-4.9021450998824609E-3</v>
      </c>
      <c r="C36" s="42">
        <f>'Part 2 - CAPM 2.1, 2.2 and 2.3'!O36</f>
        <v>-1.6268577153350006E-2</v>
      </c>
      <c r="E36" s="16">
        <v>43608</v>
      </c>
      <c r="F36" s="17">
        <v>6.2800000000000009E-2</v>
      </c>
      <c r="G36" s="41">
        <f t="shared" si="0"/>
        <v>1.6688223809580016E-4</v>
      </c>
      <c r="L36" s="40">
        <f t="shared" si="1"/>
        <v>-4.7460441298344432E-3</v>
      </c>
      <c r="M36" s="40">
        <f t="shared" si="2"/>
        <v>-1.6137474331708139E-2</v>
      </c>
      <c r="O36" s="40">
        <f t="shared" si="3"/>
        <v>-4.7460441298344432E-3</v>
      </c>
      <c r="P36" s="207">
        <f t="shared" si="4"/>
        <v>1.6688223809580016E-4</v>
      </c>
      <c r="Q36" s="208">
        <f t="shared" si="5"/>
        <v>1.0021992959873915</v>
      </c>
      <c r="R36" s="40">
        <f t="shared" si="6"/>
        <v>-4.9021450998824609E-3</v>
      </c>
      <c r="S36" s="209">
        <v>0</v>
      </c>
    </row>
    <row r="37" spans="1:19" x14ac:dyDescent="0.45">
      <c r="A37" s="16">
        <v>43609</v>
      </c>
      <c r="B37" s="42">
        <f>'Part 2 - CAPM 2.1, 2.2 and 2.3'!N37</f>
        <v>1.7556536662753804E-2</v>
      </c>
      <c r="C37" s="42">
        <f>'Part 2 - CAPM 2.1, 2.2 and 2.3'!O37</f>
        <v>1.2694354223973675E-3</v>
      </c>
      <c r="E37" s="16">
        <v>43609</v>
      </c>
      <c r="F37" s="17">
        <v>6.25E-2</v>
      </c>
      <c r="G37" s="41">
        <f t="shared" si="0"/>
        <v>1.6610864880561849E-4</v>
      </c>
      <c r="L37" s="40">
        <f t="shared" si="1"/>
        <v>1.7761257332194309E-2</v>
      </c>
      <c r="M37" s="40">
        <f t="shared" si="2"/>
        <v>1.4383359354337173E-3</v>
      </c>
      <c r="O37" s="40">
        <f t="shared" si="3"/>
        <v>1.7761257332194309E-2</v>
      </c>
      <c r="P37" s="207">
        <f t="shared" si="4"/>
        <v>1.6610864880561849E-4</v>
      </c>
      <c r="Q37" s="208">
        <f t="shared" si="5"/>
        <v>1.0021992959873915</v>
      </c>
      <c r="R37" s="40">
        <f t="shared" si="6"/>
        <v>1.7556536662753804E-2</v>
      </c>
      <c r="S37" s="209">
        <v>0</v>
      </c>
    </row>
    <row r="38" spans="1:19" x14ac:dyDescent="0.45">
      <c r="A38" s="16">
        <v>43612</v>
      </c>
      <c r="B38" s="42">
        <f>'Part 2 - CAPM 2.1, 2.2 and 2.3'!N38</f>
        <v>8.3570463953364198E-3</v>
      </c>
      <c r="C38" s="42">
        <f>'Part 2 - CAPM 2.1, 2.2 and 2.3'!O38</f>
        <v>-4.4652775647299938E-3</v>
      </c>
      <c r="E38" s="16">
        <v>43612</v>
      </c>
      <c r="F38" s="17">
        <v>6.2E-2</v>
      </c>
      <c r="G38" s="41">
        <f t="shared" si="0"/>
        <v>1.6481884913366329E-4</v>
      </c>
      <c r="L38" s="40">
        <f t="shared" si="1"/>
        <v>8.5402448630737919E-3</v>
      </c>
      <c r="M38" s="40">
        <f t="shared" si="2"/>
        <v>-4.3102791826270309E-3</v>
      </c>
      <c r="O38" s="40">
        <f t="shared" si="3"/>
        <v>8.5402448630737919E-3</v>
      </c>
      <c r="P38" s="207">
        <f t="shared" si="4"/>
        <v>1.6481884913366329E-4</v>
      </c>
      <c r="Q38" s="208">
        <f t="shared" si="5"/>
        <v>1.0021992959873915</v>
      </c>
      <c r="R38" s="40">
        <f t="shared" si="6"/>
        <v>8.3570463953364198E-3</v>
      </c>
      <c r="S38" s="209">
        <v>0</v>
      </c>
    </row>
    <row r="39" spans="1:19" x14ac:dyDescent="0.45">
      <c r="A39" s="16">
        <v>43613</v>
      </c>
      <c r="B39" s="42">
        <f>'Part 2 - CAPM 2.1, 2.2 and 2.3'!N39</f>
        <v>9.1575726534983077E-4</v>
      </c>
      <c r="C39" s="42">
        <f>'Part 2 - CAPM 2.1, 2.2 and 2.3'!O39</f>
        <v>9.3365367391080138E-3</v>
      </c>
      <c r="E39" s="16">
        <v>43613</v>
      </c>
      <c r="F39" s="17">
        <v>6.2199999999999998E-2</v>
      </c>
      <c r="G39" s="41">
        <f t="shared" si="0"/>
        <v>1.65334841657927E-4</v>
      </c>
      <c r="L39" s="40">
        <f t="shared" si="1"/>
        <v>1.0831061282868663E-3</v>
      </c>
      <c r="M39" s="40">
        <f t="shared" si="2"/>
        <v>9.5224053885523945E-3</v>
      </c>
      <c r="O39" s="40">
        <f t="shared" si="3"/>
        <v>1.0831061282868663E-3</v>
      </c>
      <c r="P39" s="207">
        <f t="shared" si="4"/>
        <v>1.65334841657927E-4</v>
      </c>
      <c r="Q39" s="208">
        <f t="shared" si="5"/>
        <v>1.0021992959873915</v>
      </c>
      <c r="R39" s="40">
        <f t="shared" si="6"/>
        <v>9.1575726534983077E-4</v>
      </c>
      <c r="S39" s="209">
        <v>0</v>
      </c>
    </row>
    <row r="40" spans="1:19" x14ac:dyDescent="0.45">
      <c r="A40" s="16">
        <v>43614</v>
      </c>
      <c r="B40" s="42">
        <f>'Part 2 - CAPM 2.1, 2.2 and 2.3'!N40</f>
        <v>-6.1097561912150352E-3</v>
      </c>
      <c r="C40" s="42">
        <f>'Part 2 - CAPM 2.1, 2.2 and 2.3'!O40</f>
        <v>-2.1556976458192646E-2</v>
      </c>
      <c r="E40" s="16">
        <v>43614</v>
      </c>
      <c r="F40" s="17">
        <v>6.2100000000000002E-2</v>
      </c>
      <c r="G40" s="41">
        <f t="shared" si="0"/>
        <v>1.650768575081063E-4</v>
      </c>
      <c r="L40" s="40">
        <f t="shared" si="1"/>
        <v>-5.9581164959822087E-3</v>
      </c>
      <c r="M40" s="40">
        <f t="shared" si="2"/>
        <v>-2.1439309772509338E-2</v>
      </c>
      <c r="O40" s="40">
        <f t="shared" si="3"/>
        <v>-5.9581164959822087E-3</v>
      </c>
      <c r="P40" s="207">
        <f t="shared" si="4"/>
        <v>1.650768575081063E-4</v>
      </c>
      <c r="Q40" s="208">
        <f t="shared" si="5"/>
        <v>1.0021992959873915</v>
      </c>
      <c r="R40" s="40">
        <f t="shared" si="6"/>
        <v>-6.1097561912150352E-3</v>
      </c>
      <c r="S40" s="209">
        <v>0</v>
      </c>
    </row>
    <row r="41" spans="1:19" x14ac:dyDescent="0.45">
      <c r="A41" s="16">
        <v>43615</v>
      </c>
      <c r="B41" s="42">
        <f>'Part 2 - CAPM 2.1, 2.2 and 2.3'!N41</f>
        <v>5.7943972522424064E-3</v>
      </c>
      <c r="C41" s="42">
        <f>'Part 2 - CAPM 2.1, 2.2 and 2.3'!O41</f>
        <v>-1.2406663900241562E-2</v>
      </c>
      <c r="E41" s="16">
        <v>43615</v>
      </c>
      <c r="F41" s="17">
        <v>6.2199999999999998E-2</v>
      </c>
      <c r="G41" s="41">
        <f t="shared" si="0"/>
        <v>1.65334841657927E-4</v>
      </c>
      <c r="L41" s="40">
        <f t="shared" si="1"/>
        <v>5.9724756885265427E-3</v>
      </c>
      <c r="M41" s="40">
        <f t="shared" si="2"/>
        <v>-1.2268614984716352E-2</v>
      </c>
      <c r="O41" s="40">
        <f t="shared" si="3"/>
        <v>5.9724756885265427E-3</v>
      </c>
      <c r="P41" s="207">
        <f t="shared" si="4"/>
        <v>1.65334841657927E-4</v>
      </c>
      <c r="Q41" s="208">
        <f t="shared" si="5"/>
        <v>1.0021992959873915</v>
      </c>
      <c r="R41" s="40">
        <f t="shared" si="6"/>
        <v>5.7943972522424064E-3</v>
      </c>
      <c r="S41" s="209">
        <v>0</v>
      </c>
    </row>
    <row r="42" spans="1:19" x14ac:dyDescent="0.45">
      <c r="A42" s="16">
        <v>43616</v>
      </c>
      <c r="B42" s="42">
        <f>'Part 2 - CAPM 2.1, 2.2 and 2.3'!N42</f>
        <v>-1.2070419088532213E-3</v>
      </c>
      <c r="C42" s="42">
        <f>'Part 2 - CAPM 2.1, 2.2 and 2.3'!O42</f>
        <v>1.4590860726080455E-2</v>
      </c>
      <c r="E42" s="16">
        <v>43616</v>
      </c>
      <c r="F42" s="17">
        <v>6.1200000000000004E-2</v>
      </c>
      <c r="G42" s="41">
        <f t="shared" si="0"/>
        <v>1.6275390950526436E-4</v>
      </c>
      <c r="L42" s="40">
        <f t="shared" si="1"/>
        <v>-1.0469426417747112E-3</v>
      </c>
      <c r="M42" s="40">
        <f t="shared" si="2"/>
        <v>1.4785704257033178E-2</v>
      </c>
      <c r="O42" s="40">
        <f t="shared" si="3"/>
        <v>-1.0469426417747112E-3</v>
      </c>
      <c r="P42" s="207">
        <f t="shared" si="4"/>
        <v>1.6275390950526436E-4</v>
      </c>
      <c r="Q42" s="208">
        <f t="shared" si="5"/>
        <v>1.0021992959873915</v>
      </c>
      <c r="R42" s="40">
        <f t="shared" si="6"/>
        <v>-1.2070419088532213E-3</v>
      </c>
      <c r="S42" s="209">
        <v>0</v>
      </c>
    </row>
    <row r="43" spans="1:19" x14ac:dyDescent="0.45">
      <c r="A43" s="16">
        <v>43619</v>
      </c>
      <c r="B43" s="42">
        <f>'Part 2 - CAPM 2.1, 2.2 and 2.3'!N43</f>
        <v>1.1827774284853309E-2</v>
      </c>
      <c r="C43" s="42">
        <f>'Part 2 - CAPM 2.1, 2.2 and 2.3'!O43</f>
        <v>1.0021830030530418E-3</v>
      </c>
      <c r="E43" s="16">
        <v>43619</v>
      </c>
      <c r="F43" s="17">
        <v>6.0499999999999998E-2</v>
      </c>
      <c r="G43" s="41">
        <f t="shared" si="0"/>
        <v>1.6094581346348669E-4</v>
      </c>
      <c r="L43" s="40">
        <f t="shared" si="1"/>
        <v>1.2014732874841247E-2</v>
      </c>
      <c r="M43" s="40">
        <f t="shared" si="2"/>
        <v>1.165332913573775E-3</v>
      </c>
      <c r="O43" s="40">
        <f t="shared" si="3"/>
        <v>1.2014732874841247E-2</v>
      </c>
      <c r="P43" s="207">
        <f t="shared" si="4"/>
        <v>1.6094581346348669E-4</v>
      </c>
      <c r="Q43" s="208">
        <f t="shared" si="5"/>
        <v>1.0021992959873915</v>
      </c>
      <c r="R43" s="40">
        <f t="shared" si="6"/>
        <v>1.1827774284853309E-2</v>
      </c>
      <c r="S43" s="209">
        <v>0</v>
      </c>
    </row>
    <row r="44" spans="1:19" x14ac:dyDescent="0.45">
      <c r="A44" s="16">
        <v>43620</v>
      </c>
      <c r="B44" s="42">
        <f>'Part 2 - CAPM 2.1, 2.2 and 2.3'!N44</f>
        <v>-4.8376562732962997E-3</v>
      </c>
      <c r="C44" s="42">
        <f>'Part 2 - CAPM 2.1, 2.2 and 2.3'!O44</f>
        <v>-9.1652383106910484E-3</v>
      </c>
      <c r="E44" s="16">
        <v>43620</v>
      </c>
      <c r="F44" s="17">
        <v>6.0700000000000004E-2</v>
      </c>
      <c r="G44" s="41">
        <f t="shared" si="0"/>
        <v>1.6146253375226571E-4</v>
      </c>
      <c r="L44" s="40">
        <f t="shared" si="1"/>
        <v>-4.6868331775742744E-3</v>
      </c>
      <c r="M44" s="40">
        <f t="shared" si="2"/>
        <v>-9.0239328487789726E-3</v>
      </c>
      <c r="O44" s="40">
        <f t="shared" si="3"/>
        <v>-4.6868331775742744E-3</v>
      </c>
      <c r="P44" s="207">
        <f t="shared" si="4"/>
        <v>1.6146253375226571E-4</v>
      </c>
      <c r="Q44" s="208">
        <f t="shared" si="5"/>
        <v>1.0021992959873915</v>
      </c>
      <c r="R44" s="40">
        <f t="shared" si="6"/>
        <v>-4.8376562732962997E-3</v>
      </c>
      <c r="S44" s="209">
        <v>0</v>
      </c>
    </row>
    <row r="45" spans="1:19" x14ac:dyDescent="0.45">
      <c r="A45" s="16">
        <v>43622</v>
      </c>
      <c r="B45" s="42">
        <f>'Part 2 - CAPM 2.1, 2.2 and 2.3'!N45</f>
        <v>-1.5719215565877024E-2</v>
      </c>
      <c r="C45" s="42">
        <f>'Part 2 - CAPM 2.1, 2.2 and 2.3'!O45</f>
        <v>-7.1905474185743586E-3</v>
      </c>
      <c r="E45" s="16">
        <v>43622</v>
      </c>
      <c r="F45" s="17">
        <v>5.8799999999999998E-2</v>
      </c>
      <c r="G45" s="41">
        <f t="shared" si="0"/>
        <v>1.5654976324031011E-4</v>
      </c>
      <c r="L45" s="40">
        <f t="shared" si="1"/>
        <v>-1.5597237010355688E-2</v>
      </c>
      <c r="M45" s="40">
        <f t="shared" si="2"/>
        <v>-7.0498117974188675E-3</v>
      </c>
      <c r="O45" s="40">
        <f t="shared" si="3"/>
        <v>-1.5597237010355688E-2</v>
      </c>
      <c r="P45" s="207">
        <f t="shared" si="4"/>
        <v>1.5654976324031011E-4</v>
      </c>
      <c r="Q45" s="208">
        <f t="shared" si="5"/>
        <v>1.0021992959873915</v>
      </c>
      <c r="R45" s="40">
        <f t="shared" si="6"/>
        <v>-1.5719215565877024E-2</v>
      </c>
      <c r="S45" s="209">
        <v>0</v>
      </c>
    </row>
    <row r="46" spans="1:19" x14ac:dyDescent="0.45">
      <c r="A46" s="16">
        <v>43623</v>
      </c>
      <c r="B46" s="42">
        <f>'Part 2 - CAPM 2.1, 2.2 and 2.3'!N46</f>
        <v>1.2155188646815374E-3</v>
      </c>
      <c r="C46" s="42">
        <f>'Part 2 - CAPM 2.1, 2.2 and 2.3'!O46</f>
        <v>-1.1373641431531356E-2</v>
      </c>
      <c r="E46" s="16">
        <v>43623</v>
      </c>
      <c r="F46" s="17">
        <v>5.9200000000000003E-2</v>
      </c>
      <c r="G46" s="41">
        <f t="shared" si="0"/>
        <v>1.5758476092919693E-4</v>
      </c>
      <c r="L46" s="40">
        <f t="shared" si="1"/>
        <v>1.3757769113724272E-3</v>
      </c>
      <c r="M46" s="40">
        <f t="shared" si="2"/>
        <v>-1.1241070674564556E-2</v>
      </c>
      <c r="O46" s="40">
        <f t="shared" si="3"/>
        <v>1.3757769113724272E-3</v>
      </c>
      <c r="P46" s="207">
        <f t="shared" si="4"/>
        <v>1.5758476092919693E-4</v>
      </c>
      <c r="Q46" s="208">
        <f t="shared" si="5"/>
        <v>1.0021992959873915</v>
      </c>
      <c r="R46" s="40">
        <f t="shared" si="6"/>
        <v>1.2155188646815374E-3</v>
      </c>
      <c r="S46" s="209">
        <v>0</v>
      </c>
    </row>
    <row r="47" spans="1:19" x14ac:dyDescent="0.45">
      <c r="A47" s="16">
        <v>43626</v>
      </c>
      <c r="B47" s="42">
        <f>'Part 2 - CAPM 2.1, 2.2 and 2.3'!N47</f>
        <v>2.9232929366405265E-3</v>
      </c>
      <c r="C47" s="42">
        <f>'Part 2 - CAPM 2.1, 2.2 and 2.3'!O47</f>
        <v>-1.7173027486746185E-2</v>
      </c>
      <c r="E47" s="16">
        <v>43626</v>
      </c>
      <c r="F47" s="17">
        <v>5.9400000000000001E-2</v>
      </c>
      <c r="G47" s="41">
        <f t="shared" si="0"/>
        <v>1.5810211361189097E-4</v>
      </c>
      <c r="L47" s="40">
        <f t="shared" si="1"/>
        <v>3.087824236677941E-3</v>
      </c>
      <c r="M47" s="40">
        <f t="shared" si="2"/>
        <v>-1.7052693943577259E-2</v>
      </c>
      <c r="O47" s="40">
        <f t="shared" si="3"/>
        <v>3.087824236677941E-3</v>
      </c>
      <c r="P47" s="207">
        <f t="shared" si="4"/>
        <v>1.5810211361189097E-4</v>
      </c>
      <c r="Q47" s="208">
        <f t="shared" si="5"/>
        <v>1.0021992959873915</v>
      </c>
      <c r="R47" s="40">
        <f t="shared" si="6"/>
        <v>2.9232929366405265E-3</v>
      </c>
      <c r="S47" s="209">
        <v>0</v>
      </c>
    </row>
    <row r="48" spans="1:19" x14ac:dyDescent="0.45">
      <c r="A48" s="16">
        <v>43627</v>
      </c>
      <c r="B48" s="42">
        <f>'Part 2 - CAPM 2.1, 2.2 and 2.3'!N48</f>
        <v>3.8602294397287349E-3</v>
      </c>
      <c r="C48" s="42">
        <f>'Part 2 - CAPM 2.1, 2.2 and 2.3'!O48</f>
        <v>2.7779172449923714E-2</v>
      </c>
      <c r="E48" s="16">
        <v>43627</v>
      </c>
      <c r="F48" s="17">
        <v>5.9699999999999996E-2</v>
      </c>
      <c r="G48" s="41">
        <f t="shared" si="0"/>
        <v>1.5887796003677401E-4</v>
      </c>
      <c r="L48" s="40">
        <f t="shared" si="1"/>
        <v>4.027597186882715E-3</v>
      </c>
      <c r="M48" s="40">
        <f t="shared" si="2"/>
        <v>2.7999145032462664E-2</v>
      </c>
      <c r="O48" s="40">
        <f t="shared" si="3"/>
        <v>4.027597186882715E-3</v>
      </c>
      <c r="P48" s="207">
        <f t="shared" si="4"/>
        <v>1.5887796003677401E-4</v>
      </c>
      <c r="Q48" s="208">
        <f t="shared" si="5"/>
        <v>1.0021992959873915</v>
      </c>
      <c r="R48" s="40">
        <f t="shared" si="6"/>
        <v>3.8602294397287349E-3</v>
      </c>
      <c r="S48" s="209">
        <v>0</v>
      </c>
    </row>
    <row r="49" spans="1:19" x14ac:dyDescent="0.45">
      <c r="A49" s="16">
        <v>43628</v>
      </c>
      <c r="B49" s="42">
        <f>'Part 2 - CAPM 2.1, 2.2 and 2.3'!N49</f>
        <v>-5.783501880241528E-3</v>
      </c>
      <c r="C49" s="42">
        <f>'Part 2 - CAPM 2.1, 2.2 and 2.3'!O49</f>
        <v>9.2945932364181406E-3</v>
      </c>
      <c r="E49" s="16">
        <v>43628</v>
      </c>
      <c r="F49" s="17">
        <v>5.9699999999999996E-2</v>
      </c>
      <c r="G49" s="41">
        <f t="shared" si="0"/>
        <v>1.5887796003677401E-4</v>
      </c>
      <c r="L49" s="40">
        <f t="shared" si="1"/>
        <v>-5.6373435526830403E-3</v>
      </c>
      <c r="M49" s="40">
        <f t="shared" si="2"/>
        <v>9.4739127580642062E-3</v>
      </c>
      <c r="O49" s="40">
        <f t="shared" si="3"/>
        <v>-5.6373435526830403E-3</v>
      </c>
      <c r="P49" s="207">
        <f t="shared" si="4"/>
        <v>1.5887796003677401E-4</v>
      </c>
      <c r="Q49" s="208">
        <f t="shared" si="5"/>
        <v>1.0021992959873915</v>
      </c>
      <c r="R49" s="40">
        <f t="shared" si="6"/>
        <v>-5.783501880241528E-3</v>
      </c>
      <c r="S49" s="209">
        <v>0</v>
      </c>
    </row>
    <row r="50" spans="1:19" x14ac:dyDescent="0.45">
      <c r="A50" s="16">
        <v>43629</v>
      </c>
      <c r="B50" s="42">
        <f>'Part 2 - CAPM 2.1, 2.2 and 2.3'!N50</f>
        <v>-4.5579817618495122E-4</v>
      </c>
      <c r="C50" s="42">
        <f>'Part 2 - CAPM 2.1, 2.2 and 2.3'!O50</f>
        <v>-1.1279227010379363E-2</v>
      </c>
      <c r="E50" s="16">
        <v>43629</v>
      </c>
      <c r="F50" s="17">
        <v>5.9500000000000004E-2</v>
      </c>
      <c r="G50" s="41">
        <f t="shared" si="0"/>
        <v>1.5836075342878786E-4</v>
      </c>
      <c r="L50" s="40">
        <f t="shared" si="1"/>
        <v>-2.9843985785610728E-4</v>
      </c>
      <c r="M50" s="40">
        <f t="shared" si="2"/>
        <v>-1.1145672615655381E-2</v>
      </c>
      <c r="O50" s="40">
        <f t="shared" si="3"/>
        <v>-2.9843985785610728E-4</v>
      </c>
      <c r="P50" s="207">
        <f t="shared" si="4"/>
        <v>1.5836075342878786E-4</v>
      </c>
      <c r="Q50" s="208">
        <f t="shared" si="5"/>
        <v>1.0021992959873915</v>
      </c>
      <c r="R50" s="40">
        <f t="shared" si="6"/>
        <v>-4.5579817618495122E-4</v>
      </c>
      <c r="S50" s="209">
        <v>0</v>
      </c>
    </row>
    <row r="51" spans="1:19" x14ac:dyDescent="0.45">
      <c r="A51" s="16">
        <v>43630</v>
      </c>
      <c r="B51" s="42">
        <f>'Part 2 - CAPM 2.1, 2.2 and 2.3'!N51</f>
        <v>-8.0692221424846292E-3</v>
      </c>
      <c r="C51" s="42">
        <f>'Part 2 - CAPM 2.1, 2.2 and 2.3'!O51</f>
        <v>1.9124822952998944E-3</v>
      </c>
      <c r="E51" s="16">
        <v>43630</v>
      </c>
      <c r="F51" s="17">
        <v>5.9800000000000006E-2</v>
      </c>
      <c r="G51" s="41">
        <f t="shared" si="0"/>
        <v>1.5913652683696711E-4</v>
      </c>
      <c r="L51" s="40">
        <f t="shared" si="1"/>
        <v>-7.927832223527E-3</v>
      </c>
      <c r="M51" s="40">
        <f t="shared" si="2"/>
        <v>2.0758249367748716E-3</v>
      </c>
      <c r="O51" s="40">
        <f t="shared" si="3"/>
        <v>-7.927832223527E-3</v>
      </c>
      <c r="P51" s="207">
        <f t="shared" si="4"/>
        <v>1.5913652683696711E-4</v>
      </c>
      <c r="Q51" s="208">
        <f t="shared" si="5"/>
        <v>1.0021992959873915</v>
      </c>
      <c r="R51" s="40">
        <f t="shared" si="6"/>
        <v>-8.0692221424846292E-3</v>
      </c>
      <c r="S51" s="209">
        <v>0</v>
      </c>
    </row>
    <row r="52" spans="1:19" x14ac:dyDescent="0.45">
      <c r="A52" s="16">
        <v>43633</v>
      </c>
      <c r="B52" s="42">
        <f>'Part 2 - CAPM 2.1, 2.2 and 2.3'!N52</f>
        <v>-1.3225388162057455E-2</v>
      </c>
      <c r="C52" s="42">
        <f>'Part 2 - CAPM 2.1, 2.2 and 2.3'!O52</f>
        <v>-2.9101841783777341E-2</v>
      </c>
      <c r="E52" s="16">
        <v>43633</v>
      </c>
      <c r="F52" s="17">
        <v>5.9800000000000006E-2</v>
      </c>
      <c r="G52" s="41">
        <f t="shared" si="0"/>
        <v>1.5913652683696711E-4</v>
      </c>
      <c r="L52" s="40">
        <f t="shared" si="1"/>
        <v>-1.3095338178336998E-2</v>
      </c>
      <c r="M52" s="40">
        <f t="shared" si="2"/>
        <v>-2.9006708820801138E-2</v>
      </c>
      <c r="O52" s="40">
        <f t="shared" si="3"/>
        <v>-1.3095338178336998E-2</v>
      </c>
      <c r="P52" s="207">
        <f t="shared" si="4"/>
        <v>1.5913652683696711E-4</v>
      </c>
      <c r="Q52" s="208">
        <f t="shared" si="5"/>
        <v>1.0021992959873915</v>
      </c>
      <c r="R52" s="40">
        <f t="shared" si="6"/>
        <v>-1.3225388162057455E-2</v>
      </c>
      <c r="S52" s="209">
        <v>0</v>
      </c>
    </row>
    <row r="53" spans="1:19" x14ac:dyDescent="0.45">
      <c r="A53" s="16">
        <v>43634</v>
      </c>
      <c r="B53" s="42">
        <f>'Part 2 - CAPM 2.1, 2.2 and 2.3'!N53</f>
        <v>6.5292600721726819E-4</v>
      </c>
      <c r="C53" s="42">
        <f>'Part 2 - CAPM 2.1, 2.2 and 2.3'!O53</f>
        <v>1.0485632329610721E-2</v>
      </c>
      <c r="E53" s="16">
        <v>43634</v>
      </c>
      <c r="F53" s="17">
        <v>5.9800000000000006E-2</v>
      </c>
      <c r="G53" s="41">
        <f t="shared" si="0"/>
        <v>1.5913652683696711E-4</v>
      </c>
      <c r="L53" s="40">
        <f t="shared" si="1"/>
        <v>8.1349851160197179E-4</v>
      </c>
      <c r="M53" s="40">
        <f t="shared" si="2"/>
        <v>1.0667829865555464E-2</v>
      </c>
      <c r="O53" s="40">
        <f t="shared" si="3"/>
        <v>8.1349851160197179E-4</v>
      </c>
      <c r="P53" s="207">
        <f t="shared" si="4"/>
        <v>1.5913652683696711E-4</v>
      </c>
      <c r="Q53" s="208">
        <f t="shared" si="5"/>
        <v>1.0021992959873915</v>
      </c>
      <c r="R53" s="40">
        <f t="shared" si="6"/>
        <v>6.5292600721726819E-4</v>
      </c>
      <c r="S53" s="209">
        <v>0</v>
      </c>
    </row>
    <row r="54" spans="1:19" x14ac:dyDescent="0.45">
      <c r="A54" s="16">
        <v>43635</v>
      </c>
      <c r="B54" s="42">
        <f>'Part 2 - CAPM 2.1, 2.2 and 2.3'!N54</f>
        <v>-2.7922721568787554E-3</v>
      </c>
      <c r="C54" s="42">
        <f>'Part 2 - CAPM 2.1, 2.2 and 2.3'!O54</f>
        <v>7.0632528803251668E-3</v>
      </c>
      <c r="E54" s="16">
        <v>43635</v>
      </c>
      <c r="F54" s="17">
        <v>5.9800000000000006E-2</v>
      </c>
      <c r="G54" s="41">
        <f t="shared" si="0"/>
        <v>1.5913652683696711E-4</v>
      </c>
      <c r="L54" s="40">
        <f t="shared" si="1"/>
        <v>-2.6392766629921168E-3</v>
      </c>
      <c r="M54" s="40">
        <f t="shared" si="2"/>
        <v>7.2379235908797647E-3</v>
      </c>
      <c r="O54" s="40">
        <f t="shared" si="3"/>
        <v>-2.6392766629921168E-3</v>
      </c>
      <c r="P54" s="207">
        <f t="shared" si="4"/>
        <v>1.5913652683696711E-4</v>
      </c>
      <c r="Q54" s="208">
        <f t="shared" si="5"/>
        <v>1.0021992959873915</v>
      </c>
      <c r="R54" s="40">
        <f t="shared" si="6"/>
        <v>-2.7922721568787554E-3</v>
      </c>
      <c r="S54" s="209">
        <v>0</v>
      </c>
    </row>
    <row r="55" spans="1:19" x14ac:dyDescent="0.45">
      <c r="A55" s="16">
        <v>43636</v>
      </c>
      <c r="B55" s="42">
        <f>'Part 2 - CAPM 2.1, 2.2 and 2.3'!N55</f>
        <v>1.2417482709861849E-2</v>
      </c>
      <c r="C55" s="42">
        <f>'Part 2 - CAPM 2.1, 2.2 and 2.3'!O55</f>
        <v>2.7627716330527029E-2</v>
      </c>
      <c r="E55" s="16">
        <v>43636</v>
      </c>
      <c r="F55" s="17">
        <v>5.9500000000000004E-2</v>
      </c>
      <c r="G55" s="41">
        <f t="shared" si="0"/>
        <v>1.5836075342878786E-4</v>
      </c>
      <c r="L55" s="40">
        <f t="shared" si="1"/>
        <v>1.2603153183187939E-2</v>
      </c>
      <c r="M55" s="40">
        <f t="shared" si="2"/>
        <v>2.7846838609622337E-2</v>
      </c>
      <c r="O55" s="40">
        <f t="shared" si="3"/>
        <v>1.2603153183187939E-2</v>
      </c>
      <c r="P55" s="207">
        <f t="shared" si="4"/>
        <v>1.5836075342878786E-4</v>
      </c>
      <c r="Q55" s="208">
        <f t="shared" si="5"/>
        <v>1.0021992959873915</v>
      </c>
      <c r="R55" s="40">
        <f t="shared" si="6"/>
        <v>1.2417482709861849E-2</v>
      </c>
      <c r="S55" s="209">
        <v>0</v>
      </c>
    </row>
    <row r="56" spans="1:19" x14ac:dyDescent="0.45">
      <c r="A56" s="16">
        <v>43637</v>
      </c>
      <c r="B56" s="42">
        <f>'Part 2 - CAPM 2.1, 2.2 and 2.3'!N56</f>
        <v>-6.8352204854358655E-3</v>
      </c>
      <c r="C56" s="42">
        <f>'Part 2 - CAPM 2.1, 2.2 and 2.3'!O56</f>
        <v>-6.2635291228275375E-3</v>
      </c>
      <c r="E56" s="16">
        <v>43637</v>
      </c>
      <c r="F56" s="17">
        <v>5.9699999999999996E-2</v>
      </c>
      <c r="G56" s="41">
        <f t="shared" si="0"/>
        <v>1.5887796003677401E-4</v>
      </c>
      <c r="L56" s="40">
        <f t="shared" si="1"/>
        <v>-6.6913751983856467E-3</v>
      </c>
      <c r="M56" s="40">
        <f t="shared" si="2"/>
        <v>-6.1184265172575083E-3</v>
      </c>
      <c r="O56" s="40">
        <f t="shared" si="3"/>
        <v>-6.6913751983856467E-3</v>
      </c>
      <c r="P56" s="207">
        <f t="shared" si="4"/>
        <v>1.5887796003677401E-4</v>
      </c>
      <c r="Q56" s="208">
        <f t="shared" si="5"/>
        <v>1.0021992959873915</v>
      </c>
      <c r="R56" s="40">
        <f t="shared" si="6"/>
        <v>-6.8352204854358655E-3</v>
      </c>
      <c r="S56" s="209">
        <v>0</v>
      </c>
    </row>
    <row r="57" spans="1:19" x14ac:dyDescent="0.45">
      <c r="A57" s="16">
        <v>43640</v>
      </c>
      <c r="B57" s="42">
        <f>'Part 2 - CAPM 2.1, 2.2 and 2.3'!N57</f>
        <v>-1.9847780532534515E-3</v>
      </c>
      <c r="C57" s="42">
        <f>'Part 2 - CAPM 2.1, 2.2 and 2.3'!O57</f>
        <v>-3.3793926708386379E-2</v>
      </c>
      <c r="E57" s="16">
        <v>43640</v>
      </c>
      <c r="F57" s="17">
        <v>5.9500000000000004E-2</v>
      </c>
      <c r="G57" s="41">
        <f t="shared" si="0"/>
        <v>1.5836075342878786E-4</v>
      </c>
      <c r="L57" s="40">
        <f t="shared" si="1"/>
        <v>-1.8307824142330467E-3</v>
      </c>
      <c r="M57" s="40">
        <f t="shared" si="2"/>
        <v>-3.3709888802365549E-2</v>
      </c>
      <c r="O57" s="40">
        <f t="shared" si="3"/>
        <v>-1.8307824142330467E-3</v>
      </c>
      <c r="P57" s="207">
        <f t="shared" si="4"/>
        <v>1.5836075342878786E-4</v>
      </c>
      <c r="Q57" s="208">
        <f t="shared" si="5"/>
        <v>1.0021992959873915</v>
      </c>
      <c r="R57" s="40">
        <f t="shared" si="6"/>
        <v>-1.9847780532534515E-3</v>
      </c>
      <c r="S57" s="209">
        <v>0</v>
      </c>
    </row>
    <row r="58" spans="1:19" x14ac:dyDescent="0.45">
      <c r="A58" s="16">
        <v>43641</v>
      </c>
      <c r="B58" s="42">
        <f>'Part 2 - CAPM 2.1, 2.2 and 2.3'!N58</f>
        <v>7.0297203598751381E-3</v>
      </c>
      <c r="C58" s="42">
        <f>'Part 2 - CAPM 2.1, 2.2 and 2.3'!O58</f>
        <v>5.8946493962309041E-3</v>
      </c>
      <c r="E58" s="16">
        <v>43641</v>
      </c>
      <c r="F58" s="17">
        <v>5.96E-2</v>
      </c>
      <c r="G58" s="41">
        <f t="shared" si="0"/>
        <v>1.5861936890226858E-4</v>
      </c>
      <c r="L58" s="40">
        <f t="shared" si="1"/>
        <v>7.2038001645573649E-3</v>
      </c>
      <c r="M58" s="40">
        <f t="shared" si="2"/>
        <v>6.0662328438973829E-3</v>
      </c>
      <c r="O58" s="40">
        <f t="shared" si="3"/>
        <v>7.2038001645573649E-3</v>
      </c>
      <c r="P58" s="207">
        <f t="shared" si="4"/>
        <v>1.5861936890226858E-4</v>
      </c>
      <c r="Q58" s="208">
        <f t="shared" si="5"/>
        <v>1.0021992959873915</v>
      </c>
      <c r="R58" s="40">
        <f t="shared" si="6"/>
        <v>7.0297203598751381E-3</v>
      </c>
      <c r="S58" s="209">
        <v>0</v>
      </c>
    </row>
    <row r="59" spans="1:19" x14ac:dyDescent="0.45">
      <c r="A59" s="16">
        <v>43642</v>
      </c>
      <c r="B59" s="42">
        <f>'Part 2 - CAPM 2.1, 2.2 and 2.3'!N59</f>
        <v>5.0262447466178162E-3</v>
      </c>
      <c r="C59" s="42">
        <f>'Part 2 - CAPM 2.1, 2.2 and 2.3'!O59</f>
        <v>7.9636071554736402E-3</v>
      </c>
      <c r="E59" s="16">
        <v>43642</v>
      </c>
      <c r="F59" s="17">
        <v>5.9800000000000006E-2</v>
      </c>
      <c r="G59" s="41">
        <f t="shared" si="0"/>
        <v>1.5913652683696711E-4</v>
      </c>
      <c r="L59" s="40">
        <f t="shared" si="1"/>
        <v>5.1964354733576674E-3</v>
      </c>
      <c r="M59" s="40">
        <f t="shared" si="2"/>
        <v>8.1402580115728027E-3</v>
      </c>
      <c r="O59" s="40">
        <f t="shared" si="3"/>
        <v>5.1964354733576674E-3</v>
      </c>
      <c r="P59" s="207">
        <f t="shared" si="4"/>
        <v>1.5913652683696711E-4</v>
      </c>
      <c r="Q59" s="208">
        <f t="shared" si="5"/>
        <v>1.0021992959873915</v>
      </c>
      <c r="R59" s="40">
        <f t="shared" si="6"/>
        <v>5.0262447466178162E-3</v>
      </c>
      <c r="S59" s="209">
        <v>0</v>
      </c>
    </row>
    <row r="60" spans="1:19" x14ac:dyDescent="0.45">
      <c r="A60" s="16">
        <v>43643</v>
      </c>
      <c r="B60" s="42">
        <f>'Part 2 - CAPM 2.1, 2.2 and 2.3'!N60</f>
        <v>8.2688988958878906E-4</v>
      </c>
      <c r="C60" s="42">
        <f>'Part 2 - CAPM 2.1, 2.2 and 2.3'!O60</f>
        <v>1.8044126267606739E-2</v>
      </c>
      <c r="E60" s="16">
        <v>43643</v>
      </c>
      <c r="F60" s="17">
        <v>5.9900000000000002E-2</v>
      </c>
      <c r="G60" s="41">
        <f t="shared" si="0"/>
        <v>1.5939506930751079E-4</v>
      </c>
      <c r="L60" s="40">
        <f t="shared" si="1"/>
        <v>9.8810353451248716E-4</v>
      </c>
      <c r="M60" s="40">
        <f t="shared" si="2"/>
        <v>1.8243205711410585E-2</v>
      </c>
      <c r="O60" s="40">
        <f t="shared" si="3"/>
        <v>9.8810353451248716E-4</v>
      </c>
      <c r="P60" s="207">
        <f t="shared" si="4"/>
        <v>1.5939506930751079E-4</v>
      </c>
      <c r="Q60" s="208">
        <f t="shared" si="5"/>
        <v>1.0021992959873915</v>
      </c>
      <c r="R60" s="40">
        <f t="shared" si="6"/>
        <v>8.2688988958878906E-4</v>
      </c>
      <c r="S60" s="209">
        <v>0</v>
      </c>
    </row>
    <row r="61" spans="1:19" x14ac:dyDescent="0.45">
      <c r="A61" s="16">
        <v>43644</v>
      </c>
      <c r="B61" s="42">
        <f>'Part 2 - CAPM 2.1, 2.2 and 2.3'!N61</f>
        <v>-3.7091029379843978E-3</v>
      </c>
      <c r="C61" s="42">
        <f>'Part 2 - CAPM 2.1, 2.2 and 2.3'!O61</f>
        <v>-1.6865656512696347E-2</v>
      </c>
      <c r="E61" s="16">
        <v>43644</v>
      </c>
      <c r="F61" s="17">
        <v>6.0100000000000001E-2</v>
      </c>
      <c r="G61" s="41">
        <f t="shared" si="0"/>
        <v>1.5991208127785761E-4</v>
      </c>
      <c r="L61" s="40">
        <f t="shared" si="1"/>
        <v>-3.5573482719148714E-3</v>
      </c>
      <c r="M61" s="40">
        <f t="shared" si="2"/>
        <v>-1.6742837002111585E-2</v>
      </c>
      <c r="O61" s="40">
        <f t="shared" si="3"/>
        <v>-3.5573482719148714E-3</v>
      </c>
      <c r="P61" s="207">
        <f t="shared" si="4"/>
        <v>1.5991208127785761E-4</v>
      </c>
      <c r="Q61" s="208">
        <f t="shared" si="5"/>
        <v>1.0021992959873915</v>
      </c>
      <c r="R61" s="40">
        <f t="shared" si="6"/>
        <v>-3.7091029379843978E-3</v>
      </c>
      <c r="S61" s="209">
        <v>0</v>
      </c>
    </row>
    <row r="62" spans="1:19" x14ac:dyDescent="0.45">
      <c r="A62" s="16">
        <v>43647</v>
      </c>
      <c r="B62" s="42">
        <f>'Part 2 - CAPM 2.1, 2.2 and 2.3'!N62</f>
        <v>5.5408308575457714E-3</v>
      </c>
      <c r="C62" s="42">
        <f>'Part 2 - CAPM 2.1, 2.2 and 2.3'!O62</f>
        <v>-4.0397586601352613E-2</v>
      </c>
      <c r="E62" s="16">
        <v>43647</v>
      </c>
      <c r="F62" s="17">
        <v>5.9800000000000006E-2</v>
      </c>
      <c r="G62" s="41">
        <f t="shared" si="0"/>
        <v>1.5913652683696711E-4</v>
      </c>
      <c r="L62" s="40">
        <f t="shared" si="1"/>
        <v>5.7121533114545542E-3</v>
      </c>
      <c r="M62" s="40">
        <f t="shared" si="2"/>
        <v>-4.0327296324628302E-2</v>
      </c>
      <c r="O62" s="40">
        <f t="shared" si="3"/>
        <v>5.7121533114545542E-3</v>
      </c>
      <c r="P62" s="207">
        <f t="shared" si="4"/>
        <v>1.5913652683696711E-4</v>
      </c>
      <c r="Q62" s="208">
        <f t="shared" si="5"/>
        <v>1.0021992959873915</v>
      </c>
      <c r="R62" s="40">
        <f t="shared" si="6"/>
        <v>5.5408308575457714E-3</v>
      </c>
      <c r="S62" s="209">
        <v>0</v>
      </c>
    </row>
    <row r="63" spans="1:19" x14ac:dyDescent="0.45">
      <c r="A63" s="16">
        <v>43648</v>
      </c>
      <c r="B63" s="42">
        <f>'Part 2 - CAPM 2.1, 2.2 and 2.3'!N63</f>
        <v>3.1204911016012179E-3</v>
      </c>
      <c r="C63" s="42">
        <f>'Part 2 - CAPM 2.1, 2.2 and 2.3'!O63</f>
        <v>2.8723368208737519E-2</v>
      </c>
      <c r="E63" s="16">
        <v>43648</v>
      </c>
      <c r="F63" s="17">
        <v>5.96E-2</v>
      </c>
      <c r="G63" s="41">
        <f t="shared" si="0"/>
        <v>1.5861936890226858E-4</v>
      </c>
      <c r="L63" s="40">
        <f t="shared" si="1"/>
        <v>3.2859733540619288E-3</v>
      </c>
      <c r="M63" s="40">
        <f t="shared" si="2"/>
        <v>2.8945158766085635E-2</v>
      </c>
      <c r="O63" s="40">
        <f t="shared" si="3"/>
        <v>3.2859733540619288E-3</v>
      </c>
      <c r="P63" s="207">
        <f t="shared" si="4"/>
        <v>1.5861936890226858E-4</v>
      </c>
      <c r="Q63" s="208">
        <f t="shared" si="5"/>
        <v>1.0021992959873915</v>
      </c>
      <c r="R63" s="40">
        <f t="shared" si="6"/>
        <v>3.1204911016012179E-3</v>
      </c>
      <c r="S63" s="209">
        <v>0</v>
      </c>
    </row>
    <row r="64" spans="1:19" x14ac:dyDescent="0.45">
      <c r="A64" s="16">
        <v>43649</v>
      </c>
      <c r="B64" s="42">
        <f>'Part 2 - CAPM 2.1, 2.2 and 2.3'!N64</f>
        <v>1.1189785417889076E-3</v>
      </c>
      <c r="C64" s="42">
        <f>'Part 2 - CAPM 2.1, 2.2 and 2.3'!O64</f>
        <v>3.765316640756685E-3</v>
      </c>
      <c r="E64" s="16">
        <v>43649</v>
      </c>
      <c r="F64" s="17">
        <v>5.96E-2</v>
      </c>
      <c r="G64" s="41">
        <f t="shared" si="0"/>
        <v>1.5861936890226858E-4</v>
      </c>
      <c r="L64" s="40">
        <f t="shared" si="1"/>
        <v>1.2800588757081099E-3</v>
      </c>
      <c r="M64" s="40">
        <f t="shared" si="2"/>
        <v>3.9322170554382287E-3</v>
      </c>
      <c r="O64" s="40">
        <f t="shared" si="3"/>
        <v>1.2800588757081099E-3</v>
      </c>
      <c r="P64" s="207">
        <f t="shared" si="4"/>
        <v>1.5861936890226858E-4</v>
      </c>
      <c r="Q64" s="208">
        <f t="shared" si="5"/>
        <v>1.0021992959873915</v>
      </c>
      <c r="R64" s="40">
        <f t="shared" si="6"/>
        <v>1.1189785417889076E-3</v>
      </c>
      <c r="S64" s="209">
        <v>0</v>
      </c>
    </row>
    <row r="65" spans="1:19" x14ac:dyDescent="0.45">
      <c r="A65" s="16">
        <v>43650</v>
      </c>
      <c r="B65" s="42">
        <f>'Part 2 - CAPM 2.1, 2.2 and 2.3'!N65</f>
        <v>1.8393671575839283E-3</v>
      </c>
      <c r="C65" s="42">
        <f>'Part 2 - CAPM 2.1, 2.2 and 2.3'!O65</f>
        <v>4.6514467563860207E-3</v>
      </c>
      <c r="E65" s="16">
        <v>43650</v>
      </c>
      <c r="F65" s="17">
        <v>5.9800000000000006E-2</v>
      </c>
      <c r="G65" s="41">
        <f t="shared" si="0"/>
        <v>1.5913652683696711E-4</v>
      </c>
      <c r="L65" s="40">
        <f t="shared" si="1"/>
        <v>2.0025489972299096E-3</v>
      </c>
      <c r="M65" s="40">
        <f t="shared" si="2"/>
        <v>4.8208131914098734E-3</v>
      </c>
      <c r="O65" s="40">
        <f t="shared" si="3"/>
        <v>2.0025489972299096E-3</v>
      </c>
      <c r="P65" s="207">
        <f t="shared" si="4"/>
        <v>1.5913652683696711E-4</v>
      </c>
      <c r="Q65" s="208">
        <f t="shared" si="5"/>
        <v>1.0021992959873915</v>
      </c>
      <c r="R65" s="40">
        <f t="shared" si="6"/>
        <v>1.8393671575839283E-3</v>
      </c>
      <c r="S65" s="209">
        <v>0</v>
      </c>
    </row>
    <row r="66" spans="1:19" x14ac:dyDescent="0.45">
      <c r="A66" s="16">
        <v>43651</v>
      </c>
      <c r="B66" s="42">
        <f>'Part 2 - CAPM 2.1, 2.2 and 2.3'!N66</f>
        <v>-1.234382270517553E-2</v>
      </c>
      <c r="C66" s="42">
        <f>'Part 2 - CAPM 2.1, 2.2 and 2.3'!O66</f>
        <v>-3.3669675096192342E-2</v>
      </c>
      <c r="E66" s="16">
        <v>43651</v>
      </c>
      <c r="F66" s="17">
        <v>5.8899999999999994E-2</v>
      </c>
      <c r="G66" s="41">
        <f t="shared" si="0"/>
        <v>1.5680854921451548E-4</v>
      </c>
      <c r="L66" s="40">
        <f t="shared" si="1"/>
        <v>-1.221416187570558E-2</v>
      </c>
      <c r="M66" s="40">
        <f t="shared" si="2"/>
        <v>-3.358691612831366E-2</v>
      </c>
      <c r="O66" s="40">
        <f t="shared" si="3"/>
        <v>-1.221416187570558E-2</v>
      </c>
      <c r="P66" s="207">
        <f t="shared" si="4"/>
        <v>1.5680854921451548E-4</v>
      </c>
      <c r="Q66" s="208">
        <f t="shared" si="5"/>
        <v>1.0021992959873915</v>
      </c>
      <c r="R66" s="40">
        <f t="shared" si="6"/>
        <v>-1.234382270517553E-2</v>
      </c>
      <c r="S66" s="209">
        <v>0</v>
      </c>
    </row>
    <row r="67" spans="1:19" x14ac:dyDescent="0.45">
      <c r="A67" s="16">
        <v>43654</v>
      </c>
      <c r="B67" s="42">
        <f>'Part 2 - CAPM 2.1, 2.2 and 2.3'!N67</f>
        <v>-2.1885438260959775E-2</v>
      </c>
      <c r="C67" s="42">
        <f>'Part 2 - CAPM 2.1, 2.2 and 2.3'!O67</f>
        <v>-5.650329898924647E-2</v>
      </c>
      <c r="E67" s="16">
        <v>43654</v>
      </c>
      <c r="F67" s="17">
        <v>5.8799999999999998E-2</v>
      </c>
      <c r="G67" s="41">
        <f t="shared" si="0"/>
        <v>1.5654976324031011E-4</v>
      </c>
      <c r="L67" s="40">
        <f t="shared" ref="L67:L130" si="7">G67+($J$1*(B67))</f>
        <v>-2.17770210542691E-2</v>
      </c>
      <c r="M67" s="40">
        <f t="shared" ref="M67:M130" si="8">G67+($J$1*(C67))</f>
        <v>-5.6471016704747592E-2</v>
      </c>
      <c r="O67" s="40">
        <f t="shared" si="3"/>
        <v>-2.17770210542691E-2</v>
      </c>
      <c r="P67" s="207">
        <f t="shared" si="4"/>
        <v>1.5654976324031011E-4</v>
      </c>
      <c r="Q67" s="208">
        <f t="shared" si="5"/>
        <v>1.0021992959873915</v>
      </c>
      <c r="R67" s="40">
        <f t="shared" si="6"/>
        <v>-2.1885438260959775E-2</v>
      </c>
      <c r="S67" s="209">
        <v>0</v>
      </c>
    </row>
    <row r="68" spans="1:19" x14ac:dyDescent="0.45">
      <c r="A68" s="16">
        <v>43655</v>
      </c>
      <c r="B68" s="42">
        <f>'Part 2 - CAPM 2.1, 2.2 and 2.3'!N68</f>
        <v>6.7381395254516676E-4</v>
      </c>
      <c r="C68" s="42">
        <f>'Part 2 - CAPM 2.1, 2.2 and 2.3'!O68</f>
        <v>6.4046124792084755E-3</v>
      </c>
      <c r="E68" s="16">
        <v>43655</v>
      </c>
      <c r="F68" s="17">
        <v>5.9000000000000004E-2</v>
      </c>
      <c r="G68" s="41">
        <f t="shared" ref="G68:G131" si="9">((1+F68)^(1/365))-1</f>
        <v>1.5706731081777114E-4</v>
      </c>
      <c r="L68" s="40">
        <f t="shared" si="7"/>
        <v>8.3236317968501895E-4</v>
      </c>
      <c r="M68" s="40">
        <f t="shared" si="8"/>
        <v>6.5757654285525675E-3</v>
      </c>
      <c r="O68" s="40">
        <f t="shared" ref="O68:O131" si="10">P68+(Q68*(R68))+S68</f>
        <v>8.3236317968501895E-4</v>
      </c>
      <c r="P68" s="207">
        <f t="shared" ref="P68:P131" si="11">G68</f>
        <v>1.5706731081777114E-4</v>
      </c>
      <c r="Q68" s="208">
        <f t="shared" ref="Q68:Q131" si="12">$J$1</f>
        <v>1.0021992959873915</v>
      </c>
      <c r="R68" s="40">
        <f t="shared" ref="R68:R131" si="13">B68</f>
        <v>6.7381395254516676E-4</v>
      </c>
      <c r="S68" s="209">
        <v>0</v>
      </c>
    </row>
    <row r="69" spans="1:19" x14ac:dyDescent="0.45">
      <c r="A69" s="16">
        <v>43656</v>
      </c>
      <c r="B69" s="42">
        <f>'Part 2 - CAPM 2.1, 2.2 and 2.3'!N69</f>
        <v>-6.0313441983134439E-3</v>
      </c>
      <c r="C69" s="42">
        <f>'Part 2 - CAPM 2.1, 2.2 and 2.3'!O69</f>
        <v>-1.1564633205222058E-2</v>
      </c>
      <c r="E69" s="16">
        <v>43656</v>
      </c>
      <c r="F69" s="17">
        <v>5.8799999999999998E-2</v>
      </c>
      <c r="G69" s="41">
        <f t="shared" si="9"/>
        <v>1.5654976324031011E-4</v>
      </c>
      <c r="L69" s="40">
        <f t="shared" si="7"/>
        <v>-5.8880591461670621E-3</v>
      </c>
      <c r="M69" s="40">
        <f t="shared" si="8"/>
        <v>-1.1433517493385647E-2</v>
      </c>
      <c r="O69" s="40">
        <f t="shared" si="10"/>
        <v>-5.8880591461670621E-3</v>
      </c>
      <c r="P69" s="207">
        <f t="shared" si="11"/>
        <v>1.5654976324031011E-4</v>
      </c>
      <c r="Q69" s="208">
        <f t="shared" si="12"/>
        <v>1.0021992959873915</v>
      </c>
      <c r="R69" s="40">
        <f t="shared" si="13"/>
        <v>-6.0313441983134439E-3</v>
      </c>
      <c r="S69" s="209">
        <v>0</v>
      </c>
    </row>
    <row r="70" spans="1:19" x14ac:dyDescent="0.45">
      <c r="A70" s="16">
        <v>43657</v>
      </c>
      <c r="B70" s="42">
        <f>'Part 2 - CAPM 2.1, 2.2 and 2.3'!N70</f>
        <v>6.8973431971620248E-3</v>
      </c>
      <c r="C70" s="42">
        <f>'Part 2 - CAPM 2.1, 2.2 and 2.3'!O70</f>
        <v>9.4057170146105602E-3</v>
      </c>
      <c r="E70" s="16">
        <v>43657</v>
      </c>
      <c r="F70" s="17">
        <v>5.8499999999999996E-2</v>
      </c>
      <c r="G70" s="41">
        <f t="shared" si="9"/>
        <v>1.5577325904581052E-4</v>
      </c>
      <c r="L70" s="40">
        <f t="shared" si="7"/>
        <v>7.0682857554250165E-3</v>
      </c>
      <c r="M70" s="40">
        <f t="shared" si="8"/>
        <v>9.5821762293451448E-3</v>
      </c>
      <c r="O70" s="40">
        <f t="shared" si="10"/>
        <v>7.0682857554250165E-3</v>
      </c>
      <c r="P70" s="207">
        <f t="shared" si="11"/>
        <v>1.5577325904581052E-4</v>
      </c>
      <c r="Q70" s="208">
        <f t="shared" si="12"/>
        <v>1.0021992959873915</v>
      </c>
      <c r="R70" s="40">
        <f t="shared" si="13"/>
        <v>6.8973431971620248E-3</v>
      </c>
      <c r="S70" s="209">
        <v>0</v>
      </c>
    </row>
    <row r="71" spans="1:19" x14ac:dyDescent="0.45">
      <c r="A71" s="16">
        <v>43658</v>
      </c>
      <c r="B71" s="42">
        <f>'Part 2 - CAPM 2.1, 2.2 and 2.3'!N71</f>
        <v>-1.0695313930777167E-3</v>
      </c>
      <c r="C71" s="42">
        <f>'Part 2 - CAPM 2.1, 2.2 and 2.3'!O71</f>
        <v>-2.2363480639842712E-2</v>
      </c>
      <c r="E71" s="16">
        <v>43658</v>
      </c>
      <c r="F71" s="17">
        <v>5.8499999999999996E-2</v>
      </c>
      <c r="G71" s="41">
        <f t="shared" si="9"/>
        <v>1.5577325904581052E-4</v>
      </c>
      <c r="L71" s="40">
        <f t="shared" si="7"/>
        <v>-9.1611035013309128E-4</v>
      </c>
      <c r="M71" s="40">
        <f t="shared" si="8"/>
        <v>-2.2256891294032216E-2</v>
      </c>
      <c r="O71" s="40">
        <f t="shared" si="10"/>
        <v>-9.1611035013309128E-4</v>
      </c>
      <c r="P71" s="207">
        <f t="shared" si="11"/>
        <v>1.5577325904581052E-4</v>
      </c>
      <c r="Q71" s="208">
        <f t="shared" si="12"/>
        <v>1.0021992959873915</v>
      </c>
      <c r="R71" s="40">
        <f t="shared" si="13"/>
        <v>-1.0695313930777167E-3</v>
      </c>
      <c r="S71" s="209">
        <v>0</v>
      </c>
    </row>
    <row r="72" spans="1:19" x14ac:dyDescent="0.45">
      <c r="A72" s="16">
        <v>43661</v>
      </c>
      <c r="B72" s="42">
        <f>'Part 2 - CAPM 2.1, 2.2 and 2.3'!N72</f>
        <v>1.0503641476914518E-3</v>
      </c>
      <c r="C72" s="42">
        <f>'Part 2 - CAPM 2.1, 2.2 and 2.3'!O72</f>
        <v>6.5250301847606506E-3</v>
      </c>
      <c r="E72" s="16">
        <v>43661</v>
      </c>
      <c r="F72" s="17">
        <v>5.8200000000000002E-2</v>
      </c>
      <c r="G72" s="41">
        <f t="shared" si="9"/>
        <v>1.5499653534623015E-4</v>
      </c>
      <c r="L72" s="40">
        <f t="shared" si="7"/>
        <v>1.2076707446929996E-3</v>
      </c>
      <c r="M72" s="40">
        <f t="shared" si="8"/>
        <v>6.6943771928098337E-3</v>
      </c>
      <c r="O72" s="40">
        <f t="shared" si="10"/>
        <v>1.2076707446929996E-3</v>
      </c>
      <c r="P72" s="207">
        <f t="shared" si="11"/>
        <v>1.5499653534623015E-4</v>
      </c>
      <c r="Q72" s="208">
        <f t="shared" si="12"/>
        <v>1.0021992959873915</v>
      </c>
      <c r="R72" s="40">
        <f t="shared" si="13"/>
        <v>1.0503641476914518E-3</v>
      </c>
      <c r="S72" s="209">
        <v>0</v>
      </c>
    </row>
    <row r="73" spans="1:19" x14ac:dyDescent="0.45">
      <c r="A73" s="16">
        <v>43662</v>
      </c>
      <c r="B73" s="42">
        <f>'Part 2 - CAPM 2.1, 2.2 and 2.3'!N73</f>
        <v>6.2547758828240011E-3</v>
      </c>
      <c r="C73" s="42">
        <f>'Part 2 - CAPM 2.1, 2.2 and 2.3'!O73</f>
        <v>1.0129820727312028E-2</v>
      </c>
      <c r="E73" s="16">
        <v>43662</v>
      </c>
      <c r="F73" s="17">
        <v>5.8400000000000001E-2</v>
      </c>
      <c r="G73" s="41">
        <f t="shared" si="9"/>
        <v>1.5551437554139902E-4</v>
      </c>
      <c r="L73" s="40">
        <f t="shared" si="7"/>
        <v>6.4240463618665282E-3</v>
      </c>
      <c r="M73" s="40">
        <f t="shared" si="8"/>
        <v>1.0307613576932001E-2</v>
      </c>
      <c r="O73" s="40">
        <f t="shared" si="10"/>
        <v>6.4240463618665282E-3</v>
      </c>
      <c r="P73" s="207">
        <f t="shared" si="11"/>
        <v>1.5551437554139902E-4</v>
      </c>
      <c r="Q73" s="208">
        <f t="shared" si="12"/>
        <v>1.0021992959873915</v>
      </c>
      <c r="R73" s="40">
        <f t="shared" si="13"/>
        <v>6.2547758828240011E-3</v>
      </c>
      <c r="S73" s="209">
        <v>0</v>
      </c>
    </row>
    <row r="74" spans="1:19" x14ac:dyDescent="0.45">
      <c r="A74" s="16">
        <v>43663</v>
      </c>
      <c r="B74" s="42">
        <f>'Part 2 - CAPM 2.1, 2.2 and 2.3'!N74</f>
        <v>1.2621229229475995E-3</v>
      </c>
      <c r="C74" s="42">
        <f>'Part 2 - CAPM 2.1, 2.2 and 2.3'!O74</f>
        <v>-1.5589618170608603E-2</v>
      </c>
      <c r="E74" s="16">
        <v>43663</v>
      </c>
      <c r="F74" s="17">
        <v>5.7999999999999996E-2</v>
      </c>
      <c r="G74" s="41">
        <f t="shared" si="9"/>
        <v>1.544785975380325E-4</v>
      </c>
      <c r="L74" s="40">
        <f t="shared" si="7"/>
        <v>1.4193773023656656E-3</v>
      </c>
      <c r="M74" s="40">
        <f t="shared" si="8"/>
        <v>-1.5469425757758157E-2</v>
      </c>
      <c r="O74" s="40">
        <f t="shared" si="10"/>
        <v>1.4193773023656656E-3</v>
      </c>
      <c r="P74" s="207">
        <f t="shared" si="11"/>
        <v>1.544785975380325E-4</v>
      </c>
      <c r="Q74" s="208">
        <f t="shared" si="12"/>
        <v>1.0021992959873915</v>
      </c>
      <c r="R74" s="40">
        <f t="shared" si="13"/>
        <v>1.2621229229475995E-3</v>
      </c>
      <c r="S74" s="209">
        <v>0</v>
      </c>
    </row>
    <row r="75" spans="1:19" x14ac:dyDescent="0.45">
      <c r="A75" s="16">
        <v>43664</v>
      </c>
      <c r="B75" s="42">
        <f>'Part 2 - CAPM 2.1, 2.2 and 2.3'!N75</f>
        <v>-9.2891400849042741E-3</v>
      </c>
      <c r="C75" s="42">
        <f>'Part 2 - CAPM 2.1, 2.2 and 2.3'!O75</f>
        <v>-4.3514128937341752E-2</v>
      </c>
      <c r="E75" s="16">
        <v>43664</v>
      </c>
      <c r="F75" s="17">
        <v>5.7000000000000002E-2</v>
      </c>
      <c r="G75" s="41">
        <f t="shared" si="9"/>
        <v>1.518874430121997E-4</v>
      </c>
      <c r="L75" s="40">
        <f t="shared" si="7"/>
        <v>-9.1576822104071226E-3</v>
      </c>
      <c r="M75" s="40">
        <f t="shared" si="8"/>
        <v>-4.3457941943496288E-2</v>
      </c>
      <c r="O75" s="40">
        <f t="shared" si="10"/>
        <v>-9.1576822104071226E-3</v>
      </c>
      <c r="P75" s="207">
        <f t="shared" si="11"/>
        <v>1.518874430121997E-4</v>
      </c>
      <c r="Q75" s="208">
        <f t="shared" si="12"/>
        <v>1.0021992959873915</v>
      </c>
      <c r="R75" s="40">
        <f t="shared" si="13"/>
        <v>-9.2891400849042741E-3</v>
      </c>
      <c r="S75" s="209">
        <v>0</v>
      </c>
    </row>
    <row r="76" spans="1:19" x14ac:dyDescent="0.45">
      <c r="A76" s="16">
        <v>43665</v>
      </c>
      <c r="B76" s="42">
        <f>'Part 2 - CAPM 2.1, 2.2 and 2.3'!N76</f>
        <v>-1.6173984504740262E-2</v>
      </c>
      <c r="C76" s="42">
        <f>'Part 2 - CAPM 2.1, 2.2 and 2.3'!O76</f>
        <v>3.3340853026997039E-3</v>
      </c>
      <c r="E76" s="16">
        <v>43665</v>
      </c>
      <c r="F76" s="17">
        <v>5.7300000000000004E-2</v>
      </c>
      <c r="G76" s="41">
        <f t="shared" si="9"/>
        <v>1.5266504597533093E-4</v>
      </c>
      <c r="L76" s="40">
        <f t="shared" si="7"/>
        <v>-1.6056890837986341E-2</v>
      </c>
      <c r="M76" s="40">
        <f t="shared" si="8"/>
        <v>3.4940829891028833E-3</v>
      </c>
      <c r="O76" s="40">
        <f t="shared" si="10"/>
        <v>-1.6056890837986341E-2</v>
      </c>
      <c r="P76" s="207">
        <f t="shared" si="11"/>
        <v>1.5266504597533093E-4</v>
      </c>
      <c r="Q76" s="208">
        <f t="shared" si="12"/>
        <v>1.0021992959873915</v>
      </c>
      <c r="R76" s="40">
        <f t="shared" si="13"/>
        <v>-1.6173984504740262E-2</v>
      </c>
      <c r="S76" s="209">
        <v>0</v>
      </c>
    </row>
    <row r="77" spans="1:19" x14ac:dyDescent="0.45">
      <c r="A77" s="16">
        <v>43668</v>
      </c>
      <c r="B77" s="42">
        <f>'Part 2 - CAPM 2.1, 2.2 and 2.3'!N77</f>
        <v>-6.2689234666338488E-3</v>
      </c>
      <c r="C77" s="42">
        <f>'Part 2 - CAPM 2.1, 2.2 and 2.3'!O77</f>
        <v>1.8956791890472318E-2</v>
      </c>
      <c r="E77" s="16">
        <v>43668</v>
      </c>
      <c r="F77" s="17">
        <v>5.7699999999999994E-2</v>
      </c>
      <c r="G77" s="41">
        <f t="shared" si="9"/>
        <v>1.5370150772087143E-4</v>
      </c>
      <c r="L77" s="40">
        <f t="shared" si="7"/>
        <v>-6.1290091771384102E-3</v>
      </c>
      <c r="M77" s="40">
        <f t="shared" si="8"/>
        <v>1.9152184994531724E-2</v>
      </c>
      <c r="O77" s="40">
        <f t="shared" si="10"/>
        <v>-6.1290091771384102E-3</v>
      </c>
      <c r="P77" s="207">
        <f t="shared" si="11"/>
        <v>1.5370150772087143E-4</v>
      </c>
      <c r="Q77" s="208">
        <f t="shared" si="12"/>
        <v>1.0021992959873915</v>
      </c>
      <c r="R77" s="40">
        <f t="shared" si="13"/>
        <v>-6.2689234666338488E-3</v>
      </c>
      <c r="S77" s="209">
        <v>0</v>
      </c>
    </row>
    <row r="78" spans="1:19" x14ac:dyDescent="0.45">
      <c r="A78" s="16">
        <v>43669</v>
      </c>
      <c r="B78" s="42">
        <f>'Part 2 - CAPM 2.1, 2.2 and 2.3'!N78</f>
        <v>-1.6889510661717204E-3</v>
      </c>
      <c r="C78" s="42">
        <f>'Part 2 - CAPM 2.1, 2.2 and 2.3'!O78</f>
        <v>-1.4132303663166796E-2</v>
      </c>
      <c r="E78" s="16">
        <v>43669</v>
      </c>
      <c r="F78" s="17">
        <v>5.7599999999999998E-2</v>
      </c>
      <c r="G78" s="41">
        <f t="shared" si="9"/>
        <v>1.5344242893555737E-4</v>
      </c>
      <c r="L78" s="40">
        <f t="shared" si="7"/>
        <v>-1.5392231405388951E-3</v>
      </c>
      <c r="M78" s="40">
        <f t="shared" si="8"/>
        <v>-1.4009942352970241E-2</v>
      </c>
      <c r="O78" s="40">
        <f t="shared" si="10"/>
        <v>-1.5392231405388951E-3</v>
      </c>
      <c r="P78" s="207">
        <f t="shared" si="11"/>
        <v>1.5344242893555737E-4</v>
      </c>
      <c r="Q78" s="208">
        <f t="shared" si="12"/>
        <v>1.0021992959873915</v>
      </c>
      <c r="R78" s="40">
        <f t="shared" si="13"/>
        <v>-1.6889510661717204E-3</v>
      </c>
      <c r="S78" s="209">
        <v>0</v>
      </c>
    </row>
    <row r="79" spans="1:19" x14ac:dyDescent="0.45">
      <c r="A79" s="16">
        <v>43670</v>
      </c>
      <c r="B79" s="42">
        <f>'Part 2 - CAPM 2.1, 2.2 and 2.3'!N79</f>
        <v>-8.0704832438893599E-3</v>
      </c>
      <c r="C79" s="42">
        <f>'Part 2 - CAPM 2.1, 2.2 and 2.3'!O79</f>
        <v>-7.0693308299891984E-3</v>
      </c>
      <c r="E79" s="16">
        <v>43670</v>
      </c>
      <c r="F79" s="17">
        <v>5.7699999999999994E-2</v>
      </c>
      <c r="G79" s="41">
        <f t="shared" si="9"/>
        <v>1.5370150772087143E-4</v>
      </c>
      <c r="L79" s="40">
        <f t="shared" si="7"/>
        <v>-7.9345311175830855E-3</v>
      </c>
      <c r="M79" s="40">
        <f t="shared" si="8"/>
        <v>-6.931176873196266E-3</v>
      </c>
      <c r="O79" s="40">
        <f t="shared" si="10"/>
        <v>-7.9345311175830855E-3</v>
      </c>
      <c r="P79" s="207">
        <f t="shared" si="11"/>
        <v>1.5370150772087143E-4</v>
      </c>
      <c r="Q79" s="208">
        <f t="shared" si="12"/>
        <v>1.0021992959873915</v>
      </c>
      <c r="R79" s="40">
        <f t="shared" si="13"/>
        <v>-8.0704832438893599E-3</v>
      </c>
      <c r="S79" s="209">
        <v>0</v>
      </c>
    </row>
    <row r="80" spans="1:19" x14ac:dyDescent="0.45">
      <c r="A80" s="16">
        <v>43671</v>
      </c>
      <c r="B80" s="42">
        <f>'Part 2 - CAPM 2.1, 2.2 and 2.3'!N80</f>
        <v>-2.9483862366882054E-4</v>
      </c>
      <c r="C80" s="42">
        <f>'Part 2 - CAPM 2.1, 2.2 and 2.3'!O80</f>
        <v>1.5880228771415748E-3</v>
      </c>
      <c r="E80" s="16">
        <v>43671</v>
      </c>
      <c r="F80" s="17">
        <v>5.74E-2</v>
      </c>
      <c r="G80" s="41">
        <f t="shared" si="9"/>
        <v>1.5292419806733903E-4</v>
      </c>
      <c r="L80" s="40">
        <f t="shared" si="7"/>
        <v>-1.4256286300344436E-4</v>
      </c>
      <c r="M80" s="40">
        <f t="shared" si="8"/>
        <v>1.7444396075504973E-3</v>
      </c>
      <c r="O80" s="40">
        <f t="shared" si="10"/>
        <v>-1.4256286300344436E-4</v>
      </c>
      <c r="P80" s="207">
        <f t="shared" si="11"/>
        <v>1.5292419806733903E-4</v>
      </c>
      <c r="Q80" s="208">
        <f t="shared" si="12"/>
        <v>1.0021992959873915</v>
      </c>
      <c r="R80" s="40">
        <f t="shared" si="13"/>
        <v>-2.9483862366882054E-4</v>
      </c>
      <c r="S80" s="209">
        <v>0</v>
      </c>
    </row>
    <row r="81" spans="1:19" x14ac:dyDescent="0.45">
      <c r="A81" s="16">
        <v>43672</v>
      </c>
      <c r="B81" s="42">
        <f>'Part 2 - CAPM 2.1, 2.2 and 2.3'!N81</f>
        <v>3.4991614212314748E-3</v>
      </c>
      <c r="C81" s="42">
        <f>'Part 2 - CAPM 2.1, 2.2 and 2.3'!O81</f>
        <v>-1.3708711476482276E-2</v>
      </c>
      <c r="E81" s="16">
        <v>43672</v>
      </c>
      <c r="F81" s="17">
        <v>5.74E-2</v>
      </c>
      <c r="G81" s="41">
        <f t="shared" si="9"/>
        <v>1.5292419806733903E-4</v>
      </c>
      <c r="L81" s="40">
        <f t="shared" si="7"/>
        <v>3.6597813109717635E-3</v>
      </c>
      <c r="M81" s="40">
        <f t="shared" si="8"/>
        <v>-1.3585936792557473E-2</v>
      </c>
      <c r="O81" s="40">
        <f t="shared" si="10"/>
        <v>3.6597813109717635E-3</v>
      </c>
      <c r="P81" s="207">
        <f t="shared" si="11"/>
        <v>1.5292419806733903E-4</v>
      </c>
      <c r="Q81" s="208">
        <f t="shared" si="12"/>
        <v>1.0021992959873915</v>
      </c>
      <c r="R81" s="40">
        <f t="shared" si="13"/>
        <v>3.4991614212314748E-3</v>
      </c>
      <c r="S81" s="209">
        <v>0</v>
      </c>
    </row>
    <row r="82" spans="1:19" x14ac:dyDescent="0.45">
      <c r="A82" s="16">
        <v>43675</v>
      </c>
      <c r="B82" s="42">
        <f>'Part 2 - CAPM 2.1, 2.2 and 2.3'!N82</f>
        <v>-9.258333120119042E-3</v>
      </c>
      <c r="C82" s="42">
        <f>'Part 2 - CAPM 2.1, 2.2 and 2.3'!O82</f>
        <v>-1.1076368667509192E-2</v>
      </c>
      <c r="E82" s="16">
        <v>43675</v>
      </c>
      <c r="F82" s="17">
        <v>5.7500000000000002E-2</v>
      </c>
      <c r="G82" s="41">
        <f t="shared" si="9"/>
        <v>1.5318332571911952E-4</v>
      </c>
      <c r="L82" s="40">
        <f t="shared" si="7"/>
        <v>-9.1255116092809341E-3</v>
      </c>
      <c r="M82" s="40">
        <f t="shared" si="8"/>
        <v>-1.0947545554955395E-2</v>
      </c>
      <c r="O82" s="40">
        <f t="shared" si="10"/>
        <v>-9.1255116092809341E-3</v>
      </c>
      <c r="P82" s="207">
        <f t="shared" si="11"/>
        <v>1.5318332571911952E-4</v>
      </c>
      <c r="Q82" s="208">
        <f t="shared" si="12"/>
        <v>1.0021992959873915</v>
      </c>
      <c r="R82" s="40">
        <f t="shared" si="13"/>
        <v>-9.258333120119042E-3</v>
      </c>
      <c r="S82" s="209">
        <v>0</v>
      </c>
    </row>
    <row r="83" spans="1:19" x14ac:dyDescent="0.45">
      <c r="A83" s="16">
        <v>43676</v>
      </c>
      <c r="B83" s="42">
        <f>'Part 2 - CAPM 2.1, 2.2 and 2.3'!N83</f>
        <v>-1.1663644482624242E-2</v>
      </c>
      <c r="C83" s="42">
        <f>'Part 2 - CAPM 2.1, 2.2 and 2.3'!O83</f>
        <v>-1.1552995448512614E-2</v>
      </c>
      <c r="E83" s="16">
        <v>43676</v>
      </c>
      <c r="F83" s="17">
        <v>5.74E-2</v>
      </c>
      <c r="G83" s="41">
        <f t="shared" si="9"/>
        <v>1.5292419806733903E-4</v>
      </c>
      <c r="L83" s="40">
        <f t="shared" si="7"/>
        <v>-1.1536372091065899E-2</v>
      </c>
      <c r="M83" s="40">
        <f t="shared" si="8"/>
        <v>-1.1425479706977541E-2</v>
      </c>
      <c r="O83" s="40">
        <f t="shared" si="10"/>
        <v>-1.1536372091065899E-2</v>
      </c>
      <c r="P83" s="207">
        <f t="shared" si="11"/>
        <v>1.5292419806733903E-4</v>
      </c>
      <c r="Q83" s="208">
        <f t="shared" si="12"/>
        <v>1.0021992959873915</v>
      </c>
      <c r="R83" s="40">
        <f t="shared" si="13"/>
        <v>-1.1663644482624242E-2</v>
      </c>
      <c r="S83" s="209">
        <v>0</v>
      </c>
    </row>
    <row r="84" spans="1:19" x14ac:dyDescent="0.45">
      <c r="A84" s="16">
        <v>43677</v>
      </c>
      <c r="B84" s="42">
        <f>'Part 2 - CAPM 2.1, 2.2 and 2.3'!N84</f>
        <v>4.3897353183053496E-3</v>
      </c>
      <c r="C84" s="42">
        <f>'Part 2 - CAPM 2.1, 2.2 and 2.3'!O84</f>
        <v>5.6805567474534882E-4</v>
      </c>
      <c r="E84" s="16">
        <v>43677</v>
      </c>
      <c r="F84" s="17">
        <v>5.7300000000000004E-2</v>
      </c>
      <c r="G84" s="41">
        <f t="shared" si="9"/>
        <v>1.5266504597533093E-4</v>
      </c>
      <c r="L84" s="40">
        <f t="shared" si="7"/>
        <v>4.5520546915519405E-3</v>
      </c>
      <c r="M84" s="40">
        <f t="shared" si="8"/>
        <v>7.2197004328676214E-4</v>
      </c>
      <c r="O84" s="40">
        <f t="shared" si="10"/>
        <v>4.5520546915519405E-3</v>
      </c>
      <c r="P84" s="207">
        <f t="shared" si="11"/>
        <v>1.5266504597533093E-4</v>
      </c>
      <c r="Q84" s="208">
        <f t="shared" si="12"/>
        <v>1.0021992959873915</v>
      </c>
      <c r="R84" s="40">
        <f t="shared" si="13"/>
        <v>4.3897353183053496E-3</v>
      </c>
      <c r="S84" s="209">
        <v>0</v>
      </c>
    </row>
    <row r="85" spans="1:19" x14ac:dyDescent="0.45">
      <c r="A85" s="16">
        <v>43678</v>
      </c>
      <c r="B85" s="42">
        <f>'Part 2 - CAPM 2.1, 2.2 and 2.3'!N85</f>
        <v>-1.2223885526222993E-2</v>
      </c>
      <c r="C85" s="42">
        <f>'Part 2 - CAPM 2.1, 2.2 and 2.3'!O85</f>
        <v>-1.4194782597663864E-2</v>
      </c>
      <c r="E85" s="16">
        <v>43678</v>
      </c>
      <c r="F85" s="17">
        <v>5.6600000000000004E-2</v>
      </c>
      <c r="G85" s="41">
        <f t="shared" si="9"/>
        <v>1.5085029661965343E-4</v>
      </c>
      <c r="L85" s="40">
        <f t="shared" si="7"/>
        <v>-1.2099919171991495E-2</v>
      </c>
      <c r="M85" s="40">
        <f t="shared" si="8"/>
        <v>-1.4075150829453148E-2</v>
      </c>
      <c r="O85" s="40">
        <f t="shared" si="10"/>
        <v>-1.2099919171991495E-2</v>
      </c>
      <c r="P85" s="207">
        <f t="shared" si="11"/>
        <v>1.5085029661965343E-4</v>
      </c>
      <c r="Q85" s="208">
        <f t="shared" si="12"/>
        <v>1.0021992959873915</v>
      </c>
      <c r="R85" s="40">
        <f t="shared" si="13"/>
        <v>-1.2223885526222993E-2</v>
      </c>
      <c r="S85" s="209">
        <v>0</v>
      </c>
    </row>
    <row r="86" spans="1:19" x14ac:dyDescent="0.45">
      <c r="A86" s="16">
        <v>43679</v>
      </c>
      <c r="B86" s="42">
        <f>'Part 2 - CAPM 2.1, 2.2 and 2.3'!N86</f>
        <v>7.6707125075143072E-4</v>
      </c>
      <c r="C86" s="42">
        <f>'Part 2 - CAPM 2.1, 2.2 and 2.3'!O86</f>
        <v>-1.8777325791791321E-2</v>
      </c>
      <c r="E86" s="16">
        <v>43679</v>
      </c>
      <c r="F86" s="17">
        <v>5.6500000000000002E-2</v>
      </c>
      <c r="G86" s="41">
        <f t="shared" si="9"/>
        <v>1.505909488401791E-4</v>
      </c>
      <c r="L86" s="40">
        <f t="shared" si="7"/>
        <v>9.1934921631543081E-4</v>
      </c>
      <c r="M86" s="40">
        <f t="shared" si="8"/>
        <v>-1.8668031740218971E-2</v>
      </c>
      <c r="O86" s="40">
        <f t="shared" si="10"/>
        <v>9.1934921631543081E-4</v>
      </c>
      <c r="P86" s="207">
        <f t="shared" si="11"/>
        <v>1.505909488401791E-4</v>
      </c>
      <c r="Q86" s="208">
        <f t="shared" si="12"/>
        <v>1.0021992959873915</v>
      </c>
      <c r="R86" s="40">
        <f t="shared" si="13"/>
        <v>7.6707125075143072E-4</v>
      </c>
      <c r="S86" s="209">
        <v>0</v>
      </c>
    </row>
    <row r="87" spans="1:19" x14ac:dyDescent="0.45">
      <c r="A87" s="16">
        <v>43682</v>
      </c>
      <c r="B87" s="42">
        <f>'Part 2 - CAPM 2.1, 2.2 and 2.3'!N87</f>
        <v>-1.2671206192855557E-2</v>
      </c>
      <c r="C87" s="42">
        <f>'Part 2 - CAPM 2.1, 2.2 and 2.3'!O87</f>
        <v>-2.285067285617717E-2</v>
      </c>
      <c r="E87" s="16">
        <v>43682</v>
      </c>
      <c r="F87" s="17">
        <v>5.5800000000000002E-2</v>
      </c>
      <c r="G87" s="41">
        <f t="shared" si="9"/>
        <v>1.4877482863728808E-4</v>
      </c>
      <c r="L87" s="40">
        <f t="shared" si="7"/>
        <v>-1.2550299097153626E-2</v>
      </c>
      <c r="M87" s="40">
        <f t="shared" si="8"/>
        <v>-2.2752153420661669E-2</v>
      </c>
      <c r="O87" s="40">
        <f t="shared" si="10"/>
        <v>-1.2550299097153626E-2</v>
      </c>
      <c r="P87" s="207">
        <f t="shared" si="11"/>
        <v>1.4877482863728808E-4</v>
      </c>
      <c r="Q87" s="208">
        <f t="shared" si="12"/>
        <v>1.0021992959873915</v>
      </c>
      <c r="R87" s="40">
        <f t="shared" si="13"/>
        <v>-1.2671206192855557E-2</v>
      </c>
      <c r="S87" s="209">
        <v>0</v>
      </c>
    </row>
    <row r="88" spans="1:19" x14ac:dyDescent="0.45">
      <c r="A88" s="16">
        <v>43683</v>
      </c>
      <c r="B88" s="42">
        <f>'Part 2 - CAPM 2.1, 2.2 and 2.3'!N88</f>
        <v>9.6608982174190873E-3</v>
      </c>
      <c r="C88" s="42">
        <f>'Part 2 - CAPM 2.1, 2.2 and 2.3'!O88</f>
        <v>9.9234975466920756E-4</v>
      </c>
      <c r="E88" s="16">
        <v>43683</v>
      </c>
      <c r="F88" s="17">
        <v>5.6299999999999996E-2</v>
      </c>
      <c r="G88" s="41">
        <f t="shared" si="9"/>
        <v>1.5007217983176169E-4</v>
      </c>
      <c r="L88" s="40">
        <f t="shared" si="7"/>
        <v>9.8322175719350174E-3</v>
      </c>
      <c r="M88" s="40">
        <f t="shared" si="8"/>
        <v>1.1446044053345023E-3</v>
      </c>
      <c r="O88" s="40">
        <f t="shared" si="10"/>
        <v>9.8322175719350174E-3</v>
      </c>
      <c r="P88" s="207">
        <f t="shared" si="11"/>
        <v>1.5007217983176169E-4</v>
      </c>
      <c r="Q88" s="208">
        <f t="shared" si="12"/>
        <v>1.0021992959873915</v>
      </c>
      <c r="R88" s="40">
        <f t="shared" si="13"/>
        <v>9.6608982174190873E-3</v>
      </c>
      <c r="S88" s="209">
        <v>0</v>
      </c>
    </row>
    <row r="89" spans="1:19" x14ac:dyDescent="0.45">
      <c r="A89" s="16">
        <v>43684</v>
      </c>
      <c r="B89" s="42">
        <f>'Part 2 - CAPM 2.1, 2.2 and 2.3'!N89</f>
        <v>-7.3184040353432818E-3</v>
      </c>
      <c r="C89" s="42">
        <f>'Part 2 - CAPM 2.1, 2.2 and 2.3'!O89</f>
        <v>-7.3750786646775614E-3</v>
      </c>
      <c r="E89" s="16">
        <v>43684</v>
      </c>
      <c r="F89" s="17">
        <v>5.5500000000000001E-2</v>
      </c>
      <c r="G89" s="41">
        <f t="shared" si="9"/>
        <v>1.4799612378757487E-4</v>
      </c>
      <c r="L89" s="40">
        <f t="shared" si="7"/>
        <v>-7.1865032481847474E-3</v>
      </c>
      <c r="M89" s="40">
        <f t="shared" si="8"/>
        <v>-7.2433025218039092E-3</v>
      </c>
      <c r="O89" s="40">
        <f t="shared" si="10"/>
        <v>-7.1865032481847474E-3</v>
      </c>
      <c r="P89" s="207">
        <f t="shared" si="11"/>
        <v>1.4799612378757487E-4</v>
      </c>
      <c r="Q89" s="208">
        <f t="shared" si="12"/>
        <v>1.0021992959873915</v>
      </c>
      <c r="R89" s="40">
        <f t="shared" si="13"/>
        <v>-7.3184040353432818E-3</v>
      </c>
      <c r="S89" s="209">
        <v>0</v>
      </c>
    </row>
    <row r="90" spans="1:19" x14ac:dyDescent="0.45">
      <c r="A90" s="16">
        <v>43685</v>
      </c>
      <c r="B90" s="42">
        <f>'Part 2 - CAPM 2.1, 2.2 and 2.3'!N90</f>
        <v>1.3971997347842165E-2</v>
      </c>
      <c r="C90" s="42">
        <f>'Part 2 - CAPM 2.1, 2.2 and 2.3'!O90</f>
        <v>2.5371132415562552E-3</v>
      </c>
      <c r="E90" s="16">
        <v>43685</v>
      </c>
      <c r="F90" s="17">
        <v>5.4299999999999994E-2</v>
      </c>
      <c r="G90" s="41">
        <f t="shared" si="9"/>
        <v>1.4487909560845225E-4</v>
      </c>
      <c r="L90" s="40">
        <f t="shared" si="7"/>
        <v>1.4147605001153571E-2</v>
      </c>
      <c r="M90" s="40">
        <f t="shared" si="8"/>
        <v>2.6875722001364201E-3</v>
      </c>
      <c r="O90" s="40">
        <f t="shared" si="10"/>
        <v>1.4147605001153571E-2</v>
      </c>
      <c r="P90" s="207">
        <f t="shared" si="11"/>
        <v>1.4487909560845225E-4</v>
      </c>
      <c r="Q90" s="208">
        <f t="shared" si="12"/>
        <v>1.0021992959873915</v>
      </c>
      <c r="R90" s="40">
        <f t="shared" si="13"/>
        <v>1.3971997347842165E-2</v>
      </c>
      <c r="S90" s="209">
        <v>0</v>
      </c>
    </row>
    <row r="91" spans="1:19" x14ac:dyDescent="0.45">
      <c r="A91" s="16">
        <v>43686</v>
      </c>
      <c r="B91" s="42">
        <f>'Part 2 - CAPM 2.1, 2.2 and 2.3'!N91</f>
        <v>7.3055598323097685E-3</v>
      </c>
      <c r="C91" s="42">
        <f>'Part 2 - CAPM 2.1, 2.2 and 2.3'!O91</f>
        <v>6.1961467198364667E-4</v>
      </c>
      <c r="E91" s="16">
        <v>43686</v>
      </c>
      <c r="F91" s="17">
        <v>5.4199999999999998E-2</v>
      </c>
      <c r="G91" s="41">
        <f t="shared" si="9"/>
        <v>1.4461918357611125E-4</v>
      </c>
      <c r="L91" s="40">
        <f t="shared" si="7"/>
        <v>7.4662461043107278E-3</v>
      </c>
      <c r="M91" s="40">
        <f t="shared" si="8"/>
        <v>7.6559657162158048E-4</v>
      </c>
      <c r="O91" s="40">
        <f t="shared" si="10"/>
        <v>7.4662461043107278E-3</v>
      </c>
      <c r="P91" s="207">
        <f t="shared" si="11"/>
        <v>1.4461918357611125E-4</v>
      </c>
      <c r="Q91" s="208">
        <f t="shared" si="12"/>
        <v>1.0021992959873915</v>
      </c>
      <c r="R91" s="40">
        <f t="shared" si="13"/>
        <v>7.3055598323097685E-3</v>
      </c>
      <c r="S91" s="209">
        <v>0</v>
      </c>
    </row>
    <row r="92" spans="1:19" x14ac:dyDescent="0.45">
      <c r="A92" s="16">
        <v>43690</v>
      </c>
      <c r="B92" s="42">
        <f>'Part 2 - CAPM 2.1, 2.2 and 2.3'!N92</f>
        <v>-1.7438764609975687E-2</v>
      </c>
      <c r="C92" s="42">
        <f>'Part 2 - CAPM 2.1, 2.2 and 2.3'!O92</f>
        <v>-2.4581687037570948E-2</v>
      </c>
      <c r="E92" s="16">
        <v>43690</v>
      </c>
      <c r="F92" s="17">
        <v>5.4299999999999994E-2</v>
      </c>
      <c r="G92" s="41">
        <f t="shared" si="9"/>
        <v>1.4487909560845225E-4</v>
      </c>
      <c r="L92" s="40">
        <f t="shared" si="7"/>
        <v>-1.733223851939902E-2</v>
      </c>
      <c r="M92" s="40">
        <f t="shared" si="8"/>
        <v>-2.4490870347627539E-2</v>
      </c>
      <c r="O92" s="40">
        <f t="shared" si="10"/>
        <v>-1.733223851939902E-2</v>
      </c>
      <c r="P92" s="207">
        <f t="shared" si="11"/>
        <v>1.4487909560845225E-4</v>
      </c>
      <c r="Q92" s="208">
        <f t="shared" si="12"/>
        <v>1.0021992959873915</v>
      </c>
      <c r="R92" s="40">
        <f t="shared" si="13"/>
        <v>-1.7438764609975687E-2</v>
      </c>
      <c r="S92" s="209">
        <v>0</v>
      </c>
    </row>
    <row r="93" spans="1:19" x14ac:dyDescent="0.45">
      <c r="A93" s="16">
        <v>43691</v>
      </c>
      <c r="B93" s="42">
        <f>'Part 2 - CAPM 2.1, 2.2 and 2.3'!N93</f>
        <v>8.9650803039108048E-3</v>
      </c>
      <c r="C93" s="42">
        <f>'Part 2 - CAPM 2.1, 2.2 and 2.3'!O93</f>
        <v>-7.1911880718420257E-3</v>
      </c>
      <c r="E93" s="16">
        <v>43691</v>
      </c>
      <c r="F93" s="17">
        <v>5.4800000000000001E-2</v>
      </c>
      <c r="G93" s="41">
        <f t="shared" si="9"/>
        <v>1.4617828710616898E-4</v>
      </c>
      <c r="L93" s="40">
        <f t="shared" si="7"/>
        <v>9.1309754561560083E-3</v>
      </c>
      <c r="M93" s="40">
        <f t="shared" si="8"/>
        <v>-7.0608253358068369E-3</v>
      </c>
      <c r="O93" s="40">
        <f t="shared" si="10"/>
        <v>9.1309754561560083E-3</v>
      </c>
      <c r="P93" s="207">
        <f t="shared" si="11"/>
        <v>1.4617828710616898E-4</v>
      </c>
      <c r="Q93" s="208">
        <f t="shared" si="12"/>
        <v>1.0021992959873915</v>
      </c>
      <c r="R93" s="40">
        <f t="shared" si="13"/>
        <v>8.9650803039108048E-3</v>
      </c>
      <c r="S93" s="209">
        <v>0</v>
      </c>
    </row>
    <row r="94" spans="1:19" x14ac:dyDescent="0.45">
      <c r="A94" s="16">
        <v>43693</v>
      </c>
      <c r="B94" s="42">
        <f>'Part 2 - CAPM 2.1, 2.2 and 2.3'!N94</f>
        <v>1.8268239088340063E-3</v>
      </c>
      <c r="C94" s="42">
        <f>'Part 2 - CAPM 2.1, 2.2 and 2.3'!O94</f>
        <v>8.1313148149830018E-3</v>
      </c>
      <c r="E94" s="16">
        <v>43693</v>
      </c>
      <c r="F94" s="17">
        <v>5.4800000000000001E-2</v>
      </c>
      <c r="G94" s="41">
        <f t="shared" si="9"/>
        <v>1.4617828710616898E-4</v>
      </c>
      <c r="L94" s="40">
        <f t="shared" si="7"/>
        <v>1.9770199224325448E-3</v>
      </c>
      <c r="M94" s="40">
        <f t="shared" si="8"/>
        <v>8.2953762701339796E-3</v>
      </c>
      <c r="O94" s="40">
        <f t="shared" si="10"/>
        <v>1.9770199224325448E-3</v>
      </c>
      <c r="P94" s="207">
        <f t="shared" si="11"/>
        <v>1.4617828710616898E-4</v>
      </c>
      <c r="Q94" s="208">
        <f t="shared" si="12"/>
        <v>1.0021992959873915</v>
      </c>
      <c r="R94" s="40">
        <f t="shared" si="13"/>
        <v>1.8268239088340063E-3</v>
      </c>
      <c r="S94" s="209">
        <v>0</v>
      </c>
    </row>
    <row r="95" spans="1:19" x14ac:dyDescent="0.45">
      <c r="A95" s="16">
        <v>43696</v>
      </c>
      <c r="B95" s="42">
        <f>'Part 2 - CAPM 2.1, 2.2 and 2.3'!N95</f>
        <v>8.7201493032001997E-4</v>
      </c>
      <c r="C95" s="42">
        <f>'Part 2 - CAPM 2.1, 2.2 and 2.3'!O95</f>
        <v>-1.2655691758306151E-2</v>
      </c>
      <c r="E95" s="16">
        <v>43696</v>
      </c>
      <c r="F95" s="17">
        <v>5.4699999999999999E-2</v>
      </c>
      <c r="G95" s="41">
        <f t="shared" si="9"/>
        <v>1.4591849794642897E-4</v>
      </c>
      <c r="L95" s="40">
        <f t="shared" si="7"/>
        <v>1.0198512472036473E-3</v>
      </c>
      <c r="M95" s="40">
        <f t="shared" si="8"/>
        <v>-1.2537606872461429E-2</v>
      </c>
      <c r="O95" s="40">
        <f t="shared" si="10"/>
        <v>1.0198512472036473E-3</v>
      </c>
      <c r="P95" s="207">
        <f t="shared" si="11"/>
        <v>1.4591849794642897E-4</v>
      </c>
      <c r="Q95" s="208">
        <f t="shared" si="12"/>
        <v>1.0021992959873915</v>
      </c>
      <c r="R95" s="40">
        <f t="shared" si="13"/>
        <v>8.7201493032001997E-4</v>
      </c>
      <c r="S95" s="209">
        <v>0</v>
      </c>
    </row>
    <row r="96" spans="1:19" x14ac:dyDescent="0.45">
      <c r="A96" s="16">
        <v>43697</v>
      </c>
      <c r="B96" s="42">
        <f>'Part 2 - CAPM 2.1, 2.2 and 2.3'!N96</f>
        <v>-4.6519809007280625E-3</v>
      </c>
      <c r="C96" s="42">
        <f>'Part 2 - CAPM 2.1, 2.2 and 2.3'!O96</f>
        <v>-1.0042469313068295E-2</v>
      </c>
      <c r="E96" s="16">
        <v>43697</v>
      </c>
      <c r="F96" s="17">
        <v>5.45E-2</v>
      </c>
      <c r="G96" s="41">
        <f t="shared" si="9"/>
        <v>1.4539884592656982E-4</v>
      </c>
      <c r="L96" s="40">
        <f t="shared" si="7"/>
        <v>-4.5168131377298863E-3</v>
      </c>
      <c r="M96" s="40">
        <f t="shared" si="8"/>
        <v>-9.9191568296054591E-3</v>
      </c>
      <c r="O96" s="40">
        <f t="shared" si="10"/>
        <v>-4.5168131377298863E-3</v>
      </c>
      <c r="P96" s="207">
        <f t="shared" si="11"/>
        <v>1.4539884592656982E-4</v>
      </c>
      <c r="Q96" s="208">
        <f t="shared" si="12"/>
        <v>1.0021992959873915</v>
      </c>
      <c r="R96" s="40">
        <f t="shared" si="13"/>
        <v>-4.6519809007280625E-3</v>
      </c>
      <c r="S96" s="209">
        <v>0</v>
      </c>
    </row>
    <row r="97" spans="1:19" x14ac:dyDescent="0.45">
      <c r="A97" s="16">
        <v>43698</v>
      </c>
      <c r="B97" s="42">
        <f>'Part 2 - CAPM 2.1, 2.2 and 2.3'!N97</f>
        <v>-1.051671195017553E-2</v>
      </c>
      <c r="C97" s="42">
        <f>'Part 2 - CAPM 2.1, 2.2 and 2.3'!O97</f>
        <v>-3.0933083771956114E-2</v>
      </c>
      <c r="E97" s="16">
        <v>43698</v>
      </c>
      <c r="F97" s="17">
        <v>5.45E-2</v>
      </c>
      <c r="G97" s="41">
        <f t="shared" si="9"/>
        <v>1.4539884592656982E-4</v>
      </c>
      <c r="L97" s="40">
        <f t="shared" si="7"/>
        <v>-1.0394442466641535E-2</v>
      </c>
      <c r="M97" s="40">
        <f t="shared" si="8"/>
        <v>-3.0855715933046854E-2</v>
      </c>
      <c r="O97" s="40">
        <f t="shared" si="10"/>
        <v>-1.0394442466641535E-2</v>
      </c>
      <c r="P97" s="207">
        <f t="shared" si="11"/>
        <v>1.4539884592656982E-4</v>
      </c>
      <c r="Q97" s="208">
        <f t="shared" si="12"/>
        <v>1.0021992959873915</v>
      </c>
      <c r="R97" s="40">
        <f t="shared" si="13"/>
        <v>-1.051671195017553E-2</v>
      </c>
      <c r="S97" s="209">
        <v>0</v>
      </c>
    </row>
    <row r="98" spans="1:19" x14ac:dyDescent="0.45">
      <c r="A98" s="16">
        <v>43699</v>
      </c>
      <c r="B98" s="42">
        <f>'Part 2 - CAPM 2.1, 2.2 and 2.3'!N98</f>
        <v>-1.6530202126776517E-2</v>
      </c>
      <c r="C98" s="42">
        <f>'Part 2 - CAPM 2.1, 2.2 and 2.3'!O98</f>
        <v>-3.5210625784236178E-2</v>
      </c>
      <c r="E98" s="16">
        <v>43699</v>
      </c>
      <c r="F98" s="17">
        <v>5.4199999999999998E-2</v>
      </c>
      <c r="G98" s="41">
        <f t="shared" si="9"/>
        <v>1.4461918357611125E-4</v>
      </c>
      <c r="L98" s="40">
        <f t="shared" si="7"/>
        <v>-1.6421937750408597E-2</v>
      </c>
      <c r="M98" s="40">
        <f t="shared" si="8"/>
        <v>-3.5143445188660881E-2</v>
      </c>
      <c r="O98" s="40">
        <f t="shared" si="10"/>
        <v>-1.6421937750408597E-2</v>
      </c>
      <c r="P98" s="207">
        <f t="shared" si="11"/>
        <v>1.4461918357611125E-4</v>
      </c>
      <c r="Q98" s="208">
        <f t="shared" si="12"/>
        <v>1.0021992959873915</v>
      </c>
      <c r="R98" s="40">
        <f t="shared" si="13"/>
        <v>-1.6530202126776517E-2</v>
      </c>
      <c r="S98" s="209">
        <v>0</v>
      </c>
    </row>
    <row r="99" spans="1:19" x14ac:dyDescent="0.45">
      <c r="A99" s="16">
        <v>43700</v>
      </c>
      <c r="B99" s="42">
        <f>'Part 2 - CAPM 2.1, 2.2 and 2.3'!N99</f>
        <v>8.032949581212482E-3</v>
      </c>
      <c r="C99" s="42">
        <f>'Part 2 - CAPM 2.1, 2.2 and 2.3'!O99</f>
        <v>4.5174152937739291E-2</v>
      </c>
      <c r="E99" s="16">
        <v>43700</v>
      </c>
      <c r="F99" s="17">
        <v>5.4100000000000002E-2</v>
      </c>
      <c r="G99" s="41">
        <f t="shared" si="9"/>
        <v>1.443592469549948E-4</v>
      </c>
      <c r="L99" s="40">
        <f t="shared" si="7"/>
        <v>8.1949756619483557E-3</v>
      </c>
      <c r="M99" s="40">
        <f t="shared" si="8"/>
        <v>4.5417863517984068E-2</v>
      </c>
      <c r="O99" s="40">
        <f t="shared" si="10"/>
        <v>8.1949756619483557E-3</v>
      </c>
      <c r="P99" s="207">
        <f t="shared" si="11"/>
        <v>1.443592469549948E-4</v>
      </c>
      <c r="Q99" s="208">
        <f t="shared" si="12"/>
        <v>1.0021992959873915</v>
      </c>
      <c r="R99" s="40">
        <f t="shared" si="13"/>
        <v>8.032949581212482E-3</v>
      </c>
      <c r="S99" s="209">
        <v>0</v>
      </c>
    </row>
    <row r="100" spans="1:19" x14ac:dyDescent="0.45">
      <c r="A100" s="16">
        <v>43703</v>
      </c>
      <c r="B100" s="42">
        <f>'Part 2 - CAPM 2.1, 2.2 and 2.3'!N100</f>
        <v>1.966538840612005E-2</v>
      </c>
      <c r="C100" s="42">
        <f>'Part 2 - CAPM 2.1, 2.2 and 2.3'!O100</f>
        <v>1.2124279966085299E-2</v>
      </c>
      <c r="E100" s="16">
        <v>43703</v>
      </c>
      <c r="F100" s="17">
        <v>5.4600000000000003E-2</v>
      </c>
      <c r="G100" s="41">
        <f t="shared" si="9"/>
        <v>1.4565868422145023E-4</v>
      </c>
      <c r="L100" s="40">
        <f t="shared" si="7"/>
        <v>1.9854297100153576E-2</v>
      </c>
      <c r="M100" s="40">
        <f t="shared" si="8"/>
        <v>1.2296603530586172E-2</v>
      </c>
      <c r="O100" s="40">
        <f t="shared" si="10"/>
        <v>1.9854297100153576E-2</v>
      </c>
      <c r="P100" s="207">
        <f t="shared" si="11"/>
        <v>1.4565868422145023E-4</v>
      </c>
      <c r="Q100" s="208">
        <f t="shared" si="12"/>
        <v>1.0021992959873915</v>
      </c>
      <c r="R100" s="40">
        <f t="shared" si="13"/>
        <v>1.966538840612005E-2</v>
      </c>
      <c r="S100" s="209">
        <v>0</v>
      </c>
    </row>
    <row r="101" spans="1:19" x14ac:dyDescent="0.45">
      <c r="A101" s="16">
        <v>43704</v>
      </c>
      <c r="B101" s="42">
        <f>'Part 2 - CAPM 2.1, 2.2 and 2.3'!N101</f>
        <v>6.2747445393151113E-3</v>
      </c>
      <c r="C101" s="42">
        <f>'Part 2 - CAPM 2.1, 2.2 and 2.3'!O101</f>
        <v>1.4804615853886451E-2</v>
      </c>
      <c r="E101" s="16">
        <v>43704</v>
      </c>
      <c r="F101" s="17">
        <v>5.4299999999999994E-2</v>
      </c>
      <c r="G101" s="41">
        <f t="shared" si="9"/>
        <v>1.4487909560845225E-4</v>
      </c>
      <c r="L101" s="40">
        <f t="shared" si="7"/>
        <v>6.4334236554107862E-3</v>
      </c>
      <c r="M101" s="40">
        <f t="shared" si="8"/>
        <v>1.4982054681737229E-2</v>
      </c>
      <c r="O101" s="40">
        <f t="shared" si="10"/>
        <v>6.4334236554107862E-3</v>
      </c>
      <c r="P101" s="207">
        <f t="shared" si="11"/>
        <v>1.4487909560845225E-4</v>
      </c>
      <c r="Q101" s="208">
        <f t="shared" si="12"/>
        <v>1.0021992959873915</v>
      </c>
      <c r="R101" s="40">
        <f t="shared" si="13"/>
        <v>6.2747445393151113E-3</v>
      </c>
      <c r="S101" s="209">
        <v>0</v>
      </c>
    </row>
    <row r="102" spans="1:19" x14ac:dyDescent="0.45">
      <c r="A102" s="16">
        <v>43705</v>
      </c>
      <c r="B102" s="42">
        <f>'Part 2 - CAPM 2.1, 2.2 and 2.3'!N102</f>
        <v>-5.8363640356179141E-3</v>
      </c>
      <c r="C102" s="42">
        <f>'Part 2 - CAPM 2.1, 2.2 and 2.3'!O102</f>
        <v>-3.5176726229366351E-2</v>
      </c>
      <c r="E102" s="16">
        <v>43705</v>
      </c>
      <c r="F102" s="17">
        <v>5.4299999999999994E-2</v>
      </c>
      <c r="G102" s="41">
        <f t="shared" si="9"/>
        <v>1.4487909560845225E-4</v>
      </c>
      <c r="L102" s="40">
        <f t="shared" si="7"/>
        <v>-5.7043208320139531E-3</v>
      </c>
      <c r="M102" s="40">
        <f t="shared" si="8"/>
        <v>-3.5109211166603718E-2</v>
      </c>
      <c r="O102" s="40">
        <f t="shared" si="10"/>
        <v>-5.7043208320139531E-3</v>
      </c>
      <c r="P102" s="207">
        <f t="shared" si="11"/>
        <v>1.4487909560845225E-4</v>
      </c>
      <c r="Q102" s="208">
        <f t="shared" si="12"/>
        <v>1.0021992959873915</v>
      </c>
      <c r="R102" s="40">
        <f t="shared" si="13"/>
        <v>-5.8363640356179141E-3</v>
      </c>
      <c r="S102" s="209">
        <v>0</v>
      </c>
    </row>
    <row r="103" spans="1:19" x14ac:dyDescent="0.45">
      <c r="A103" s="16">
        <v>43706</v>
      </c>
      <c r="B103" s="42">
        <f>'Part 2 - CAPM 2.1, 2.2 and 2.3'!N103</f>
        <v>-7.3677147631238601E-3</v>
      </c>
      <c r="C103" s="42">
        <f>'Part 2 - CAPM 2.1, 2.2 and 2.3'!O103</f>
        <v>1.6769832172186895E-2</v>
      </c>
      <c r="E103" s="16">
        <v>43706</v>
      </c>
      <c r="F103" s="17">
        <v>5.4100000000000002E-2</v>
      </c>
      <c r="G103" s="41">
        <f t="shared" si="9"/>
        <v>1.443592469549948E-4</v>
      </c>
      <c r="L103" s="40">
        <f t="shared" si="7"/>
        <v>-7.239559301683649E-3</v>
      </c>
      <c r="M103" s="40">
        <f t="shared" si="8"/>
        <v>1.6951073243747412E-2</v>
      </c>
      <c r="O103" s="40">
        <f t="shared" si="10"/>
        <v>-7.239559301683649E-3</v>
      </c>
      <c r="P103" s="207">
        <f t="shared" si="11"/>
        <v>1.443592469549948E-4</v>
      </c>
      <c r="Q103" s="208">
        <f t="shared" si="12"/>
        <v>1.0021992959873915</v>
      </c>
      <c r="R103" s="40">
        <f t="shared" si="13"/>
        <v>-7.3677147631238601E-3</v>
      </c>
      <c r="S103" s="209">
        <v>0</v>
      </c>
    </row>
    <row r="104" spans="1:19" x14ac:dyDescent="0.45">
      <c r="A104" s="16">
        <v>43707</v>
      </c>
      <c r="B104" s="42">
        <f>'Part 2 - CAPM 2.1, 2.2 and 2.3'!N104</f>
        <v>7.8779720741010886E-3</v>
      </c>
      <c r="C104" s="42">
        <f>'Part 2 - CAPM 2.1, 2.2 and 2.3'!O104</f>
        <v>-1.6777479224144038E-2</v>
      </c>
      <c r="E104" s="16">
        <v>43707</v>
      </c>
      <c r="F104" s="17">
        <v>5.4199999999999998E-2</v>
      </c>
      <c r="G104" s="41">
        <f t="shared" si="9"/>
        <v>1.4461918357611125E-4</v>
      </c>
      <c r="L104" s="40">
        <f t="shared" si="7"/>
        <v>8.0399172500485536E-3</v>
      </c>
      <c r="M104" s="40">
        <f t="shared" si="8"/>
        <v>-1.6669758683304132E-2</v>
      </c>
      <c r="O104" s="40">
        <f t="shared" si="10"/>
        <v>8.0399172500485536E-3</v>
      </c>
      <c r="P104" s="207">
        <f t="shared" si="11"/>
        <v>1.4461918357611125E-4</v>
      </c>
      <c r="Q104" s="208">
        <f t="shared" si="12"/>
        <v>1.0021992959873915</v>
      </c>
      <c r="R104" s="40">
        <f t="shared" si="13"/>
        <v>7.8779720741010886E-3</v>
      </c>
      <c r="S104" s="209">
        <v>0</v>
      </c>
    </row>
    <row r="105" spans="1:19" x14ac:dyDescent="0.45">
      <c r="A105" s="16">
        <v>43711</v>
      </c>
      <c r="B105" s="42">
        <f>'Part 2 - CAPM 2.1, 2.2 and 2.3'!N105</f>
        <v>-1.9659965798186883E-2</v>
      </c>
      <c r="C105" s="42">
        <f>'Part 2 - CAPM 2.1, 2.2 and 2.3'!O105</f>
        <v>-3.3560460767734501E-2</v>
      </c>
      <c r="E105" s="16">
        <v>43711</v>
      </c>
      <c r="F105" s="17">
        <v>5.4199999999999998E-2</v>
      </c>
      <c r="G105" s="41">
        <f t="shared" si="9"/>
        <v>1.4461918357611125E-4</v>
      </c>
      <c r="L105" s="40">
        <f t="shared" si="7"/>
        <v>-1.9558584698502978E-2</v>
      </c>
      <c r="M105" s="40">
        <f t="shared" si="8"/>
        <v>-3.3489650970859881E-2</v>
      </c>
      <c r="O105" s="40">
        <f t="shared" si="10"/>
        <v>-1.9558584698502978E-2</v>
      </c>
      <c r="P105" s="207">
        <f t="shared" si="11"/>
        <v>1.4461918357611125E-4</v>
      </c>
      <c r="Q105" s="208">
        <f t="shared" si="12"/>
        <v>1.0021992959873915</v>
      </c>
      <c r="R105" s="40">
        <f t="shared" si="13"/>
        <v>-1.9659965798186883E-2</v>
      </c>
      <c r="S105" s="209">
        <v>0</v>
      </c>
    </row>
    <row r="106" spans="1:19" x14ac:dyDescent="0.45">
      <c r="A106" s="16">
        <v>43712</v>
      </c>
      <c r="B106" s="42">
        <f>'Part 2 - CAPM 2.1, 2.2 and 2.3'!N106</f>
        <v>3.3490260422007418E-3</v>
      </c>
      <c r="C106" s="42">
        <f>'Part 2 - CAPM 2.1, 2.2 and 2.3'!O106</f>
        <v>1.5647360770117087E-2</v>
      </c>
      <c r="E106" s="16">
        <v>43712</v>
      </c>
      <c r="F106" s="17">
        <v>5.4100000000000002E-2</v>
      </c>
      <c r="G106" s="41">
        <f t="shared" si="9"/>
        <v>1.443592469549948E-4</v>
      </c>
      <c r="L106" s="40">
        <f t="shared" si="7"/>
        <v>3.5007507886920183E-3</v>
      </c>
      <c r="M106" s="40">
        <f t="shared" si="8"/>
        <v>1.5826133194827067E-2</v>
      </c>
      <c r="O106" s="40">
        <f t="shared" si="10"/>
        <v>3.5007507886920183E-3</v>
      </c>
      <c r="P106" s="207">
        <f t="shared" si="11"/>
        <v>1.443592469549948E-4</v>
      </c>
      <c r="Q106" s="208">
        <f t="shared" si="12"/>
        <v>1.0021992959873915</v>
      </c>
      <c r="R106" s="40">
        <f t="shared" si="13"/>
        <v>3.3490260422007418E-3</v>
      </c>
      <c r="S106" s="209">
        <v>0</v>
      </c>
    </row>
    <row r="107" spans="1:19" x14ac:dyDescent="0.45">
      <c r="A107" s="16">
        <v>43713</v>
      </c>
      <c r="B107" s="42">
        <f>'Part 2 - CAPM 2.1, 2.2 and 2.3'!N107</f>
        <v>1.3507998072918453E-3</v>
      </c>
      <c r="C107" s="42">
        <f>'Part 2 - CAPM 2.1, 2.2 and 2.3'!O107</f>
        <v>5.1537092979393247E-2</v>
      </c>
      <c r="E107" s="16">
        <v>43713</v>
      </c>
      <c r="F107" s="17">
        <v>5.3800000000000001E-2</v>
      </c>
      <c r="G107" s="41">
        <f t="shared" si="9"/>
        <v>1.4357928951436172E-4</v>
      </c>
      <c r="L107" s="40">
        <f t="shared" si="7"/>
        <v>1.4973499054021532E-3</v>
      </c>
      <c r="M107" s="40">
        <f t="shared" si="8"/>
        <v>5.1794017590699015E-2</v>
      </c>
      <c r="O107" s="40">
        <f t="shared" si="10"/>
        <v>1.4973499054021532E-3</v>
      </c>
      <c r="P107" s="207">
        <f t="shared" si="11"/>
        <v>1.4357928951436172E-4</v>
      </c>
      <c r="Q107" s="208">
        <f t="shared" si="12"/>
        <v>1.0021992959873915</v>
      </c>
      <c r="R107" s="40">
        <f t="shared" si="13"/>
        <v>1.3507998072918453E-3</v>
      </c>
      <c r="S107" s="209">
        <v>0</v>
      </c>
    </row>
    <row r="108" spans="1:19" x14ac:dyDescent="0.45">
      <c r="A108" s="16">
        <v>43714</v>
      </c>
      <c r="B108" s="42">
        <f>'Part 2 - CAPM 2.1, 2.2 and 2.3'!N108</f>
        <v>8.2343646365966427E-3</v>
      </c>
      <c r="C108" s="42">
        <f>'Part 2 - CAPM 2.1, 2.2 and 2.3'!O108</f>
        <v>2.2231133507225845E-2</v>
      </c>
      <c r="E108" s="16">
        <v>43714</v>
      </c>
      <c r="F108" s="17">
        <v>5.3200000000000004E-2</v>
      </c>
      <c r="G108" s="41">
        <f t="shared" si="9"/>
        <v>1.4201871011332301E-4</v>
      </c>
      <c r="L108" s="40">
        <f t="shared" si="7"/>
        <v>8.3944931518139514E-3</v>
      </c>
      <c r="M108" s="40">
        <f t="shared" si="8"/>
        <v>2.2422045060056777E-2</v>
      </c>
      <c r="O108" s="40">
        <f t="shared" si="10"/>
        <v>8.3944931518139514E-3</v>
      </c>
      <c r="P108" s="207">
        <f t="shared" si="11"/>
        <v>1.4201871011332301E-4</v>
      </c>
      <c r="Q108" s="208">
        <f t="shared" si="12"/>
        <v>1.0021992959873915</v>
      </c>
      <c r="R108" s="40">
        <f t="shared" si="13"/>
        <v>8.2343646365966427E-3</v>
      </c>
      <c r="S108" s="209">
        <v>0</v>
      </c>
    </row>
    <row r="109" spans="1:19" x14ac:dyDescent="0.45">
      <c r="A109" s="16">
        <v>43717</v>
      </c>
      <c r="B109" s="42">
        <f>'Part 2 - CAPM 2.1, 2.2 and 2.3'!N109</f>
        <v>5.6865358967896672E-3</v>
      </c>
      <c r="C109" s="42">
        <f>'Part 2 - CAPM 2.1, 2.2 and 2.3'!O109</f>
        <v>1.1189752667429213E-2</v>
      </c>
      <c r="E109" s="16">
        <v>43717</v>
      </c>
      <c r="F109" s="17">
        <v>5.3499999999999999E-2</v>
      </c>
      <c r="G109" s="41">
        <f t="shared" si="9"/>
        <v>1.4279911060910422E-4</v>
      </c>
      <c r="L109" s="40">
        <f t="shared" si="7"/>
        <v>5.8418413829787385E-3</v>
      </c>
      <c r="M109" s="40">
        <f t="shared" si="8"/>
        <v>1.1357161356179698E-2</v>
      </c>
      <c r="O109" s="40">
        <f t="shared" si="10"/>
        <v>5.8418413829787385E-3</v>
      </c>
      <c r="P109" s="207">
        <f t="shared" si="11"/>
        <v>1.4279911060910422E-4</v>
      </c>
      <c r="Q109" s="208">
        <f t="shared" si="12"/>
        <v>1.0021992959873915</v>
      </c>
      <c r="R109" s="40">
        <f t="shared" si="13"/>
        <v>5.6865358967896672E-3</v>
      </c>
      <c r="S109" s="209">
        <v>0</v>
      </c>
    </row>
    <row r="110" spans="1:19" x14ac:dyDescent="0.45">
      <c r="A110" s="16">
        <v>43719</v>
      </c>
      <c r="B110" s="42">
        <f>'Part 2 - CAPM 2.1, 2.2 and 2.3'!N110</f>
        <v>4.6210321856762233E-3</v>
      </c>
      <c r="C110" s="42">
        <f>'Part 2 - CAPM 2.1, 2.2 and 2.3'!O110</f>
        <v>-2.8350689026763246E-2</v>
      </c>
      <c r="E110" s="16">
        <v>43719</v>
      </c>
      <c r="F110" s="17">
        <v>5.3800000000000001E-2</v>
      </c>
      <c r="G110" s="41">
        <f t="shared" si="9"/>
        <v>1.4357928951436172E-4</v>
      </c>
      <c r="L110" s="40">
        <f t="shared" si="7"/>
        <v>4.7747744927341502E-3</v>
      </c>
      <c r="M110" s="40">
        <f t="shared" si="8"/>
        <v>-2.826946129386523E-2</v>
      </c>
      <c r="O110" s="40">
        <f t="shared" si="10"/>
        <v>4.7747744927341502E-3</v>
      </c>
      <c r="P110" s="207">
        <f t="shared" si="11"/>
        <v>1.4357928951436172E-4</v>
      </c>
      <c r="Q110" s="208">
        <f t="shared" si="12"/>
        <v>1.0021992959873915</v>
      </c>
      <c r="R110" s="40">
        <f t="shared" si="13"/>
        <v>4.6210321856762233E-3</v>
      </c>
      <c r="S110" s="209">
        <v>0</v>
      </c>
    </row>
    <row r="111" spans="1:19" x14ac:dyDescent="0.45">
      <c r="A111" s="16">
        <v>43720</v>
      </c>
      <c r="B111" s="42">
        <f>'Part 2 - CAPM 2.1, 2.2 and 2.3'!N111</f>
        <v>-3.8630115504544858E-3</v>
      </c>
      <c r="C111" s="42">
        <f>'Part 2 - CAPM 2.1, 2.2 and 2.3'!O111</f>
        <v>1.0513446223978284E-3</v>
      </c>
      <c r="E111" s="16">
        <v>43720</v>
      </c>
      <c r="F111" s="17">
        <v>5.2999999999999999E-2</v>
      </c>
      <c r="G111" s="41">
        <f t="shared" si="9"/>
        <v>1.4149831994814122E-4</v>
      </c>
      <c r="L111" s="40">
        <f t="shared" si="7"/>
        <v>-3.7300091363085064E-3</v>
      </c>
      <c r="M111" s="40">
        <f t="shared" si="8"/>
        <v>1.1951551603553749E-3</v>
      </c>
      <c r="O111" s="40">
        <f t="shared" si="10"/>
        <v>-3.7300091363085064E-3</v>
      </c>
      <c r="P111" s="207">
        <f t="shared" si="11"/>
        <v>1.4149831994814122E-4</v>
      </c>
      <c r="Q111" s="208">
        <f t="shared" si="12"/>
        <v>1.0021992959873915</v>
      </c>
      <c r="R111" s="40">
        <f t="shared" si="13"/>
        <v>-3.8630115504544858E-3</v>
      </c>
      <c r="S111" s="209">
        <v>0</v>
      </c>
    </row>
    <row r="112" spans="1:19" x14ac:dyDescent="0.45">
      <c r="A112" s="16">
        <v>43721</v>
      </c>
      <c r="B112" s="42">
        <f>'Part 2 - CAPM 2.1, 2.2 and 2.3'!N112</f>
        <v>7.5679286671649099E-3</v>
      </c>
      <c r="C112" s="42">
        <f>'Part 2 - CAPM 2.1, 2.2 and 2.3'!O112</f>
        <v>2.3289015810075225E-2</v>
      </c>
      <c r="E112" s="16">
        <v>43721</v>
      </c>
      <c r="F112" s="17">
        <v>5.33E-2</v>
      </c>
      <c r="G112" s="41">
        <f t="shared" si="9"/>
        <v>1.4227886824080826E-4</v>
      </c>
      <c r="L112" s="40">
        <f t="shared" si="7"/>
        <v>7.7268516505562797E-3</v>
      </c>
      <c r="M112" s="40">
        <f t="shared" si="8"/>
        <v>2.3482514117337431E-2</v>
      </c>
      <c r="O112" s="40">
        <f t="shared" si="10"/>
        <v>7.7268516505562797E-3</v>
      </c>
      <c r="P112" s="207">
        <f t="shared" si="11"/>
        <v>1.4227886824080826E-4</v>
      </c>
      <c r="Q112" s="208">
        <f t="shared" si="12"/>
        <v>1.0021992959873915</v>
      </c>
      <c r="R112" s="40">
        <f t="shared" si="13"/>
        <v>7.5679286671649099E-3</v>
      </c>
      <c r="S112" s="209">
        <v>0</v>
      </c>
    </row>
    <row r="113" spans="1:19" x14ac:dyDescent="0.45">
      <c r="A113" s="16">
        <v>43724</v>
      </c>
      <c r="B113" s="42">
        <f>'Part 2 - CAPM 2.1, 2.2 and 2.3'!N113</f>
        <v>-4.7495809448414288E-3</v>
      </c>
      <c r="C113" s="42">
        <f>'Part 2 - CAPM 2.1, 2.2 and 2.3'!O113</f>
        <v>1.4215501496524379E-2</v>
      </c>
      <c r="E113" s="16">
        <v>43724</v>
      </c>
      <c r="F113" s="17">
        <v>5.33E-2</v>
      </c>
      <c r="G113" s="41">
        <f t="shared" si="9"/>
        <v>1.4227886824080826E-4</v>
      </c>
      <c r="L113" s="40">
        <f t="shared" si="7"/>
        <v>-4.6177478109144018E-3</v>
      </c>
      <c r="M113" s="40">
        <f t="shared" si="8"/>
        <v>1.4389044460165252E-2</v>
      </c>
      <c r="O113" s="40">
        <f t="shared" si="10"/>
        <v>-4.6177478109144018E-3</v>
      </c>
      <c r="P113" s="207">
        <f t="shared" si="11"/>
        <v>1.4227886824080826E-4</v>
      </c>
      <c r="Q113" s="208">
        <f t="shared" si="12"/>
        <v>1.0021992959873915</v>
      </c>
      <c r="R113" s="40">
        <f t="shared" si="13"/>
        <v>-4.7495809448414288E-3</v>
      </c>
      <c r="S113" s="209">
        <v>0</v>
      </c>
    </row>
    <row r="114" spans="1:19" x14ac:dyDescent="0.45">
      <c r="A114" s="16">
        <v>43725</v>
      </c>
      <c r="B114" s="42">
        <f>'Part 2 - CAPM 2.1, 2.2 and 2.3'!N114</f>
        <v>-1.737475917992393E-2</v>
      </c>
      <c r="C114" s="42">
        <f>'Part 2 - CAPM 2.1, 2.2 and 2.3'!O114</f>
        <v>-7.7933882791053847E-3</v>
      </c>
      <c r="E114" s="16">
        <v>43725</v>
      </c>
      <c r="F114" s="17">
        <v>5.33E-2</v>
      </c>
      <c r="G114" s="41">
        <f t="shared" si="9"/>
        <v>1.4227886824080826E-4</v>
      </c>
      <c r="L114" s="40">
        <f t="shared" si="7"/>
        <v>-1.7270692549829422E-2</v>
      </c>
      <c r="M114" s="40">
        <f t="shared" si="8"/>
        <v>-7.6682493784349971E-3</v>
      </c>
      <c r="O114" s="40">
        <f t="shared" si="10"/>
        <v>-1.7270692549829422E-2</v>
      </c>
      <c r="P114" s="207">
        <f t="shared" si="11"/>
        <v>1.4227886824080826E-4</v>
      </c>
      <c r="Q114" s="208">
        <f t="shared" si="12"/>
        <v>1.0021992959873915</v>
      </c>
      <c r="R114" s="40">
        <f t="shared" si="13"/>
        <v>-1.737475917992393E-2</v>
      </c>
      <c r="S114" s="209">
        <v>0</v>
      </c>
    </row>
    <row r="115" spans="1:19" x14ac:dyDescent="0.45">
      <c r="A115" s="16">
        <v>43726</v>
      </c>
      <c r="B115" s="42">
        <f>'Part 2 - CAPM 2.1, 2.2 and 2.3'!N115</f>
        <v>2.5463224313230473E-3</v>
      </c>
      <c r="C115" s="42">
        <f>'Part 2 - CAPM 2.1, 2.2 and 2.3'!O115</f>
        <v>-2.0959029151868688E-2</v>
      </c>
      <c r="E115" s="16">
        <v>43726</v>
      </c>
      <c r="F115" s="17">
        <v>5.3099999999999994E-2</v>
      </c>
      <c r="G115" s="41">
        <f t="shared" si="9"/>
        <v>1.4175852735065497E-4</v>
      </c>
      <c r="L115" s="40">
        <f t="shared" si="7"/>
        <v>2.6936810753795163E-3</v>
      </c>
      <c r="M115" s="40">
        <f t="shared" si="8"/>
        <v>-2.0863365733231359E-2</v>
      </c>
      <c r="O115" s="40">
        <f t="shared" si="10"/>
        <v>2.6936810753795163E-3</v>
      </c>
      <c r="P115" s="207">
        <f t="shared" si="11"/>
        <v>1.4175852735065497E-4</v>
      </c>
      <c r="Q115" s="208">
        <f t="shared" si="12"/>
        <v>1.0021992959873915</v>
      </c>
      <c r="R115" s="40">
        <f t="shared" si="13"/>
        <v>2.5463224313230473E-3</v>
      </c>
      <c r="S115" s="209">
        <v>0</v>
      </c>
    </row>
    <row r="116" spans="1:19" x14ac:dyDescent="0.45">
      <c r="A116" s="16">
        <v>43727</v>
      </c>
      <c r="B116" s="42">
        <f>'Part 2 - CAPM 2.1, 2.2 and 2.3'!N116</f>
        <v>-1.2673157425713968E-2</v>
      </c>
      <c r="C116" s="42">
        <f>'Part 2 - CAPM 2.1, 2.2 and 2.3'!O116</f>
        <v>-2.1401601047035718E-2</v>
      </c>
      <c r="E116" s="16">
        <v>43727</v>
      </c>
      <c r="F116" s="17">
        <v>5.3099999999999994E-2</v>
      </c>
      <c r="G116" s="41">
        <f t="shared" si="9"/>
        <v>1.4175852735065497E-4</v>
      </c>
      <c r="L116" s="40">
        <f t="shared" si="7"/>
        <v>-1.2559270922637268E-2</v>
      </c>
      <c r="M116" s="40">
        <f t="shared" si="8"/>
        <v>-2.1306910974991565E-2</v>
      </c>
      <c r="O116" s="40">
        <f t="shared" si="10"/>
        <v>-1.2559270922637268E-2</v>
      </c>
      <c r="P116" s="207">
        <f t="shared" si="11"/>
        <v>1.4175852735065497E-4</v>
      </c>
      <c r="Q116" s="208">
        <f t="shared" si="12"/>
        <v>1.0021992959873915</v>
      </c>
      <c r="R116" s="40">
        <f t="shared" si="13"/>
        <v>-1.2673157425713968E-2</v>
      </c>
      <c r="S116" s="209">
        <v>0</v>
      </c>
    </row>
    <row r="117" spans="1:19" x14ac:dyDescent="0.45">
      <c r="A117" s="16">
        <v>43728</v>
      </c>
      <c r="B117" s="42">
        <f>'Part 2 - CAPM 2.1, 2.2 and 2.3'!N117</f>
        <v>5.2792749639674702E-2</v>
      </c>
      <c r="C117" s="42">
        <f>'Part 2 - CAPM 2.1, 2.2 and 2.3'!O117</f>
        <v>7.4676967613297757E-2</v>
      </c>
      <c r="E117" s="16">
        <v>43728</v>
      </c>
      <c r="F117" s="17">
        <v>5.3200000000000004E-2</v>
      </c>
      <c r="G117" s="41">
        <f t="shared" si="9"/>
        <v>1.4201871011332301E-4</v>
      </c>
      <c r="L117" s="40">
        <f t="shared" si="7"/>
        <v>5.3050875232233931E-2</v>
      </c>
      <c r="M117" s="40">
        <f t="shared" si="8"/>
        <v>7.4983223078633573E-2</v>
      </c>
      <c r="O117" s="40">
        <f t="shared" si="10"/>
        <v>5.3050875232233931E-2</v>
      </c>
      <c r="P117" s="207">
        <f t="shared" si="11"/>
        <v>1.4201871011332301E-4</v>
      </c>
      <c r="Q117" s="208">
        <f t="shared" si="12"/>
        <v>1.0021992959873915</v>
      </c>
      <c r="R117" s="40">
        <f t="shared" si="13"/>
        <v>5.2792749639674702E-2</v>
      </c>
      <c r="S117" s="209">
        <v>0</v>
      </c>
    </row>
    <row r="118" spans="1:19" x14ac:dyDescent="0.45">
      <c r="A118" s="16">
        <v>43731</v>
      </c>
      <c r="B118" s="42">
        <f>'Part 2 - CAPM 2.1, 2.2 and 2.3'!N118</f>
        <v>2.7602436893392542E-2</v>
      </c>
      <c r="C118" s="42">
        <f>'Part 2 - CAPM 2.1, 2.2 and 2.3'!O118</f>
        <v>2.0067041836585708E-2</v>
      </c>
      <c r="E118" s="16">
        <v>43731</v>
      </c>
      <c r="F118" s="17">
        <v>5.3399999999999996E-2</v>
      </c>
      <c r="G118" s="41">
        <f t="shared" si="9"/>
        <v>1.4253900173777367E-4</v>
      </c>
      <c r="L118" s="40">
        <f t="shared" si="7"/>
        <v>2.7805681823832182E-2</v>
      </c>
      <c r="M118" s="40">
        <f t="shared" si="8"/>
        <v>2.0253714202913501E-2</v>
      </c>
      <c r="O118" s="40">
        <f t="shared" si="10"/>
        <v>2.7805681823832182E-2</v>
      </c>
      <c r="P118" s="207">
        <f t="shared" si="11"/>
        <v>1.4253900173777367E-4</v>
      </c>
      <c r="Q118" s="208">
        <f t="shared" si="12"/>
        <v>1.0021992959873915</v>
      </c>
      <c r="R118" s="40">
        <f t="shared" si="13"/>
        <v>2.7602436893392542E-2</v>
      </c>
      <c r="S118" s="209">
        <v>0</v>
      </c>
    </row>
    <row r="119" spans="1:19" x14ac:dyDescent="0.45">
      <c r="A119" s="16">
        <v>43732</v>
      </c>
      <c r="B119" s="42">
        <f>'Part 2 - CAPM 2.1, 2.2 and 2.3'!N119</f>
        <v>-1.393489599241416E-3</v>
      </c>
      <c r="C119" s="42">
        <f>'Part 2 - CAPM 2.1, 2.2 and 2.3'!O119</f>
        <v>-2.0687279276302106E-2</v>
      </c>
      <c r="E119" s="16">
        <v>43732</v>
      </c>
      <c r="F119" s="17">
        <v>5.4100000000000002E-2</v>
      </c>
      <c r="G119" s="41">
        <f t="shared" si="9"/>
        <v>1.443592469549948E-4</v>
      </c>
      <c r="L119" s="40">
        <f t="shared" si="7"/>
        <v>-1.2521950483705047E-3</v>
      </c>
      <c r="M119" s="40">
        <f t="shared" si="8"/>
        <v>-2.058841747964953E-2</v>
      </c>
      <c r="O119" s="40">
        <f t="shared" si="10"/>
        <v>-1.2521950483705047E-3</v>
      </c>
      <c r="P119" s="207">
        <f t="shared" si="11"/>
        <v>1.443592469549948E-4</v>
      </c>
      <c r="Q119" s="208">
        <f t="shared" si="12"/>
        <v>1.0021992959873915</v>
      </c>
      <c r="R119" s="40">
        <f t="shared" si="13"/>
        <v>-1.393489599241416E-3</v>
      </c>
      <c r="S119" s="209">
        <v>0</v>
      </c>
    </row>
    <row r="120" spans="1:19" x14ac:dyDescent="0.45">
      <c r="A120" s="16">
        <v>43733</v>
      </c>
      <c r="B120" s="42">
        <f>'Part 2 - CAPM 2.1, 2.2 and 2.3'!N120</f>
        <v>-1.3928624038585517E-2</v>
      </c>
      <c r="C120" s="42">
        <f>'Part 2 - CAPM 2.1, 2.2 and 2.3'!O120</f>
        <v>-1.5500424427021889E-2</v>
      </c>
      <c r="E120" s="16">
        <v>43733</v>
      </c>
      <c r="F120" s="17">
        <v>5.4199999999999998E-2</v>
      </c>
      <c r="G120" s="41">
        <f t="shared" si="9"/>
        <v>1.4461918357611125E-4</v>
      </c>
      <c r="L120" s="40">
        <f t="shared" si="7"/>
        <v>-1.3814638021967352E-2</v>
      </c>
      <c r="M120" s="40">
        <f t="shared" si="8"/>
        <v>-1.5389895264690992E-2</v>
      </c>
      <c r="O120" s="40">
        <f t="shared" si="10"/>
        <v>-1.3814638021967352E-2</v>
      </c>
      <c r="P120" s="207">
        <f t="shared" si="11"/>
        <v>1.4461918357611125E-4</v>
      </c>
      <c r="Q120" s="208">
        <f t="shared" si="12"/>
        <v>1.0021992959873915</v>
      </c>
      <c r="R120" s="40">
        <f t="shared" si="13"/>
        <v>-1.3928624038585517E-2</v>
      </c>
      <c r="S120" s="209">
        <v>0</v>
      </c>
    </row>
    <row r="121" spans="1:19" x14ac:dyDescent="0.45">
      <c r="A121" s="16">
        <v>43734</v>
      </c>
      <c r="B121" s="42">
        <f>'Part 2 - CAPM 2.1, 2.2 and 2.3'!N121</f>
        <v>1.0520067158871072E-2</v>
      </c>
      <c r="C121" s="42">
        <f>'Part 2 - CAPM 2.1, 2.2 and 2.3'!O121</f>
        <v>4.2457390467765609E-2</v>
      </c>
      <c r="E121" s="16">
        <v>43734</v>
      </c>
      <c r="F121" s="17">
        <v>5.4100000000000002E-2</v>
      </c>
      <c r="G121" s="41">
        <f t="shared" si="9"/>
        <v>1.443592469549948E-4</v>
      </c>
      <c r="L121" s="40">
        <f t="shared" si="7"/>
        <v>1.0687563147315662E-2</v>
      </c>
      <c r="M121" s="40">
        <f t="shared" si="8"/>
        <v>4.2695126083211479E-2</v>
      </c>
      <c r="O121" s="40">
        <f t="shared" si="10"/>
        <v>1.0687563147315662E-2</v>
      </c>
      <c r="P121" s="207">
        <f t="shared" si="11"/>
        <v>1.443592469549948E-4</v>
      </c>
      <c r="Q121" s="208">
        <f t="shared" si="12"/>
        <v>1.0021992959873915</v>
      </c>
      <c r="R121" s="40">
        <f t="shared" si="13"/>
        <v>1.0520067158871072E-2</v>
      </c>
      <c r="S121" s="209">
        <v>0</v>
      </c>
    </row>
    <row r="122" spans="1:19" x14ac:dyDescent="0.45">
      <c r="A122" s="16">
        <v>43735</v>
      </c>
      <c r="B122" s="42">
        <f>'Part 2 - CAPM 2.1, 2.2 and 2.3'!N122</f>
        <v>-5.248236923313972E-3</v>
      </c>
      <c r="C122" s="42">
        <f>'Part 2 - CAPM 2.1, 2.2 and 2.3'!O122</f>
        <v>-4.0640528528239274E-2</v>
      </c>
      <c r="E122" s="16">
        <v>43735</v>
      </c>
      <c r="F122" s="17">
        <v>5.4100000000000002E-2</v>
      </c>
      <c r="G122" s="41">
        <f t="shared" si="9"/>
        <v>1.443592469549948E-4</v>
      </c>
      <c r="L122" s="40">
        <f t="shared" si="7"/>
        <v>-5.1154201027653022E-3</v>
      </c>
      <c r="M122" s="40">
        <f t="shared" si="8"/>
        <v>-4.058554983260191E-2</v>
      </c>
      <c r="O122" s="40">
        <f t="shared" si="10"/>
        <v>-5.1154201027653022E-3</v>
      </c>
      <c r="P122" s="207">
        <f t="shared" si="11"/>
        <v>1.443592469549948E-4</v>
      </c>
      <c r="Q122" s="208">
        <f t="shared" si="12"/>
        <v>1.0021992959873915</v>
      </c>
      <c r="R122" s="40">
        <f t="shared" si="13"/>
        <v>-5.248236923313972E-3</v>
      </c>
      <c r="S122" s="209">
        <v>0</v>
      </c>
    </row>
    <row r="123" spans="1:19" x14ac:dyDescent="0.45">
      <c r="A123" s="16">
        <v>43738</v>
      </c>
      <c r="B123" s="42">
        <f>'Part 2 - CAPM 2.1, 2.2 and 2.3'!N123</f>
        <v>-5.9644130704508656E-3</v>
      </c>
      <c r="C123" s="42">
        <f>'Part 2 - CAPM 2.1, 2.2 and 2.3'!O123</f>
        <v>2.1388298195550884E-3</v>
      </c>
      <c r="E123" s="16">
        <v>43738</v>
      </c>
      <c r="F123" s="17">
        <v>5.3399999999999996E-2</v>
      </c>
      <c r="G123" s="41">
        <f t="shared" si="9"/>
        <v>1.4253900173777367E-4</v>
      </c>
      <c r="L123" s="40">
        <f t="shared" si="7"/>
        <v>-5.8349915784460804E-3</v>
      </c>
      <c r="M123" s="40">
        <f t="shared" si="8"/>
        <v>2.286072741132723E-3</v>
      </c>
      <c r="O123" s="40">
        <f t="shared" si="10"/>
        <v>-5.8349915784460804E-3</v>
      </c>
      <c r="P123" s="207">
        <f t="shared" si="11"/>
        <v>1.4253900173777367E-4</v>
      </c>
      <c r="Q123" s="208">
        <f t="shared" si="12"/>
        <v>1.0021992959873915</v>
      </c>
      <c r="R123" s="40">
        <f t="shared" si="13"/>
        <v>-5.9644130704508656E-3</v>
      </c>
      <c r="S123" s="209">
        <v>0</v>
      </c>
    </row>
    <row r="124" spans="1:19" x14ac:dyDescent="0.45">
      <c r="A124" s="16">
        <v>43739</v>
      </c>
      <c r="B124" s="42">
        <f>'Part 2 - CAPM 2.1, 2.2 and 2.3'!N124</f>
        <v>-1.1328857139762078E-2</v>
      </c>
      <c r="C124" s="42">
        <f>'Part 2 - CAPM 2.1, 2.2 and 2.3'!O124</f>
        <v>-2.7455610611298843E-2</v>
      </c>
      <c r="E124" s="16">
        <v>43739</v>
      </c>
      <c r="F124" s="17">
        <v>5.2999999999999999E-2</v>
      </c>
      <c r="G124" s="41">
        <f t="shared" si="9"/>
        <v>1.4149831994814122E-4</v>
      </c>
      <c r="L124" s="40">
        <f t="shared" si="7"/>
        <v>-1.1212274329863148E-2</v>
      </c>
      <c r="M124" s="40">
        <f t="shared" si="8"/>
        <v>-2.7374495305599517E-2</v>
      </c>
      <c r="O124" s="40">
        <f t="shared" si="10"/>
        <v>-1.1212274329863148E-2</v>
      </c>
      <c r="P124" s="207">
        <f t="shared" si="11"/>
        <v>1.4149831994814122E-4</v>
      </c>
      <c r="Q124" s="208">
        <f t="shared" si="12"/>
        <v>1.0021992959873915</v>
      </c>
      <c r="R124" s="40">
        <f t="shared" si="13"/>
        <v>-1.1328857139762078E-2</v>
      </c>
      <c r="S124" s="209">
        <v>0</v>
      </c>
    </row>
    <row r="125" spans="1:19" x14ac:dyDescent="0.45">
      <c r="A125" s="16">
        <v>43741</v>
      </c>
      <c r="B125" s="42">
        <f>'Part 2 - CAPM 2.1, 2.2 and 2.3'!N125</f>
        <v>-4.2543539440518495E-3</v>
      </c>
      <c r="C125" s="42">
        <f>'Part 2 - CAPM 2.1, 2.2 and 2.3'!O125</f>
        <v>-9.2022811442202333E-4</v>
      </c>
      <c r="E125" s="16">
        <v>43741</v>
      </c>
      <c r="F125" s="17">
        <v>5.2499999999999998E-2</v>
      </c>
      <c r="G125" s="41">
        <f t="shared" si="9"/>
        <v>1.4019691317401772E-4</v>
      </c>
      <c r="L125" s="40">
        <f t="shared" si="7"/>
        <v>-4.123513614435928E-3</v>
      </c>
      <c r="M125" s="40">
        <f t="shared" si="8"/>
        <v>-7.8205505524753889E-4</v>
      </c>
      <c r="O125" s="40">
        <f t="shared" si="10"/>
        <v>-4.123513614435928E-3</v>
      </c>
      <c r="P125" s="207">
        <f t="shared" si="11"/>
        <v>1.4019691317401772E-4</v>
      </c>
      <c r="Q125" s="208">
        <f t="shared" si="12"/>
        <v>1.0021992959873915</v>
      </c>
      <c r="R125" s="40">
        <f t="shared" si="13"/>
        <v>-4.2543539440518495E-3</v>
      </c>
      <c r="S125" s="209">
        <v>0</v>
      </c>
    </row>
    <row r="126" spans="1:19" x14ac:dyDescent="0.45">
      <c r="A126" s="16">
        <v>43742</v>
      </c>
      <c r="B126" s="42">
        <f>'Part 2 - CAPM 2.1, 2.2 and 2.3'!N126</f>
        <v>-1.1745215736821937E-2</v>
      </c>
      <c r="C126" s="42">
        <f>'Part 2 - CAPM 2.1, 2.2 and 2.3'!O126</f>
        <v>1.1179345253250938E-2</v>
      </c>
      <c r="E126" s="16">
        <v>43742</v>
      </c>
      <c r="F126" s="17">
        <v>5.2400000000000002E-2</v>
      </c>
      <c r="G126" s="41">
        <f t="shared" si="9"/>
        <v>1.3993655783428594E-4</v>
      </c>
      <c r="L126" s="40">
        <f t="shared" si="7"/>
        <v>-1.1631110384828692E-2</v>
      </c>
      <c r="M126" s="40">
        <f t="shared" si="8"/>
        <v>1.1343868500242363E-2</v>
      </c>
      <c r="O126" s="40">
        <f t="shared" si="10"/>
        <v>-1.1631110384828692E-2</v>
      </c>
      <c r="P126" s="207">
        <f t="shared" si="11"/>
        <v>1.3993655783428594E-4</v>
      </c>
      <c r="Q126" s="208">
        <f t="shared" si="12"/>
        <v>1.0021992959873915</v>
      </c>
      <c r="R126" s="40">
        <f t="shared" si="13"/>
        <v>-1.1745215736821937E-2</v>
      </c>
      <c r="S126" s="209">
        <v>0</v>
      </c>
    </row>
    <row r="127" spans="1:19" x14ac:dyDescent="0.45">
      <c r="A127" s="16">
        <v>43745</v>
      </c>
      <c r="B127" s="42">
        <f>'Part 2 - CAPM 2.1, 2.2 and 2.3'!N127</f>
        <v>-5.747916729766914E-3</v>
      </c>
      <c r="C127" s="42">
        <f>'Part 2 - CAPM 2.1, 2.2 and 2.3'!O127</f>
        <v>-2.3295456115148872E-2</v>
      </c>
      <c r="E127" s="16">
        <v>43745</v>
      </c>
      <c r="F127" s="17">
        <v>5.1799999999999999E-2</v>
      </c>
      <c r="G127" s="41">
        <f t="shared" si="9"/>
        <v>1.3837390750692791E-4</v>
      </c>
      <c r="L127" s="40">
        <f t="shared" si="7"/>
        <v>-5.6221841924596234E-3</v>
      </c>
      <c r="M127" s="40">
        <f t="shared" si="8"/>
        <v>-2.3208315810800448E-2</v>
      </c>
      <c r="O127" s="40">
        <f t="shared" si="10"/>
        <v>-5.6221841924596234E-3</v>
      </c>
      <c r="P127" s="207">
        <f t="shared" si="11"/>
        <v>1.3837390750692791E-4</v>
      </c>
      <c r="Q127" s="208">
        <f t="shared" si="12"/>
        <v>1.0021992959873915</v>
      </c>
      <c r="R127" s="40">
        <f t="shared" si="13"/>
        <v>-5.747916729766914E-3</v>
      </c>
      <c r="S127" s="209">
        <v>0</v>
      </c>
    </row>
    <row r="128" spans="1:19" x14ac:dyDescent="0.45">
      <c r="A128" s="16">
        <v>43747</v>
      </c>
      <c r="B128" s="42">
        <f>'Part 2 - CAPM 2.1, 2.2 and 2.3'!N128</f>
        <v>1.5047284936699908E-2</v>
      </c>
      <c r="C128" s="42">
        <f>'Part 2 - CAPM 2.1, 2.2 and 2.3'!O128</f>
        <v>-5.6710866875018364E-3</v>
      </c>
      <c r="E128" s="16">
        <v>43747</v>
      </c>
      <c r="F128" s="17">
        <v>5.2300000000000006E-2</v>
      </c>
      <c r="G128" s="41">
        <f t="shared" si="9"/>
        <v>1.3967617782184583E-4</v>
      </c>
      <c r="L128" s="40">
        <f t="shared" si="7"/>
        <v>1.5220054547904175E-2</v>
      </c>
      <c r="M128" s="40">
        <f t="shared" si="8"/>
        <v>-5.5438829078759628E-3</v>
      </c>
      <c r="O128" s="40">
        <f t="shared" si="10"/>
        <v>1.5220054547904175E-2</v>
      </c>
      <c r="P128" s="207">
        <f t="shared" si="11"/>
        <v>1.3967617782184583E-4</v>
      </c>
      <c r="Q128" s="208">
        <f t="shared" si="12"/>
        <v>1.0021992959873915</v>
      </c>
      <c r="R128" s="40">
        <f t="shared" si="13"/>
        <v>1.5047284936699908E-2</v>
      </c>
      <c r="S128" s="209">
        <v>0</v>
      </c>
    </row>
    <row r="129" spans="1:19" x14ac:dyDescent="0.45">
      <c r="A129" s="16">
        <v>43748</v>
      </c>
      <c r="B129" s="42">
        <f>'Part 2 - CAPM 2.1, 2.2 and 2.3'!N129</f>
        <v>-7.2426173265275392E-3</v>
      </c>
      <c r="C129" s="42">
        <f>'Part 2 - CAPM 2.1, 2.2 and 2.3'!O129</f>
        <v>-2.9197230084893368E-3</v>
      </c>
      <c r="E129" s="16">
        <v>43748</v>
      </c>
      <c r="F129" s="17">
        <v>5.1900000000000002E-2</v>
      </c>
      <c r="G129" s="41">
        <f t="shared" si="9"/>
        <v>1.3863441095263163E-4</v>
      </c>
      <c r="L129" s="40">
        <f t="shared" si="7"/>
        <v>-7.1199115747993518E-3</v>
      </c>
      <c r="M129" s="40">
        <f t="shared" si="8"/>
        <v>-2.7875099326335707E-3</v>
      </c>
      <c r="O129" s="40">
        <f t="shared" si="10"/>
        <v>-7.1199115747993518E-3</v>
      </c>
      <c r="P129" s="207">
        <f t="shared" si="11"/>
        <v>1.3863441095263163E-4</v>
      </c>
      <c r="Q129" s="208">
        <f t="shared" si="12"/>
        <v>1.0021992959873915</v>
      </c>
      <c r="R129" s="40">
        <f t="shared" si="13"/>
        <v>-7.2426173265275392E-3</v>
      </c>
      <c r="S129" s="209">
        <v>0</v>
      </c>
    </row>
    <row r="130" spans="1:19" x14ac:dyDescent="0.45">
      <c r="A130" s="16">
        <v>43749</v>
      </c>
      <c r="B130" s="42">
        <f>'Part 2 - CAPM 2.1, 2.2 and 2.3'!N130</f>
        <v>5.1997789464066184E-3</v>
      </c>
      <c r="C130" s="42">
        <f>'Part 2 - CAPM 2.1, 2.2 and 2.3'!O130</f>
        <v>2.7749551325437351E-2</v>
      </c>
      <c r="E130" s="16">
        <v>43749</v>
      </c>
      <c r="F130" s="17">
        <v>5.2000000000000005E-2</v>
      </c>
      <c r="G130" s="41">
        <f t="shared" si="9"/>
        <v>1.388948897020903E-4</v>
      </c>
      <c r="L130" s="40">
        <f t="shared" si="7"/>
        <v>5.350109689080864E-3</v>
      </c>
      <c r="M130" s="40">
        <f t="shared" si="8"/>
        <v>2.7949475692021393E-2</v>
      </c>
      <c r="O130" s="40">
        <f t="shared" si="10"/>
        <v>5.350109689080864E-3</v>
      </c>
      <c r="P130" s="207">
        <f t="shared" si="11"/>
        <v>1.388948897020903E-4</v>
      </c>
      <c r="Q130" s="208">
        <f t="shared" si="12"/>
        <v>1.0021992959873915</v>
      </c>
      <c r="R130" s="40">
        <f t="shared" si="13"/>
        <v>5.1997789464066184E-3</v>
      </c>
      <c r="S130" s="209">
        <v>0</v>
      </c>
    </row>
    <row r="131" spans="1:19" x14ac:dyDescent="0.45">
      <c r="A131" s="16">
        <v>43752</v>
      </c>
      <c r="B131" s="42">
        <f>'Part 2 - CAPM 2.1, 2.2 and 2.3'!N131</f>
        <v>3.2731978862643573E-3</v>
      </c>
      <c r="C131" s="42">
        <f>'Part 2 - CAPM 2.1, 2.2 and 2.3'!O131</f>
        <v>4.8311759576591978E-2</v>
      </c>
      <c r="E131" s="16">
        <v>43752</v>
      </c>
      <c r="F131" s="17">
        <v>5.16E-2</v>
      </c>
      <c r="G131" s="41">
        <f t="shared" si="9"/>
        <v>1.3785282650879971E-4</v>
      </c>
      <c r="L131" s="40">
        <f t="shared" ref="L131:L194" si="14">G131+($J$1*(B131))</f>
        <v>3.4182494437503567E-3</v>
      </c>
      <c r="M131" s="40">
        <f t="shared" ref="M131:M194" si="15">G131+($J$1*(C131))</f>
        <v>4.8555864262081402E-2</v>
      </c>
      <c r="O131" s="40">
        <f t="shared" si="10"/>
        <v>3.4182494437503567E-3</v>
      </c>
      <c r="P131" s="207">
        <f t="shared" si="11"/>
        <v>1.3785282650879971E-4</v>
      </c>
      <c r="Q131" s="208">
        <f t="shared" si="12"/>
        <v>1.0021992959873915</v>
      </c>
      <c r="R131" s="40">
        <f t="shared" si="13"/>
        <v>3.2731978862643573E-3</v>
      </c>
      <c r="S131" s="209">
        <v>0</v>
      </c>
    </row>
    <row r="132" spans="1:19" x14ac:dyDescent="0.45">
      <c r="A132" s="16">
        <v>43753</v>
      </c>
      <c r="B132" s="42">
        <f>'Part 2 - CAPM 2.1, 2.2 and 2.3'!N132</f>
        <v>6.5204216511009052E-3</v>
      </c>
      <c r="C132" s="42">
        <f>'Part 2 - CAPM 2.1, 2.2 and 2.3'!O132</f>
        <v>2.5001561142987586E-2</v>
      </c>
      <c r="E132" s="16">
        <v>43753</v>
      </c>
      <c r="F132" s="17">
        <v>5.1299999999999998E-2</v>
      </c>
      <c r="G132" s="41">
        <f t="shared" ref="G132:G195" si="16">((1+F132)^(1/365))-1</f>
        <v>1.3707101967419533E-4</v>
      </c>
      <c r="L132" s="40">
        <f t="shared" si="14"/>
        <v>6.6718330079484677E-3</v>
      </c>
      <c r="M132" s="40">
        <f t="shared" si="15"/>
        <v>2.5193617995762078E-2</v>
      </c>
      <c r="O132" s="40">
        <f t="shared" ref="O132:O195" si="17">P132+(Q132*(R132))+S132</f>
        <v>6.6718330079484677E-3</v>
      </c>
      <c r="P132" s="207">
        <f t="shared" ref="P132:P195" si="18">G132</f>
        <v>1.3707101967419533E-4</v>
      </c>
      <c r="Q132" s="208">
        <f t="shared" ref="Q132:Q195" si="19">$J$1</f>
        <v>1.0021992959873915</v>
      </c>
      <c r="R132" s="40">
        <f t="shared" ref="R132:R195" si="20">B132</f>
        <v>6.5204216511009052E-3</v>
      </c>
      <c r="S132" s="209">
        <v>0</v>
      </c>
    </row>
    <row r="133" spans="1:19" x14ac:dyDescent="0.45">
      <c r="A133" s="16">
        <v>43754</v>
      </c>
      <c r="B133" s="42">
        <f>'Part 2 - CAPM 2.1, 2.2 and 2.3'!N133</f>
        <v>2.8900001397261467E-3</v>
      </c>
      <c r="C133" s="42">
        <f>'Part 2 - CAPM 2.1, 2.2 and 2.3'!O133</f>
        <v>2.150144849780284E-2</v>
      </c>
      <c r="E133" s="16">
        <v>43754</v>
      </c>
      <c r="F133" s="17">
        <v>5.0799999999999998E-2</v>
      </c>
      <c r="G133" s="41">
        <f t="shared" si="16"/>
        <v>1.3576751373700624E-4</v>
      </c>
      <c r="L133" s="40">
        <f t="shared" si="14"/>
        <v>3.0321236191740136E-3</v>
      </c>
      <c r="M133" s="40">
        <f t="shared" si="15"/>
        <v>2.168450406094417E-2</v>
      </c>
      <c r="O133" s="40">
        <f t="shared" si="17"/>
        <v>3.0321236191740136E-3</v>
      </c>
      <c r="P133" s="207">
        <f t="shared" si="18"/>
        <v>1.3576751373700624E-4</v>
      </c>
      <c r="Q133" s="208">
        <f t="shared" si="19"/>
        <v>1.0021992959873915</v>
      </c>
      <c r="R133" s="40">
        <f t="shared" si="20"/>
        <v>2.8900001397261467E-3</v>
      </c>
      <c r="S133" s="209">
        <v>0</v>
      </c>
    </row>
    <row r="134" spans="1:19" x14ac:dyDescent="0.45">
      <c r="A134" s="16">
        <v>43755</v>
      </c>
      <c r="B134" s="42">
        <f>'Part 2 - CAPM 2.1, 2.2 and 2.3'!N134</f>
        <v>1.1623741635839816E-2</v>
      </c>
      <c r="C134" s="42">
        <f>'Part 2 - CAPM 2.1, 2.2 and 2.3'!O134</f>
        <v>-1.9006810329745636E-3</v>
      </c>
      <c r="E134" s="16">
        <v>43755</v>
      </c>
      <c r="F134" s="17">
        <v>5.0799999999999998E-2</v>
      </c>
      <c r="G134" s="41">
        <f t="shared" si="16"/>
        <v>1.3576751373700624E-4</v>
      </c>
      <c r="L134" s="40">
        <f t="shared" si="14"/>
        <v>1.1785073197915002E-2</v>
      </c>
      <c r="M134" s="40">
        <f t="shared" si="15"/>
        <v>-1.7690936794066896E-3</v>
      </c>
      <c r="O134" s="40">
        <f t="shared" si="17"/>
        <v>1.1785073197915002E-2</v>
      </c>
      <c r="P134" s="207">
        <f t="shared" si="18"/>
        <v>1.3576751373700624E-4</v>
      </c>
      <c r="Q134" s="208">
        <f t="shared" si="19"/>
        <v>1.0021992959873915</v>
      </c>
      <c r="R134" s="40">
        <f t="shared" si="20"/>
        <v>1.1623741635839816E-2</v>
      </c>
      <c r="S134" s="209">
        <v>0</v>
      </c>
    </row>
    <row r="135" spans="1:19" x14ac:dyDescent="0.45">
      <c r="A135" s="16">
        <v>43756</v>
      </c>
      <c r="B135" s="42">
        <f>'Part 2 - CAPM 2.1, 2.2 and 2.3'!N135</f>
        <v>9.2562035223614642E-3</v>
      </c>
      <c r="C135" s="42">
        <f>'Part 2 - CAPM 2.1, 2.2 and 2.3'!O135</f>
        <v>1.4715717634777805E-2</v>
      </c>
      <c r="E135" s="16">
        <v>43756</v>
      </c>
      <c r="F135" s="17">
        <v>5.0799999999999998E-2</v>
      </c>
      <c r="G135" s="41">
        <f t="shared" si="16"/>
        <v>1.3576751373700624E-4</v>
      </c>
      <c r="L135" s="40">
        <f t="shared" si="14"/>
        <v>9.4123281673636795E-3</v>
      </c>
      <c r="M135" s="40">
        <f t="shared" si="15"/>
        <v>1.4883849367260565E-2</v>
      </c>
      <c r="O135" s="40">
        <f t="shared" si="17"/>
        <v>9.4123281673636795E-3</v>
      </c>
      <c r="P135" s="207">
        <f t="shared" si="18"/>
        <v>1.3576751373700624E-4</v>
      </c>
      <c r="Q135" s="208">
        <f t="shared" si="19"/>
        <v>1.0021992959873915</v>
      </c>
      <c r="R135" s="40">
        <f t="shared" si="20"/>
        <v>9.2562035223614642E-3</v>
      </c>
      <c r="S135" s="209">
        <v>0</v>
      </c>
    </row>
    <row r="136" spans="1:19" x14ac:dyDescent="0.45">
      <c r="A136" s="16">
        <v>43760</v>
      </c>
      <c r="B136" s="42">
        <f>'Part 2 - CAPM 2.1, 2.2 and 2.3'!N136</f>
        <v>-3.4010717279846794E-3</v>
      </c>
      <c r="C136" s="42">
        <f>'Part 2 - CAPM 2.1, 2.2 and 2.3'!O136</f>
        <v>5.0904525718357563E-3</v>
      </c>
      <c r="E136" s="16">
        <v>43760</v>
      </c>
      <c r="F136" s="17">
        <v>5.0900000000000001E-2</v>
      </c>
      <c r="G136" s="41">
        <f t="shared" si="16"/>
        <v>1.3602826440117788E-4</v>
      </c>
      <c r="L136" s="40">
        <f t="shared" si="14"/>
        <v>-3.272523426987689E-3</v>
      </c>
      <c r="M136" s="40">
        <f t="shared" si="15"/>
        <v>5.2376762481521795E-3</v>
      </c>
      <c r="O136" s="40">
        <f t="shared" si="17"/>
        <v>-3.272523426987689E-3</v>
      </c>
      <c r="P136" s="207">
        <f t="shared" si="18"/>
        <v>1.3602826440117788E-4</v>
      </c>
      <c r="Q136" s="208">
        <f t="shared" si="19"/>
        <v>1.0021992959873915</v>
      </c>
      <c r="R136" s="40">
        <f t="shared" si="20"/>
        <v>-3.4010717279846794E-3</v>
      </c>
      <c r="S136" s="209">
        <v>0</v>
      </c>
    </row>
    <row r="137" spans="1:19" x14ac:dyDescent="0.45">
      <c r="A137" s="16">
        <v>43761</v>
      </c>
      <c r="B137" s="42">
        <f>'Part 2 - CAPM 2.1, 2.2 and 2.3'!N137</f>
        <v>9.6496542622538217E-4</v>
      </c>
      <c r="C137" s="42">
        <f>'Part 2 - CAPM 2.1, 2.2 and 2.3'!O137</f>
        <v>-1.64269286922465E-2</v>
      </c>
      <c r="E137" s="16">
        <v>43761</v>
      </c>
      <c r="F137" s="17">
        <v>5.0799999999999998E-2</v>
      </c>
      <c r="G137" s="41">
        <f t="shared" si="16"/>
        <v>1.3576751373700624E-4</v>
      </c>
      <c r="L137" s="40">
        <f t="shared" si="14"/>
        <v>1.1028551845522574E-3</v>
      </c>
      <c r="M137" s="40">
        <f t="shared" si="15"/>
        <v>-1.632728885686752E-2</v>
      </c>
      <c r="O137" s="40">
        <f t="shared" si="17"/>
        <v>1.1028551845522574E-3</v>
      </c>
      <c r="P137" s="207">
        <f t="shared" si="18"/>
        <v>1.3576751373700624E-4</v>
      </c>
      <c r="Q137" s="208">
        <f t="shared" si="19"/>
        <v>1.0021992959873915</v>
      </c>
      <c r="R137" s="40">
        <f t="shared" si="20"/>
        <v>9.6496542622538217E-4</v>
      </c>
      <c r="S137" s="209">
        <v>0</v>
      </c>
    </row>
    <row r="138" spans="1:19" x14ac:dyDescent="0.45">
      <c r="A138" s="16">
        <v>43762</v>
      </c>
      <c r="B138" s="42">
        <f>'Part 2 - CAPM 2.1, 2.2 and 2.3'!N138</f>
        <v>-2.3559574985657079E-3</v>
      </c>
      <c r="C138" s="42">
        <f>'Part 2 - CAPM 2.1, 2.2 and 2.3'!O138</f>
        <v>-8.5924271331874434E-3</v>
      </c>
      <c r="E138" s="16">
        <v>43762</v>
      </c>
      <c r="F138" s="17">
        <v>5.0799999999999998E-2</v>
      </c>
      <c r="G138" s="41">
        <f t="shared" si="16"/>
        <v>1.3576751373700624E-4</v>
      </c>
      <c r="L138" s="40">
        <f t="shared" si="14"/>
        <v>-2.2253714327017623E-3</v>
      </c>
      <c r="M138" s="40">
        <f t="shared" si="15"/>
        <v>-8.4755569099664099E-3</v>
      </c>
      <c r="O138" s="40">
        <f t="shared" si="17"/>
        <v>-2.2253714327017623E-3</v>
      </c>
      <c r="P138" s="207">
        <f t="shared" si="18"/>
        <v>1.3576751373700624E-4</v>
      </c>
      <c r="Q138" s="208">
        <f t="shared" si="19"/>
        <v>1.0021992959873915</v>
      </c>
      <c r="R138" s="40">
        <f t="shared" si="20"/>
        <v>-2.3559574985657079E-3</v>
      </c>
      <c r="S138" s="209">
        <v>0</v>
      </c>
    </row>
    <row r="139" spans="1:19" x14ac:dyDescent="0.45">
      <c r="A139" s="16">
        <v>43763</v>
      </c>
      <c r="B139" s="42">
        <f>'Part 2 - CAPM 2.1, 2.2 and 2.3'!N139</f>
        <v>-8.3031769450149018E-4</v>
      </c>
      <c r="C139" s="42">
        <f>'Part 2 - CAPM 2.1, 2.2 and 2.3'!O139</f>
        <v>-8.3097076115016856E-3</v>
      </c>
      <c r="E139" s="16">
        <v>43763</v>
      </c>
      <c r="F139" s="17">
        <v>5.0999999999999997E-2</v>
      </c>
      <c r="G139" s="41">
        <f t="shared" si="16"/>
        <v>1.3628899032203101E-4</v>
      </c>
      <c r="L139" s="40">
        <f t="shared" si="14"/>
        <v>-6.9585481855323646E-4</v>
      </c>
      <c r="M139" s="40">
        <f t="shared" si="15"/>
        <v>-8.1916941277860277E-3</v>
      </c>
      <c r="O139" s="40">
        <f t="shared" si="17"/>
        <v>-6.9585481855323646E-4</v>
      </c>
      <c r="P139" s="207">
        <f t="shared" si="18"/>
        <v>1.3628899032203101E-4</v>
      </c>
      <c r="Q139" s="208">
        <f t="shared" si="19"/>
        <v>1.0021992959873915</v>
      </c>
      <c r="R139" s="40">
        <f t="shared" si="20"/>
        <v>-8.3031769450149018E-4</v>
      </c>
      <c r="S139" s="209">
        <v>0</v>
      </c>
    </row>
    <row r="140" spans="1:19" x14ac:dyDescent="0.45">
      <c r="A140" s="16">
        <v>43767</v>
      </c>
      <c r="B140" s="42">
        <f>'Part 2 - CAPM 2.1, 2.2 and 2.3'!N140</f>
        <v>1.7597852194930184E-2</v>
      </c>
      <c r="C140" s="42">
        <f>'Part 2 - CAPM 2.1, 2.2 and 2.3'!O140</f>
        <v>1.8495286676480184E-2</v>
      </c>
      <c r="E140" s="16">
        <v>43767</v>
      </c>
      <c r="F140" s="17">
        <v>5.0900000000000001E-2</v>
      </c>
      <c r="G140" s="41">
        <f t="shared" si="16"/>
        <v>1.3602826440117788E-4</v>
      </c>
      <c r="L140" s="40">
        <f t="shared" si="14"/>
        <v>1.7772583345050382E-2</v>
      </c>
      <c r="M140" s="40">
        <f t="shared" si="15"/>
        <v>1.8671991550654601E-2</v>
      </c>
      <c r="O140" s="40">
        <f t="shared" si="17"/>
        <v>1.7772583345050382E-2</v>
      </c>
      <c r="P140" s="207">
        <f t="shared" si="18"/>
        <v>1.3602826440117788E-4</v>
      </c>
      <c r="Q140" s="208">
        <f t="shared" si="19"/>
        <v>1.0021992959873915</v>
      </c>
      <c r="R140" s="40">
        <f t="shared" si="20"/>
        <v>1.7597852194930184E-2</v>
      </c>
      <c r="S140" s="209">
        <v>0</v>
      </c>
    </row>
    <row r="141" spans="1:19" x14ac:dyDescent="0.45">
      <c r="A141" s="16">
        <v>43768</v>
      </c>
      <c r="B141" s="42">
        <f>'Part 2 - CAPM 2.1, 2.2 and 2.3'!N141</f>
        <v>4.9903742724730976E-3</v>
      </c>
      <c r="C141" s="42">
        <f>'Part 2 - CAPM 2.1, 2.2 and 2.3'!O141</f>
        <v>-1.1391222531501701E-2</v>
      </c>
      <c r="E141" s="16">
        <v>43768</v>
      </c>
      <c r="F141" s="17">
        <v>5.0700000000000002E-2</v>
      </c>
      <c r="G141" s="41">
        <f t="shared" si="16"/>
        <v>1.3550673832551929E-4</v>
      </c>
      <c r="L141" s="40">
        <f t="shared" si="14"/>
        <v>5.1368563209116492E-3</v>
      </c>
      <c r="M141" s="40">
        <f t="shared" si="15"/>
        <v>-1.1280768463181198E-2</v>
      </c>
      <c r="O141" s="40">
        <f t="shared" si="17"/>
        <v>5.1368563209116492E-3</v>
      </c>
      <c r="P141" s="207">
        <f t="shared" si="18"/>
        <v>1.3550673832551929E-4</v>
      </c>
      <c r="Q141" s="208">
        <f t="shared" si="19"/>
        <v>1.0021992959873915</v>
      </c>
      <c r="R141" s="40">
        <f t="shared" si="20"/>
        <v>4.9903742724730976E-3</v>
      </c>
      <c r="S141" s="209">
        <v>0</v>
      </c>
    </row>
    <row r="142" spans="1:19" x14ac:dyDescent="0.45">
      <c r="A142" s="16">
        <v>43769</v>
      </c>
      <c r="B142" s="42">
        <f>'Part 2 - CAPM 2.1, 2.2 and 2.3'!N142</f>
        <v>4.228817095610818E-3</v>
      </c>
      <c r="C142" s="42">
        <f>'Part 2 - CAPM 2.1, 2.2 and 2.3'!O142</f>
        <v>8.0471564733836428E-3</v>
      </c>
      <c r="E142" s="16">
        <v>43769</v>
      </c>
      <c r="F142" s="17">
        <v>5.0499999999999996E-2</v>
      </c>
      <c r="G142" s="41">
        <f t="shared" si="16"/>
        <v>1.3498511324017137E-4</v>
      </c>
      <c r="L142" s="40">
        <f t="shared" si="14"/>
        <v>4.3731026293207789E-3</v>
      </c>
      <c r="M142" s="40">
        <f t="shared" si="15"/>
        <v>8.1998396655656395E-3</v>
      </c>
      <c r="O142" s="40">
        <f t="shared" si="17"/>
        <v>4.3731026293207789E-3</v>
      </c>
      <c r="P142" s="207">
        <f t="shared" si="18"/>
        <v>1.3498511324017137E-4</v>
      </c>
      <c r="Q142" s="208">
        <f t="shared" si="19"/>
        <v>1.0021992959873915</v>
      </c>
      <c r="R142" s="40">
        <f t="shared" si="20"/>
        <v>4.228817095610818E-3</v>
      </c>
      <c r="S142" s="209">
        <v>0</v>
      </c>
    </row>
    <row r="143" spans="1:19" x14ac:dyDescent="0.45">
      <c r="A143" s="16">
        <v>43770</v>
      </c>
      <c r="B143" s="42">
        <f>'Part 2 - CAPM 2.1, 2.2 and 2.3'!N143</f>
        <v>1.3462373810840564E-3</v>
      </c>
      <c r="C143" s="42">
        <f>'Part 2 - CAPM 2.1, 2.2 and 2.3'!O143</f>
        <v>1.7155325136583837E-2</v>
      </c>
      <c r="E143" s="16">
        <v>43770</v>
      </c>
      <c r="F143" s="17">
        <v>5.04E-2</v>
      </c>
      <c r="G143" s="41">
        <f t="shared" si="16"/>
        <v>1.3472426355742861E-4</v>
      </c>
      <c r="L143" s="40">
        <f t="shared" si="14"/>
        <v>1.4839224191117797E-3</v>
      </c>
      <c r="M143" s="40">
        <f t="shared" si="15"/>
        <v>1.7327779037876551E-2</v>
      </c>
      <c r="O143" s="40">
        <f t="shared" si="17"/>
        <v>1.4839224191117797E-3</v>
      </c>
      <c r="P143" s="207">
        <f t="shared" si="18"/>
        <v>1.3472426355742861E-4</v>
      </c>
      <c r="Q143" s="208">
        <f t="shared" si="19"/>
        <v>1.0021992959873915</v>
      </c>
      <c r="R143" s="40">
        <f t="shared" si="20"/>
        <v>1.3462373810840564E-3</v>
      </c>
      <c r="S143" s="209">
        <v>0</v>
      </c>
    </row>
    <row r="144" spans="1:19" x14ac:dyDescent="0.45">
      <c r="A144" s="16">
        <v>43773</v>
      </c>
      <c r="B144" s="42">
        <f>'Part 2 - CAPM 2.1, 2.2 and 2.3'!N144</f>
        <v>2.7919039310014787E-3</v>
      </c>
      <c r="C144" s="42">
        <f>'Part 2 - CAPM 2.1, 2.2 and 2.3'!O144</f>
        <v>2.2411234806855335E-2</v>
      </c>
      <c r="E144" s="16">
        <v>43773</v>
      </c>
      <c r="F144" s="17">
        <v>5.04E-2</v>
      </c>
      <c r="G144" s="41">
        <f t="shared" si="16"/>
        <v>1.3472426355742861E-4</v>
      </c>
      <c r="L144" s="40">
        <f t="shared" si="14"/>
        <v>2.9327684176715415E-3</v>
      </c>
      <c r="M144" s="40">
        <f t="shared" si="15"/>
        <v>2.2595248009195969E-2</v>
      </c>
      <c r="O144" s="40">
        <f t="shared" si="17"/>
        <v>2.9327684176715415E-3</v>
      </c>
      <c r="P144" s="207">
        <f t="shared" si="18"/>
        <v>1.3472426355742861E-4</v>
      </c>
      <c r="Q144" s="208">
        <f t="shared" si="19"/>
        <v>1.0021992959873915</v>
      </c>
      <c r="R144" s="40">
        <f t="shared" si="20"/>
        <v>2.7919039310014787E-3</v>
      </c>
      <c r="S144" s="209">
        <v>0</v>
      </c>
    </row>
    <row r="145" spans="1:19" x14ac:dyDescent="0.45">
      <c r="A145" s="16">
        <v>43774</v>
      </c>
      <c r="B145" s="42">
        <f>'Part 2 - CAPM 2.1, 2.2 and 2.3'!N145</f>
        <v>-4.0751706077274547E-3</v>
      </c>
      <c r="C145" s="42">
        <f>'Part 2 - CAPM 2.1, 2.2 and 2.3'!O145</f>
        <v>-7.2581978049414946E-3</v>
      </c>
      <c r="E145" s="16">
        <v>43774</v>
      </c>
      <c r="F145" s="17">
        <v>5.04E-2</v>
      </c>
      <c r="G145" s="41">
        <f t="shared" si="16"/>
        <v>1.3472426355742861E-4</v>
      </c>
      <c r="L145" s="40">
        <f t="shared" si="14"/>
        <v>-3.9494088505355367E-3</v>
      </c>
      <c r="M145" s="40">
        <f t="shared" si="15"/>
        <v>-7.1394364666921683E-3</v>
      </c>
      <c r="O145" s="40">
        <f t="shared" si="17"/>
        <v>-3.9494088505355367E-3</v>
      </c>
      <c r="P145" s="207">
        <f t="shared" si="18"/>
        <v>1.3472426355742861E-4</v>
      </c>
      <c r="Q145" s="208">
        <f t="shared" si="19"/>
        <v>1.0021992959873915</v>
      </c>
      <c r="R145" s="40">
        <f t="shared" si="20"/>
        <v>-4.0751706077274547E-3</v>
      </c>
      <c r="S145" s="209">
        <v>0</v>
      </c>
    </row>
    <row r="146" spans="1:19" x14ac:dyDescent="0.45">
      <c r="A146" s="16">
        <v>43775</v>
      </c>
      <c r="B146" s="42">
        <f>'Part 2 - CAPM 2.1, 2.2 and 2.3'!N146</f>
        <v>2.681436164746644E-3</v>
      </c>
      <c r="C146" s="42">
        <f>'Part 2 - CAPM 2.1, 2.2 and 2.3'!O146</f>
        <v>-1.1750713330861759E-2</v>
      </c>
      <c r="E146" s="16">
        <v>43775</v>
      </c>
      <c r="F146" s="17">
        <v>5.04E-2</v>
      </c>
      <c r="G146" s="41">
        <f t="shared" si="16"/>
        <v>1.3472426355742861E-4</v>
      </c>
      <c r="L146" s="40">
        <f t="shared" si="14"/>
        <v>2.8220577001016466E-3</v>
      </c>
      <c r="M146" s="40">
        <f t="shared" si="15"/>
        <v>-1.1641832363981884E-2</v>
      </c>
      <c r="O146" s="40">
        <f t="shared" si="17"/>
        <v>2.8220577001016466E-3</v>
      </c>
      <c r="P146" s="207">
        <f t="shared" si="18"/>
        <v>1.3472426355742861E-4</v>
      </c>
      <c r="Q146" s="208">
        <f t="shared" si="19"/>
        <v>1.0021992959873915</v>
      </c>
      <c r="R146" s="40">
        <f t="shared" si="20"/>
        <v>2.681436164746644E-3</v>
      </c>
      <c r="S146" s="209">
        <v>0</v>
      </c>
    </row>
    <row r="147" spans="1:19" x14ac:dyDescent="0.45">
      <c r="A147" s="16">
        <v>43776</v>
      </c>
      <c r="B147" s="42">
        <f>'Part 2 - CAPM 2.1, 2.2 and 2.3'!N147</f>
        <v>4.2831255401154745E-3</v>
      </c>
      <c r="C147" s="42">
        <f>'Part 2 - CAPM 2.1, 2.2 and 2.3'!O147</f>
        <v>-1.8109406129486243E-2</v>
      </c>
      <c r="E147" s="16">
        <v>43776</v>
      </c>
      <c r="F147" s="17">
        <v>5.0499999999999996E-2</v>
      </c>
      <c r="G147" s="41">
        <f t="shared" si="16"/>
        <v>1.3498511324017137E-4</v>
      </c>
      <c r="L147" s="40">
        <f t="shared" si="14"/>
        <v>4.4275305141695158E-3</v>
      </c>
      <c r="M147" s="40">
        <f t="shared" si="15"/>
        <v>-1.8014248960480695E-2</v>
      </c>
      <c r="O147" s="40">
        <f t="shared" si="17"/>
        <v>4.4275305141695158E-3</v>
      </c>
      <c r="P147" s="207">
        <f t="shared" si="18"/>
        <v>1.3498511324017137E-4</v>
      </c>
      <c r="Q147" s="208">
        <f t="shared" si="19"/>
        <v>1.0021992959873915</v>
      </c>
      <c r="R147" s="40">
        <f t="shared" si="20"/>
        <v>4.2831255401154745E-3</v>
      </c>
      <c r="S147" s="209">
        <v>0</v>
      </c>
    </row>
    <row r="148" spans="1:19" x14ac:dyDescent="0.45">
      <c r="A148" s="16">
        <v>43777</v>
      </c>
      <c r="B148" s="42">
        <f>'Part 2 - CAPM 2.1, 2.2 and 2.3'!N148</f>
        <v>-8.4312930506418547E-3</v>
      </c>
      <c r="C148" s="42">
        <f>'Part 2 - CAPM 2.1, 2.2 and 2.3'!O148</f>
        <v>-2.653492274076974E-2</v>
      </c>
      <c r="E148" s="16">
        <v>43777</v>
      </c>
      <c r="F148" s="17">
        <v>5.0799999999999998E-2</v>
      </c>
      <c r="G148" s="41">
        <f t="shared" si="16"/>
        <v>1.3576751373700624E-4</v>
      </c>
      <c r="L148" s="40">
        <f t="shared" si="14"/>
        <v>-8.3140684458796466E-3</v>
      </c>
      <c r="M148" s="40">
        <f t="shared" si="15"/>
        <v>-2.6457513376142255E-2</v>
      </c>
      <c r="O148" s="40">
        <f t="shared" si="17"/>
        <v>-8.3140684458796466E-3</v>
      </c>
      <c r="P148" s="207">
        <f t="shared" si="18"/>
        <v>1.3576751373700624E-4</v>
      </c>
      <c r="Q148" s="208">
        <f t="shared" si="19"/>
        <v>1.0021992959873915</v>
      </c>
      <c r="R148" s="40">
        <f t="shared" si="20"/>
        <v>-8.4312930506418547E-3</v>
      </c>
      <c r="S148" s="209">
        <v>0</v>
      </c>
    </row>
    <row r="149" spans="1:19" x14ac:dyDescent="0.45">
      <c r="A149" s="16">
        <v>43780</v>
      </c>
      <c r="B149" s="42">
        <f>'Part 2 - CAPM 2.1, 2.2 and 2.3'!N149</f>
        <v>1.1602782557838278E-3</v>
      </c>
      <c r="C149" s="42">
        <f>'Part 2 - CAPM 2.1, 2.2 and 2.3'!O149</f>
        <v>5.6487588781645327E-3</v>
      </c>
      <c r="E149" s="16">
        <v>43780</v>
      </c>
      <c r="F149" s="17">
        <v>5.0799999999999998E-2</v>
      </c>
      <c r="G149" s="41">
        <f t="shared" si="16"/>
        <v>1.3576751373700624E-4</v>
      </c>
      <c r="L149" s="40">
        <f t="shared" si="14"/>
        <v>1.298597564833037E-3</v>
      </c>
      <c r="M149" s="40">
        <f t="shared" si="15"/>
        <v>5.7969496846360285E-3</v>
      </c>
      <c r="O149" s="40">
        <f t="shared" si="17"/>
        <v>1.298597564833037E-3</v>
      </c>
      <c r="P149" s="207">
        <f t="shared" si="18"/>
        <v>1.3576751373700624E-4</v>
      </c>
      <c r="Q149" s="208">
        <f t="shared" si="19"/>
        <v>1.0021992959873915</v>
      </c>
      <c r="R149" s="40">
        <f t="shared" si="20"/>
        <v>1.1602782557838278E-3</v>
      </c>
      <c r="S149" s="209">
        <v>0</v>
      </c>
    </row>
    <row r="150" spans="1:19" x14ac:dyDescent="0.45">
      <c r="A150" s="16">
        <v>43782</v>
      </c>
      <c r="B150" s="42">
        <f>'Part 2 - CAPM 2.1, 2.2 and 2.3'!N150</f>
        <v>-6.5199421864062029E-3</v>
      </c>
      <c r="C150" s="42">
        <f>'Part 2 - CAPM 2.1, 2.2 and 2.3'!O150</f>
        <v>-6.6059328624070686E-3</v>
      </c>
      <c r="E150" s="16">
        <v>43782</v>
      </c>
      <c r="F150" s="17">
        <v>5.0799999999999998E-2</v>
      </c>
      <c r="G150" s="41">
        <f t="shared" si="16"/>
        <v>1.3576751373700624E-4</v>
      </c>
      <c r="L150" s="40">
        <f t="shared" si="14"/>
        <v>-6.3985139553577848E-3</v>
      </c>
      <c r="M150" s="40">
        <f t="shared" si="15"/>
        <v>-6.4846937503073325E-3</v>
      </c>
      <c r="O150" s="40">
        <f t="shared" si="17"/>
        <v>-6.3985139553577848E-3</v>
      </c>
      <c r="P150" s="207">
        <f t="shared" si="18"/>
        <v>1.3576751373700624E-4</v>
      </c>
      <c r="Q150" s="208">
        <f t="shared" si="19"/>
        <v>1.0021992959873915</v>
      </c>
      <c r="R150" s="40">
        <f t="shared" si="20"/>
        <v>-6.5199421864062029E-3</v>
      </c>
      <c r="S150" s="209">
        <v>0</v>
      </c>
    </row>
    <row r="151" spans="1:19" x14ac:dyDescent="0.45">
      <c r="A151" s="16">
        <v>43783</v>
      </c>
      <c r="B151" s="42">
        <f>'Part 2 - CAPM 2.1, 2.2 and 2.3'!N151</f>
        <v>1.5719964145867241E-3</v>
      </c>
      <c r="C151" s="42">
        <f>'Part 2 - CAPM 2.1, 2.2 and 2.3'!O151</f>
        <v>-1.460728676726908E-2</v>
      </c>
      <c r="E151" s="16">
        <v>43783</v>
      </c>
      <c r="F151" s="17">
        <v>5.0700000000000002E-2</v>
      </c>
      <c r="G151" s="41">
        <f t="shared" si="16"/>
        <v>1.3550673832551929E-4</v>
      </c>
      <c r="L151" s="40">
        <f t="shared" si="14"/>
        <v>1.7109604383190378E-3</v>
      </c>
      <c r="M151" s="40">
        <f t="shared" si="15"/>
        <v>-1.4503905776117494E-2</v>
      </c>
      <c r="O151" s="40">
        <f t="shared" si="17"/>
        <v>1.7109604383190378E-3</v>
      </c>
      <c r="P151" s="207">
        <f t="shared" si="18"/>
        <v>1.3550673832551929E-4</v>
      </c>
      <c r="Q151" s="208">
        <f t="shared" si="19"/>
        <v>1.0021992959873915</v>
      </c>
      <c r="R151" s="40">
        <f t="shared" si="20"/>
        <v>1.5719964145867241E-3</v>
      </c>
      <c r="S151" s="209">
        <v>0</v>
      </c>
    </row>
    <row r="152" spans="1:19" x14ac:dyDescent="0.45">
      <c r="A152" s="16">
        <v>43784</v>
      </c>
      <c r="B152" s="42">
        <f>'Part 2 - CAPM 2.1, 2.2 and 2.3'!N152</f>
        <v>1.6159768090822119E-3</v>
      </c>
      <c r="C152" s="42">
        <f>'Part 2 - CAPM 2.1, 2.2 and 2.3'!O152</f>
        <v>-4.9076394770745839E-3</v>
      </c>
      <c r="E152" s="16">
        <v>43784</v>
      </c>
      <c r="F152" s="17">
        <v>5.0599999999999999E-2</v>
      </c>
      <c r="G152" s="41">
        <f t="shared" si="16"/>
        <v>1.3524593816138797E-4</v>
      </c>
      <c r="L152" s="40">
        <f t="shared" si="14"/>
        <v>1.7547767585555322E-3</v>
      </c>
      <c r="M152" s="40">
        <f t="shared" si="15"/>
        <v>-4.7831868907226901E-3</v>
      </c>
      <c r="O152" s="40">
        <f t="shared" si="17"/>
        <v>1.7547767585555322E-3</v>
      </c>
      <c r="P152" s="207">
        <f t="shared" si="18"/>
        <v>1.3524593816138797E-4</v>
      </c>
      <c r="Q152" s="208">
        <f t="shared" si="19"/>
        <v>1.0021992959873915</v>
      </c>
      <c r="R152" s="40">
        <f t="shared" si="20"/>
        <v>1.6159768090822119E-3</v>
      </c>
      <c r="S152" s="209">
        <v>0</v>
      </c>
    </row>
    <row r="153" spans="1:19" x14ac:dyDescent="0.45">
      <c r="A153" s="16">
        <v>43787</v>
      </c>
      <c r="B153" s="42">
        <f>'Part 2 - CAPM 2.1, 2.2 and 2.3'!N153</f>
        <v>-1.032790066844019E-6</v>
      </c>
      <c r="C153" s="42">
        <f>'Part 2 - CAPM 2.1, 2.2 and 2.3'!O153</f>
        <v>-1.230813676414629E-2</v>
      </c>
      <c r="E153" s="16">
        <v>43787</v>
      </c>
      <c r="F153" s="17">
        <v>5.0700000000000002E-2</v>
      </c>
      <c r="G153" s="41">
        <f t="shared" si="16"/>
        <v>1.3550673832551929E-4</v>
      </c>
      <c r="L153" s="40">
        <f t="shared" si="14"/>
        <v>1.3447167684762544E-4</v>
      </c>
      <c r="M153" s="40">
        <f t="shared" si="15"/>
        <v>-1.2199699261618424E-2</v>
      </c>
      <c r="O153" s="40">
        <f t="shared" si="17"/>
        <v>1.3447167684762544E-4</v>
      </c>
      <c r="P153" s="207">
        <f t="shared" si="18"/>
        <v>1.3550673832551929E-4</v>
      </c>
      <c r="Q153" s="208">
        <f t="shared" si="19"/>
        <v>1.0021992959873915</v>
      </c>
      <c r="R153" s="40">
        <f t="shared" si="20"/>
        <v>-1.032790066844019E-6</v>
      </c>
      <c r="S153" s="209">
        <v>0</v>
      </c>
    </row>
    <row r="154" spans="1:19" x14ac:dyDescent="0.45">
      <c r="A154" s="16">
        <v>43788</v>
      </c>
      <c r="B154" s="42">
        <f>'Part 2 - CAPM 2.1, 2.2 and 2.3'!N154</f>
        <v>3.3347497178797423E-3</v>
      </c>
      <c r="C154" s="42">
        <f>'Part 2 - CAPM 2.1, 2.2 and 2.3'!O154</f>
        <v>-4.989614870200265E-3</v>
      </c>
      <c r="E154" s="16">
        <v>43788</v>
      </c>
      <c r="F154" s="17">
        <v>5.0599999999999999E-2</v>
      </c>
      <c r="G154" s="41">
        <f t="shared" si="16"/>
        <v>1.3524593816138797E-4</v>
      </c>
      <c r="L154" s="40">
        <f t="shared" si="14"/>
        <v>3.4773297577146184E-3</v>
      </c>
      <c r="M154" s="40">
        <f t="shared" si="15"/>
        <v>-4.8653425720015381E-3</v>
      </c>
      <c r="O154" s="40">
        <f t="shared" si="17"/>
        <v>3.4773297577146184E-3</v>
      </c>
      <c r="P154" s="207">
        <f t="shared" si="18"/>
        <v>1.3524593816138797E-4</v>
      </c>
      <c r="Q154" s="208">
        <f t="shared" si="19"/>
        <v>1.0021992959873915</v>
      </c>
      <c r="R154" s="40">
        <f t="shared" si="20"/>
        <v>3.3347497178797423E-3</v>
      </c>
      <c r="S154" s="209">
        <v>0</v>
      </c>
    </row>
    <row r="155" spans="1:19" x14ac:dyDescent="0.45">
      <c r="A155" s="16">
        <v>43789</v>
      </c>
      <c r="B155" s="42">
        <f>'Part 2 - CAPM 2.1, 2.2 and 2.3'!N155</f>
        <v>4.2709939158915794E-3</v>
      </c>
      <c r="C155" s="42">
        <f>'Part 2 - CAPM 2.1, 2.2 and 2.3'!O155</f>
        <v>3.2418647560223915E-3</v>
      </c>
      <c r="E155" s="16">
        <v>43789</v>
      </c>
      <c r="F155" s="17">
        <v>5.0599999999999999E-2</v>
      </c>
      <c r="G155" s="41">
        <f t="shared" si="16"/>
        <v>1.3524593816138797E-4</v>
      </c>
      <c r="L155" s="40">
        <f t="shared" si="14"/>
        <v>4.4156330338343611E-3</v>
      </c>
      <c r="M155" s="40">
        <f t="shared" si="15"/>
        <v>3.3842405143333656E-3</v>
      </c>
      <c r="O155" s="40">
        <f t="shared" si="17"/>
        <v>4.4156330338343611E-3</v>
      </c>
      <c r="P155" s="207">
        <f t="shared" si="18"/>
        <v>1.3524593816138797E-4</v>
      </c>
      <c r="Q155" s="208">
        <f t="shared" si="19"/>
        <v>1.0021992959873915</v>
      </c>
      <c r="R155" s="40">
        <f t="shared" si="20"/>
        <v>4.2709939158915794E-3</v>
      </c>
      <c r="S155" s="209">
        <v>0</v>
      </c>
    </row>
    <row r="156" spans="1:19" x14ac:dyDescent="0.45">
      <c r="A156" s="16">
        <v>43790</v>
      </c>
      <c r="B156" s="42">
        <f>'Part 2 - CAPM 2.1, 2.2 and 2.3'!N156</f>
        <v>-3.4749329881209718E-3</v>
      </c>
      <c r="C156" s="42">
        <f>'Part 2 - CAPM 2.1, 2.2 and 2.3'!O156</f>
        <v>-1.9207274749720355E-2</v>
      </c>
      <c r="E156" s="16">
        <v>43790</v>
      </c>
      <c r="F156" s="17">
        <v>5.04E-2</v>
      </c>
      <c r="G156" s="41">
        <f t="shared" si="16"/>
        <v>1.3472426355742861E-4</v>
      </c>
      <c r="L156" s="40">
        <f t="shared" si="14"/>
        <v>-3.3478511307407722E-3</v>
      </c>
      <c r="M156" s="40">
        <f t="shared" si="15"/>
        <v>-1.9114792968448712E-2</v>
      </c>
      <c r="O156" s="40">
        <f t="shared" si="17"/>
        <v>-3.3478511307407722E-3</v>
      </c>
      <c r="P156" s="207">
        <f t="shared" si="18"/>
        <v>1.3472426355742861E-4</v>
      </c>
      <c r="Q156" s="208">
        <f t="shared" si="19"/>
        <v>1.0021992959873915</v>
      </c>
      <c r="R156" s="40">
        <f t="shared" si="20"/>
        <v>-3.4749329881209718E-3</v>
      </c>
      <c r="S156" s="209">
        <v>0</v>
      </c>
    </row>
    <row r="157" spans="1:19" x14ac:dyDescent="0.45">
      <c r="A157" s="16">
        <v>43791</v>
      </c>
      <c r="B157" s="42">
        <f>'Part 2 - CAPM 2.1, 2.2 and 2.3'!N157</f>
        <v>-3.5376082205813304E-3</v>
      </c>
      <c r="C157" s="42">
        <f>'Part 2 - CAPM 2.1, 2.2 and 2.3'!O157</f>
        <v>2.0452389728055142E-2</v>
      </c>
      <c r="E157" s="16">
        <v>43791</v>
      </c>
      <c r="F157" s="17">
        <v>5.04E-2</v>
      </c>
      <c r="G157" s="41">
        <f t="shared" si="16"/>
        <v>1.3472426355742861E-4</v>
      </c>
      <c r="L157" s="40">
        <f t="shared" si="14"/>
        <v>-3.4106642045883895E-3</v>
      </c>
      <c r="M157" s="40">
        <f t="shared" si="15"/>
        <v>2.0632094850274049E-2</v>
      </c>
      <c r="O157" s="40">
        <f t="shared" si="17"/>
        <v>-3.4106642045883895E-3</v>
      </c>
      <c r="P157" s="207">
        <f t="shared" si="18"/>
        <v>1.3472426355742861E-4</v>
      </c>
      <c r="Q157" s="208">
        <f t="shared" si="19"/>
        <v>1.0021992959873915</v>
      </c>
      <c r="R157" s="40">
        <f t="shared" si="20"/>
        <v>-3.5376082205813304E-3</v>
      </c>
      <c r="S157" s="209">
        <v>0</v>
      </c>
    </row>
    <row r="158" spans="1:19" x14ac:dyDescent="0.45">
      <c r="A158" s="16">
        <v>43794</v>
      </c>
      <c r="B158" s="42">
        <f>'Part 2 - CAPM 2.1, 2.2 and 2.3'!N158</f>
        <v>1.254697792565047E-2</v>
      </c>
      <c r="C158" s="42">
        <f>'Part 2 - CAPM 2.1, 2.2 and 2.3'!O158</f>
        <v>-2.18007683427506E-2</v>
      </c>
      <c r="E158" s="16">
        <v>43794</v>
      </c>
      <c r="F158" s="17">
        <v>5.04E-2</v>
      </c>
      <c r="G158" s="41">
        <f t="shared" si="16"/>
        <v>1.3472426355742861E-4</v>
      </c>
      <c r="L158" s="40">
        <f t="shared" si="14"/>
        <v>1.2709296707413673E-2</v>
      </c>
      <c r="M158" s="40">
        <f t="shared" si="15"/>
        <v>-2.1713990421531437E-2</v>
      </c>
      <c r="O158" s="40">
        <f t="shared" si="17"/>
        <v>1.2709296707413673E-2</v>
      </c>
      <c r="P158" s="207">
        <f t="shared" si="18"/>
        <v>1.3472426355742861E-4</v>
      </c>
      <c r="Q158" s="208">
        <f t="shared" si="19"/>
        <v>1.0021992959873915</v>
      </c>
      <c r="R158" s="40">
        <f t="shared" si="20"/>
        <v>1.254697792565047E-2</v>
      </c>
      <c r="S158" s="209">
        <v>0</v>
      </c>
    </row>
    <row r="159" spans="1:19" x14ac:dyDescent="0.45">
      <c r="A159" s="16">
        <v>43795</v>
      </c>
      <c r="B159" s="42">
        <f>'Part 2 - CAPM 2.1, 2.2 and 2.3'!N159</f>
        <v>-4.1336268294084729E-3</v>
      </c>
      <c r="C159" s="42">
        <f>'Part 2 - CAPM 2.1, 2.2 and 2.3'!O159</f>
        <v>-5.4800151264120592E-3</v>
      </c>
      <c r="E159" s="16">
        <v>43795</v>
      </c>
      <c r="F159" s="17">
        <v>5.0300000000000004E-2</v>
      </c>
      <c r="G159" s="41">
        <f t="shared" si="16"/>
        <v>1.3446338910783062E-4</v>
      </c>
      <c r="L159" s="40">
        <f t="shared" si="14"/>
        <v>-4.0082545091999341E-3</v>
      </c>
      <c r="M159" s="40">
        <f t="shared" si="15"/>
        <v>-5.3576039125825918E-3</v>
      </c>
      <c r="O159" s="40">
        <f t="shared" si="17"/>
        <v>-4.0082545091999341E-3</v>
      </c>
      <c r="P159" s="207">
        <f t="shared" si="18"/>
        <v>1.3446338910783062E-4</v>
      </c>
      <c r="Q159" s="208">
        <f t="shared" si="19"/>
        <v>1.0021992959873915</v>
      </c>
      <c r="R159" s="40">
        <f t="shared" si="20"/>
        <v>-4.1336268294084729E-3</v>
      </c>
      <c r="S159" s="209">
        <v>0</v>
      </c>
    </row>
    <row r="160" spans="1:19" x14ac:dyDescent="0.45">
      <c r="A160" s="16">
        <v>43796</v>
      </c>
      <c r="B160" s="42">
        <f>'Part 2 - CAPM 2.1, 2.2 and 2.3'!N160</f>
        <v>5.3047830522445303E-3</v>
      </c>
      <c r="C160" s="42">
        <f>'Part 2 - CAPM 2.1, 2.2 and 2.3'!O160</f>
        <v>1.82919011569459E-2</v>
      </c>
      <c r="E160" s="16">
        <v>43796</v>
      </c>
      <c r="F160" s="17">
        <v>5.0199999999999995E-2</v>
      </c>
      <c r="G160" s="41">
        <f t="shared" si="16"/>
        <v>1.3420248988715855E-4</v>
      </c>
      <c r="L160" s="40">
        <f t="shared" si="14"/>
        <v>5.4506523302124731E-3</v>
      </c>
      <c r="M160" s="40">
        <f t="shared" si="15"/>
        <v>1.8466332951649293E-2</v>
      </c>
      <c r="O160" s="40">
        <f t="shared" si="17"/>
        <v>5.4506523302124731E-3</v>
      </c>
      <c r="P160" s="207">
        <f t="shared" si="18"/>
        <v>1.3420248988715855E-4</v>
      </c>
      <c r="Q160" s="208">
        <f t="shared" si="19"/>
        <v>1.0021992959873915</v>
      </c>
      <c r="R160" s="40">
        <f t="shared" si="20"/>
        <v>5.3047830522445303E-3</v>
      </c>
      <c r="S160" s="209">
        <v>0</v>
      </c>
    </row>
    <row r="161" spans="1:19" x14ac:dyDescent="0.45">
      <c r="A161" s="16">
        <v>43797</v>
      </c>
      <c r="B161" s="42">
        <f>'Part 2 - CAPM 2.1, 2.2 and 2.3'!N161</f>
        <v>5.3466730239448467E-3</v>
      </c>
      <c r="C161" s="42">
        <f>'Part 2 - CAPM 2.1, 2.2 and 2.3'!O161</f>
        <v>3.6351152635994604E-3</v>
      </c>
      <c r="E161" s="16">
        <v>43797</v>
      </c>
      <c r="F161" s="17">
        <v>5.0199999999999995E-2</v>
      </c>
      <c r="G161" s="41">
        <f t="shared" si="16"/>
        <v>1.3420248988715855E-4</v>
      </c>
      <c r="L161" s="40">
        <f t="shared" si="14"/>
        <v>5.4926344303594622E-3</v>
      </c>
      <c r="M161" s="40">
        <f t="shared" si="15"/>
        <v>3.7773124478995591E-3</v>
      </c>
      <c r="O161" s="40">
        <f t="shared" si="17"/>
        <v>5.4926344303594622E-3</v>
      </c>
      <c r="P161" s="207">
        <f t="shared" si="18"/>
        <v>1.3420248988715855E-4</v>
      </c>
      <c r="Q161" s="208">
        <f t="shared" si="19"/>
        <v>1.0021992959873915</v>
      </c>
      <c r="R161" s="40">
        <f t="shared" si="20"/>
        <v>5.3466730239448467E-3</v>
      </c>
      <c r="S161" s="209">
        <v>0</v>
      </c>
    </row>
    <row r="162" spans="1:19" x14ac:dyDescent="0.45">
      <c r="A162" s="16">
        <v>43798</v>
      </c>
      <c r="B162" s="42">
        <f>'Part 2 - CAPM 2.1, 2.2 and 2.3'!N162</f>
        <v>-5.8153655122254863E-3</v>
      </c>
      <c r="C162" s="42">
        <f>'Part 2 - CAPM 2.1, 2.2 and 2.3'!O162</f>
        <v>-1.0645788341107541E-2</v>
      </c>
      <c r="E162" s="16">
        <v>43798</v>
      </c>
      <c r="F162" s="17">
        <v>4.9100000000000005E-2</v>
      </c>
      <c r="G162" s="41">
        <f t="shared" si="16"/>
        <v>1.3133096221151774E-4</v>
      </c>
      <c r="L162" s="40">
        <f t="shared" si="14"/>
        <v>-5.6968242600502214E-3</v>
      </c>
      <c r="M162" s="40">
        <f t="shared" si="15"/>
        <v>-1.0537870618477241E-2</v>
      </c>
      <c r="O162" s="40">
        <f t="shared" si="17"/>
        <v>-5.6968242600502214E-3</v>
      </c>
      <c r="P162" s="207">
        <f t="shared" si="18"/>
        <v>1.3133096221151774E-4</v>
      </c>
      <c r="Q162" s="208">
        <f t="shared" si="19"/>
        <v>1.0021992959873915</v>
      </c>
      <c r="R162" s="40">
        <f t="shared" si="20"/>
        <v>-5.8153655122254863E-3</v>
      </c>
      <c r="S162" s="209">
        <v>0</v>
      </c>
    </row>
    <row r="163" spans="1:19" x14ac:dyDescent="0.45">
      <c r="A163" s="16">
        <v>43801</v>
      </c>
      <c r="B163" s="42">
        <f>'Part 2 - CAPM 2.1, 2.2 and 2.3'!N163</f>
        <v>-1.7263096959900686E-3</v>
      </c>
      <c r="C163" s="42">
        <f>'Part 2 - CAPM 2.1, 2.2 and 2.3'!O163</f>
        <v>-2.7835576953961032E-2</v>
      </c>
      <c r="E163" s="16">
        <v>43801</v>
      </c>
      <c r="F163" s="17">
        <v>4.9200000000000001E-2</v>
      </c>
      <c r="G163" s="41">
        <f t="shared" si="16"/>
        <v>1.3159213422664351E-4</v>
      </c>
      <c r="L163" s="40">
        <f t="shared" si="14"/>
        <v>-1.5985142277508111E-3</v>
      </c>
      <c r="M163" s="40">
        <f t="shared" si="15"/>
        <v>-2.7765203492435966E-2</v>
      </c>
      <c r="O163" s="40">
        <f t="shared" si="17"/>
        <v>-1.5985142277508111E-3</v>
      </c>
      <c r="P163" s="207">
        <f t="shared" si="18"/>
        <v>1.3159213422664351E-4</v>
      </c>
      <c r="Q163" s="208">
        <f t="shared" si="19"/>
        <v>1.0021992959873915</v>
      </c>
      <c r="R163" s="40">
        <f t="shared" si="20"/>
        <v>-1.7263096959900686E-3</v>
      </c>
      <c r="S163" s="209">
        <v>0</v>
      </c>
    </row>
    <row r="164" spans="1:19" x14ac:dyDescent="0.45">
      <c r="A164" s="16">
        <v>43802</v>
      </c>
      <c r="B164" s="42">
        <f>'Part 2 - CAPM 2.1, 2.2 and 2.3'!N164</f>
        <v>-5.7296733752962865E-3</v>
      </c>
      <c r="C164" s="42">
        <f>'Part 2 - CAPM 2.1, 2.2 and 2.3'!O164</f>
        <v>-3.644472696287445E-3</v>
      </c>
      <c r="E164" s="16">
        <v>43802</v>
      </c>
      <c r="F164" s="17">
        <v>4.9200000000000001E-2</v>
      </c>
      <c r="G164" s="41">
        <f t="shared" si="16"/>
        <v>1.3159213422664351E-4</v>
      </c>
      <c r="L164" s="40">
        <f t="shared" si="14"/>
        <v>-5.6106824887329964E-3</v>
      </c>
      <c r="M164" s="40">
        <f t="shared" si="15"/>
        <v>-3.5208958362379045E-3</v>
      </c>
      <c r="O164" s="40">
        <f t="shared" si="17"/>
        <v>-5.6106824887329964E-3</v>
      </c>
      <c r="P164" s="207">
        <f t="shared" si="18"/>
        <v>1.3159213422664351E-4</v>
      </c>
      <c r="Q164" s="208">
        <f t="shared" si="19"/>
        <v>1.0021992959873915</v>
      </c>
      <c r="R164" s="40">
        <f t="shared" si="20"/>
        <v>-5.7296733752962865E-3</v>
      </c>
      <c r="S164" s="209">
        <v>0</v>
      </c>
    </row>
    <row r="165" spans="1:19" x14ac:dyDescent="0.45">
      <c r="A165" s="16">
        <v>43803</v>
      </c>
      <c r="B165" s="42">
        <f>'Part 2 - CAPM 2.1, 2.2 and 2.3'!N165</f>
        <v>3.8660882874029861E-3</v>
      </c>
      <c r="C165" s="42">
        <f>'Part 2 - CAPM 2.1, 2.2 and 2.3'!O165</f>
        <v>1.8669817971531333E-2</v>
      </c>
      <c r="E165" s="16">
        <v>43803</v>
      </c>
      <c r="F165" s="17">
        <v>4.9200000000000001E-2</v>
      </c>
      <c r="G165" s="41">
        <f t="shared" si="16"/>
        <v>1.3159213422664351E-4</v>
      </c>
      <c r="L165" s="40">
        <f t="shared" si="14"/>
        <v>4.0061830940870159E-3</v>
      </c>
      <c r="M165" s="40">
        <f t="shared" si="15"/>
        <v>1.8842470561508097E-2</v>
      </c>
      <c r="O165" s="40">
        <f t="shared" si="17"/>
        <v>4.0061830940870159E-3</v>
      </c>
      <c r="P165" s="207">
        <f t="shared" si="18"/>
        <v>1.3159213422664351E-4</v>
      </c>
      <c r="Q165" s="208">
        <f t="shared" si="19"/>
        <v>1.0021992959873915</v>
      </c>
      <c r="R165" s="40">
        <f t="shared" si="20"/>
        <v>3.8660882874029861E-3</v>
      </c>
      <c r="S165" s="209">
        <v>0</v>
      </c>
    </row>
    <row r="166" spans="1:19" x14ac:dyDescent="0.45">
      <c r="A166" s="16">
        <v>43804</v>
      </c>
      <c r="B166" s="42">
        <f>'Part 2 - CAPM 2.1, 2.2 and 2.3'!N166</f>
        <v>-2.6398206204893133E-3</v>
      </c>
      <c r="C166" s="42">
        <f>'Part 2 - CAPM 2.1, 2.2 and 2.3'!O166</f>
        <v>-8.9779987255508963E-3</v>
      </c>
      <c r="E166" s="16">
        <v>43804</v>
      </c>
      <c r="F166" s="17">
        <v>5.0599999999999999E-2</v>
      </c>
      <c r="G166" s="41">
        <f t="shared" si="16"/>
        <v>1.3524593816138797E-4</v>
      </c>
      <c r="L166" s="40">
        <f t="shared" si="14"/>
        <v>-2.5103804292260011E-3</v>
      </c>
      <c r="M166" s="40">
        <f t="shared" si="15"/>
        <v>-8.8624980639614194E-3</v>
      </c>
      <c r="O166" s="40">
        <f t="shared" si="17"/>
        <v>-2.5103804292260011E-3</v>
      </c>
      <c r="P166" s="207">
        <f t="shared" si="18"/>
        <v>1.3524593816138797E-4</v>
      </c>
      <c r="Q166" s="208">
        <f t="shared" si="19"/>
        <v>1.0021992959873915</v>
      </c>
      <c r="R166" s="40">
        <f t="shared" si="20"/>
        <v>-2.6398206204893133E-3</v>
      </c>
      <c r="S166" s="209">
        <v>0</v>
      </c>
    </row>
    <row r="167" spans="1:19" x14ac:dyDescent="0.45">
      <c r="A167" s="16">
        <v>43805</v>
      </c>
      <c r="B167" s="42">
        <f>'Part 2 - CAPM 2.1, 2.2 and 2.3'!N167</f>
        <v>-9.1733104672587183E-3</v>
      </c>
      <c r="C167" s="42">
        <f>'Part 2 - CAPM 2.1, 2.2 and 2.3'!O167</f>
        <v>-1.836538945652803E-2</v>
      </c>
      <c r="E167" s="16">
        <v>43805</v>
      </c>
      <c r="F167" s="17">
        <v>5.0199999999999995E-2</v>
      </c>
      <c r="G167" s="41">
        <f t="shared" si="16"/>
        <v>1.3420248988715855E-4</v>
      </c>
      <c r="L167" s="40">
        <f t="shared" si="14"/>
        <v>-9.0592828022732982E-3</v>
      </c>
      <c r="M167" s="40">
        <f t="shared" si="15"/>
        <v>-1.8271577893979495E-2</v>
      </c>
      <c r="O167" s="40">
        <f t="shared" si="17"/>
        <v>-9.0592828022732982E-3</v>
      </c>
      <c r="P167" s="207">
        <f t="shared" si="18"/>
        <v>1.3420248988715855E-4</v>
      </c>
      <c r="Q167" s="208">
        <f t="shared" si="19"/>
        <v>1.0021992959873915</v>
      </c>
      <c r="R167" s="40">
        <f t="shared" si="20"/>
        <v>-9.1733104672587183E-3</v>
      </c>
      <c r="S167" s="209">
        <v>0</v>
      </c>
    </row>
    <row r="168" spans="1:19" x14ac:dyDescent="0.45">
      <c r="A168" s="16">
        <v>43808</v>
      </c>
      <c r="B168" s="42">
        <f>'Part 2 - CAPM 2.1, 2.2 and 2.3'!N168</f>
        <v>7.7023904899639931E-5</v>
      </c>
      <c r="C168" s="42">
        <f>'Part 2 - CAPM 2.1, 2.2 and 2.3'!O168</f>
        <v>-2.1104888666973031E-3</v>
      </c>
      <c r="E168" s="16">
        <v>43808</v>
      </c>
      <c r="F168" s="17">
        <v>5.0499999999999996E-2</v>
      </c>
      <c r="G168" s="41">
        <f t="shared" si="16"/>
        <v>1.3498511324017137E-4</v>
      </c>
      <c r="L168" s="40">
        <f t="shared" si="14"/>
        <v>2.1217841650479031E-4</v>
      </c>
      <c r="M168" s="40">
        <f t="shared" si="15"/>
        <v>-1.9801453431530936E-3</v>
      </c>
      <c r="O168" s="40">
        <f t="shared" si="17"/>
        <v>2.1217841650479031E-4</v>
      </c>
      <c r="P168" s="207">
        <f t="shared" si="18"/>
        <v>1.3498511324017137E-4</v>
      </c>
      <c r="Q168" s="208">
        <f t="shared" si="19"/>
        <v>1.0021992959873915</v>
      </c>
      <c r="R168" s="40">
        <f t="shared" si="20"/>
        <v>7.7023904899639931E-5</v>
      </c>
      <c r="S168" s="209">
        <v>0</v>
      </c>
    </row>
    <row r="169" spans="1:19" x14ac:dyDescent="0.45">
      <c r="A169" s="16">
        <v>43809</v>
      </c>
      <c r="B169" s="42">
        <f>'Part 2 - CAPM 2.1, 2.2 and 2.3'!N169</f>
        <v>-7.9980746401815215E-3</v>
      </c>
      <c r="C169" s="42">
        <f>'Part 2 - CAPM 2.1, 2.2 and 2.3'!O169</f>
        <v>-8.8441462746421031E-3</v>
      </c>
      <c r="E169" s="16">
        <v>43809</v>
      </c>
      <c r="F169" s="17">
        <v>5.04E-2</v>
      </c>
      <c r="G169" s="41">
        <f t="shared" si="16"/>
        <v>1.3472426355742861E-4</v>
      </c>
      <c r="L169" s="40">
        <f t="shared" si="14"/>
        <v>-7.8809405100871022E-3</v>
      </c>
      <c r="M169" s="40">
        <f t="shared" si="15"/>
        <v>-8.7288729064983993E-3</v>
      </c>
      <c r="O169" s="40">
        <f t="shared" si="17"/>
        <v>-7.8809405100871022E-3</v>
      </c>
      <c r="P169" s="207">
        <f t="shared" si="18"/>
        <v>1.3472426355742861E-4</v>
      </c>
      <c r="Q169" s="208">
        <f t="shared" si="19"/>
        <v>1.0021992959873915</v>
      </c>
      <c r="R169" s="40">
        <f t="shared" si="20"/>
        <v>-7.9980746401815215E-3</v>
      </c>
      <c r="S169" s="209">
        <v>0</v>
      </c>
    </row>
    <row r="170" spans="1:19" x14ac:dyDescent="0.45">
      <c r="A170" s="16">
        <v>43810</v>
      </c>
      <c r="B170" s="42">
        <f>'Part 2 - CAPM 2.1, 2.2 and 2.3'!N170</f>
        <v>4.1233066989028351E-3</v>
      </c>
      <c r="C170" s="42">
        <f>'Part 2 - CAPM 2.1, 2.2 and 2.3'!O170</f>
        <v>2.2230275686505395E-2</v>
      </c>
      <c r="E170" s="16">
        <v>43810</v>
      </c>
      <c r="F170" s="17">
        <v>5.0099999999999999E-2</v>
      </c>
      <c r="G170" s="41">
        <f t="shared" si="16"/>
        <v>1.3394156589074946E-4</v>
      </c>
      <c r="L170" s="40">
        <f t="shared" si="14"/>
        <v>4.2663166366712661E-3</v>
      </c>
      <c r="M170" s="40">
        <f t="shared" si="15"/>
        <v>2.2413108208512084E-2</v>
      </c>
      <c r="O170" s="40">
        <f t="shared" si="17"/>
        <v>4.2663166366712661E-3</v>
      </c>
      <c r="P170" s="207">
        <f t="shared" si="18"/>
        <v>1.3394156589074946E-4</v>
      </c>
      <c r="Q170" s="208">
        <f t="shared" si="19"/>
        <v>1.0021992959873915</v>
      </c>
      <c r="R170" s="40">
        <f t="shared" si="20"/>
        <v>4.1233066989028351E-3</v>
      </c>
      <c r="S170" s="209">
        <v>0</v>
      </c>
    </row>
    <row r="171" spans="1:19" x14ac:dyDescent="0.45">
      <c r="A171" s="16">
        <v>43811</v>
      </c>
      <c r="B171" s="42">
        <f>'Part 2 - CAPM 2.1, 2.2 and 2.3'!N171</f>
        <v>5.5604266277652636E-3</v>
      </c>
      <c r="C171" s="42">
        <f>'Part 2 - CAPM 2.1, 2.2 and 2.3'!O171</f>
        <v>-1.6543060367953943E-2</v>
      </c>
      <c r="E171" s="16">
        <v>43811</v>
      </c>
      <c r="F171" s="17">
        <v>5.1200000000000002E-2</v>
      </c>
      <c r="G171" s="41">
        <f t="shared" si="16"/>
        <v>1.3681036795398782E-4</v>
      </c>
      <c r="L171" s="40">
        <f t="shared" si="14"/>
        <v>5.7094660196898806E-3</v>
      </c>
      <c r="M171" s="40">
        <f t="shared" si="15"/>
        <v>-1.6442633086286372E-2</v>
      </c>
      <c r="O171" s="40">
        <f t="shared" si="17"/>
        <v>5.7094660196898806E-3</v>
      </c>
      <c r="P171" s="207">
        <f t="shared" si="18"/>
        <v>1.3681036795398782E-4</v>
      </c>
      <c r="Q171" s="208">
        <f t="shared" si="19"/>
        <v>1.0021992959873915</v>
      </c>
      <c r="R171" s="40">
        <f t="shared" si="20"/>
        <v>5.5604266277652636E-3</v>
      </c>
      <c r="S171" s="209">
        <v>0</v>
      </c>
    </row>
    <row r="172" spans="1:19" x14ac:dyDescent="0.45">
      <c r="A172" s="16">
        <v>43812</v>
      </c>
      <c r="B172" s="42">
        <f>'Part 2 - CAPM 2.1, 2.2 and 2.3'!N172</f>
        <v>9.40490725592176E-3</v>
      </c>
      <c r="C172" s="42">
        <f>'Part 2 - CAPM 2.1, 2.2 and 2.3'!O172</f>
        <v>4.6309627896593646E-3</v>
      </c>
      <c r="E172" s="16">
        <v>43812</v>
      </c>
      <c r="F172" s="17">
        <v>5.04E-2</v>
      </c>
      <c r="G172" s="41">
        <f t="shared" si="16"/>
        <v>1.3472426355742861E-4</v>
      </c>
      <c r="L172" s="40">
        <f t="shared" si="14"/>
        <v>9.5603156942689269E-3</v>
      </c>
      <c r="M172" s="40">
        <f t="shared" si="15"/>
        <v>4.7758719110978509E-3</v>
      </c>
      <c r="O172" s="40">
        <f t="shared" si="17"/>
        <v>9.5603156942689269E-3</v>
      </c>
      <c r="P172" s="207">
        <f t="shared" si="18"/>
        <v>1.3472426355742861E-4</v>
      </c>
      <c r="Q172" s="208">
        <f t="shared" si="19"/>
        <v>1.0021992959873915</v>
      </c>
      <c r="R172" s="40">
        <f t="shared" si="20"/>
        <v>9.40490725592176E-3</v>
      </c>
      <c r="S172" s="209">
        <v>0</v>
      </c>
    </row>
    <row r="173" spans="1:19" x14ac:dyDescent="0.45">
      <c r="A173" s="16">
        <v>43815</v>
      </c>
      <c r="B173" s="42">
        <f>'Part 2 - CAPM 2.1, 2.2 and 2.3'!N173</f>
        <v>-3.2618855513369687E-3</v>
      </c>
      <c r="C173" s="42">
        <f>'Part 2 - CAPM 2.1, 2.2 and 2.3'!O173</f>
        <v>-7.2488269958160571E-3</v>
      </c>
      <c r="E173" s="16">
        <v>43815</v>
      </c>
      <c r="F173" s="17">
        <v>5.0199999999999995E-2</v>
      </c>
      <c r="G173" s="41">
        <f t="shared" si="16"/>
        <v>1.3420248988715855E-4</v>
      </c>
      <c r="L173" s="40">
        <f t="shared" si="14"/>
        <v>-3.1348569132541959E-3</v>
      </c>
      <c r="M173" s="40">
        <f t="shared" si="15"/>
        <v>-7.130566822054092E-3</v>
      </c>
      <c r="O173" s="40">
        <f t="shared" si="17"/>
        <v>-3.1348569132541959E-3</v>
      </c>
      <c r="P173" s="207">
        <f t="shared" si="18"/>
        <v>1.3420248988715855E-4</v>
      </c>
      <c r="Q173" s="208">
        <f t="shared" si="19"/>
        <v>1.0021992959873915</v>
      </c>
      <c r="R173" s="40">
        <f t="shared" si="20"/>
        <v>-3.2618855513369687E-3</v>
      </c>
      <c r="S173" s="209">
        <v>0</v>
      </c>
    </row>
    <row r="174" spans="1:19" x14ac:dyDescent="0.45">
      <c r="A174" s="16">
        <v>43816</v>
      </c>
      <c r="B174" s="42">
        <f>'Part 2 - CAPM 2.1, 2.2 and 2.3'!N174</f>
        <v>7.8989622235242172E-3</v>
      </c>
      <c r="C174" s="42">
        <f>'Part 2 - CAPM 2.1, 2.2 and 2.3'!O174</f>
        <v>-2.5229984209549417E-3</v>
      </c>
      <c r="E174" s="16">
        <v>43816</v>
      </c>
      <c r="F174" s="17">
        <v>5.0300000000000004E-2</v>
      </c>
      <c r="G174" s="41">
        <f t="shared" si="16"/>
        <v>1.3446338910783062E-4</v>
      </c>
      <c r="L174" s="40">
        <f t="shared" si="14"/>
        <v>8.0507977685548016E-3</v>
      </c>
      <c r="M174" s="40">
        <f t="shared" si="15"/>
        <v>-2.3940838521505125E-3</v>
      </c>
      <c r="O174" s="40">
        <f t="shared" si="17"/>
        <v>8.0507977685548016E-3</v>
      </c>
      <c r="P174" s="207">
        <f t="shared" si="18"/>
        <v>1.3446338910783062E-4</v>
      </c>
      <c r="Q174" s="208">
        <f t="shared" si="19"/>
        <v>1.0021992959873915</v>
      </c>
      <c r="R174" s="40">
        <f t="shared" si="20"/>
        <v>7.8989622235242172E-3</v>
      </c>
      <c r="S174" s="209">
        <v>0</v>
      </c>
    </row>
    <row r="175" spans="1:19" x14ac:dyDescent="0.45">
      <c r="A175" s="16">
        <v>43817</v>
      </c>
      <c r="B175" s="42">
        <f>'Part 2 - CAPM 2.1, 2.2 and 2.3'!N175</f>
        <v>3.242488911440813E-3</v>
      </c>
      <c r="C175" s="42">
        <f>'Part 2 - CAPM 2.1, 2.2 and 2.3'!O175</f>
        <v>-1.7306325830424103E-3</v>
      </c>
      <c r="E175" s="16">
        <v>43817</v>
      </c>
      <c r="F175" s="17">
        <v>5.0300000000000004E-2</v>
      </c>
      <c r="G175" s="41">
        <f t="shared" si="16"/>
        <v>1.3446338910783062E-4</v>
      </c>
      <c r="L175" s="40">
        <f t="shared" si="14"/>
        <v>3.3840834934007369E-3</v>
      </c>
      <c r="M175" s="40">
        <f t="shared" si="15"/>
        <v>-1.5999753672301139E-3</v>
      </c>
      <c r="O175" s="40">
        <f t="shared" si="17"/>
        <v>3.3840834934007369E-3</v>
      </c>
      <c r="P175" s="207">
        <f t="shared" si="18"/>
        <v>1.3446338910783062E-4</v>
      </c>
      <c r="Q175" s="208">
        <f t="shared" si="19"/>
        <v>1.0021992959873915</v>
      </c>
      <c r="R175" s="40">
        <f t="shared" si="20"/>
        <v>3.242488911440813E-3</v>
      </c>
      <c r="S175" s="209">
        <v>0</v>
      </c>
    </row>
    <row r="176" spans="1:19" x14ac:dyDescent="0.45">
      <c r="A176" s="16">
        <v>43818</v>
      </c>
      <c r="B176" s="42">
        <f>'Part 2 - CAPM 2.1, 2.2 and 2.3'!N176</f>
        <v>2.6789009968405685E-3</v>
      </c>
      <c r="C176" s="42">
        <f>'Part 2 - CAPM 2.1, 2.2 and 2.3'!O176</f>
        <v>4.6619605796572742E-3</v>
      </c>
      <c r="E176" s="16">
        <v>43818</v>
      </c>
      <c r="F176" s="17">
        <v>5.0199999999999995E-2</v>
      </c>
      <c r="G176" s="41">
        <f t="shared" si="16"/>
        <v>1.3420248988715855E-4</v>
      </c>
      <c r="L176" s="40">
        <f t="shared" si="14"/>
        <v>2.8189951829406977E-3</v>
      </c>
      <c r="M176" s="40">
        <f t="shared" si="15"/>
        <v>4.8064161007406502E-3</v>
      </c>
      <c r="O176" s="40">
        <f t="shared" si="17"/>
        <v>2.8189951829406977E-3</v>
      </c>
      <c r="P176" s="207">
        <f t="shared" si="18"/>
        <v>1.3420248988715855E-4</v>
      </c>
      <c r="Q176" s="208">
        <f t="shared" si="19"/>
        <v>1.0021992959873915</v>
      </c>
      <c r="R176" s="40">
        <f t="shared" si="20"/>
        <v>2.6789009968405685E-3</v>
      </c>
      <c r="S176" s="209">
        <v>0</v>
      </c>
    </row>
    <row r="177" spans="1:19" x14ac:dyDescent="0.45">
      <c r="A177" s="16">
        <v>43819</v>
      </c>
      <c r="B177" s="42">
        <f>'Part 2 - CAPM 2.1, 2.2 and 2.3'!N177</f>
        <v>1.1844836051890806E-3</v>
      </c>
      <c r="C177" s="42">
        <f>'Part 2 - CAPM 2.1, 2.2 and 2.3'!O177</f>
        <v>-4.5102214791500868E-3</v>
      </c>
      <c r="E177" s="16">
        <v>43819</v>
      </c>
      <c r="F177" s="17">
        <v>5.04E-2</v>
      </c>
      <c r="G177" s="41">
        <f t="shared" si="16"/>
        <v>1.3472426355742861E-4</v>
      </c>
      <c r="L177" s="40">
        <f t="shared" si="14"/>
        <v>1.3218128987865325E-3</v>
      </c>
      <c r="M177" s="40">
        <f t="shared" si="15"/>
        <v>-4.3854165275940002E-3</v>
      </c>
      <c r="O177" s="40">
        <f t="shared" si="17"/>
        <v>1.3218128987865325E-3</v>
      </c>
      <c r="P177" s="207">
        <f t="shared" si="18"/>
        <v>1.3472426355742861E-4</v>
      </c>
      <c r="Q177" s="208">
        <f t="shared" si="19"/>
        <v>1.0021992959873915</v>
      </c>
      <c r="R177" s="40">
        <f t="shared" si="20"/>
        <v>1.1844836051890806E-3</v>
      </c>
      <c r="S177" s="209">
        <v>0</v>
      </c>
    </row>
    <row r="178" spans="1:19" x14ac:dyDescent="0.45">
      <c r="A178" s="16">
        <v>43822</v>
      </c>
      <c r="B178" s="42">
        <f>'Part 2 - CAPM 2.1, 2.2 and 2.3'!N178</f>
        <v>-9.1182107964887435E-4</v>
      </c>
      <c r="C178" s="42">
        <f>'Part 2 - CAPM 2.1, 2.2 and 2.3'!O178</f>
        <v>-4.1296691422041147E-3</v>
      </c>
      <c r="E178" s="16">
        <v>43822</v>
      </c>
      <c r="F178" s="17">
        <v>5.0300000000000004E-2</v>
      </c>
      <c r="G178" s="41">
        <f t="shared" si="16"/>
        <v>1.3446338910783062E-4</v>
      </c>
      <c r="L178" s="40">
        <f t="shared" si="14"/>
        <v>-7.7936305498273455E-4</v>
      </c>
      <c r="M178" s="40">
        <f t="shared" si="15"/>
        <v>-4.004288117869988E-3</v>
      </c>
      <c r="O178" s="40">
        <f t="shared" si="17"/>
        <v>-7.7936305498273455E-4</v>
      </c>
      <c r="P178" s="207">
        <f t="shared" si="18"/>
        <v>1.3446338910783062E-4</v>
      </c>
      <c r="Q178" s="208">
        <f t="shared" si="19"/>
        <v>1.0021992959873915</v>
      </c>
      <c r="R178" s="40">
        <f t="shared" si="20"/>
        <v>-9.1182107964887435E-4</v>
      </c>
      <c r="S178" s="209">
        <v>0</v>
      </c>
    </row>
    <row r="179" spans="1:19" x14ac:dyDescent="0.45">
      <c r="A179" s="16">
        <v>43823</v>
      </c>
      <c r="B179" s="42">
        <f>'Part 2 - CAPM 2.1, 2.2 and 2.3'!N179</f>
        <v>-3.0894494424466047E-3</v>
      </c>
      <c r="C179" s="42">
        <f>'Part 2 - CAPM 2.1, 2.2 and 2.3'!O179</f>
        <v>1.0696122419860088E-2</v>
      </c>
      <c r="E179" s="16">
        <v>43823</v>
      </c>
      <c r="F179" s="17">
        <v>5.0199999999999995E-2</v>
      </c>
      <c r="G179" s="41">
        <f t="shared" si="16"/>
        <v>1.3420248988715855E-4</v>
      </c>
      <c r="L179" s="40">
        <f t="shared" si="14"/>
        <v>-2.9620415663214679E-3</v>
      </c>
      <c r="M179" s="40">
        <f t="shared" si="15"/>
        <v>1.0853848848865894E-2</v>
      </c>
      <c r="O179" s="40">
        <f t="shared" si="17"/>
        <v>-2.9620415663214679E-3</v>
      </c>
      <c r="P179" s="207">
        <f t="shared" si="18"/>
        <v>1.3420248988715855E-4</v>
      </c>
      <c r="Q179" s="208">
        <f t="shared" si="19"/>
        <v>1.0021992959873915</v>
      </c>
      <c r="R179" s="40">
        <f t="shared" si="20"/>
        <v>-3.0894494424466047E-3</v>
      </c>
      <c r="S179" s="209">
        <v>0</v>
      </c>
    </row>
    <row r="180" spans="1:19" x14ac:dyDescent="0.45">
      <c r="A180" s="16">
        <v>43825</v>
      </c>
      <c r="B180" s="42">
        <f>'Part 2 - CAPM 2.1, 2.2 and 2.3'!N180</f>
        <v>-5.3224802248795491E-3</v>
      </c>
      <c r="C180" s="42">
        <f>'Part 2 - CAPM 2.1, 2.2 and 2.3'!O180</f>
        <v>1.5738813383128714E-2</v>
      </c>
      <c r="E180" s="16">
        <v>43825</v>
      </c>
      <c r="F180" s="17">
        <v>5.0199999999999995E-2</v>
      </c>
      <c r="G180" s="41">
        <f t="shared" si="16"/>
        <v>1.3420248988715855E-4</v>
      </c>
      <c r="L180" s="40">
        <f t="shared" si="14"/>
        <v>-5.1999834443939392E-3</v>
      </c>
      <c r="M180" s="40">
        <f t="shared" si="15"/>
        <v>1.5907630182135691E-2</v>
      </c>
      <c r="O180" s="40">
        <f t="shared" si="17"/>
        <v>-5.1999834443939392E-3</v>
      </c>
      <c r="P180" s="207">
        <f t="shared" si="18"/>
        <v>1.3420248988715855E-4</v>
      </c>
      <c r="Q180" s="208">
        <f t="shared" si="19"/>
        <v>1.0021992959873915</v>
      </c>
      <c r="R180" s="40">
        <f t="shared" si="20"/>
        <v>-5.3224802248795491E-3</v>
      </c>
      <c r="S180" s="209">
        <v>0</v>
      </c>
    </row>
    <row r="181" spans="1:19" x14ac:dyDescent="0.45">
      <c r="A181" s="16">
        <v>43826</v>
      </c>
      <c r="B181" s="42">
        <f>'Part 2 - CAPM 2.1, 2.2 and 2.3'!N181</f>
        <v>9.1861739922054937E-3</v>
      </c>
      <c r="C181" s="42">
        <f>'Part 2 - CAPM 2.1, 2.2 and 2.3'!O181</f>
        <v>2.9907975101128859E-3</v>
      </c>
      <c r="E181" s="16">
        <v>43826</v>
      </c>
      <c r="F181" s="17">
        <v>5.0199999999999995E-2</v>
      </c>
      <c r="G181" s="41">
        <f t="shared" si="16"/>
        <v>1.3420248988715855E-4</v>
      </c>
      <c r="L181" s="40">
        <f t="shared" si="14"/>
        <v>9.34057959769319E-3</v>
      </c>
      <c r="M181" s="40">
        <f t="shared" si="15"/>
        <v>3.1315776489631362E-3</v>
      </c>
      <c r="O181" s="40">
        <f t="shared" si="17"/>
        <v>9.34057959769319E-3</v>
      </c>
      <c r="P181" s="207">
        <f t="shared" si="18"/>
        <v>1.3420248988715855E-4</v>
      </c>
      <c r="Q181" s="208">
        <f t="shared" si="19"/>
        <v>1.0021992959873915</v>
      </c>
      <c r="R181" s="40">
        <f t="shared" si="20"/>
        <v>9.1861739922054937E-3</v>
      </c>
      <c r="S181" s="209">
        <v>0</v>
      </c>
    </row>
    <row r="182" spans="1:19" x14ac:dyDescent="0.45">
      <c r="A182" s="16">
        <v>43829</v>
      </c>
      <c r="B182" s="42">
        <f>'Part 2 - CAPM 2.1, 2.2 and 2.3'!N182</f>
        <v>1.4805401100502701E-3</v>
      </c>
      <c r="C182" s="42">
        <f>'Part 2 - CAPM 2.1, 2.2 and 2.3'!O182</f>
        <v>-3.6388753870834423E-3</v>
      </c>
      <c r="E182" s="16">
        <v>43829</v>
      </c>
      <c r="F182" s="17">
        <v>5.0199999999999995E-2</v>
      </c>
      <c r="G182" s="41">
        <f t="shared" si="16"/>
        <v>1.3420248988715855E-4</v>
      </c>
      <c r="L182" s="40">
        <f t="shared" si="14"/>
        <v>1.6179987458606346E-3</v>
      </c>
      <c r="M182" s="40">
        <f t="shared" si="15"/>
        <v>-3.5126758612337144E-3</v>
      </c>
      <c r="O182" s="40">
        <f t="shared" si="17"/>
        <v>1.6179987458606346E-3</v>
      </c>
      <c r="P182" s="207">
        <f t="shared" si="18"/>
        <v>1.3420248988715855E-4</v>
      </c>
      <c r="Q182" s="208">
        <f t="shared" si="19"/>
        <v>1.0021992959873915</v>
      </c>
      <c r="R182" s="40">
        <f t="shared" si="20"/>
        <v>1.4805401100502701E-3</v>
      </c>
      <c r="S182" s="209">
        <v>0</v>
      </c>
    </row>
    <row r="183" spans="1:19" x14ac:dyDescent="0.45">
      <c r="A183" s="16">
        <v>43830</v>
      </c>
      <c r="B183" s="42">
        <f>'Part 2 - CAPM 2.1, 2.2 and 2.3'!N183</f>
        <v>-5.3895520019120154E-3</v>
      </c>
      <c r="C183" s="42">
        <f>'Part 2 - CAPM 2.1, 2.2 and 2.3'!O183</f>
        <v>6.5082348945754483E-3</v>
      </c>
      <c r="E183" s="16">
        <v>43830</v>
      </c>
      <c r="F183" s="17">
        <v>5.0499999999999996E-2</v>
      </c>
      <c r="G183" s="41">
        <f t="shared" si="16"/>
        <v>1.3498511324017137E-4</v>
      </c>
      <c r="L183" s="40">
        <f t="shared" si="14"/>
        <v>-5.2664201087634869E-3</v>
      </c>
      <c r="M183" s="40">
        <f t="shared" si="15"/>
        <v>6.6575335427042611E-3</v>
      </c>
      <c r="O183" s="40">
        <f t="shared" si="17"/>
        <v>-5.2664201087634869E-3</v>
      </c>
      <c r="P183" s="207">
        <f t="shared" si="18"/>
        <v>1.3498511324017137E-4</v>
      </c>
      <c r="Q183" s="208">
        <f t="shared" si="19"/>
        <v>1.0021992959873915</v>
      </c>
      <c r="R183" s="40">
        <f t="shared" si="20"/>
        <v>-5.3895520019120154E-3</v>
      </c>
      <c r="S183" s="209">
        <v>0</v>
      </c>
    </row>
    <row r="184" spans="1:19" x14ac:dyDescent="0.45">
      <c r="A184" s="16">
        <v>43831</v>
      </c>
      <c r="B184" s="42">
        <f>'Part 2 - CAPM 2.1, 2.2 and 2.3'!N184</f>
        <v>1.4859309876188128E-3</v>
      </c>
      <c r="C184" s="42">
        <f>'Part 2 - CAPM 2.1, 2.2 and 2.3'!O184</f>
        <v>-1.0616090723184823E-2</v>
      </c>
      <c r="E184" s="16">
        <v>43831</v>
      </c>
      <c r="F184" s="17">
        <v>5.04E-2</v>
      </c>
      <c r="G184" s="41">
        <f t="shared" si="16"/>
        <v>1.3472426355742861E-4</v>
      </c>
      <c r="L184" s="40">
        <f t="shared" si="14"/>
        <v>1.6239232532348521E-3</v>
      </c>
      <c r="M184" s="40">
        <f t="shared" si="15"/>
        <v>-1.0504714385356679E-2</v>
      </c>
      <c r="O184" s="40">
        <f t="shared" si="17"/>
        <v>1.6239232532348521E-3</v>
      </c>
      <c r="P184" s="207">
        <f t="shared" si="18"/>
        <v>1.3472426355742861E-4</v>
      </c>
      <c r="Q184" s="208">
        <f t="shared" si="19"/>
        <v>1.0021992959873915</v>
      </c>
      <c r="R184" s="40">
        <f t="shared" si="20"/>
        <v>1.4859309876188128E-3</v>
      </c>
      <c r="S184" s="209">
        <v>0</v>
      </c>
    </row>
    <row r="185" spans="1:19" x14ac:dyDescent="0.45">
      <c r="A185" s="16">
        <v>43832</v>
      </c>
      <c r="B185" s="42">
        <f>'Part 2 - CAPM 2.1, 2.2 and 2.3'!N185</f>
        <v>9.1151721151706971E-3</v>
      </c>
      <c r="C185" s="42">
        <f>'Part 2 - CAPM 2.1, 2.2 and 2.3'!O185</f>
        <v>4.5748308989379807E-3</v>
      </c>
      <c r="E185" s="16">
        <v>43832</v>
      </c>
      <c r="F185" s="17">
        <v>4.9699999999999994E-2</v>
      </c>
      <c r="G185" s="41">
        <f t="shared" si="16"/>
        <v>1.3289762205070943E-4</v>
      </c>
      <c r="L185" s="40">
        <f t="shared" si="14"/>
        <v>9.2681166986786842E-3</v>
      </c>
      <c r="M185" s="40">
        <f t="shared" si="15"/>
        <v>4.7177899282277195E-3</v>
      </c>
      <c r="O185" s="40">
        <f t="shared" si="17"/>
        <v>9.2681166986786842E-3</v>
      </c>
      <c r="P185" s="207">
        <f t="shared" si="18"/>
        <v>1.3289762205070943E-4</v>
      </c>
      <c r="Q185" s="208">
        <f t="shared" si="19"/>
        <v>1.0021992959873915</v>
      </c>
      <c r="R185" s="40">
        <f t="shared" si="20"/>
        <v>9.1151721151706971E-3</v>
      </c>
      <c r="S185" s="209">
        <v>0</v>
      </c>
    </row>
    <row r="186" spans="1:19" x14ac:dyDescent="0.45">
      <c r="A186" s="16">
        <v>43833</v>
      </c>
      <c r="B186" s="42">
        <f>'Part 2 - CAPM 2.1, 2.2 and 2.3'!N186</f>
        <v>-3.9761050142924775E-3</v>
      </c>
      <c r="C186" s="42">
        <f>'Part 2 - CAPM 2.1, 2.2 and 2.3'!O186</f>
        <v>2.9903601299748304E-3</v>
      </c>
      <c r="E186" s="16">
        <v>43833</v>
      </c>
      <c r="F186" s="17">
        <v>4.99E-2</v>
      </c>
      <c r="G186" s="41">
        <f t="shared" si="16"/>
        <v>1.3341964355095826E-4</v>
      </c>
      <c r="L186" s="40">
        <f t="shared" si="14"/>
        <v>-3.8514300025449004E-3</v>
      </c>
      <c r="M186" s="40">
        <f t="shared" si="15"/>
        <v>3.1303564605604981E-3</v>
      </c>
      <c r="O186" s="40">
        <f t="shared" si="17"/>
        <v>-3.8514300025449004E-3</v>
      </c>
      <c r="P186" s="207">
        <f t="shared" si="18"/>
        <v>1.3341964355095826E-4</v>
      </c>
      <c r="Q186" s="208">
        <f t="shared" si="19"/>
        <v>1.0021992959873915</v>
      </c>
      <c r="R186" s="40">
        <f t="shared" si="20"/>
        <v>-3.9761050142924775E-3</v>
      </c>
      <c r="S186" s="209">
        <v>0</v>
      </c>
    </row>
    <row r="187" spans="1:19" x14ac:dyDescent="0.45">
      <c r="A187" s="16">
        <v>43836</v>
      </c>
      <c r="B187" s="42">
        <f>'Part 2 - CAPM 2.1, 2.2 and 2.3'!N187</f>
        <v>-1.9672168769272223E-2</v>
      </c>
      <c r="C187" s="42">
        <f>'Part 2 - CAPM 2.1, 2.2 and 2.3'!O187</f>
        <v>-1.7260445527253438E-2</v>
      </c>
      <c r="E187" s="16">
        <v>43836</v>
      </c>
      <c r="F187" s="17">
        <v>4.9800000000000004E-2</v>
      </c>
      <c r="G187" s="41">
        <f t="shared" si="16"/>
        <v>1.3315864519825027E-4</v>
      </c>
      <c r="L187" s="40">
        <f t="shared" si="14"/>
        <v>-1.9582275045911521E-2</v>
      </c>
      <c r="M187" s="40">
        <f t="shared" si="15"/>
        <v>-1.7165247710643868E-2</v>
      </c>
      <c r="O187" s="40">
        <f t="shared" si="17"/>
        <v>-1.9582275045911521E-2</v>
      </c>
      <c r="P187" s="207">
        <f t="shared" si="18"/>
        <v>1.3315864519825027E-4</v>
      </c>
      <c r="Q187" s="208">
        <f t="shared" si="19"/>
        <v>1.0021992959873915</v>
      </c>
      <c r="R187" s="40">
        <f t="shared" si="20"/>
        <v>-1.9672168769272223E-2</v>
      </c>
      <c r="S187" s="209">
        <v>0</v>
      </c>
    </row>
    <row r="188" spans="1:19" x14ac:dyDescent="0.45">
      <c r="A188" s="16">
        <v>43837</v>
      </c>
      <c r="B188" s="42">
        <f>'Part 2 - CAPM 2.1, 2.2 and 2.3'!N188</f>
        <v>5.8163631307463024E-3</v>
      </c>
      <c r="C188" s="42">
        <f>'Part 2 - CAPM 2.1, 2.2 and 2.3'!O188</f>
        <v>-4.0943376054947099E-3</v>
      </c>
      <c r="E188" s="16">
        <v>43837</v>
      </c>
      <c r="F188" s="17">
        <v>5.0099999999999999E-2</v>
      </c>
      <c r="G188" s="41">
        <f t="shared" si="16"/>
        <v>1.3394156589074946E-4</v>
      </c>
      <c r="L188" s="40">
        <f t="shared" si="14"/>
        <v>5.9630966007317146E-3</v>
      </c>
      <c r="M188" s="40">
        <f t="shared" si="15"/>
        <v>-3.9694006998707513E-3</v>
      </c>
      <c r="O188" s="40">
        <f t="shared" si="17"/>
        <v>5.9630966007317146E-3</v>
      </c>
      <c r="P188" s="207">
        <f t="shared" si="18"/>
        <v>1.3394156589074946E-4</v>
      </c>
      <c r="Q188" s="208">
        <f t="shared" si="19"/>
        <v>1.0021992959873915</v>
      </c>
      <c r="R188" s="40">
        <f t="shared" si="20"/>
        <v>5.8163631307463024E-3</v>
      </c>
      <c r="S188" s="209">
        <v>0</v>
      </c>
    </row>
    <row r="189" spans="1:19" x14ac:dyDescent="0.45">
      <c r="A189" s="16">
        <v>43838</v>
      </c>
      <c r="B189" s="42">
        <f>'Part 2 - CAPM 2.1, 2.2 and 2.3'!N189</f>
        <v>-1.4803994833804284E-3</v>
      </c>
      <c r="C189" s="42">
        <f>'Part 2 - CAPM 2.1, 2.2 and 2.3'!O189</f>
        <v>-1.8424460939191312E-2</v>
      </c>
      <c r="E189" s="16">
        <v>43838</v>
      </c>
      <c r="F189" s="17">
        <v>5.0199999999999995E-2</v>
      </c>
      <c r="G189" s="41">
        <f t="shared" si="16"/>
        <v>1.3420248988715855E-4</v>
      </c>
      <c r="L189" s="40">
        <f t="shared" si="14"/>
        <v>-1.3494528301368049E-3</v>
      </c>
      <c r="M189" s="40">
        <f t="shared" si="15"/>
        <v>-1.8330779292317568E-2</v>
      </c>
      <c r="O189" s="40">
        <f t="shared" si="17"/>
        <v>-1.3494528301368049E-3</v>
      </c>
      <c r="P189" s="207">
        <f t="shared" si="18"/>
        <v>1.3420248988715855E-4</v>
      </c>
      <c r="Q189" s="208">
        <f t="shared" si="19"/>
        <v>1.0021992959873915</v>
      </c>
      <c r="R189" s="40">
        <f t="shared" si="20"/>
        <v>-1.4803994833804284E-3</v>
      </c>
      <c r="S189" s="209">
        <v>0</v>
      </c>
    </row>
    <row r="190" spans="1:19" x14ac:dyDescent="0.45">
      <c r="A190" s="16">
        <v>43839</v>
      </c>
      <c r="B190" s="42">
        <f>'Part 2 - CAPM 2.1, 2.2 and 2.3'!N190</f>
        <v>1.5356937028872827E-2</v>
      </c>
      <c r="C190" s="42">
        <f>'Part 2 - CAPM 2.1, 2.2 and 2.3'!O190</f>
        <v>1.8901262678857906E-3</v>
      </c>
      <c r="E190" s="16">
        <v>43839</v>
      </c>
      <c r="F190" s="17">
        <v>5.0499999999999996E-2</v>
      </c>
      <c r="G190" s="41">
        <f t="shared" si="16"/>
        <v>1.3498511324017137E-4</v>
      </c>
      <c r="L190" s="40">
        <f t="shared" si="14"/>
        <v>1.5525696592099222E-2</v>
      </c>
      <c r="M190" s="40">
        <f t="shared" si="15"/>
        <v>2.0292683282425866E-3</v>
      </c>
      <c r="O190" s="40">
        <f t="shared" si="17"/>
        <v>1.5525696592099222E-2</v>
      </c>
      <c r="P190" s="207">
        <f t="shared" si="18"/>
        <v>1.3498511324017137E-4</v>
      </c>
      <c r="Q190" s="208">
        <f t="shared" si="19"/>
        <v>1.0021992959873915</v>
      </c>
      <c r="R190" s="40">
        <f t="shared" si="20"/>
        <v>1.5356937028872827E-2</v>
      </c>
      <c r="S190" s="209">
        <v>0</v>
      </c>
    </row>
    <row r="191" spans="1:19" x14ac:dyDescent="0.45">
      <c r="A191" s="16">
        <v>43840</v>
      </c>
      <c r="B191" s="42">
        <f>'Part 2 - CAPM 2.1, 2.2 and 2.3'!N191</f>
        <v>3.2942529120819223E-3</v>
      </c>
      <c r="C191" s="42">
        <f>'Part 2 - CAPM 2.1, 2.2 and 2.3'!O191</f>
        <v>3.5028483548277577E-3</v>
      </c>
      <c r="E191" s="16">
        <v>43840</v>
      </c>
      <c r="F191" s="17">
        <v>5.0499999999999996E-2</v>
      </c>
      <c r="G191" s="41">
        <f t="shared" si="16"/>
        <v>1.3498511324017137E-4</v>
      </c>
      <c r="L191" s="40">
        <f t="shared" si="14"/>
        <v>3.4364830625330882E-3</v>
      </c>
      <c r="M191" s="40">
        <f t="shared" si="15"/>
        <v>3.6455372683991427E-3</v>
      </c>
      <c r="O191" s="40">
        <f t="shared" si="17"/>
        <v>3.4364830625330882E-3</v>
      </c>
      <c r="P191" s="207">
        <f t="shared" si="18"/>
        <v>1.3498511324017137E-4</v>
      </c>
      <c r="Q191" s="208">
        <f t="shared" si="19"/>
        <v>1.0021992959873915</v>
      </c>
      <c r="R191" s="40">
        <f t="shared" si="20"/>
        <v>3.2942529120819223E-3</v>
      </c>
      <c r="S191" s="209">
        <v>0</v>
      </c>
    </row>
    <row r="192" spans="1:19" x14ac:dyDescent="0.45">
      <c r="A192" s="16">
        <v>43843</v>
      </c>
      <c r="B192" s="42">
        <f>'Part 2 - CAPM 2.1, 2.2 and 2.3'!N192</f>
        <v>6.3292361735908572E-3</v>
      </c>
      <c r="C192" s="42">
        <f>'Part 2 - CAPM 2.1, 2.2 and 2.3'!O192</f>
        <v>1.033621907524148E-2</v>
      </c>
      <c r="E192" s="16">
        <v>43843</v>
      </c>
      <c r="F192" s="17">
        <v>5.0499999999999996E-2</v>
      </c>
      <c r="G192" s="41">
        <f t="shared" si="16"/>
        <v>1.3498511324017137E-4</v>
      </c>
      <c r="L192" s="40">
        <f t="shared" si="14"/>
        <v>6.4781411505508606E-3</v>
      </c>
      <c r="M192" s="40">
        <f t="shared" si="15"/>
        <v>1.0493936593618631E-2</v>
      </c>
      <c r="O192" s="40">
        <f t="shared" si="17"/>
        <v>6.4781411505508606E-3</v>
      </c>
      <c r="P192" s="207">
        <f t="shared" si="18"/>
        <v>1.3498511324017137E-4</v>
      </c>
      <c r="Q192" s="208">
        <f t="shared" si="19"/>
        <v>1.0021992959873915</v>
      </c>
      <c r="R192" s="40">
        <f t="shared" si="20"/>
        <v>6.3292361735908572E-3</v>
      </c>
      <c r="S192" s="209">
        <v>0</v>
      </c>
    </row>
    <row r="193" spans="1:19" x14ac:dyDescent="0.45">
      <c r="A193" s="16">
        <v>43844</v>
      </c>
      <c r="B193" s="42">
        <f>'Part 2 - CAPM 2.1, 2.2 and 2.3'!N193</f>
        <v>3.1853794951821096E-3</v>
      </c>
      <c r="C193" s="42">
        <f>'Part 2 - CAPM 2.1, 2.2 and 2.3'!O193</f>
        <v>-3.3240280615619137E-3</v>
      </c>
      <c r="E193" s="16">
        <v>43844</v>
      </c>
      <c r="F193" s="17">
        <v>5.0700000000000002E-2</v>
      </c>
      <c r="G193" s="41">
        <f t="shared" si="16"/>
        <v>1.3550673832551929E-4</v>
      </c>
      <c r="L193" s="40">
        <f t="shared" si="14"/>
        <v>3.3278918258497023E-3</v>
      </c>
      <c r="M193" s="40">
        <f t="shared" si="15"/>
        <v>-3.1958318448141645E-3</v>
      </c>
      <c r="O193" s="40">
        <f t="shared" si="17"/>
        <v>3.3278918258497023E-3</v>
      </c>
      <c r="P193" s="207">
        <f t="shared" si="18"/>
        <v>1.3550673832551929E-4</v>
      </c>
      <c r="Q193" s="208">
        <f t="shared" si="19"/>
        <v>1.0021992959873915</v>
      </c>
      <c r="R193" s="40">
        <f t="shared" si="20"/>
        <v>3.1853794951821096E-3</v>
      </c>
      <c r="S193" s="209">
        <v>0</v>
      </c>
    </row>
    <row r="194" spans="1:19" x14ac:dyDescent="0.45">
      <c r="A194" s="16">
        <v>43845</v>
      </c>
      <c r="B194" s="42">
        <f>'Part 2 - CAPM 2.1, 2.2 and 2.3'!N194</f>
        <v>9.7527976070134752E-4</v>
      </c>
      <c r="C194" s="42">
        <f>'Part 2 - CAPM 2.1, 2.2 and 2.3'!O194</f>
        <v>-3.3350095021172448E-3</v>
      </c>
      <c r="E194" s="16">
        <v>43845</v>
      </c>
      <c r="F194" s="17">
        <v>5.0999999999999997E-2</v>
      </c>
      <c r="G194" s="41">
        <f t="shared" si="16"/>
        <v>1.3628899032203101E-4</v>
      </c>
      <c r="L194" s="40">
        <f t="shared" si="14"/>
        <v>1.1137136798876732E-3</v>
      </c>
      <c r="M194" s="40">
        <f t="shared" si="15"/>
        <v>-3.2060551848111327E-3</v>
      </c>
      <c r="O194" s="40">
        <f t="shared" si="17"/>
        <v>1.1137136798876732E-3</v>
      </c>
      <c r="P194" s="207">
        <f t="shared" si="18"/>
        <v>1.3628899032203101E-4</v>
      </c>
      <c r="Q194" s="208">
        <f t="shared" si="19"/>
        <v>1.0021992959873915</v>
      </c>
      <c r="R194" s="40">
        <f t="shared" si="20"/>
        <v>9.7527976070134752E-4</v>
      </c>
      <c r="S194" s="209">
        <v>0</v>
      </c>
    </row>
    <row r="195" spans="1:19" x14ac:dyDescent="0.45">
      <c r="A195" s="16">
        <v>43846</v>
      </c>
      <c r="B195" s="42">
        <f>'Part 2 - CAPM 2.1, 2.2 and 2.3'!N195</f>
        <v>2.1433409151267943E-3</v>
      </c>
      <c r="C195" s="42">
        <f>'Part 2 - CAPM 2.1, 2.2 and 2.3'!O195</f>
        <v>-1.3401798023703992E-3</v>
      </c>
      <c r="E195" s="16">
        <v>43846</v>
      </c>
      <c r="F195" s="17">
        <v>5.1200000000000002E-2</v>
      </c>
      <c r="G195" s="41">
        <f t="shared" si="16"/>
        <v>1.3681036795398782E-4</v>
      </c>
      <c r="L195" s="40">
        <f t="shared" ref="L195:L258" si="21">G195+($J$1*(B195))</f>
        <v>2.2848651241550327E-3</v>
      </c>
      <c r="M195" s="40">
        <f t="shared" ref="M195:M258" si="22">G195+($J$1*(C195))</f>
        <v>-1.2063168864781479E-3</v>
      </c>
      <c r="O195" s="40">
        <f t="shared" si="17"/>
        <v>2.2848651241550327E-3</v>
      </c>
      <c r="P195" s="207">
        <f t="shared" si="18"/>
        <v>1.3681036795398782E-4</v>
      </c>
      <c r="Q195" s="208">
        <f t="shared" si="19"/>
        <v>1.0021992959873915</v>
      </c>
      <c r="R195" s="40">
        <f t="shared" si="20"/>
        <v>2.1433409151267943E-3</v>
      </c>
      <c r="S195" s="209">
        <v>0</v>
      </c>
    </row>
    <row r="196" spans="1:19" x14ac:dyDescent="0.45">
      <c r="A196" s="16">
        <v>43847</v>
      </c>
      <c r="B196" s="42">
        <f>'Part 2 - CAPM 2.1, 2.2 and 2.3'!N196</f>
        <v>7.1929530451345005E-4</v>
      </c>
      <c r="C196" s="42">
        <f>'Part 2 - CAPM 2.1, 2.2 and 2.3'!O196</f>
        <v>7.0926266723286167E-3</v>
      </c>
      <c r="E196" s="16">
        <v>43847</v>
      </c>
      <c r="F196" s="17">
        <v>5.0999999999999997E-2</v>
      </c>
      <c r="G196" s="41">
        <f t="shared" ref="G196:G259" si="23">((1+F196)^(1/365))-1</f>
        <v>1.3628899032203101E-4</v>
      </c>
      <c r="L196" s="40">
        <f t="shared" si="21"/>
        <v>8.571662381124471E-4</v>
      </c>
      <c r="M196" s="40">
        <f t="shared" si="22"/>
        <v>7.2445144480311665E-3</v>
      </c>
      <c r="O196" s="40">
        <f t="shared" ref="O196:O259" si="24">P196+(Q196*(R196))+S196</f>
        <v>8.571662381124471E-4</v>
      </c>
      <c r="P196" s="207">
        <f t="shared" ref="P196:P259" si="25">G196</f>
        <v>1.3628899032203101E-4</v>
      </c>
      <c r="Q196" s="208">
        <f t="shared" ref="Q196:Q259" si="26">$J$1</f>
        <v>1.0021992959873915</v>
      </c>
      <c r="R196" s="40">
        <f t="shared" ref="R196:R259" si="27">B196</f>
        <v>7.1929530451345005E-4</v>
      </c>
      <c r="S196" s="209">
        <v>0</v>
      </c>
    </row>
    <row r="197" spans="1:19" x14ac:dyDescent="0.45">
      <c r="A197" s="16">
        <v>43850</v>
      </c>
      <c r="B197" s="42">
        <f>'Part 2 - CAPM 2.1, 2.2 and 2.3'!N197</f>
        <v>-9.3274536613824482E-3</v>
      </c>
      <c r="C197" s="42">
        <f>'Part 2 - CAPM 2.1, 2.2 and 2.3'!O197</f>
        <v>-2.0072753838235355E-2</v>
      </c>
      <c r="E197" s="16">
        <v>43850</v>
      </c>
      <c r="F197" s="17">
        <v>5.1100000000000007E-2</v>
      </c>
      <c r="G197" s="41">
        <f t="shared" si="23"/>
        <v>1.3654969150489471E-4</v>
      </c>
      <c r="L197" s="40">
        <f t="shared" si="21"/>
        <v>-9.2114178012876122E-3</v>
      </c>
      <c r="M197" s="40">
        <f t="shared" si="22"/>
        <v>-1.9980350073702788E-2</v>
      </c>
      <c r="O197" s="40">
        <f t="shared" si="24"/>
        <v>-9.2114178012876122E-3</v>
      </c>
      <c r="P197" s="207">
        <f t="shared" si="25"/>
        <v>1.3654969150489471E-4</v>
      </c>
      <c r="Q197" s="208">
        <f t="shared" si="26"/>
        <v>1.0021992959873915</v>
      </c>
      <c r="R197" s="40">
        <f t="shared" si="27"/>
        <v>-9.3274536613824482E-3</v>
      </c>
      <c r="S197" s="209">
        <v>0</v>
      </c>
    </row>
    <row r="198" spans="1:19" x14ac:dyDescent="0.45">
      <c r="A198" s="16">
        <v>43851</v>
      </c>
      <c r="B198" s="42">
        <f>'Part 2 - CAPM 2.1, 2.2 and 2.3'!N198</f>
        <v>-3.9415095734236048E-3</v>
      </c>
      <c r="C198" s="42">
        <f>'Part 2 - CAPM 2.1, 2.2 and 2.3'!O198</f>
        <v>-1.3567934655051529E-3</v>
      </c>
      <c r="E198" s="16">
        <v>43851</v>
      </c>
      <c r="F198" s="17">
        <v>5.0999999999999997E-2</v>
      </c>
      <c r="G198" s="41">
        <f t="shared" si="23"/>
        <v>1.3628899032203101E-4</v>
      </c>
      <c r="L198" s="40">
        <f t="shared" si="21"/>
        <v>-3.8138891292906693E-3</v>
      </c>
      <c r="M198" s="40">
        <f t="shared" si="22"/>
        <v>-1.2234884656075265E-3</v>
      </c>
      <c r="O198" s="40">
        <f t="shared" si="24"/>
        <v>-3.8138891292906693E-3</v>
      </c>
      <c r="P198" s="207">
        <f t="shared" si="25"/>
        <v>1.3628899032203101E-4</v>
      </c>
      <c r="Q198" s="208">
        <f t="shared" si="26"/>
        <v>1.0021992959873915</v>
      </c>
      <c r="R198" s="40">
        <f t="shared" si="27"/>
        <v>-3.9415095734236048E-3</v>
      </c>
      <c r="S198" s="209">
        <v>0</v>
      </c>
    </row>
    <row r="199" spans="1:19" x14ac:dyDescent="0.45">
      <c r="A199" s="16">
        <v>43852</v>
      </c>
      <c r="B199" s="42">
        <f>'Part 2 - CAPM 2.1, 2.2 and 2.3'!N199</f>
        <v>-4.1966044596912144E-3</v>
      </c>
      <c r="C199" s="42">
        <f>'Part 2 - CAPM 2.1, 2.2 and 2.3'!O199</f>
        <v>-5.1867710587635195E-2</v>
      </c>
      <c r="E199" s="16">
        <v>43852</v>
      </c>
      <c r="F199" s="17">
        <v>5.1100000000000007E-2</v>
      </c>
      <c r="G199" s="41">
        <f t="shared" si="23"/>
        <v>1.3654969150489471E-4</v>
      </c>
      <c r="L199" s="40">
        <f t="shared" si="21"/>
        <v>-4.0692843435351884E-3</v>
      </c>
      <c r="M199" s="40">
        <f t="shared" si="22"/>
        <v>-5.1845233343900871E-2</v>
      </c>
      <c r="O199" s="40">
        <f t="shared" si="24"/>
        <v>-4.0692843435351884E-3</v>
      </c>
      <c r="P199" s="207">
        <f t="shared" si="25"/>
        <v>1.3654969150489471E-4</v>
      </c>
      <c r="Q199" s="208">
        <f t="shared" si="26"/>
        <v>1.0021992959873915</v>
      </c>
      <c r="R199" s="40">
        <f t="shared" si="27"/>
        <v>-4.1966044596912144E-3</v>
      </c>
      <c r="S199" s="209">
        <v>0</v>
      </c>
    </row>
    <row r="200" spans="1:19" x14ac:dyDescent="0.45">
      <c r="A200" s="16">
        <v>43853</v>
      </c>
      <c r="B200" s="42">
        <f>'Part 2 - CAPM 2.1, 2.2 and 2.3'!N200</f>
        <v>7.3428317351926526E-3</v>
      </c>
      <c r="C200" s="42">
        <f>'Part 2 - CAPM 2.1, 2.2 and 2.3'!O200</f>
        <v>1.1890681040980646E-2</v>
      </c>
      <c r="E200" s="16">
        <v>43853</v>
      </c>
      <c r="F200" s="17">
        <v>5.1200000000000002E-2</v>
      </c>
      <c r="G200" s="41">
        <f t="shared" si="23"/>
        <v>1.3681036795398782E-4</v>
      </c>
      <c r="L200" s="40">
        <f t="shared" si="21"/>
        <v>7.4957911635179413E-3</v>
      </c>
      <c r="M200" s="40">
        <f t="shared" si="22"/>
        <v>1.2053642536035416E-2</v>
      </c>
      <c r="O200" s="40">
        <f t="shared" si="24"/>
        <v>7.4957911635179413E-3</v>
      </c>
      <c r="P200" s="207">
        <f t="shared" si="25"/>
        <v>1.3681036795398782E-4</v>
      </c>
      <c r="Q200" s="208">
        <f t="shared" si="26"/>
        <v>1.0021992959873915</v>
      </c>
      <c r="R200" s="40">
        <f t="shared" si="27"/>
        <v>7.3428317351926526E-3</v>
      </c>
      <c r="S200" s="209">
        <v>0</v>
      </c>
    </row>
    <row r="201" spans="1:19" x14ac:dyDescent="0.45">
      <c r="A201" s="16">
        <v>43854</v>
      </c>
      <c r="B201" s="42">
        <f>'Part 2 - CAPM 2.1, 2.2 and 2.3'!N201</f>
        <v>6.0798859020283593E-3</v>
      </c>
      <c r="C201" s="42">
        <f>'Part 2 - CAPM 2.1, 2.2 and 2.3'!O201</f>
        <v>4.5321200225383485E-3</v>
      </c>
      <c r="E201" s="16">
        <v>43854</v>
      </c>
      <c r="F201" s="17">
        <v>5.1200000000000002E-2</v>
      </c>
      <c r="G201" s="41">
        <f t="shared" si="23"/>
        <v>1.3681036795398782E-4</v>
      </c>
      <c r="L201" s="40">
        <f t="shared" si="21"/>
        <v>6.2300677386504764E-3</v>
      </c>
      <c r="M201" s="40">
        <f t="shared" si="22"/>
        <v>4.6788978638722814E-3</v>
      </c>
      <c r="O201" s="40">
        <f t="shared" si="24"/>
        <v>6.2300677386504764E-3</v>
      </c>
      <c r="P201" s="207">
        <f t="shared" si="25"/>
        <v>1.3681036795398782E-4</v>
      </c>
      <c r="Q201" s="208">
        <f t="shared" si="26"/>
        <v>1.0021992959873915</v>
      </c>
      <c r="R201" s="40">
        <f t="shared" si="27"/>
        <v>6.0798859020283593E-3</v>
      </c>
      <c r="S201" s="209">
        <v>0</v>
      </c>
    </row>
    <row r="202" spans="1:19" x14ac:dyDescent="0.45">
      <c r="A202" s="16">
        <v>43857</v>
      </c>
      <c r="B202" s="42">
        <f>'Part 2 - CAPM 2.1, 2.2 and 2.3'!N202</f>
        <v>-8.4764815783601871E-3</v>
      </c>
      <c r="C202" s="42">
        <f>'Part 2 - CAPM 2.1, 2.2 and 2.3'!O202</f>
        <v>-9.4307545585518102E-3</v>
      </c>
      <c r="E202" s="16">
        <v>43857</v>
      </c>
      <c r="F202" s="17">
        <v>5.0999999999999997E-2</v>
      </c>
      <c r="G202" s="41">
        <f t="shared" si="23"/>
        <v>1.3628899032203101E-4</v>
      </c>
      <c r="L202" s="40">
        <f t="shared" si="21"/>
        <v>-8.3588348799606416E-3</v>
      </c>
      <c r="M202" s="40">
        <f t="shared" si="22"/>
        <v>-9.3152065888884774E-3</v>
      </c>
      <c r="O202" s="40">
        <f t="shared" si="24"/>
        <v>-8.3588348799606416E-3</v>
      </c>
      <c r="P202" s="207">
        <f t="shared" si="25"/>
        <v>1.3628899032203101E-4</v>
      </c>
      <c r="Q202" s="208">
        <f t="shared" si="26"/>
        <v>1.0021992959873915</v>
      </c>
      <c r="R202" s="40">
        <f t="shared" si="27"/>
        <v>-8.4764815783601871E-3</v>
      </c>
      <c r="S202" s="209">
        <v>0</v>
      </c>
    </row>
    <row r="203" spans="1:19" x14ac:dyDescent="0.45">
      <c r="A203" s="16">
        <v>43858</v>
      </c>
      <c r="B203" s="42">
        <f>'Part 2 - CAPM 2.1, 2.2 and 2.3'!N203</f>
        <v>-4.401720298329131E-3</v>
      </c>
      <c r="C203" s="42">
        <f>'Part 2 - CAPM 2.1, 2.2 and 2.3'!O203</f>
        <v>-5.6802597128269051E-3</v>
      </c>
      <c r="E203" s="16">
        <v>43858</v>
      </c>
      <c r="F203" s="17">
        <v>5.1100000000000007E-2</v>
      </c>
      <c r="G203" s="41">
        <f t="shared" si="23"/>
        <v>1.3654969150489471E-4</v>
      </c>
      <c r="L203" s="40">
        <f t="shared" si="21"/>
        <v>-4.2748512926139718E-3</v>
      </c>
      <c r="M203" s="40">
        <f t="shared" si="22"/>
        <v>-5.5562025937157724E-3</v>
      </c>
      <c r="O203" s="40">
        <f t="shared" si="24"/>
        <v>-4.2748512926139718E-3</v>
      </c>
      <c r="P203" s="207">
        <f t="shared" si="25"/>
        <v>1.3654969150489471E-4</v>
      </c>
      <c r="Q203" s="208">
        <f t="shared" si="26"/>
        <v>1.0021992959873915</v>
      </c>
      <c r="R203" s="40">
        <f t="shared" si="27"/>
        <v>-4.401720298329131E-3</v>
      </c>
      <c r="S203" s="209">
        <v>0</v>
      </c>
    </row>
    <row r="204" spans="1:19" x14ac:dyDescent="0.45">
      <c r="A204" s="16">
        <v>43859</v>
      </c>
      <c r="B204" s="42">
        <f>'Part 2 - CAPM 2.1, 2.2 and 2.3'!N204</f>
        <v>5.1213451245423142E-3</v>
      </c>
      <c r="C204" s="42">
        <f>'Part 2 - CAPM 2.1, 2.2 and 2.3'!O204</f>
        <v>8.8688568072766948E-3</v>
      </c>
      <c r="E204" s="16">
        <v>43859</v>
      </c>
      <c r="F204" s="17">
        <v>5.0999999999999997E-2</v>
      </c>
      <c r="G204" s="41">
        <f t="shared" si="23"/>
        <v>1.3628899032203101E-4</v>
      </c>
      <c r="L204" s="40">
        <f t="shared" si="21"/>
        <v>5.2688974686467983E-3</v>
      </c>
      <c r="M204" s="40">
        <f t="shared" si="22"/>
        <v>9.0246510387877194E-3</v>
      </c>
      <c r="O204" s="40">
        <f t="shared" si="24"/>
        <v>5.2688974686467983E-3</v>
      </c>
      <c r="P204" s="207">
        <f t="shared" si="25"/>
        <v>1.3628899032203101E-4</v>
      </c>
      <c r="Q204" s="208">
        <f t="shared" si="26"/>
        <v>1.0021992959873915</v>
      </c>
      <c r="R204" s="40">
        <f t="shared" si="27"/>
        <v>5.1213451245423142E-3</v>
      </c>
      <c r="S204" s="209">
        <v>0</v>
      </c>
    </row>
    <row r="205" spans="1:19" x14ac:dyDescent="0.45">
      <c r="A205" s="16">
        <v>43860</v>
      </c>
      <c r="B205" s="42">
        <f>'Part 2 - CAPM 2.1, 2.2 and 2.3'!N205</f>
        <v>-9.1384388534623204E-3</v>
      </c>
      <c r="C205" s="42">
        <f>'Part 2 - CAPM 2.1, 2.2 and 2.3'!O205</f>
        <v>-1.7561374753844436E-2</v>
      </c>
      <c r="E205" s="16">
        <v>43860</v>
      </c>
      <c r="F205" s="17">
        <v>5.1200000000000002E-2</v>
      </c>
      <c r="G205" s="41">
        <f t="shared" si="23"/>
        <v>1.3681036795398782E-4</v>
      </c>
      <c r="L205" s="40">
        <f t="shared" si="21"/>
        <v>-9.0217266174097751E-3</v>
      </c>
      <c r="M205" s="40">
        <f t="shared" si="22"/>
        <v>-1.7463187046919657E-2</v>
      </c>
      <c r="O205" s="40">
        <f t="shared" si="24"/>
        <v>-9.0217266174097751E-3</v>
      </c>
      <c r="P205" s="207">
        <f t="shared" si="25"/>
        <v>1.3681036795398782E-4</v>
      </c>
      <c r="Q205" s="208">
        <f t="shared" si="26"/>
        <v>1.0021992959873915</v>
      </c>
      <c r="R205" s="40">
        <f t="shared" si="27"/>
        <v>-9.1384388534623204E-3</v>
      </c>
      <c r="S205" s="209">
        <v>0</v>
      </c>
    </row>
    <row r="206" spans="1:19" x14ac:dyDescent="0.45">
      <c r="A206" s="16">
        <v>43861</v>
      </c>
      <c r="B206" s="42">
        <f>'Part 2 - CAPM 2.1, 2.2 and 2.3'!N206</f>
        <v>-5.9591131198435633E-3</v>
      </c>
      <c r="C206" s="42">
        <f>'Part 2 - CAPM 2.1, 2.2 and 2.3'!O206</f>
        <v>-5.7663022576767552E-2</v>
      </c>
      <c r="E206" s="16">
        <v>43861</v>
      </c>
      <c r="F206" s="17">
        <v>5.1299999999999998E-2</v>
      </c>
      <c r="G206" s="41">
        <f t="shared" si="23"/>
        <v>1.3707101967419533E-4</v>
      </c>
      <c r="L206" s="40">
        <f t="shared" si="21"/>
        <v>-5.8351479537422524E-3</v>
      </c>
      <c r="M206" s="40">
        <f t="shared" si="22"/>
        <v>-5.7652769611267307E-2</v>
      </c>
      <c r="O206" s="40">
        <f t="shared" si="24"/>
        <v>-5.8351479537422524E-3</v>
      </c>
      <c r="P206" s="207">
        <f t="shared" si="25"/>
        <v>1.3707101967419533E-4</v>
      </c>
      <c r="Q206" s="208">
        <f t="shared" si="26"/>
        <v>1.0021992959873915</v>
      </c>
      <c r="R206" s="40">
        <f t="shared" si="27"/>
        <v>-5.9591131198435633E-3</v>
      </c>
      <c r="S206" s="209">
        <v>0</v>
      </c>
    </row>
    <row r="207" spans="1:19" x14ac:dyDescent="0.45">
      <c r="A207" s="16">
        <v>43864</v>
      </c>
      <c r="B207" s="42">
        <f>'Part 2 - CAPM 2.1, 2.2 and 2.3'!N207</f>
        <v>-2.152285697897291E-2</v>
      </c>
      <c r="C207" s="42">
        <f>'Part 2 - CAPM 2.1, 2.2 and 2.3'!O207</f>
        <v>-5.0618422110045511E-2</v>
      </c>
      <c r="E207" s="16">
        <v>43864</v>
      </c>
      <c r="F207" s="17">
        <v>5.1100000000000007E-2</v>
      </c>
      <c r="G207" s="41">
        <f t="shared" si="23"/>
        <v>1.3654969150489471E-4</v>
      </c>
      <c r="L207" s="40">
        <f t="shared" si="21"/>
        <v>-2.1433642420459073E-2</v>
      </c>
      <c r="M207" s="40">
        <f t="shared" si="22"/>
        <v>-5.0593197311175328E-2</v>
      </c>
      <c r="O207" s="40">
        <f t="shared" si="24"/>
        <v>-2.1433642420459073E-2</v>
      </c>
      <c r="P207" s="207">
        <f t="shared" si="25"/>
        <v>1.3654969150489471E-4</v>
      </c>
      <c r="Q207" s="208">
        <f t="shared" si="26"/>
        <v>1.0021992959873915</v>
      </c>
      <c r="R207" s="40">
        <f t="shared" si="27"/>
        <v>-2.152285697897291E-2</v>
      </c>
      <c r="S207" s="209">
        <v>0</v>
      </c>
    </row>
    <row r="208" spans="1:19" x14ac:dyDescent="0.45">
      <c r="A208" s="16">
        <v>43865</v>
      </c>
      <c r="B208" s="42">
        <f>'Part 2 - CAPM 2.1, 2.2 and 2.3'!N208</f>
        <v>2.084644965349557E-2</v>
      </c>
      <c r="C208" s="42">
        <f>'Part 2 - CAPM 2.1, 2.2 and 2.3'!O208</f>
        <v>2.5962754639295919E-2</v>
      </c>
      <c r="E208" s="16">
        <v>43865</v>
      </c>
      <c r="F208" s="17">
        <v>5.1200000000000002E-2</v>
      </c>
      <c r="G208" s="41">
        <f t="shared" si="23"/>
        <v>1.3681036795398782E-4</v>
      </c>
      <c r="L208" s="40">
        <f t="shared" si="21"/>
        <v>2.1029107534523851E-2</v>
      </c>
      <c r="M208" s="40">
        <f t="shared" si="22"/>
        <v>2.6156664789349741E-2</v>
      </c>
      <c r="O208" s="40">
        <f t="shared" si="24"/>
        <v>2.1029107534523851E-2</v>
      </c>
      <c r="P208" s="207">
        <f t="shared" si="25"/>
        <v>1.3681036795398782E-4</v>
      </c>
      <c r="Q208" s="208">
        <f t="shared" si="26"/>
        <v>1.0021992959873915</v>
      </c>
      <c r="R208" s="40">
        <f t="shared" si="27"/>
        <v>2.084644965349557E-2</v>
      </c>
      <c r="S208" s="209">
        <v>0</v>
      </c>
    </row>
    <row r="209" spans="1:19" x14ac:dyDescent="0.45">
      <c r="A209" s="16">
        <v>43866</v>
      </c>
      <c r="B209" s="42">
        <f>'Part 2 - CAPM 2.1, 2.2 and 2.3'!N209</f>
        <v>9.8395352088541388E-3</v>
      </c>
      <c r="C209" s="42">
        <f>'Part 2 - CAPM 2.1, 2.2 and 2.3'!O209</f>
        <v>5.9863392488137129E-3</v>
      </c>
      <c r="E209" s="16">
        <v>43866</v>
      </c>
      <c r="F209" s="17">
        <v>5.1299999999999998E-2</v>
      </c>
      <c r="G209" s="41">
        <f t="shared" si="23"/>
        <v>1.3707101967419533E-4</v>
      </c>
      <c r="L209" s="40">
        <f t="shared" si="21"/>
        <v>9.9982462788309641E-3</v>
      </c>
      <c r="M209" s="40">
        <f t="shared" si="22"/>
        <v>6.1365760003769887E-3</v>
      </c>
      <c r="O209" s="40">
        <f t="shared" si="24"/>
        <v>9.9982462788309641E-3</v>
      </c>
      <c r="P209" s="207">
        <f t="shared" si="25"/>
        <v>1.3707101967419533E-4</v>
      </c>
      <c r="Q209" s="208">
        <f t="shared" si="26"/>
        <v>1.0021992959873915</v>
      </c>
      <c r="R209" s="40">
        <f t="shared" si="27"/>
        <v>9.8395352088541388E-3</v>
      </c>
      <c r="S209" s="209">
        <v>0</v>
      </c>
    </row>
    <row r="210" spans="1:19" x14ac:dyDescent="0.45">
      <c r="A210" s="16">
        <v>43867</v>
      </c>
      <c r="B210" s="42">
        <f>'Part 2 - CAPM 2.1, 2.2 and 2.3'!N210</f>
        <v>5.1732449741433211E-3</v>
      </c>
      <c r="C210" s="42">
        <f>'Part 2 - CAPM 2.1, 2.2 and 2.3'!O210</f>
        <v>4.0758908971203931E-3</v>
      </c>
      <c r="E210" s="16">
        <v>43867</v>
      </c>
      <c r="F210" s="17">
        <v>5.1500000000000004E-2</v>
      </c>
      <c r="G210" s="41">
        <f t="shared" si="23"/>
        <v>1.3759224894704936E-4</v>
      </c>
      <c r="L210" s="40">
        <f t="shared" si="21"/>
        <v>5.3222147200037975E-3</v>
      </c>
      <c r="M210" s="40">
        <f t="shared" si="22"/>
        <v>4.2224472365625255E-3</v>
      </c>
      <c r="O210" s="40">
        <f t="shared" si="24"/>
        <v>5.3222147200037975E-3</v>
      </c>
      <c r="P210" s="207">
        <f t="shared" si="25"/>
        <v>1.3759224894704936E-4</v>
      </c>
      <c r="Q210" s="208">
        <f t="shared" si="26"/>
        <v>1.0021992959873915</v>
      </c>
      <c r="R210" s="40">
        <f t="shared" si="27"/>
        <v>5.1732449741433211E-3</v>
      </c>
      <c r="S210" s="209">
        <v>0</v>
      </c>
    </row>
    <row r="211" spans="1:19" x14ac:dyDescent="0.45">
      <c r="A211" s="16">
        <v>43868</v>
      </c>
      <c r="B211" s="42">
        <f>'Part 2 - CAPM 2.1, 2.2 and 2.3'!N211</f>
        <v>-4.8140485233741777E-4</v>
      </c>
      <c r="C211" s="42">
        <f>'Part 2 - CAPM 2.1, 2.2 and 2.3'!O211</f>
        <v>1.8511468956513753E-2</v>
      </c>
      <c r="E211" s="16">
        <v>43868</v>
      </c>
      <c r="F211" s="17">
        <v>5.1100000000000007E-2</v>
      </c>
      <c r="G211" s="41">
        <f t="shared" si="23"/>
        <v>1.3654969150489471E-4</v>
      </c>
      <c r="L211" s="40">
        <f t="shared" si="21"/>
        <v>-3.4591391259257957E-4</v>
      </c>
      <c r="M211" s="40">
        <f t="shared" si="22"/>
        <v>1.8688730847415434E-2</v>
      </c>
      <c r="O211" s="40">
        <f t="shared" si="24"/>
        <v>-3.4591391259257957E-4</v>
      </c>
      <c r="P211" s="207">
        <f t="shared" si="25"/>
        <v>1.3654969150489471E-4</v>
      </c>
      <c r="Q211" s="208">
        <f t="shared" si="26"/>
        <v>1.0021992959873915</v>
      </c>
      <c r="R211" s="40">
        <f t="shared" si="27"/>
        <v>-4.8140485233741777E-4</v>
      </c>
      <c r="S211" s="209">
        <v>0</v>
      </c>
    </row>
    <row r="212" spans="1:19" x14ac:dyDescent="0.45">
      <c r="A212" s="16">
        <v>43871</v>
      </c>
      <c r="B212" s="42">
        <f>'Part 2 - CAPM 2.1, 2.2 and 2.3'!N212</f>
        <v>-5.645875771313493E-3</v>
      </c>
      <c r="C212" s="42">
        <f>'Part 2 - CAPM 2.1, 2.2 and 2.3'!O212</f>
        <v>-2.8053909127621776E-2</v>
      </c>
      <c r="E212" s="16">
        <v>43871</v>
      </c>
      <c r="F212" s="17">
        <v>5.0999999999999997E-2</v>
      </c>
      <c r="G212" s="41">
        <f t="shared" si="23"/>
        <v>1.3628899032203101E-4</v>
      </c>
      <c r="L212" s="40">
        <f t="shared" si="21"/>
        <v>-5.5220037329206228E-3</v>
      </c>
      <c r="M212" s="40">
        <f t="shared" si="22"/>
        <v>-2.7979318987074772E-2</v>
      </c>
      <c r="O212" s="40">
        <f t="shared" si="24"/>
        <v>-5.5220037329206228E-3</v>
      </c>
      <c r="P212" s="207">
        <f t="shared" si="25"/>
        <v>1.3628899032203101E-4</v>
      </c>
      <c r="Q212" s="208">
        <f t="shared" si="26"/>
        <v>1.0021992959873915</v>
      </c>
      <c r="R212" s="40">
        <f t="shared" si="27"/>
        <v>-5.645875771313493E-3</v>
      </c>
      <c r="S212" s="209">
        <v>0</v>
      </c>
    </row>
    <row r="213" spans="1:19" x14ac:dyDescent="0.45">
      <c r="A213" s="16">
        <v>43872</v>
      </c>
      <c r="B213" s="42">
        <f>'Part 2 - CAPM 2.1, 2.2 and 2.3'!N213</f>
        <v>4.026595596281597E-3</v>
      </c>
      <c r="C213" s="42">
        <f>'Part 2 - CAPM 2.1, 2.2 and 2.3'!O213</f>
        <v>5.5136892497230621E-3</v>
      </c>
      <c r="E213" s="16">
        <v>43872</v>
      </c>
      <c r="F213" s="17">
        <v>5.0900000000000001E-2</v>
      </c>
      <c r="G213" s="41">
        <f t="shared" si="23"/>
        <v>1.3602826440117788E-4</v>
      </c>
      <c r="L213" s="40">
        <f t="shared" si="21"/>
        <v>4.1714795362205251E-3</v>
      </c>
      <c r="M213" s="40">
        <f t="shared" si="22"/>
        <v>5.6618437487668798E-3</v>
      </c>
      <c r="O213" s="40">
        <f t="shared" si="24"/>
        <v>4.1714795362205251E-3</v>
      </c>
      <c r="P213" s="207">
        <f t="shared" si="25"/>
        <v>1.3602826440117788E-4</v>
      </c>
      <c r="Q213" s="208">
        <f t="shared" si="26"/>
        <v>1.0021992959873915</v>
      </c>
      <c r="R213" s="40">
        <f t="shared" si="27"/>
        <v>4.026595596281597E-3</v>
      </c>
      <c r="S213" s="209">
        <v>0</v>
      </c>
    </row>
    <row r="214" spans="1:19" x14ac:dyDescent="0.45">
      <c r="A214" s="16">
        <v>43873</v>
      </c>
      <c r="B214" s="42">
        <f>'Part 2 - CAPM 2.1, 2.2 and 2.3'!N214</f>
        <v>4.8746795114399371E-3</v>
      </c>
      <c r="C214" s="42">
        <f>'Part 2 - CAPM 2.1, 2.2 and 2.3'!O214</f>
        <v>-1.0731399559689159E-3</v>
      </c>
      <c r="E214" s="16">
        <v>43873</v>
      </c>
      <c r="F214" s="17">
        <v>5.1200000000000002E-2</v>
      </c>
      <c r="G214" s="41">
        <f t="shared" si="23"/>
        <v>1.3681036795398782E-4</v>
      </c>
      <c r="L214" s="40">
        <f t="shared" si="21"/>
        <v>5.0222107424832546E-3</v>
      </c>
      <c r="M214" s="40">
        <f t="shared" si="22"/>
        <v>-9.3868974041400001E-4</v>
      </c>
      <c r="O214" s="40">
        <f t="shared" si="24"/>
        <v>5.0222107424832546E-3</v>
      </c>
      <c r="P214" s="207">
        <f t="shared" si="25"/>
        <v>1.3681036795398782E-4</v>
      </c>
      <c r="Q214" s="208">
        <f t="shared" si="26"/>
        <v>1.0021992959873915</v>
      </c>
      <c r="R214" s="40">
        <f t="shared" si="27"/>
        <v>4.8746795114399371E-3</v>
      </c>
      <c r="S214" s="209">
        <v>0</v>
      </c>
    </row>
    <row r="215" spans="1:19" x14ac:dyDescent="0.45">
      <c r="A215" s="16">
        <v>43874</v>
      </c>
      <c r="B215" s="42">
        <f>'Part 2 - CAPM 2.1, 2.2 and 2.3'!N215</f>
        <v>-2.064397376593253E-3</v>
      </c>
      <c r="C215" s="42">
        <f>'Part 2 - CAPM 2.1, 2.2 and 2.3'!O215</f>
        <v>-1.278884584895577E-2</v>
      </c>
      <c r="E215" s="16">
        <v>43874</v>
      </c>
      <c r="F215" s="17">
        <v>5.1100000000000007E-2</v>
      </c>
      <c r="G215" s="41">
        <f t="shared" si="23"/>
        <v>1.3654969150489471E-4</v>
      </c>
      <c r="L215" s="40">
        <f t="shared" si="21"/>
        <v>-1.9323879059550816E-3</v>
      </c>
      <c r="M215" s="40">
        <f t="shared" si="22"/>
        <v>-1.2680422614809853E-2</v>
      </c>
      <c r="O215" s="40">
        <f t="shared" si="24"/>
        <v>-1.9323879059550816E-3</v>
      </c>
      <c r="P215" s="207">
        <f t="shared" si="25"/>
        <v>1.3654969150489471E-4</v>
      </c>
      <c r="Q215" s="208">
        <f t="shared" si="26"/>
        <v>1.0021992959873915</v>
      </c>
      <c r="R215" s="40">
        <f t="shared" si="27"/>
        <v>-2.064397376593253E-3</v>
      </c>
      <c r="S215" s="209">
        <v>0</v>
      </c>
    </row>
    <row r="216" spans="1:19" x14ac:dyDescent="0.45">
      <c r="A216" s="16">
        <v>43875</v>
      </c>
      <c r="B216" s="42">
        <f>'Part 2 - CAPM 2.1, 2.2 and 2.3'!N216</f>
        <v>-5.7965032738962231E-3</v>
      </c>
      <c r="C216" s="42">
        <f>'Part 2 - CAPM 2.1, 2.2 and 2.3'!O216</f>
        <v>-1.9595496060750242E-2</v>
      </c>
      <c r="E216" s="16">
        <v>43875</v>
      </c>
      <c r="F216" s="17">
        <v>5.1100000000000007E-2</v>
      </c>
      <c r="G216" s="41">
        <f t="shared" si="23"/>
        <v>1.3654969150489471E-4</v>
      </c>
      <c r="L216" s="40">
        <f t="shared" si="21"/>
        <v>-5.6727018087825102E-3</v>
      </c>
      <c r="M216" s="40">
        <f t="shared" si="22"/>
        <v>-1.9502042665102703E-2</v>
      </c>
      <c r="O216" s="40">
        <f t="shared" si="24"/>
        <v>-5.6727018087825102E-3</v>
      </c>
      <c r="P216" s="207">
        <f t="shared" si="25"/>
        <v>1.3654969150489471E-4</v>
      </c>
      <c r="Q216" s="208">
        <f t="shared" si="26"/>
        <v>1.0021992959873915</v>
      </c>
      <c r="R216" s="40">
        <f t="shared" si="27"/>
        <v>-5.7965032738962231E-3</v>
      </c>
      <c r="S216" s="209">
        <v>0</v>
      </c>
    </row>
    <row r="217" spans="1:19" x14ac:dyDescent="0.45">
      <c r="A217" s="16">
        <v>43878</v>
      </c>
      <c r="B217" s="42">
        <f>'Part 2 - CAPM 2.1, 2.2 and 2.3'!N217</f>
        <v>-7.1692015315360678E-3</v>
      </c>
      <c r="C217" s="42">
        <f>'Part 2 - CAPM 2.1, 2.2 and 2.3'!O217</f>
        <v>-3.2566626437653838E-2</v>
      </c>
      <c r="E217" s="16">
        <v>43878</v>
      </c>
      <c r="F217" s="17">
        <v>5.1200000000000002E-2</v>
      </c>
      <c r="G217" s="41">
        <f t="shared" si="23"/>
        <v>1.3681036795398782E-4</v>
      </c>
      <c r="L217" s="40">
        <f t="shared" si="21"/>
        <v>-7.0481583597431889E-3</v>
      </c>
      <c r="M217" s="40">
        <f t="shared" si="22"/>
        <v>-3.250143972054706E-2</v>
      </c>
      <c r="O217" s="40">
        <f t="shared" si="24"/>
        <v>-7.0481583597431889E-3</v>
      </c>
      <c r="P217" s="207">
        <f t="shared" si="25"/>
        <v>1.3681036795398782E-4</v>
      </c>
      <c r="Q217" s="208">
        <f t="shared" si="26"/>
        <v>1.0021992959873915</v>
      </c>
      <c r="R217" s="40">
        <f t="shared" si="27"/>
        <v>-7.1692015315360678E-3</v>
      </c>
      <c r="S217" s="209">
        <v>0</v>
      </c>
    </row>
    <row r="218" spans="1:19" x14ac:dyDescent="0.45">
      <c r="A218" s="16">
        <v>43879</v>
      </c>
      <c r="B218" s="42">
        <f>'Part 2 - CAPM 2.1, 2.2 and 2.3'!N218</f>
        <v>-4.7308539559572796E-3</v>
      </c>
      <c r="C218" s="42">
        <f>'Part 2 - CAPM 2.1, 2.2 and 2.3'!O218</f>
        <v>-6.6390191395499691E-3</v>
      </c>
      <c r="E218" s="16">
        <v>43879</v>
      </c>
      <c r="F218" s="17">
        <v>5.0799999999999998E-2</v>
      </c>
      <c r="G218" s="41">
        <f t="shared" si="23"/>
        <v>1.3576751373700624E-4</v>
      </c>
      <c r="L218" s="40">
        <f t="shared" si="21"/>
        <v>-4.6054909903425452E-3</v>
      </c>
      <c r="M218" s="40">
        <f t="shared" si="22"/>
        <v>-6.5178527939667909E-3</v>
      </c>
      <c r="O218" s="40">
        <f t="shared" si="24"/>
        <v>-4.6054909903425452E-3</v>
      </c>
      <c r="P218" s="207">
        <f t="shared" si="25"/>
        <v>1.3576751373700624E-4</v>
      </c>
      <c r="Q218" s="208">
        <f t="shared" si="26"/>
        <v>1.0021992959873915</v>
      </c>
      <c r="R218" s="40">
        <f t="shared" si="27"/>
        <v>-4.7308539559572796E-3</v>
      </c>
      <c r="S218" s="209">
        <v>0</v>
      </c>
    </row>
    <row r="219" spans="1:19" x14ac:dyDescent="0.45">
      <c r="A219" s="16">
        <v>43881</v>
      </c>
      <c r="B219" s="42">
        <f>'Part 2 - CAPM 2.1, 2.2 and 2.3'!N219</f>
        <v>1.1351916513803652E-2</v>
      </c>
      <c r="C219" s="42">
        <f>'Part 2 - CAPM 2.1, 2.2 and 2.3'!O219</f>
        <v>3.5111220351301875E-2</v>
      </c>
      <c r="E219" s="16">
        <v>43881</v>
      </c>
      <c r="F219" s="17">
        <v>5.0700000000000002E-2</v>
      </c>
      <c r="G219" s="41">
        <f t="shared" si="23"/>
        <v>1.3550673832551929E-4</v>
      </c>
      <c r="L219" s="40">
        <f t="shared" si="21"/>
        <v>1.1512389476567185E-2</v>
      </c>
      <c r="M219" s="40">
        <f t="shared" si="22"/>
        <v>3.5323947055658431E-2</v>
      </c>
      <c r="O219" s="40">
        <f t="shared" si="24"/>
        <v>1.1512389476567185E-2</v>
      </c>
      <c r="P219" s="207">
        <f t="shared" si="25"/>
        <v>1.3550673832551929E-4</v>
      </c>
      <c r="Q219" s="208">
        <f t="shared" si="26"/>
        <v>1.0021992959873915</v>
      </c>
      <c r="R219" s="40">
        <f t="shared" si="27"/>
        <v>1.1351916513803652E-2</v>
      </c>
      <c r="S219" s="209">
        <v>0</v>
      </c>
    </row>
    <row r="220" spans="1:19" x14ac:dyDescent="0.45">
      <c r="A220" s="16">
        <v>43885</v>
      </c>
      <c r="B220" s="42">
        <f>'Part 2 - CAPM 2.1, 2.2 and 2.3'!N220</f>
        <v>-2.0263476170170637E-2</v>
      </c>
      <c r="C220" s="42">
        <f>'Part 2 - CAPM 2.1, 2.2 and 2.3'!O220</f>
        <v>-4.6341471619095242E-2</v>
      </c>
      <c r="E220" s="16">
        <v>43885</v>
      </c>
      <c r="F220" s="17">
        <v>5.0599999999999999E-2</v>
      </c>
      <c r="G220" s="41">
        <f t="shared" si="23"/>
        <v>1.3524593816138797E-4</v>
      </c>
      <c r="L220" s="40">
        <f t="shared" si="21"/>
        <v>-2.0172795613840909E-2</v>
      </c>
      <c r="M220" s="40">
        <f t="shared" si="22"/>
        <v>-4.6308144293515548E-2</v>
      </c>
      <c r="O220" s="40">
        <f t="shared" si="24"/>
        <v>-2.0172795613840909E-2</v>
      </c>
      <c r="P220" s="207">
        <f t="shared" si="25"/>
        <v>1.3524593816138797E-4</v>
      </c>
      <c r="Q220" s="208">
        <f t="shared" si="26"/>
        <v>1.0021992959873915</v>
      </c>
      <c r="R220" s="40">
        <f t="shared" si="27"/>
        <v>-2.0263476170170637E-2</v>
      </c>
      <c r="S220" s="209">
        <v>0</v>
      </c>
    </row>
    <row r="221" spans="1:19" x14ac:dyDescent="0.45">
      <c r="A221" s="16">
        <v>43886</v>
      </c>
      <c r="B221" s="42">
        <f>'Part 2 - CAPM 2.1, 2.2 and 2.3'!N221</f>
        <v>-3.5685169246303704E-3</v>
      </c>
      <c r="C221" s="42">
        <f>'Part 2 - CAPM 2.1, 2.2 and 2.3'!O221</f>
        <v>-5.234945800028732E-3</v>
      </c>
      <c r="E221" s="16">
        <v>43886</v>
      </c>
      <c r="F221" s="17">
        <v>5.0700000000000002E-2</v>
      </c>
      <c r="G221" s="41">
        <f t="shared" si="23"/>
        <v>1.3550673832551929E-4</v>
      </c>
      <c r="L221" s="40">
        <f t="shared" si="21"/>
        <v>-3.4408584112581293E-3</v>
      </c>
      <c r="M221" s="40">
        <f t="shared" si="22"/>
        <v>-5.1109522569954277E-3</v>
      </c>
      <c r="O221" s="40">
        <f t="shared" si="24"/>
        <v>-3.4408584112581293E-3</v>
      </c>
      <c r="P221" s="207">
        <f t="shared" si="25"/>
        <v>1.3550673832551929E-4</v>
      </c>
      <c r="Q221" s="208">
        <f t="shared" si="26"/>
        <v>1.0021992959873915</v>
      </c>
      <c r="R221" s="40">
        <f t="shared" si="27"/>
        <v>-3.5685169246303704E-3</v>
      </c>
      <c r="S221" s="209">
        <v>0</v>
      </c>
    </row>
    <row r="222" spans="1:19" x14ac:dyDescent="0.45">
      <c r="A222" s="16">
        <v>43887</v>
      </c>
      <c r="B222" s="42">
        <f>'Part 2 - CAPM 2.1, 2.2 and 2.3'!N222</f>
        <v>-1.06247837015869E-2</v>
      </c>
      <c r="C222" s="42">
        <f>'Part 2 - CAPM 2.1, 2.2 and 2.3'!O222</f>
        <v>-1.8075546460198207E-2</v>
      </c>
      <c r="E222" s="16">
        <v>43887</v>
      </c>
      <c r="F222" s="17">
        <v>5.0900000000000001E-2</v>
      </c>
      <c r="G222" s="41">
        <f t="shared" si="23"/>
        <v>1.3602826440117788E-4</v>
      </c>
      <c r="L222" s="40">
        <f t="shared" si="21"/>
        <v>-1.0512122481347525E-2</v>
      </c>
      <c r="M222" s="40">
        <f t="shared" si="22"/>
        <v>-1.7979271672596851E-2</v>
      </c>
      <c r="O222" s="40">
        <f t="shared" si="24"/>
        <v>-1.0512122481347525E-2</v>
      </c>
      <c r="P222" s="207">
        <f t="shared" si="25"/>
        <v>1.3602826440117788E-4</v>
      </c>
      <c r="Q222" s="208">
        <f t="shared" si="26"/>
        <v>1.0021992959873915</v>
      </c>
      <c r="R222" s="40">
        <f t="shared" si="27"/>
        <v>-1.06247837015869E-2</v>
      </c>
      <c r="S222" s="209">
        <v>0</v>
      </c>
    </row>
    <row r="223" spans="1:19" x14ac:dyDescent="0.45">
      <c r="A223" s="16">
        <v>43888</v>
      </c>
      <c r="B223" s="42">
        <f>'Part 2 - CAPM 2.1, 2.2 and 2.3'!N223</f>
        <v>-4.6407401305701571E-3</v>
      </c>
      <c r="C223" s="42">
        <f>'Part 2 - CAPM 2.1, 2.2 and 2.3'!O223</f>
        <v>-2.5709880248601338E-2</v>
      </c>
      <c r="E223" s="16">
        <v>43888</v>
      </c>
      <c r="F223" s="17">
        <v>5.0799999999999998E-2</v>
      </c>
      <c r="G223" s="41">
        <f t="shared" si="23"/>
        <v>1.3576751373700624E-4</v>
      </c>
      <c r="L223" s="40">
        <f t="shared" si="21"/>
        <v>-4.5151789779808403E-3</v>
      </c>
      <c r="M223" s="40">
        <f t="shared" si="22"/>
        <v>-2.5630656371331398E-2</v>
      </c>
      <c r="O223" s="40">
        <f t="shared" si="24"/>
        <v>-4.5151789779808403E-3</v>
      </c>
      <c r="P223" s="207">
        <f t="shared" si="25"/>
        <v>1.3576751373700624E-4</v>
      </c>
      <c r="Q223" s="208">
        <f t="shared" si="26"/>
        <v>1.0021992959873915</v>
      </c>
      <c r="R223" s="40">
        <f t="shared" si="27"/>
        <v>-4.6407401305701571E-3</v>
      </c>
      <c r="S223" s="209">
        <v>0</v>
      </c>
    </row>
    <row r="224" spans="1:19" x14ac:dyDescent="0.45">
      <c r="A224" s="16">
        <v>43889</v>
      </c>
      <c r="B224" s="42">
        <f>'Part 2 - CAPM 2.1, 2.2 and 2.3'!N224</f>
        <v>-3.597327214609735E-2</v>
      </c>
      <c r="C224" s="42">
        <f>'Part 2 - CAPM 2.1, 2.2 and 2.3'!O224</f>
        <v>-1.5133089420539272E-2</v>
      </c>
      <c r="E224" s="16">
        <v>43889</v>
      </c>
      <c r="F224" s="17">
        <v>5.0799999999999998E-2</v>
      </c>
      <c r="G224" s="41">
        <f t="shared" si="23"/>
        <v>1.3576751373700624E-4</v>
      </c>
      <c r="L224" s="40">
        <f t="shared" si="21"/>
        <v>-3.5916620505444599E-2</v>
      </c>
      <c r="M224" s="40">
        <f t="shared" si="22"/>
        <v>-1.5030604049641696E-2</v>
      </c>
      <c r="O224" s="40">
        <f t="shared" si="24"/>
        <v>-3.5916620505444599E-2</v>
      </c>
      <c r="P224" s="207">
        <f t="shared" si="25"/>
        <v>1.3576751373700624E-4</v>
      </c>
      <c r="Q224" s="208">
        <f t="shared" si="26"/>
        <v>1.0021992959873915</v>
      </c>
      <c r="R224" s="40">
        <f t="shared" si="27"/>
        <v>-3.597327214609735E-2</v>
      </c>
      <c r="S224" s="209">
        <v>0</v>
      </c>
    </row>
    <row r="225" spans="1:19" x14ac:dyDescent="0.45">
      <c r="A225" s="16">
        <v>43892</v>
      </c>
      <c r="B225" s="42">
        <f>'Part 2 - CAPM 2.1, 2.2 and 2.3'!N225</f>
        <v>-6.3343047672165783E-3</v>
      </c>
      <c r="C225" s="42">
        <f>'Part 2 - CAPM 2.1, 2.2 and 2.3'!O225</f>
        <v>-3.1130873549626167E-2</v>
      </c>
      <c r="E225" s="16">
        <v>43892</v>
      </c>
      <c r="F225" s="17">
        <v>5.0799999999999998E-2</v>
      </c>
      <c r="G225" s="41">
        <f t="shared" si="23"/>
        <v>1.3576751373700624E-4</v>
      </c>
      <c r="L225" s="40">
        <f t="shared" si="21"/>
        <v>-6.2124682645370265E-3</v>
      </c>
      <c r="M225" s="40">
        <f t="shared" si="22"/>
        <v>-3.1063572041170849E-2</v>
      </c>
      <c r="O225" s="40">
        <f t="shared" si="24"/>
        <v>-6.2124682645370265E-3</v>
      </c>
      <c r="P225" s="207">
        <f t="shared" si="25"/>
        <v>1.3576751373700624E-4</v>
      </c>
      <c r="Q225" s="208">
        <f t="shared" si="26"/>
        <v>1.0021992959873915</v>
      </c>
      <c r="R225" s="40">
        <f t="shared" si="27"/>
        <v>-6.3343047672165783E-3</v>
      </c>
      <c r="S225" s="209">
        <v>0</v>
      </c>
    </row>
    <row r="226" spans="1:19" x14ac:dyDescent="0.45">
      <c r="A226" s="16">
        <v>43893</v>
      </c>
      <c r="B226" s="42">
        <f>'Part 2 - CAPM 2.1, 2.2 and 2.3'!N226</f>
        <v>1.5714934958232445E-2</v>
      </c>
      <c r="C226" s="42">
        <f>'Part 2 - CAPM 2.1, 2.2 and 2.3'!O226</f>
        <v>4.756240399792705E-2</v>
      </c>
      <c r="E226" s="16">
        <v>43893</v>
      </c>
      <c r="F226" s="17">
        <v>5.1200000000000002E-2</v>
      </c>
      <c r="G226" s="41">
        <f t="shared" si="23"/>
        <v>1.3681036795398782E-4</v>
      </c>
      <c r="L226" s="40">
        <f t="shared" si="21"/>
        <v>1.5886307119582194E-2</v>
      </c>
      <c r="M226" s="40">
        <f t="shared" si="22"/>
        <v>4.7803818170144376E-2</v>
      </c>
      <c r="O226" s="40">
        <f t="shared" si="24"/>
        <v>1.5886307119582194E-2</v>
      </c>
      <c r="P226" s="207">
        <f t="shared" si="25"/>
        <v>1.3681036795398782E-4</v>
      </c>
      <c r="Q226" s="208">
        <f t="shared" si="26"/>
        <v>1.0021992959873915</v>
      </c>
      <c r="R226" s="40">
        <f t="shared" si="27"/>
        <v>1.5714934958232445E-2</v>
      </c>
      <c r="S226" s="209">
        <v>0</v>
      </c>
    </row>
    <row r="227" spans="1:19" x14ac:dyDescent="0.45">
      <c r="A227" s="16">
        <v>43894</v>
      </c>
      <c r="B227" s="42">
        <f>'Part 2 - CAPM 2.1, 2.2 and 2.3'!N227</f>
        <v>-7.2178441573580981E-3</v>
      </c>
      <c r="C227" s="42">
        <f>'Part 2 - CAPM 2.1, 2.2 and 2.3'!O227</f>
        <v>-6.0260075247023396E-3</v>
      </c>
      <c r="E227" s="16">
        <v>43894</v>
      </c>
      <c r="F227" s="17">
        <v>5.0199999999999995E-2</v>
      </c>
      <c r="G227" s="41">
        <f t="shared" si="23"/>
        <v>1.3420248988715855E-4</v>
      </c>
      <c r="L227" s="40">
        <f t="shared" si="21"/>
        <v>-7.0995158431638346E-3</v>
      </c>
      <c r="M227" s="40">
        <f t="shared" si="22"/>
        <v>-5.9050580089842503E-3</v>
      </c>
      <c r="O227" s="40">
        <f t="shared" si="24"/>
        <v>-7.0995158431638346E-3</v>
      </c>
      <c r="P227" s="207">
        <f t="shared" si="25"/>
        <v>1.3420248988715855E-4</v>
      </c>
      <c r="Q227" s="208">
        <f t="shared" si="26"/>
        <v>1.0021992959873915</v>
      </c>
      <c r="R227" s="40">
        <f t="shared" si="27"/>
        <v>-7.2178441573580981E-3</v>
      </c>
      <c r="S227" s="209">
        <v>0</v>
      </c>
    </row>
    <row r="228" spans="1:19" x14ac:dyDescent="0.45">
      <c r="A228" s="16">
        <v>43895</v>
      </c>
      <c r="B228" s="42">
        <f>'Part 2 - CAPM 2.1, 2.2 and 2.3'!N228</f>
        <v>2.2338657006773215E-3</v>
      </c>
      <c r="C228" s="42">
        <f>'Part 2 - CAPM 2.1, 2.2 and 2.3'!O228</f>
        <v>-2.2867645480197777E-3</v>
      </c>
      <c r="E228" s="16">
        <v>43895</v>
      </c>
      <c r="F228" s="17">
        <v>4.9200000000000001E-2</v>
      </c>
      <c r="G228" s="41">
        <f t="shared" si="23"/>
        <v>1.3159213422664351E-4</v>
      </c>
      <c r="L228" s="40">
        <f t="shared" si="21"/>
        <v>2.3703707667758361E-3</v>
      </c>
      <c r="M228" s="40">
        <f t="shared" si="22"/>
        <v>-2.1602016858877035E-3</v>
      </c>
      <c r="O228" s="40">
        <f t="shared" si="24"/>
        <v>2.3703707667758361E-3</v>
      </c>
      <c r="P228" s="207">
        <f t="shared" si="25"/>
        <v>1.3159213422664351E-4</v>
      </c>
      <c r="Q228" s="208">
        <f t="shared" si="26"/>
        <v>1.0021992959873915</v>
      </c>
      <c r="R228" s="40">
        <f t="shared" si="27"/>
        <v>2.2338657006773215E-3</v>
      </c>
      <c r="S228" s="209">
        <v>0</v>
      </c>
    </row>
    <row r="229" spans="1:19" x14ac:dyDescent="0.45">
      <c r="A229" s="16">
        <v>43896</v>
      </c>
      <c r="B229" s="42">
        <f>'Part 2 - CAPM 2.1, 2.2 and 2.3'!N229</f>
        <v>-2.3860701314436638E-2</v>
      </c>
      <c r="C229" s="42">
        <f>'Part 2 - CAPM 2.1, 2.2 and 2.3'!O229</f>
        <v>-4.4409094457473167E-2</v>
      </c>
      <c r="E229" s="16">
        <v>43896</v>
      </c>
      <c r="F229" s="17">
        <v>4.9599999999999998E-2</v>
      </c>
      <c r="G229" s="41">
        <f t="shared" si="23"/>
        <v>1.3263657410389484E-4</v>
      </c>
      <c r="L229" s="40">
        <f t="shared" si="21"/>
        <v>-2.3780541484989932E-2</v>
      </c>
      <c r="M229" s="40">
        <f t="shared" si="22"/>
        <v>-4.4374126626613282E-2</v>
      </c>
      <c r="O229" s="40">
        <f t="shared" si="24"/>
        <v>-2.3780541484989932E-2</v>
      </c>
      <c r="P229" s="207">
        <f t="shared" si="25"/>
        <v>1.3263657410389484E-4</v>
      </c>
      <c r="Q229" s="208">
        <f t="shared" si="26"/>
        <v>1.0021992959873915</v>
      </c>
      <c r="R229" s="40">
        <f t="shared" si="27"/>
        <v>-2.3860701314436638E-2</v>
      </c>
      <c r="S229" s="209">
        <v>0</v>
      </c>
    </row>
    <row r="230" spans="1:19" x14ac:dyDescent="0.45">
      <c r="A230" s="16">
        <v>43899</v>
      </c>
      <c r="B230" s="42">
        <f>'Part 2 - CAPM 2.1, 2.2 and 2.3'!N230</f>
        <v>-4.7438174109211244E-2</v>
      </c>
      <c r="C230" s="42">
        <f>'Part 2 - CAPM 2.1, 2.2 and 2.3'!O230</f>
        <v>-0.15775818840943609</v>
      </c>
      <c r="E230" s="16">
        <v>43899</v>
      </c>
      <c r="F230" s="17">
        <v>4.9000000000000002E-2</v>
      </c>
      <c r="G230" s="41">
        <f t="shared" si="23"/>
        <v>1.3106976536825243E-4</v>
      </c>
      <c r="L230" s="40">
        <f t="shared" si="21"/>
        <v>-4.7411434929810564E-2</v>
      </c>
      <c r="M230" s="40">
        <f t="shared" si="22"/>
        <v>-0.15797407559481488</v>
      </c>
      <c r="O230" s="40">
        <f t="shared" si="24"/>
        <v>-4.7411434929810564E-2</v>
      </c>
      <c r="P230" s="207">
        <f t="shared" si="25"/>
        <v>1.3106976536825243E-4</v>
      </c>
      <c r="Q230" s="208">
        <f t="shared" si="26"/>
        <v>1.0021992959873915</v>
      </c>
      <c r="R230" s="40">
        <f t="shared" si="27"/>
        <v>-4.7438174109211244E-2</v>
      </c>
      <c r="S230" s="209">
        <v>0</v>
      </c>
    </row>
    <row r="231" spans="1:19" x14ac:dyDescent="0.45">
      <c r="A231" s="16">
        <v>43901</v>
      </c>
      <c r="B231" s="42">
        <f>'Part 2 - CAPM 2.1, 2.2 and 2.3'!N231</f>
        <v>-1.670657938394284E-3</v>
      </c>
      <c r="C231" s="42">
        <f>'Part 2 - CAPM 2.1, 2.2 and 2.3'!O231</f>
        <v>-3.8359139666114934E-2</v>
      </c>
      <c r="E231" s="16">
        <v>43901</v>
      </c>
      <c r="F231" s="17">
        <v>4.8499999999999995E-2</v>
      </c>
      <c r="G231" s="41">
        <f t="shared" si="23"/>
        <v>1.2976340856973856E-4</v>
      </c>
      <c r="L231" s="40">
        <f t="shared" si="21"/>
        <v>-1.5445688011247599E-3</v>
      </c>
      <c r="M231" s="40">
        <f t="shared" si="22"/>
        <v>-3.8313739359492671E-2</v>
      </c>
      <c r="O231" s="40">
        <f t="shared" si="24"/>
        <v>-1.5445688011247599E-3</v>
      </c>
      <c r="P231" s="207">
        <f t="shared" si="25"/>
        <v>1.2976340856973856E-4</v>
      </c>
      <c r="Q231" s="208">
        <f t="shared" si="26"/>
        <v>1.0021992959873915</v>
      </c>
      <c r="R231" s="40">
        <f t="shared" si="27"/>
        <v>-1.670657938394284E-3</v>
      </c>
      <c r="S231" s="209">
        <v>0</v>
      </c>
    </row>
    <row r="232" spans="1:19" x14ac:dyDescent="0.45">
      <c r="A232" s="16">
        <v>43902</v>
      </c>
      <c r="B232" s="42">
        <f>'Part 2 - CAPM 2.1, 2.2 and 2.3'!N232</f>
        <v>-8.3293211705021325E-2</v>
      </c>
      <c r="C232" s="42">
        <f>'Part 2 - CAPM 2.1, 2.2 and 2.3'!O232</f>
        <v>-0.12844296012842107</v>
      </c>
      <c r="E232" s="16">
        <v>43902</v>
      </c>
      <c r="F232" s="17">
        <v>4.8799999999999996E-2</v>
      </c>
      <c r="G232" s="41">
        <f t="shared" si="23"/>
        <v>1.3054729717976166E-4</v>
      </c>
      <c r="L232" s="40">
        <f t="shared" si="21"/>
        <v>-8.3345850834121368E-2</v>
      </c>
      <c r="M232" s="40">
        <f t="shared" si="22"/>
        <v>-0.12859489691806045</v>
      </c>
      <c r="O232" s="40">
        <f t="shared" si="24"/>
        <v>-8.3345850834121368E-2</v>
      </c>
      <c r="P232" s="207">
        <f t="shared" si="25"/>
        <v>1.3054729717976166E-4</v>
      </c>
      <c r="Q232" s="208">
        <f t="shared" si="26"/>
        <v>1.0021992959873915</v>
      </c>
      <c r="R232" s="40">
        <f t="shared" si="27"/>
        <v>-8.3293211705021325E-2</v>
      </c>
      <c r="S232" s="209">
        <v>0</v>
      </c>
    </row>
    <row r="233" spans="1:19" x14ac:dyDescent="0.45">
      <c r="A233" s="16">
        <v>43903</v>
      </c>
      <c r="B233" s="42">
        <f>'Part 2 - CAPM 2.1, 2.2 and 2.3'!N233</f>
        <v>3.2984047044293481E-2</v>
      </c>
      <c r="C233" s="42">
        <f>'Part 2 - CAPM 2.1, 2.2 and 2.3'!O233</f>
        <v>5.4269452702820332E-2</v>
      </c>
      <c r="E233" s="16">
        <v>43903</v>
      </c>
      <c r="F233" s="17">
        <v>4.8799999999999996E-2</v>
      </c>
      <c r="G233" s="41">
        <f t="shared" si="23"/>
        <v>1.3054729717976166E-4</v>
      </c>
      <c r="L233" s="40">
        <f t="shared" si="21"/>
        <v>3.3187136023785695E-2</v>
      </c>
      <c r="M233" s="40">
        <f t="shared" si="22"/>
        <v>5.4519354589567345E-2</v>
      </c>
      <c r="O233" s="40">
        <f t="shared" si="24"/>
        <v>3.3187136023785695E-2</v>
      </c>
      <c r="P233" s="207">
        <f t="shared" si="25"/>
        <v>1.3054729717976166E-4</v>
      </c>
      <c r="Q233" s="208">
        <f t="shared" si="26"/>
        <v>1.0021992959873915</v>
      </c>
      <c r="R233" s="40">
        <f t="shared" si="27"/>
        <v>3.2984047044293481E-2</v>
      </c>
      <c r="S233" s="209">
        <v>0</v>
      </c>
    </row>
    <row r="234" spans="1:19" x14ac:dyDescent="0.45">
      <c r="A234" s="16">
        <v>43906</v>
      </c>
      <c r="B234" s="42">
        <f>'Part 2 - CAPM 2.1, 2.2 and 2.3'!N234</f>
        <v>-7.0088649381562784E-2</v>
      </c>
      <c r="C234" s="42">
        <f>'Part 2 - CAPM 2.1, 2.2 and 2.3'!O234</f>
        <v>-8.7380039879826871E-2</v>
      </c>
      <c r="E234" s="16">
        <v>43906</v>
      </c>
      <c r="F234" s="17">
        <v>4.7300000000000002E-2</v>
      </c>
      <c r="G234" s="41">
        <f t="shared" si="23"/>
        <v>1.2662561579035447E-4</v>
      </c>
      <c r="L234" s="40">
        <f t="shared" si="21"/>
        <v>-7.0116169451118995E-2</v>
      </c>
      <c r="M234" s="40">
        <f t="shared" si="22"/>
        <v>-8.7445588835122337E-2</v>
      </c>
      <c r="O234" s="40">
        <f t="shared" si="24"/>
        <v>-7.0116169451118995E-2</v>
      </c>
      <c r="P234" s="207">
        <f t="shared" si="25"/>
        <v>1.2662561579035447E-4</v>
      </c>
      <c r="Q234" s="208">
        <f t="shared" si="26"/>
        <v>1.0021992959873915</v>
      </c>
      <c r="R234" s="40">
        <f t="shared" si="27"/>
        <v>-7.0088649381562784E-2</v>
      </c>
      <c r="S234" s="209">
        <v>0</v>
      </c>
    </row>
    <row r="235" spans="1:19" x14ac:dyDescent="0.45">
      <c r="A235" s="16">
        <v>43907</v>
      </c>
      <c r="B235" s="42">
        <f>'Part 2 - CAPM 2.1, 2.2 and 2.3'!N235</f>
        <v>-2.3080550109154867E-2</v>
      </c>
      <c r="C235" s="42">
        <f>'Part 2 - CAPM 2.1, 2.2 and 2.3'!O235</f>
        <v>-2.6222220164005203E-3</v>
      </c>
      <c r="E235" s="16">
        <v>43907</v>
      </c>
      <c r="F235" s="17">
        <v>4.8000000000000001E-2</v>
      </c>
      <c r="G235" s="41">
        <f t="shared" si="23"/>
        <v>1.2845643036563104E-4</v>
      </c>
      <c r="L235" s="40">
        <f t="shared" si="21"/>
        <v>-2.300285464003109E-2</v>
      </c>
      <c r="M235" s="40">
        <f t="shared" si="22"/>
        <v>-2.4995326283936085E-3</v>
      </c>
      <c r="O235" s="40">
        <f t="shared" si="24"/>
        <v>-2.300285464003109E-2</v>
      </c>
      <c r="P235" s="207">
        <f t="shared" si="25"/>
        <v>1.2845643036563104E-4</v>
      </c>
      <c r="Q235" s="208">
        <f t="shared" si="26"/>
        <v>1.0021992959873915</v>
      </c>
      <c r="R235" s="40">
        <f t="shared" si="27"/>
        <v>-2.3080550109154867E-2</v>
      </c>
      <c r="S235" s="209">
        <v>0</v>
      </c>
    </row>
    <row r="236" spans="1:19" x14ac:dyDescent="0.45">
      <c r="A236" s="16">
        <v>43908</v>
      </c>
      <c r="B236" s="42">
        <f>'Part 2 - CAPM 2.1, 2.2 and 2.3'!N236</f>
        <v>-5.5013158366723276E-2</v>
      </c>
      <c r="C236" s="42">
        <f>'Part 2 - CAPM 2.1, 2.2 and 2.3'!O236</f>
        <v>0.13570278603615366</v>
      </c>
      <c r="E236" s="16">
        <v>43908</v>
      </c>
      <c r="F236" s="17">
        <v>4.8799999999999996E-2</v>
      </c>
      <c r="G236" s="41">
        <f t="shared" si="23"/>
        <v>1.3054729717976166E-4</v>
      </c>
      <c r="L236" s="40">
        <f t="shared" si="21"/>
        <v>-5.5003601287993184E-2</v>
      </c>
      <c r="M236" s="40">
        <f t="shared" si="22"/>
        <v>0.13613178392614059</v>
      </c>
      <c r="O236" s="40">
        <f t="shared" si="24"/>
        <v>-5.5003601287993184E-2</v>
      </c>
      <c r="P236" s="207">
        <f t="shared" si="25"/>
        <v>1.3054729717976166E-4</v>
      </c>
      <c r="Q236" s="208">
        <f t="shared" si="26"/>
        <v>1.0021992959873915</v>
      </c>
      <c r="R236" s="40">
        <f t="shared" si="27"/>
        <v>-5.5013158366723276E-2</v>
      </c>
      <c r="S236" s="209">
        <v>0</v>
      </c>
    </row>
    <row r="237" spans="1:19" x14ac:dyDescent="0.45">
      <c r="A237" s="16">
        <v>43909</v>
      </c>
      <c r="B237" s="42">
        <f>'Part 2 - CAPM 2.1, 2.2 and 2.3'!N237</f>
        <v>-2.913683068436056E-2</v>
      </c>
      <c r="C237" s="42">
        <f>'Part 2 - CAPM 2.1, 2.2 and 2.3'!O237</f>
        <v>-0.10431249887458266</v>
      </c>
      <c r="E237" s="16">
        <v>43909</v>
      </c>
      <c r="F237" s="17">
        <v>4.8799999999999996E-2</v>
      </c>
      <c r="G237" s="41">
        <f t="shared" si="23"/>
        <v>1.3054729717976166E-4</v>
      </c>
      <c r="L237" s="40">
        <f t="shared" si="21"/>
        <v>-2.907036390199022E-2</v>
      </c>
      <c r="M237" s="40">
        <f t="shared" si="22"/>
        <v>-0.10441136563761255</v>
      </c>
      <c r="O237" s="40">
        <f t="shared" si="24"/>
        <v>-2.907036390199022E-2</v>
      </c>
      <c r="P237" s="207">
        <f t="shared" si="25"/>
        <v>1.3054729717976166E-4</v>
      </c>
      <c r="Q237" s="208">
        <f t="shared" si="26"/>
        <v>1.0021992959873915</v>
      </c>
      <c r="R237" s="40">
        <f t="shared" si="27"/>
        <v>-2.913683068436056E-2</v>
      </c>
      <c r="S237" s="209">
        <v>0</v>
      </c>
    </row>
    <row r="238" spans="1:19" x14ac:dyDescent="0.45">
      <c r="A238" s="16">
        <v>43910</v>
      </c>
      <c r="B238" s="42">
        <f>'Part 2 - CAPM 2.1, 2.2 and 2.3'!N238</f>
        <v>5.171397215706617E-2</v>
      </c>
      <c r="C238" s="42">
        <f>'Part 2 - CAPM 2.1, 2.2 and 2.3'!O238</f>
        <v>0.18496599013408108</v>
      </c>
      <c r="E238" s="16">
        <v>43910</v>
      </c>
      <c r="F238" s="17">
        <v>4.7899999999999998E-2</v>
      </c>
      <c r="G238" s="41">
        <f t="shared" si="23"/>
        <v>1.2819496010396669E-4</v>
      </c>
      <c r="L238" s="40">
        <f t="shared" si="21"/>
        <v>5.1955901448627252E-2</v>
      </c>
      <c r="M238" s="40">
        <f t="shared" si="22"/>
        <v>0.18550098005409082</v>
      </c>
      <c r="O238" s="40">
        <f t="shared" si="24"/>
        <v>5.1955901448627252E-2</v>
      </c>
      <c r="P238" s="207">
        <f t="shared" si="25"/>
        <v>1.2819496010396669E-4</v>
      </c>
      <c r="Q238" s="208">
        <f t="shared" si="26"/>
        <v>1.0021992959873915</v>
      </c>
      <c r="R238" s="40">
        <f t="shared" si="27"/>
        <v>5.171397215706617E-2</v>
      </c>
      <c r="S238" s="209">
        <v>0</v>
      </c>
    </row>
    <row r="239" spans="1:19" x14ac:dyDescent="0.45">
      <c r="A239" s="16">
        <v>43913</v>
      </c>
      <c r="B239" s="42">
        <f>'Part 2 - CAPM 2.1, 2.2 and 2.3'!N239</f>
        <v>-0.12821116725610671</v>
      </c>
      <c r="C239" s="42">
        <f>'Part 2 - CAPM 2.1, 2.2 and 2.3'!O239</f>
        <v>-0.16529567979708287</v>
      </c>
      <c r="E239" s="16">
        <v>43913</v>
      </c>
      <c r="F239" s="17">
        <v>4.7199999999999999E-2</v>
      </c>
      <c r="G239" s="41">
        <f t="shared" si="23"/>
        <v>1.2636397123633181E-4</v>
      </c>
      <c r="L239" s="40">
        <f t="shared" si="21"/>
        <v>-0.12836677759055551</v>
      </c>
      <c r="M239" s="40">
        <f t="shared" si="22"/>
        <v>-0.16553284995115741</v>
      </c>
      <c r="O239" s="40">
        <f t="shared" si="24"/>
        <v>-0.12836677759055551</v>
      </c>
      <c r="P239" s="207">
        <f t="shared" si="25"/>
        <v>1.2636397123633181E-4</v>
      </c>
      <c r="Q239" s="208">
        <f t="shared" si="26"/>
        <v>1.0021992959873915</v>
      </c>
      <c r="R239" s="40">
        <f t="shared" si="27"/>
        <v>-0.12821116725610671</v>
      </c>
      <c r="S239" s="209">
        <v>0</v>
      </c>
    </row>
    <row r="240" spans="1:19" x14ac:dyDescent="0.45">
      <c r="A240" s="16">
        <v>43914</v>
      </c>
      <c r="B240" s="42">
        <f>'Part 2 - CAPM 2.1, 2.2 and 2.3'!N240</f>
        <v>1.947898253052081E-2</v>
      </c>
      <c r="C240" s="42">
        <f>'Part 2 - CAPM 2.1, 2.2 and 2.3'!O240</f>
        <v>3.4633226807289655E-2</v>
      </c>
      <c r="E240" s="16">
        <v>43914</v>
      </c>
      <c r="F240" s="17">
        <v>5.0499999999999996E-2</v>
      </c>
      <c r="G240" s="41">
        <f t="shared" si="23"/>
        <v>1.3498511324017137E-4</v>
      </c>
      <c r="L240" s="40">
        <f t="shared" si="21"/>
        <v>1.9656807691878827E-2</v>
      </c>
      <c r="M240" s="40">
        <f t="shared" si="22"/>
        <v>3.4844380637277517E-2</v>
      </c>
      <c r="O240" s="40">
        <f t="shared" si="24"/>
        <v>1.9656807691878827E-2</v>
      </c>
      <c r="P240" s="207">
        <f t="shared" si="25"/>
        <v>1.3498511324017137E-4</v>
      </c>
      <c r="Q240" s="208">
        <f t="shared" si="26"/>
        <v>1.0021992959873915</v>
      </c>
      <c r="R240" s="40">
        <f t="shared" si="27"/>
        <v>1.947898253052081E-2</v>
      </c>
      <c r="S240" s="209">
        <v>0</v>
      </c>
    </row>
    <row r="241" spans="1:19" x14ac:dyDescent="0.45">
      <c r="A241" s="16">
        <v>43916</v>
      </c>
      <c r="B241" s="42">
        <f>'Part 2 - CAPM 2.1, 2.2 and 2.3'!N241</f>
        <v>9.8585711840724372E-2</v>
      </c>
      <c r="C241" s="42">
        <f>'Part 2 - CAPM 2.1, 2.2 and 2.3'!O241</f>
        <v>3.5865275736442569E-2</v>
      </c>
      <c r="E241" s="16">
        <v>43916</v>
      </c>
      <c r="F241" s="17">
        <v>5.04E-2</v>
      </c>
      <c r="G241" s="41">
        <f t="shared" si="23"/>
        <v>1.3472426355742861E-4</v>
      </c>
      <c r="L241" s="40">
        <f t="shared" si="21"/>
        <v>9.893725526474724E-2</v>
      </c>
      <c r="M241" s="40">
        <f t="shared" si="22"/>
        <v>3.6078878357013844E-2</v>
      </c>
      <c r="O241" s="40">
        <f t="shared" si="24"/>
        <v>9.893725526474724E-2</v>
      </c>
      <c r="P241" s="207">
        <f t="shared" si="25"/>
        <v>1.3472426355742861E-4</v>
      </c>
      <c r="Q241" s="208">
        <f t="shared" si="26"/>
        <v>1.0021992959873915</v>
      </c>
      <c r="R241" s="40">
        <f t="shared" si="27"/>
        <v>9.8585711840724372E-2</v>
      </c>
      <c r="S241" s="209">
        <v>0</v>
      </c>
    </row>
    <row r="242" spans="1:19" x14ac:dyDescent="0.45">
      <c r="A242" s="16">
        <v>43917</v>
      </c>
      <c r="B242" s="42">
        <f>'Part 2 - CAPM 2.1, 2.2 and 2.3'!N242</f>
        <v>1.2368858061901097E-3</v>
      </c>
      <c r="C242" s="42">
        <f>'Part 2 - CAPM 2.1, 2.2 and 2.3'!O242</f>
        <v>-4.7475059414078136E-3</v>
      </c>
      <c r="E242" s="16">
        <v>43917</v>
      </c>
      <c r="F242" s="17">
        <v>4.2599999999999999E-2</v>
      </c>
      <c r="G242" s="41">
        <f t="shared" si="23"/>
        <v>1.1430130820322404E-4</v>
      </c>
      <c r="L242" s="40">
        <f t="shared" si="21"/>
        <v>1.3539073923837493E-3</v>
      </c>
      <c r="M242" s="40">
        <f t="shared" si="22"/>
        <v>-4.6436458039716454E-3</v>
      </c>
      <c r="O242" s="40">
        <f t="shared" si="24"/>
        <v>1.3539073923837493E-3</v>
      </c>
      <c r="P242" s="207">
        <f t="shared" si="25"/>
        <v>1.1430130820322404E-4</v>
      </c>
      <c r="Q242" s="208">
        <f t="shared" si="26"/>
        <v>1.0021992959873915</v>
      </c>
      <c r="R242" s="40">
        <f t="shared" si="27"/>
        <v>1.2368858061901097E-3</v>
      </c>
      <c r="S242" s="209">
        <v>0</v>
      </c>
    </row>
    <row r="243" spans="1:19" x14ac:dyDescent="0.45">
      <c r="A243" s="16">
        <v>43920</v>
      </c>
      <c r="B243" s="42">
        <f>'Part 2 - CAPM 2.1, 2.2 and 2.3'!N243</f>
        <v>-3.6398247546837459E-2</v>
      </c>
      <c r="C243" s="42">
        <f>'Part 2 - CAPM 2.1, 2.2 and 2.3'!O243</f>
        <v>-1.7182846521828013E-2</v>
      </c>
      <c r="E243" s="16">
        <v>43920</v>
      </c>
      <c r="F243" s="17">
        <v>4.2999999999999997E-2</v>
      </c>
      <c r="G243" s="41">
        <f t="shared" si="23"/>
        <v>1.1535234029191876E-4</v>
      </c>
      <c r="L243" s="40">
        <f t="shared" si="21"/>
        <v>-3.6362945726323384E-2</v>
      </c>
      <c r="M243" s="40">
        <f t="shared" si="22"/>
        <v>-1.7105284346943514E-2</v>
      </c>
      <c r="O243" s="40">
        <f t="shared" si="24"/>
        <v>-3.6362945726323384E-2</v>
      </c>
      <c r="P243" s="207">
        <f t="shared" si="25"/>
        <v>1.1535234029191876E-4</v>
      </c>
      <c r="Q243" s="208">
        <f t="shared" si="26"/>
        <v>1.0021992959873915</v>
      </c>
      <c r="R243" s="40">
        <f t="shared" si="27"/>
        <v>-3.6398247546837459E-2</v>
      </c>
      <c r="S243" s="209">
        <v>0</v>
      </c>
    </row>
    <row r="244" spans="1:19" x14ac:dyDescent="0.45">
      <c r="A244" s="16">
        <v>43921</v>
      </c>
      <c r="B244" s="42">
        <f>'Part 2 - CAPM 2.1, 2.2 and 2.3'!N244</f>
        <v>3.6564382658861583E-2</v>
      </c>
      <c r="C244" s="42">
        <f>'Part 2 - CAPM 2.1, 2.2 and 2.3'!O244</f>
        <v>7.8023293793630252E-2</v>
      </c>
      <c r="E244" s="16">
        <v>43921</v>
      </c>
      <c r="F244" s="17">
        <v>4.2500000000000003E-2</v>
      </c>
      <c r="G244" s="41">
        <f t="shared" si="23"/>
        <v>1.1403848734836686E-4</v>
      </c>
      <c r="L244" s="40">
        <f t="shared" si="21"/>
        <v>3.675883704627303E-2</v>
      </c>
      <c r="M244" s="40">
        <f t="shared" si="22"/>
        <v>7.8308928597942015E-2</v>
      </c>
      <c r="O244" s="40">
        <f t="shared" si="24"/>
        <v>3.675883704627303E-2</v>
      </c>
      <c r="P244" s="207">
        <f t="shared" si="25"/>
        <v>1.1403848734836686E-4</v>
      </c>
      <c r="Q244" s="208">
        <f t="shared" si="26"/>
        <v>1.0021992959873915</v>
      </c>
      <c r="R244" s="40">
        <f t="shared" si="27"/>
        <v>3.6564382658861583E-2</v>
      </c>
      <c r="S244" s="209">
        <v>0</v>
      </c>
    </row>
    <row r="245" spans="1:19" x14ac:dyDescent="0.45">
      <c r="A245" s="16">
        <v>43924</v>
      </c>
      <c r="B245" s="42">
        <f>'Part 2 - CAPM 2.1, 2.2 and 2.3'!N245</f>
        <v>-5.1324579740372835E-2</v>
      </c>
      <c r="C245" s="42">
        <f>'Part 2 - CAPM 2.1, 2.2 and 2.3'!O245</f>
        <v>2.2578907451782509E-2</v>
      </c>
      <c r="E245" s="16">
        <v>43924</v>
      </c>
      <c r="F245" s="17">
        <v>4.2900000000000001E-2</v>
      </c>
      <c r="G245" s="41">
        <f t="shared" si="23"/>
        <v>1.1508961995976286E-4</v>
      </c>
      <c r="L245" s="40">
        <f t="shared" si="21"/>
        <v>-5.1322368062690631E-2</v>
      </c>
      <c r="M245" s="40">
        <f t="shared" si="22"/>
        <v>2.2743654772300663E-2</v>
      </c>
      <c r="O245" s="40">
        <f t="shared" si="24"/>
        <v>-5.1322368062690631E-2</v>
      </c>
      <c r="P245" s="207">
        <f t="shared" si="25"/>
        <v>1.1508961995976286E-4</v>
      </c>
      <c r="Q245" s="208">
        <f t="shared" si="26"/>
        <v>1.0021992959873915</v>
      </c>
      <c r="R245" s="40">
        <f t="shared" si="27"/>
        <v>-5.1324579740372835E-2</v>
      </c>
      <c r="S245" s="209">
        <v>0</v>
      </c>
    </row>
    <row r="246" spans="1:19" x14ac:dyDescent="0.45">
      <c r="A246" s="16">
        <v>43928</v>
      </c>
      <c r="B246" s="42">
        <f>'Part 2 - CAPM 2.1, 2.2 and 2.3'!N246</f>
        <v>7.6797920011032833E-2</v>
      </c>
      <c r="C246" s="42">
        <f>'Part 2 - CAPM 2.1, 2.2 and 2.3'!O246</f>
        <v>4.3554903266210976E-2</v>
      </c>
      <c r="E246" s="16">
        <v>43928</v>
      </c>
      <c r="F246" s="17">
        <v>4.0999999999999995E-2</v>
      </c>
      <c r="G246" s="41">
        <f t="shared" si="23"/>
        <v>1.1009315469112657E-4</v>
      </c>
      <c r="L246" s="40">
        <f t="shared" si="21"/>
        <v>7.7076914523044243E-2</v>
      </c>
      <c r="M246" s="40">
        <f t="shared" si="22"/>
        <v>4.3760786544886708E-2</v>
      </c>
      <c r="O246" s="40">
        <f t="shared" si="24"/>
        <v>7.7076914523044243E-2</v>
      </c>
      <c r="P246" s="207">
        <f t="shared" si="25"/>
        <v>1.1009315469112657E-4</v>
      </c>
      <c r="Q246" s="208">
        <f t="shared" si="26"/>
        <v>1.0021992959873915</v>
      </c>
      <c r="R246" s="40">
        <f t="shared" si="27"/>
        <v>7.6797920011032833E-2</v>
      </c>
      <c r="S246" s="209">
        <v>0</v>
      </c>
    </row>
    <row r="247" spans="1:19" x14ac:dyDescent="0.45">
      <c r="A247" s="16">
        <v>43929</v>
      </c>
      <c r="B247" s="42">
        <f>'Part 2 - CAPM 2.1, 2.2 and 2.3'!N247</f>
        <v>1.631409153323955E-3</v>
      </c>
      <c r="C247" s="42">
        <f>'Part 2 - CAPM 2.1, 2.2 and 2.3'!O247</f>
        <v>2.1151909588793059E-2</v>
      </c>
      <c r="E247" s="16">
        <v>43929</v>
      </c>
      <c r="F247" s="17">
        <v>4.0999999999999995E-2</v>
      </c>
      <c r="G247" s="41">
        <f t="shared" si="23"/>
        <v>1.1009315469112657E-4</v>
      </c>
      <c r="L247" s="40">
        <f t="shared" si="21"/>
        <v>1.7450902596197807E-3</v>
      </c>
      <c r="M247" s="40">
        <f t="shared" si="22"/>
        <v>2.1308522053368487E-2</v>
      </c>
      <c r="O247" s="40">
        <f t="shared" si="24"/>
        <v>1.7450902596197807E-3</v>
      </c>
      <c r="P247" s="207">
        <f t="shared" si="25"/>
        <v>1.1009315469112657E-4</v>
      </c>
      <c r="Q247" s="208">
        <f t="shared" si="26"/>
        <v>1.0021992959873915</v>
      </c>
      <c r="R247" s="40">
        <f t="shared" si="27"/>
        <v>1.631409153323955E-3</v>
      </c>
      <c r="S247" s="209">
        <v>0</v>
      </c>
    </row>
    <row r="248" spans="1:19" x14ac:dyDescent="0.45">
      <c r="A248" s="16">
        <v>43930</v>
      </c>
      <c r="B248" s="42">
        <f>'Part 2 - CAPM 2.1, 2.2 and 2.3'!N248</f>
        <v>3.9012116132176984E-2</v>
      </c>
      <c r="C248" s="42">
        <f>'Part 2 - CAPM 2.1, 2.2 and 2.3'!O248</f>
        <v>3.8166686831657602E-2</v>
      </c>
      <c r="E248" s="16">
        <v>43930</v>
      </c>
      <c r="F248" s="17">
        <v>4.2500000000000003E-2</v>
      </c>
      <c r="G248" s="41">
        <f t="shared" si="23"/>
        <v>1.1403848734836686E-4</v>
      </c>
      <c r="L248" s="40">
        <f t="shared" si="21"/>
        <v>3.9211953809994503E-2</v>
      </c>
      <c r="M248" s="40">
        <f t="shared" si="22"/>
        <v>3.8364665160206861E-2</v>
      </c>
      <c r="O248" s="40">
        <f t="shared" si="24"/>
        <v>3.9211953809994503E-2</v>
      </c>
      <c r="P248" s="207">
        <f t="shared" si="25"/>
        <v>1.1403848734836686E-4</v>
      </c>
      <c r="Q248" s="208">
        <f t="shared" si="26"/>
        <v>1.0021992959873915</v>
      </c>
      <c r="R248" s="40">
        <f t="shared" si="27"/>
        <v>3.9012116132176984E-2</v>
      </c>
      <c r="S248" s="209">
        <v>0</v>
      </c>
    </row>
    <row r="249" spans="1:19" x14ac:dyDescent="0.45">
      <c r="A249" s="16">
        <v>43934</v>
      </c>
      <c r="B249" s="42">
        <f>'Part 2 - CAPM 2.1, 2.2 and 2.3'!N249</f>
        <v>-1.1037457506607885E-2</v>
      </c>
      <c r="C249" s="42">
        <f>'Part 2 - CAPM 2.1, 2.2 and 2.3'!O249</f>
        <v>-2.9219834902098066E-2</v>
      </c>
      <c r="E249" s="16">
        <v>43934</v>
      </c>
      <c r="F249" s="17">
        <v>4.1900000000000007E-2</v>
      </c>
      <c r="G249" s="41">
        <f t="shared" si="23"/>
        <v>1.1246103405149199E-4</v>
      </c>
      <c r="L249" s="40">
        <f t="shared" si="21"/>
        <v>-1.094927110856168E-2</v>
      </c>
      <c r="M249" s="40">
        <f t="shared" si="22"/>
        <v>-2.9171636933699001E-2</v>
      </c>
      <c r="O249" s="40">
        <f t="shared" si="24"/>
        <v>-1.094927110856168E-2</v>
      </c>
      <c r="P249" s="207">
        <f t="shared" si="25"/>
        <v>1.1246103405149199E-4</v>
      </c>
      <c r="Q249" s="208">
        <f t="shared" si="26"/>
        <v>1.0021992959873915</v>
      </c>
      <c r="R249" s="40">
        <f t="shared" si="27"/>
        <v>-1.1037457506607885E-2</v>
      </c>
      <c r="S249" s="209">
        <v>0</v>
      </c>
    </row>
    <row r="250" spans="1:19" x14ac:dyDescent="0.45">
      <c r="A250" s="16">
        <v>43936</v>
      </c>
      <c r="B250" s="42">
        <f>'Part 2 - CAPM 2.1, 2.2 and 2.3'!N250</f>
        <v>-2.2833763514119028E-3</v>
      </c>
      <c r="C250" s="42">
        <f>'Part 2 - CAPM 2.1, 2.2 and 2.3'!O250</f>
        <v>-9.4366819385304744E-3</v>
      </c>
      <c r="E250" s="16">
        <v>43936</v>
      </c>
      <c r="F250" s="17">
        <v>4.0800000000000003E-2</v>
      </c>
      <c r="G250" s="41">
        <f t="shared" si="23"/>
        <v>1.0956668203476738E-4</v>
      </c>
      <c r="L250" s="40">
        <f t="shared" si="21"/>
        <v>-2.1788314898245004E-3</v>
      </c>
      <c r="M250" s="40">
        <f t="shared" si="22"/>
        <v>-9.3478693132174068E-3</v>
      </c>
      <c r="O250" s="40">
        <f t="shared" si="24"/>
        <v>-2.1788314898245004E-3</v>
      </c>
      <c r="P250" s="207">
        <f t="shared" si="25"/>
        <v>1.0956668203476738E-4</v>
      </c>
      <c r="Q250" s="208">
        <f t="shared" si="26"/>
        <v>1.0021992959873915</v>
      </c>
      <c r="R250" s="40">
        <f t="shared" si="27"/>
        <v>-2.2833763514119028E-3</v>
      </c>
      <c r="S250" s="209">
        <v>0</v>
      </c>
    </row>
    <row r="251" spans="1:19" x14ac:dyDescent="0.45">
      <c r="A251" s="16">
        <v>43937</v>
      </c>
      <c r="B251" s="42">
        <f>'Part 2 - CAPM 2.1, 2.2 and 2.3'!N251</f>
        <v>9.142969940061571E-3</v>
      </c>
      <c r="C251" s="42">
        <f>'Part 2 - CAPM 2.1, 2.2 and 2.3'!O251</f>
        <v>1.468584892985321E-2</v>
      </c>
      <c r="E251" s="16">
        <v>43937</v>
      </c>
      <c r="F251" s="17">
        <v>4.0599999999999997E-2</v>
      </c>
      <c r="G251" s="41">
        <f t="shared" si="23"/>
        <v>1.0904010847911927E-4</v>
      </c>
      <c r="L251" s="40">
        <f t="shared" si="21"/>
        <v>9.272118145642709E-3</v>
      </c>
      <c r="M251" s="40">
        <f t="shared" si="22"/>
        <v>1.4827187566955193E-2</v>
      </c>
      <c r="O251" s="40">
        <f t="shared" si="24"/>
        <v>9.272118145642709E-3</v>
      </c>
      <c r="P251" s="207">
        <f t="shared" si="25"/>
        <v>1.0904010847911927E-4</v>
      </c>
      <c r="Q251" s="208">
        <f t="shared" si="26"/>
        <v>1.0021992959873915</v>
      </c>
      <c r="R251" s="40">
        <f t="shared" si="27"/>
        <v>9.142969940061571E-3</v>
      </c>
      <c r="S251" s="209">
        <v>0</v>
      </c>
    </row>
    <row r="252" spans="1:19" x14ac:dyDescent="0.45">
      <c r="A252" s="16">
        <v>43938</v>
      </c>
      <c r="B252" s="42">
        <f>'Part 2 - CAPM 2.1, 2.2 and 2.3'!N252</f>
        <v>2.716066726009865E-2</v>
      </c>
      <c r="C252" s="42">
        <f>'Part 2 - CAPM 2.1, 2.2 and 2.3'!O252</f>
        <v>1.1160915016932395E-2</v>
      </c>
      <c r="E252" s="16">
        <v>43938</v>
      </c>
      <c r="F252" s="17">
        <v>3.9E-2</v>
      </c>
      <c r="G252" s="41">
        <f t="shared" si="23"/>
        <v>1.0482388300125933E-4</v>
      </c>
      <c r="L252" s="40">
        <f t="shared" si="21"/>
        <v>2.7325225489619923E-2</v>
      </c>
      <c r="M252" s="40">
        <f t="shared" si="22"/>
        <v>1.1290285055546011E-2</v>
      </c>
      <c r="O252" s="40">
        <f t="shared" si="24"/>
        <v>2.7325225489619923E-2</v>
      </c>
      <c r="P252" s="207">
        <f t="shared" si="25"/>
        <v>1.0482388300125933E-4</v>
      </c>
      <c r="Q252" s="208">
        <f t="shared" si="26"/>
        <v>1.0021992959873915</v>
      </c>
      <c r="R252" s="40">
        <f t="shared" si="27"/>
        <v>2.716066726009865E-2</v>
      </c>
      <c r="S252" s="209">
        <v>0</v>
      </c>
    </row>
    <row r="253" spans="1:19" x14ac:dyDescent="0.45">
      <c r="A253" s="16">
        <v>43941</v>
      </c>
      <c r="B253" s="42">
        <f>'Part 2 - CAPM 2.1, 2.2 and 2.3'!N253</f>
        <v>-7.7238962309986411E-5</v>
      </c>
      <c r="C253" s="42">
        <f>'Part 2 - CAPM 2.1, 2.2 and 2.3'!O253</f>
        <v>-3.0247672743430289E-2</v>
      </c>
      <c r="E253" s="16">
        <v>43941</v>
      </c>
      <c r="F253" s="17">
        <v>3.85E-2</v>
      </c>
      <c r="G253" s="41">
        <f t="shared" si="23"/>
        <v>1.0350498458366886E-4</v>
      </c>
      <c r="L253" s="40">
        <f t="shared" si="21"/>
        <v>2.6096150933803801E-5</v>
      </c>
      <c r="M253" s="40">
        <f t="shared" si="22"/>
        <v>-3.021069134413918E-2</v>
      </c>
      <c r="O253" s="40">
        <f t="shared" si="24"/>
        <v>2.6096150933803801E-5</v>
      </c>
      <c r="P253" s="207">
        <f t="shared" si="25"/>
        <v>1.0350498458366886E-4</v>
      </c>
      <c r="Q253" s="208">
        <f t="shared" si="26"/>
        <v>1.0021992959873915</v>
      </c>
      <c r="R253" s="40">
        <f t="shared" si="27"/>
        <v>-7.7238962309986411E-5</v>
      </c>
      <c r="S253" s="209">
        <v>0</v>
      </c>
    </row>
    <row r="254" spans="1:19" x14ac:dyDescent="0.45">
      <c r="A254" s="16">
        <v>43942</v>
      </c>
      <c r="B254" s="42">
        <f>'Part 2 - CAPM 2.1, 2.2 and 2.3'!N254</f>
        <v>-2.8829892751888183E-2</v>
      </c>
      <c r="C254" s="42">
        <f>'Part 2 - CAPM 2.1, 2.2 and 2.3'!O254</f>
        <v>-6.294002329059023E-2</v>
      </c>
      <c r="E254" s="16">
        <v>43942</v>
      </c>
      <c r="F254" s="17">
        <v>3.7999999999999999E-2</v>
      </c>
      <c r="G254" s="41">
        <f t="shared" si="23"/>
        <v>1.021854527523125E-4</v>
      </c>
      <c r="L254" s="40">
        <f t="shared" si="21"/>
        <v>-2.8791112766582028E-2</v>
      </c>
      <c r="M254" s="40">
        <f t="shared" si="22"/>
        <v>-6.2976261578507248E-2</v>
      </c>
      <c r="O254" s="40">
        <f t="shared" si="24"/>
        <v>-2.8791112766582028E-2</v>
      </c>
      <c r="P254" s="207">
        <f t="shared" si="25"/>
        <v>1.021854527523125E-4</v>
      </c>
      <c r="Q254" s="208">
        <f t="shared" si="26"/>
        <v>1.0021992959873915</v>
      </c>
      <c r="R254" s="40">
        <f t="shared" si="27"/>
        <v>-2.8829892751888183E-2</v>
      </c>
      <c r="S254" s="209">
        <v>0</v>
      </c>
    </row>
    <row r="255" spans="1:19" x14ac:dyDescent="0.45">
      <c r="A255" s="16">
        <v>43943</v>
      </c>
      <c r="B255" s="42">
        <f>'Part 2 - CAPM 2.1, 2.2 and 2.3'!N255</f>
        <v>1.8554129282053029E-2</v>
      </c>
      <c r="C255" s="42">
        <f>'Part 2 - CAPM 2.1, 2.2 and 2.3'!O255</f>
        <v>-5.7776665732721673E-2</v>
      </c>
      <c r="E255" s="16">
        <v>43943</v>
      </c>
      <c r="F255" s="17">
        <v>3.6499999999999998E-2</v>
      </c>
      <c r="G255" s="41">
        <f t="shared" si="23"/>
        <v>9.8223050674084433E-5</v>
      </c>
      <c r="L255" s="40">
        <f t="shared" si="21"/>
        <v>1.8693158354806678E-2</v>
      </c>
      <c r="M255" s="40">
        <f t="shared" si="22"/>
        <v>-5.7805510671158425E-2</v>
      </c>
      <c r="O255" s="40">
        <f t="shared" si="24"/>
        <v>1.8693158354806678E-2</v>
      </c>
      <c r="P255" s="207">
        <f t="shared" si="25"/>
        <v>9.8223050674084433E-5</v>
      </c>
      <c r="Q255" s="208">
        <f t="shared" si="26"/>
        <v>1.0021992959873915</v>
      </c>
      <c r="R255" s="40">
        <f t="shared" si="27"/>
        <v>1.8554129282053029E-2</v>
      </c>
      <c r="S255" s="209">
        <v>0</v>
      </c>
    </row>
    <row r="256" spans="1:19" x14ac:dyDescent="0.45">
      <c r="A256" s="16">
        <v>43944</v>
      </c>
      <c r="B256" s="42">
        <f>'Part 2 - CAPM 2.1, 2.2 and 2.3'!N256</f>
        <v>1.2046777948875662E-2</v>
      </c>
      <c r="C256" s="42">
        <f>'Part 2 - CAPM 2.1, 2.2 and 2.3'!O256</f>
        <v>3.0505950254788507E-2</v>
      </c>
      <c r="E256" s="16">
        <v>43944</v>
      </c>
      <c r="F256" s="17">
        <v>3.6600000000000001E-2</v>
      </c>
      <c r="G256" s="41">
        <f t="shared" si="23"/>
        <v>9.8487388669799003E-5</v>
      </c>
      <c r="L256" s="40">
        <f t="shared" si="21"/>
        <v>1.217175976794942E-2</v>
      </c>
      <c r="M256" s="40">
        <f t="shared" si="22"/>
        <v>3.0671529257445228E-2</v>
      </c>
      <c r="O256" s="40">
        <f t="shared" si="24"/>
        <v>1.217175976794942E-2</v>
      </c>
      <c r="P256" s="207">
        <f t="shared" si="25"/>
        <v>9.8487388669799003E-5</v>
      </c>
      <c r="Q256" s="208">
        <f t="shared" si="26"/>
        <v>1.0021992959873915</v>
      </c>
      <c r="R256" s="40">
        <f t="shared" si="27"/>
        <v>1.2046777948875662E-2</v>
      </c>
      <c r="S256" s="209">
        <v>0</v>
      </c>
    </row>
    <row r="257" spans="1:19" x14ac:dyDescent="0.45">
      <c r="A257" s="16">
        <v>43945</v>
      </c>
      <c r="B257" s="42">
        <f>'Part 2 - CAPM 2.1, 2.2 and 2.3'!N257</f>
        <v>-1.7389346022885062E-2</v>
      </c>
      <c r="C257" s="42">
        <f>'Part 2 - CAPM 2.1, 2.2 and 2.3'!O257</f>
        <v>3.6137294363340821E-3</v>
      </c>
      <c r="E257" s="16">
        <v>43945</v>
      </c>
      <c r="F257" s="17">
        <v>3.6499999999999998E-2</v>
      </c>
      <c r="G257" s="41">
        <f t="shared" si="23"/>
        <v>9.8223050674084433E-5</v>
      </c>
      <c r="L257" s="40">
        <f t="shared" si="21"/>
        <v>-1.7329367291142473E-2</v>
      </c>
      <c r="M257" s="40">
        <f t="shared" si="22"/>
        <v>3.719900147657015E-3</v>
      </c>
      <c r="O257" s="40">
        <f t="shared" si="24"/>
        <v>-1.7329367291142473E-2</v>
      </c>
      <c r="P257" s="207">
        <f t="shared" si="25"/>
        <v>9.8223050674084433E-5</v>
      </c>
      <c r="Q257" s="208">
        <f t="shared" si="26"/>
        <v>1.0021992959873915</v>
      </c>
      <c r="R257" s="40">
        <f t="shared" si="27"/>
        <v>-1.7389346022885062E-2</v>
      </c>
      <c r="S257" s="209">
        <v>0</v>
      </c>
    </row>
    <row r="258" spans="1:19" x14ac:dyDescent="0.45">
      <c r="A258" s="16">
        <v>43948</v>
      </c>
      <c r="B258" s="42">
        <f>'Part 2 - CAPM 2.1, 2.2 and 2.3'!N258</f>
        <v>1.464878180748292E-2</v>
      </c>
      <c r="C258" s="42">
        <f>'Part 2 - CAPM 2.1, 2.2 and 2.3'!O258</f>
        <v>1.2476534612980518E-2</v>
      </c>
      <c r="E258" s="16">
        <v>43948</v>
      </c>
      <c r="F258" s="17">
        <v>3.6200000000000003E-2</v>
      </c>
      <c r="G258" s="41">
        <f t="shared" si="23"/>
        <v>9.7429884061028815E-5</v>
      </c>
      <c r="L258" s="40">
        <f t="shared" si="21"/>
        <v>1.477842869859332E-2</v>
      </c>
      <c r="M258" s="40">
        <f t="shared" si="22"/>
        <v>1.2601404089552426E-2</v>
      </c>
      <c r="O258" s="40">
        <f t="shared" si="24"/>
        <v>1.477842869859332E-2</v>
      </c>
      <c r="P258" s="207">
        <f t="shared" si="25"/>
        <v>9.7429884061028815E-5</v>
      </c>
      <c r="Q258" s="208">
        <f t="shared" si="26"/>
        <v>1.0021992959873915</v>
      </c>
      <c r="R258" s="40">
        <f t="shared" si="27"/>
        <v>1.464878180748292E-2</v>
      </c>
      <c r="S258" s="209">
        <v>0</v>
      </c>
    </row>
    <row r="259" spans="1:19" x14ac:dyDescent="0.45">
      <c r="A259" s="16">
        <v>43949</v>
      </c>
      <c r="B259" s="42">
        <f>'Part 2 - CAPM 2.1, 2.2 and 2.3'!N259</f>
        <v>8.9102528072681694E-3</v>
      </c>
      <c r="C259" s="42">
        <f>'Part 2 - CAPM 2.1, 2.2 and 2.3'!O259</f>
        <v>1.0858679798120656E-2</v>
      </c>
      <c r="E259" s="16">
        <v>43949</v>
      </c>
      <c r="F259" s="17">
        <v>3.6499999999999998E-2</v>
      </c>
      <c r="G259" s="41">
        <f t="shared" si="23"/>
        <v>9.8223050674084433E-5</v>
      </c>
      <c r="L259" s="40">
        <f t="shared" ref="L259:L322" si="28">G259+($J$1*(B259))</f>
        <v>9.0280721411879223E-3</v>
      </c>
      <c r="M259" s="40">
        <f t="shared" ref="M259:M322" si="29">G259+($J$1*(C259))</f>
        <v>1.0980784299703117E-2</v>
      </c>
      <c r="O259" s="40">
        <f t="shared" si="24"/>
        <v>9.0280721411879223E-3</v>
      </c>
      <c r="P259" s="207">
        <f t="shared" si="25"/>
        <v>9.8223050674084433E-5</v>
      </c>
      <c r="Q259" s="208">
        <f t="shared" si="26"/>
        <v>1.0021992959873915</v>
      </c>
      <c r="R259" s="40">
        <f t="shared" si="27"/>
        <v>8.9102528072681694E-3</v>
      </c>
      <c r="S259" s="209">
        <v>0</v>
      </c>
    </row>
    <row r="260" spans="1:19" x14ac:dyDescent="0.45">
      <c r="A260" s="16">
        <v>43950</v>
      </c>
      <c r="B260" s="42">
        <f>'Part 2 - CAPM 2.1, 2.2 and 2.3'!N260</f>
        <v>1.6160457843318276E-2</v>
      </c>
      <c r="C260" s="42">
        <f>'Part 2 - CAPM 2.1, 2.2 and 2.3'!O260</f>
        <v>1.8687111179251769E-2</v>
      </c>
      <c r="E260" s="16">
        <v>43950</v>
      </c>
      <c r="F260" s="17">
        <v>3.6799999999999999E-2</v>
      </c>
      <c r="G260" s="41">
        <f t="shared" ref="G260:G323" si="30">((1+F260)^(1/365))-1</f>
        <v>9.901598837824821E-5</v>
      </c>
      <c r="L260" s="40">
        <f t="shared" si="28"/>
        <v>1.6295015461785745E-2</v>
      </c>
      <c r="M260" s="40">
        <f t="shared" si="29"/>
        <v>1.8827225656262485E-2</v>
      </c>
      <c r="O260" s="40">
        <f t="shared" ref="O260:O323" si="31">P260+(Q260*(R260))+S260</f>
        <v>1.6295015461785745E-2</v>
      </c>
      <c r="P260" s="207">
        <f t="shared" ref="P260:P323" si="32">G260</f>
        <v>9.901598837824821E-5</v>
      </c>
      <c r="Q260" s="208">
        <f t="shared" ref="Q260:Q323" si="33">$J$1</f>
        <v>1.0021992959873915</v>
      </c>
      <c r="R260" s="40">
        <f t="shared" ref="R260:R323" si="34">B260</f>
        <v>1.6160457843318276E-2</v>
      </c>
      <c r="S260" s="209">
        <v>0</v>
      </c>
    </row>
    <row r="261" spans="1:19" x14ac:dyDescent="0.45">
      <c r="A261" s="16">
        <v>43951</v>
      </c>
      <c r="B261" s="42">
        <f>'Part 2 - CAPM 2.1, 2.2 and 2.3'!N261</f>
        <v>2.756581805312449E-2</v>
      </c>
      <c r="C261" s="42">
        <f>'Part 2 - CAPM 2.1, 2.2 and 2.3'!O261</f>
        <v>0.13323537464608959</v>
      </c>
      <c r="E261" s="16">
        <v>43951</v>
      </c>
      <c r="F261" s="17">
        <v>3.6400000000000002E-2</v>
      </c>
      <c r="G261" s="41">
        <f t="shared" si="30"/>
        <v>9.7958687243826503E-5</v>
      </c>
      <c r="L261" s="40">
        <f t="shared" si="28"/>
        <v>2.7724402133401719E-2</v>
      </c>
      <c r="M261" s="40">
        <f t="shared" si="29"/>
        <v>0.13362635735817116</v>
      </c>
      <c r="O261" s="40">
        <f t="shared" si="31"/>
        <v>2.7724402133401719E-2</v>
      </c>
      <c r="P261" s="207">
        <f t="shared" si="32"/>
        <v>9.7958687243826503E-5</v>
      </c>
      <c r="Q261" s="208">
        <f t="shared" si="33"/>
        <v>1.0021992959873915</v>
      </c>
      <c r="R261" s="40">
        <f t="shared" si="34"/>
        <v>2.756581805312449E-2</v>
      </c>
      <c r="S261" s="209">
        <v>0</v>
      </c>
    </row>
    <row r="262" spans="1:19" x14ac:dyDescent="0.45">
      <c r="A262" s="16">
        <v>43955</v>
      </c>
      <c r="B262" s="42">
        <f>'Part 2 - CAPM 2.1, 2.2 and 2.3'!N262</f>
        <v>-5.2013979288827485E-2</v>
      </c>
      <c r="C262" s="42">
        <f>'Part 2 - CAPM 2.1, 2.2 and 2.3'!O262</f>
        <v>-4.2025103559951663E-2</v>
      </c>
      <c r="E262" s="16">
        <v>43955</v>
      </c>
      <c r="F262" s="17">
        <v>3.6299999999999999E-2</v>
      </c>
      <c r="G262" s="41">
        <f t="shared" si="30"/>
        <v>9.7694298374584321E-5</v>
      </c>
      <c r="L262" s="40">
        <f t="shared" si="28"/>
        <v>-5.2030679126391088E-2</v>
      </c>
      <c r="M262" s="40">
        <f t="shared" si="29"/>
        <v>-4.2019834903206196E-2</v>
      </c>
      <c r="O262" s="40">
        <f t="shared" si="31"/>
        <v>-5.2030679126391088E-2</v>
      </c>
      <c r="P262" s="207">
        <f t="shared" si="32"/>
        <v>9.7694298374584321E-5</v>
      </c>
      <c r="Q262" s="208">
        <f t="shared" si="33"/>
        <v>1.0021992959873915</v>
      </c>
      <c r="R262" s="40">
        <f t="shared" si="34"/>
        <v>-5.2013979288827485E-2</v>
      </c>
      <c r="S262" s="209">
        <v>0</v>
      </c>
    </row>
    <row r="263" spans="1:19" x14ac:dyDescent="0.45">
      <c r="A263" s="16">
        <v>43956</v>
      </c>
      <c r="B263" s="42">
        <f>'Part 2 - CAPM 2.1, 2.2 and 2.3'!N263</f>
        <v>-9.8192934872994783E-3</v>
      </c>
      <c r="C263" s="42">
        <f>'Part 2 - CAPM 2.1, 2.2 and 2.3'!O263</f>
        <v>2.4722155786687194E-2</v>
      </c>
      <c r="E263" s="16">
        <v>43956</v>
      </c>
      <c r="F263" s="17">
        <v>3.6499999999999998E-2</v>
      </c>
      <c r="G263" s="41">
        <f t="shared" si="30"/>
        <v>9.8223050674084433E-5</v>
      </c>
      <c r="L263" s="40">
        <f t="shared" si="28"/>
        <v>-9.742665969391032E-3</v>
      </c>
      <c r="M263" s="40">
        <f t="shared" si="29"/>
        <v>2.4874750175382609E-2</v>
      </c>
      <c r="O263" s="40">
        <f t="shared" si="31"/>
        <v>-9.742665969391032E-3</v>
      </c>
      <c r="P263" s="207">
        <f t="shared" si="32"/>
        <v>9.8223050674084433E-5</v>
      </c>
      <c r="Q263" s="208">
        <f t="shared" si="33"/>
        <v>1.0021992959873915</v>
      </c>
      <c r="R263" s="40">
        <f t="shared" si="34"/>
        <v>-9.8192934872994783E-3</v>
      </c>
      <c r="S263" s="209">
        <v>0</v>
      </c>
    </row>
    <row r="264" spans="1:19" x14ac:dyDescent="0.45">
      <c r="A264" s="16">
        <v>43957</v>
      </c>
      <c r="B264" s="42">
        <f>'Part 2 - CAPM 2.1, 2.2 and 2.3'!N264</f>
        <v>6.8763280701579525E-3</v>
      </c>
      <c r="C264" s="42">
        <f>'Part 2 - CAPM 2.1, 2.2 and 2.3'!O264</f>
        <v>1.0101999804186966E-2</v>
      </c>
      <c r="E264" s="16">
        <v>43957</v>
      </c>
      <c r="F264" s="17">
        <v>3.5499999999999997E-2</v>
      </c>
      <c r="G264" s="41">
        <f t="shared" si="30"/>
        <v>9.557827102013583E-5</v>
      </c>
      <c r="L264" s="40">
        <f t="shared" si="28"/>
        <v>6.9870294219107742E-3</v>
      </c>
      <c r="M264" s="40">
        <f t="shared" si="29"/>
        <v>1.021979536284108E-2</v>
      </c>
      <c r="O264" s="40">
        <f t="shared" si="31"/>
        <v>6.9870294219107742E-3</v>
      </c>
      <c r="P264" s="207">
        <f t="shared" si="32"/>
        <v>9.557827102013583E-5</v>
      </c>
      <c r="Q264" s="208">
        <f t="shared" si="33"/>
        <v>1.0021992959873915</v>
      </c>
      <c r="R264" s="40">
        <f t="shared" si="34"/>
        <v>6.8763280701579525E-3</v>
      </c>
      <c r="S264" s="209">
        <v>0</v>
      </c>
    </row>
    <row r="265" spans="1:19" x14ac:dyDescent="0.45">
      <c r="A265" s="16">
        <v>43959</v>
      </c>
      <c r="B265" s="42">
        <f>'Part 2 - CAPM 2.1, 2.2 and 2.3'!N265</f>
        <v>-3.1974191245633587E-3</v>
      </c>
      <c r="C265" s="42">
        <f>'Part 2 - CAPM 2.1, 2.2 and 2.3'!O265</f>
        <v>-4.1104777375374803E-2</v>
      </c>
      <c r="E265" s="16">
        <v>43959</v>
      </c>
      <c r="F265" s="17">
        <v>3.5400000000000001E-2</v>
      </c>
      <c r="G265" s="41">
        <f t="shared" si="30"/>
        <v>9.5313652977324637E-5</v>
      </c>
      <c r="L265" s="40">
        <f t="shared" si="28"/>
        <v>-3.1091375426366952E-3</v>
      </c>
      <c r="M265" s="40">
        <f t="shared" si="29"/>
        <v>-4.1099865294341766E-2</v>
      </c>
      <c r="O265" s="40">
        <f t="shared" si="31"/>
        <v>-3.1091375426366952E-3</v>
      </c>
      <c r="P265" s="207">
        <f t="shared" si="32"/>
        <v>9.5313652977324637E-5</v>
      </c>
      <c r="Q265" s="208">
        <f t="shared" si="33"/>
        <v>1.0021992959873915</v>
      </c>
      <c r="R265" s="40">
        <f t="shared" si="34"/>
        <v>-3.1974191245633587E-3</v>
      </c>
      <c r="S265" s="209">
        <v>0</v>
      </c>
    </row>
    <row r="266" spans="1:19" x14ac:dyDescent="0.45">
      <c r="A266" s="16">
        <v>43962</v>
      </c>
      <c r="B266" s="42">
        <f>'Part 2 - CAPM 2.1, 2.2 and 2.3'!N266</f>
        <v>4.8651968798333386E-4</v>
      </c>
      <c r="C266" s="42">
        <f>'Part 2 - CAPM 2.1, 2.2 and 2.3'!O266</f>
        <v>1.3719682043023488E-2</v>
      </c>
      <c r="E266" s="16">
        <v>43962</v>
      </c>
      <c r="F266" s="17">
        <v>3.5699999999999996E-2</v>
      </c>
      <c r="G266" s="41">
        <f t="shared" si="30"/>
        <v>9.6107430660685722E-5</v>
      </c>
      <c r="L266" s="40">
        <f t="shared" si="28"/>
        <v>5.8369711944158834E-4</v>
      </c>
      <c r="M266" s="40">
        <f t="shared" si="29"/>
        <v>1.3845963115349682E-2</v>
      </c>
      <c r="O266" s="40">
        <f t="shared" si="31"/>
        <v>5.8369711944158834E-4</v>
      </c>
      <c r="P266" s="207">
        <f t="shared" si="32"/>
        <v>9.6107430660685722E-5</v>
      </c>
      <c r="Q266" s="208">
        <f t="shared" si="33"/>
        <v>1.0021992959873915</v>
      </c>
      <c r="R266" s="40">
        <f t="shared" si="34"/>
        <v>4.8651968798333386E-4</v>
      </c>
      <c r="S266" s="209">
        <v>0</v>
      </c>
    </row>
    <row r="267" spans="1:19" x14ac:dyDescent="0.45">
      <c r="A267" s="16">
        <v>43963</v>
      </c>
      <c r="B267" s="42">
        <f>'Part 2 - CAPM 2.1, 2.2 and 2.3'!N267</f>
        <v>-4.7922592665648953E-3</v>
      </c>
      <c r="C267" s="42">
        <f>'Part 2 - CAPM 2.1, 2.2 and 2.3'!O267</f>
        <v>-9.8281939265224896E-3</v>
      </c>
      <c r="E267" s="16">
        <v>43963</v>
      </c>
      <c r="F267" s="17">
        <v>3.5000000000000003E-2</v>
      </c>
      <c r="G267" s="41">
        <f t="shared" si="30"/>
        <v>9.4254925873560325E-5</v>
      </c>
      <c r="L267" s="40">
        <f t="shared" si="28"/>
        <v>-4.7085439372668309E-3</v>
      </c>
      <c r="M267" s="40">
        <f t="shared" si="29"/>
        <v>-9.7555541081148361E-3</v>
      </c>
      <c r="O267" s="40">
        <f t="shared" si="31"/>
        <v>-4.7085439372668309E-3</v>
      </c>
      <c r="P267" s="207">
        <f t="shared" si="32"/>
        <v>9.4254925873560325E-5</v>
      </c>
      <c r="Q267" s="208">
        <f t="shared" si="33"/>
        <v>1.0021992959873915</v>
      </c>
      <c r="R267" s="40">
        <f t="shared" si="34"/>
        <v>-4.7922592665648953E-3</v>
      </c>
      <c r="S267" s="209">
        <v>0</v>
      </c>
    </row>
    <row r="268" spans="1:19" x14ac:dyDescent="0.45">
      <c r="A268" s="16">
        <v>43964</v>
      </c>
      <c r="B268" s="42">
        <f>'Part 2 - CAPM 2.1, 2.2 and 2.3'!N268</f>
        <v>1.9332935642088656E-2</v>
      </c>
      <c r="C268" s="42">
        <f>'Part 2 - CAPM 2.1, 2.2 and 2.3'!O268</f>
        <v>2.4808772857758909E-2</v>
      </c>
      <c r="E268" s="16">
        <v>43964</v>
      </c>
      <c r="F268" s="17">
        <v>3.4500000000000003E-2</v>
      </c>
      <c r="G268" s="41">
        <f t="shared" si="30"/>
        <v>9.2930943027536017E-5</v>
      </c>
      <c r="L268" s="40">
        <f t="shared" si="28"/>
        <v>1.9468385432898336E-2</v>
      </c>
      <c r="M268" s="40">
        <f t="shared" si="29"/>
        <v>2.4956265635384622E-2</v>
      </c>
      <c r="O268" s="40">
        <f t="shared" si="31"/>
        <v>1.9468385432898336E-2</v>
      </c>
      <c r="P268" s="207">
        <f t="shared" si="32"/>
        <v>9.2930943027536017E-5</v>
      </c>
      <c r="Q268" s="208">
        <f t="shared" si="33"/>
        <v>1.0021992959873915</v>
      </c>
      <c r="R268" s="40">
        <f t="shared" si="34"/>
        <v>1.9332935642088656E-2</v>
      </c>
      <c r="S268" s="209">
        <v>0</v>
      </c>
    </row>
    <row r="269" spans="1:19" x14ac:dyDescent="0.45">
      <c r="A269" s="16">
        <v>43965</v>
      </c>
      <c r="B269" s="42">
        <f>'Part 2 - CAPM 2.1, 2.2 and 2.3'!N269</f>
        <v>-1.9976849033545317E-2</v>
      </c>
      <c r="C269" s="42">
        <f>'Part 2 - CAPM 2.1, 2.2 and 2.3'!O269</f>
        <v>-2.6307764702618291E-2</v>
      </c>
      <c r="E269" s="16">
        <v>43965</v>
      </c>
      <c r="F269" s="17">
        <v>3.4500000000000003E-2</v>
      </c>
      <c r="G269" s="41">
        <f t="shared" si="30"/>
        <v>9.2930943027536017E-5</v>
      </c>
      <c r="L269" s="40">
        <f t="shared" si="28"/>
        <v>-1.9927853094437984E-2</v>
      </c>
      <c r="M269" s="40">
        <f t="shared" si="29"/>
        <v>-2.6272692320938464E-2</v>
      </c>
      <c r="O269" s="40">
        <f t="shared" si="31"/>
        <v>-1.9927853094437984E-2</v>
      </c>
      <c r="P269" s="207">
        <f t="shared" si="32"/>
        <v>9.2930943027536017E-5</v>
      </c>
      <c r="Q269" s="208">
        <f t="shared" si="33"/>
        <v>1.0021992959873915</v>
      </c>
      <c r="R269" s="40">
        <f t="shared" si="34"/>
        <v>-1.9976849033545317E-2</v>
      </c>
      <c r="S269" s="209">
        <v>0</v>
      </c>
    </row>
    <row r="270" spans="1:19" x14ac:dyDescent="0.45">
      <c r="A270" s="16">
        <v>43966</v>
      </c>
      <c r="B270" s="42">
        <f>'Part 2 - CAPM 2.1, 2.2 and 2.3'!N270</f>
        <v>-1.4891605560314232E-3</v>
      </c>
      <c r="C270" s="42">
        <f>'Part 2 - CAPM 2.1, 2.2 and 2.3'!O270</f>
        <v>-9.187129719356868E-5</v>
      </c>
      <c r="E270" s="16">
        <v>43966</v>
      </c>
      <c r="F270" s="17">
        <v>3.4099999999999998E-2</v>
      </c>
      <c r="G270" s="41">
        <f t="shared" si="30"/>
        <v>9.187129719356868E-5</v>
      </c>
      <c r="L270" s="40">
        <f t="shared" si="28"/>
        <v>-1.4005643636733163E-3</v>
      </c>
      <c r="M270" s="40">
        <f t="shared" si="29"/>
        <v>-2.0205217527426926E-7</v>
      </c>
      <c r="O270" s="40">
        <f t="shared" si="31"/>
        <v>-1.4005643636733163E-3</v>
      </c>
      <c r="P270" s="207">
        <f t="shared" si="32"/>
        <v>9.187129719356868E-5</v>
      </c>
      <c r="Q270" s="208">
        <f t="shared" si="33"/>
        <v>1.0021992959873915</v>
      </c>
      <c r="R270" s="40">
        <f t="shared" si="34"/>
        <v>-1.4891605560314232E-3</v>
      </c>
      <c r="S270" s="209">
        <v>0</v>
      </c>
    </row>
    <row r="271" spans="1:19" x14ac:dyDescent="0.45">
      <c r="A271" s="16">
        <v>43969</v>
      </c>
      <c r="B271" s="42">
        <f>'Part 2 - CAPM 2.1, 2.2 and 2.3'!N271</f>
        <v>-3.4579649445246621E-2</v>
      </c>
      <c r="C271" s="42">
        <f>'Part 2 - CAPM 2.1, 2.2 and 2.3'!O271</f>
        <v>-4.2770529499804831E-2</v>
      </c>
      <c r="E271" s="16">
        <v>43969</v>
      </c>
      <c r="F271" s="17">
        <v>3.4000000000000002E-2</v>
      </c>
      <c r="G271" s="41">
        <f t="shared" si="30"/>
        <v>9.1606321866555263E-5</v>
      </c>
      <c r="L271" s="40">
        <f t="shared" si="28"/>
        <v>-3.4564094007650405E-2</v>
      </c>
      <c r="M271" s="40">
        <f t="shared" si="29"/>
        <v>-4.2772988231845811E-2</v>
      </c>
      <c r="O271" s="40">
        <f t="shared" si="31"/>
        <v>-3.4564094007650405E-2</v>
      </c>
      <c r="P271" s="207">
        <f t="shared" si="32"/>
        <v>9.1606321866555263E-5</v>
      </c>
      <c r="Q271" s="208">
        <f t="shared" si="33"/>
        <v>1.0021992959873915</v>
      </c>
      <c r="R271" s="40">
        <f t="shared" si="34"/>
        <v>-3.4579649445246621E-2</v>
      </c>
      <c r="S271" s="209">
        <v>0</v>
      </c>
    </row>
    <row r="272" spans="1:19" x14ac:dyDescent="0.45">
      <c r="A272" s="16">
        <v>43970</v>
      </c>
      <c r="B272" s="42">
        <f>'Part 2 - CAPM 2.1, 2.2 and 2.3'!N272</f>
        <v>5.3265311542205008E-3</v>
      </c>
      <c r="C272" s="42">
        <f>'Part 2 - CAPM 2.1, 2.2 and 2.3'!O272</f>
        <v>5.8208228537999063E-2</v>
      </c>
      <c r="E272" s="16">
        <v>43970</v>
      </c>
      <c r="F272" s="17">
        <v>3.3700000000000001E-2</v>
      </c>
      <c r="G272" s="41">
        <f t="shared" si="30"/>
        <v>9.081124252219297E-5</v>
      </c>
      <c r="L272" s="40">
        <f t="shared" si="28"/>
        <v>5.4290570153368873E-3</v>
      </c>
      <c r="M272" s="40">
        <f t="shared" si="29"/>
        <v>5.842705690397805E-2</v>
      </c>
      <c r="O272" s="40">
        <f t="shared" si="31"/>
        <v>5.4290570153368873E-3</v>
      </c>
      <c r="P272" s="207">
        <f t="shared" si="32"/>
        <v>9.081124252219297E-5</v>
      </c>
      <c r="Q272" s="208">
        <f t="shared" si="33"/>
        <v>1.0021992959873915</v>
      </c>
      <c r="R272" s="40">
        <f t="shared" si="34"/>
        <v>5.3265311542205008E-3</v>
      </c>
      <c r="S272" s="209">
        <v>0</v>
      </c>
    </row>
    <row r="273" spans="1:19" x14ac:dyDescent="0.45">
      <c r="A273" s="16">
        <v>43971</v>
      </c>
      <c r="B273" s="42">
        <f>'Part 2 - CAPM 2.1, 2.2 and 2.3'!N273</f>
        <v>1.9453863587163354E-2</v>
      </c>
      <c r="C273" s="42">
        <f>'Part 2 - CAPM 2.1, 2.2 and 2.3'!O273</f>
        <v>1.0929869757456986E-2</v>
      </c>
      <c r="E273" s="16">
        <v>43971</v>
      </c>
      <c r="F273" s="17">
        <v>3.2500000000000001E-2</v>
      </c>
      <c r="G273" s="41">
        <f t="shared" si="30"/>
        <v>8.7628622322588612E-5</v>
      </c>
      <c r="L273" s="40">
        <f t="shared" si="28"/>
        <v>1.9584277013612456E-2</v>
      </c>
      <c r="M273" s="40">
        <f t="shared" si="29"/>
        <v>1.1041536398479861E-2</v>
      </c>
      <c r="O273" s="40">
        <f t="shared" si="31"/>
        <v>1.9584277013612456E-2</v>
      </c>
      <c r="P273" s="207">
        <f t="shared" si="32"/>
        <v>8.7628622322588612E-5</v>
      </c>
      <c r="Q273" s="208">
        <f t="shared" si="33"/>
        <v>1.0021992959873915</v>
      </c>
      <c r="R273" s="40">
        <f t="shared" si="34"/>
        <v>1.9453863587163354E-2</v>
      </c>
      <c r="S273" s="209">
        <v>0</v>
      </c>
    </row>
    <row r="274" spans="1:19" x14ac:dyDescent="0.45">
      <c r="A274" s="16">
        <v>43972</v>
      </c>
      <c r="B274" s="42">
        <f>'Part 2 - CAPM 2.1, 2.2 and 2.3'!N274</f>
        <v>5.8026288386872462E-3</v>
      </c>
      <c r="C274" s="42">
        <f>'Part 2 - CAPM 2.1, 2.2 and 2.3'!O274</f>
        <v>-1.2908672135618905E-2</v>
      </c>
      <c r="E274" s="16">
        <v>43972</v>
      </c>
      <c r="F274" s="17">
        <v>3.27E-2</v>
      </c>
      <c r="G274" s="41">
        <f t="shared" si="30"/>
        <v>8.8159315106084435E-5</v>
      </c>
      <c r="L274" s="40">
        <f t="shared" si="28"/>
        <v>5.9035498521145778E-3</v>
      </c>
      <c r="M274" s="40">
        <f t="shared" si="29"/>
        <v>-1.284890281134324E-2</v>
      </c>
      <c r="O274" s="40">
        <f t="shared" si="31"/>
        <v>5.9035498521145778E-3</v>
      </c>
      <c r="P274" s="207">
        <f t="shared" si="32"/>
        <v>8.8159315106084435E-5</v>
      </c>
      <c r="Q274" s="208">
        <f t="shared" si="33"/>
        <v>1.0021992959873915</v>
      </c>
      <c r="R274" s="40">
        <f t="shared" si="34"/>
        <v>5.8026288386872462E-3</v>
      </c>
      <c r="S274" s="209">
        <v>0</v>
      </c>
    </row>
    <row r="275" spans="1:19" x14ac:dyDescent="0.45">
      <c r="A275" s="16">
        <v>43973</v>
      </c>
      <c r="B275" s="42">
        <f>'Part 2 - CAPM 2.1, 2.2 and 2.3'!N275</f>
        <v>-7.3816441632230355E-3</v>
      </c>
      <c r="C275" s="42">
        <f>'Part 2 - CAPM 2.1, 2.2 and 2.3'!O275</f>
        <v>-1.1111955294546011E-2</v>
      </c>
      <c r="E275" s="16">
        <v>43973</v>
      </c>
      <c r="F275" s="17">
        <v>2.7000000000000003E-2</v>
      </c>
      <c r="G275" s="41">
        <f t="shared" si="30"/>
        <v>7.299425558504602E-5</v>
      </c>
      <c r="L275" s="40">
        <f t="shared" si="28"/>
        <v>-7.3248843280265185E-3</v>
      </c>
      <c r="M275" s="40">
        <f t="shared" si="29"/>
        <v>-1.1063399517652334E-2</v>
      </c>
      <c r="O275" s="40">
        <f t="shared" si="31"/>
        <v>-7.3248843280265185E-3</v>
      </c>
      <c r="P275" s="207">
        <f t="shared" si="32"/>
        <v>7.299425558504602E-5</v>
      </c>
      <c r="Q275" s="208">
        <f t="shared" si="33"/>
        <v>1.0021992959873915</v>
      </c>
      <c r="R275" s="40">
        <f t="shared" si="34"/>
        <v>-7.3816441632230355E-3</v>
      </c>
      <c r="S275" s="209">
        <v>0</v>
      </c>
    </row>
    <row r="276" spans="1:19" x14ac:dyDescent="0.45">
      <c r="A276" s="16">
        <v>43977</v>
      </c>
      <c r="B276" s="42">
        <f>'Part 2 - CAPM 2.1, 2.2 and 2.3'!N276</f>
        <v>1.0638543932785119E-3</v>
      </c>
      <c r="C276" s="42">
        <f>'Part 2 - CAPM 2.1, 2.2 and 2.3'!O276</f>
        <v>1.1079863859067654E-2</v>
      </c>
      <c r="E276" s="16">
        <v>43977</v>
      </c>
      <c r="F276" s="17">
        <v>3.0499999999999999E-2</v>
      </c>
      <c r="G276" s="41">
        <f t="shared" si="30"/>
        <v>8.2316049008435144E-5</v>
      </c>
      <c r="L276" s="40">
        <f t="shared" si="28"/>
        <v>1.1485101729852534E-3</v>
      </c>
      <c r="M276" s="40">
        <f t="shared" si="29"/>
        <v>1.1186547808202182E-2</v>
      </c>
      <c r="O276" s="40">
        <f t="shared" si="31"/>
        <v>1.1485101729852534E-3</v>
      </c>
      <c r="P276" s="207">
        <f t="shared" si="32"/>
        <v>8.2316049008435144E-5</v>
      </c>
      <c r="Q276" s="208">
        <f t="shared" si="33"/>
        <v>1.0021992959873915</v>
      </c>
      <c r="R276" s="40">
        <f t="shared" si="34"/>
        <v>1.0638543932785119E-3</v>
      </c>
      <c r="S276" s="209">
        <v>0</v>
      </c>
    </row>
    <row r="277" spans="1:19" x14ac:dyDescent="0.45">
      <c r="A277" s="16">
        <v>43978</v>
      </c>
      <c r="B277" s="42">
        <f>'Part 2 - CAPM 2.1, 2.2 and 2.3'!N277</f>
        <v>2.2954943301444482E-2</v>
      </c>
      <c r="C277" s="42">
        <f>'Part 2 - CAPM 2.1, 2.2 and 2.3'!O277</f>
        <v>1.2254017181971671E-2</v>
      </c>
      <c r="E277" s="16">
        <v>43978</v>
      </c>
      <c r="F277" s="17">
        <v>3.1E-2</v>
      </c>
      <c r="G277" s="41">
        <f t="shared" si="30"/>
        <v>8.3645155690703632E-5</v>
      </c>
      <c r="L277" s="40">
        <f t="shared" si="28"/>
        <v>2.3089073171828855E-2</v>
      </c>
      <c r="M277" s="40">
        <f t="shared" si="29"/>
        <v>1.2364612548480113E-2</v>
      </c>
      <c r="O277" s="40">
        <f t="shared" si="31"/>
        <v>2.3089073171828855E-2</v>
      </c>
      <c r="P277" s="207">
        <f t="shared" si="32"/>
        <v>8.3645155690703632E-5</v>
      </c>
      <c r="Q277" s="208">
        <f t="shared" si="33"/>
        <v>1.0021992959873915</v>
      </c>
      <c r="R277" s="40">
        <f t="shared" si="34"/>
        <v>2.2954943301444482E-2</v>
      </c>
      <c r="S277" s="209">
        <v>0</v>
      </c>
    </row>
    <row r="278" spans="1:19" x14ac:dyDescent="0.45">
      <c r="A278" s="16">
        <v>43979</v>
      </c>
      <c r="B278" s="42">
        <f>'Part 2 - CAPM 2.1, 2.2 and 2.3'!N278</f>
        <v>1.7910282217881577E-2</v>
      </c>
      <c r="C278" s="42">
        <f>'Part 2 - CAPM 2.1, 2.2 and 2.3'!O278</f>
        <v>1.1458764905507632E-2</v>
      </c>
      <c r="E278" s="16">
        <v>43979</v>
      </c>
      <c r="F278" s="17">
        <v>3.2300000000000002E-2</v>
      </c>
      <c r="G278" s="41">
        <f t="shared" si="30"/>
        <v>8.7097827013105089E-5</v>
      </c>
      <c r="L278" s="40">
        <f t="shared" si="28"/>
        <v>1.803677005670952E-2</v>
      </c>
      <c r="M278" s="40">
        <f t="shared" si="29"/>
        <v>1.1571063948197883E-2</v>
      </c>
      <c r="O278" s="40">
        <f t="shared" si="31"/>
        <v>1.803677005670952E-2</v>
      </c>
      <c r="P278" s="207">
        <f t="shared" si="32"/>
        <v>8.7097827013105089E-5</v>
      </c>
      <c r="Q278" s="208">
        <f t="shared" si="33"/>
        <v>1.0021992959873915</v>
      </c>
      <c r="R278" s="40">
        <f t="shared" si="34"/>
        <v>1.7910282217881577E-2</v>
      </c>
      <c r="S278" s="209">
        <v>0</v>
      </c>
    </row>
    <row r="279" spans="1:19" x14ac:dyDescent="0.45">
      <c r="A279" s="16">
        <v>43980</v>
      </c>
      <c r="B279" s="42">
        <f>'Part 2 - CAPM 2.1, 2.2 and 2.3'!N279</f>
        <v>1.157080153070201E-2</v>
      </c>
      <c r="C279" s="42">
        <f>'Part 2 - CAPM 2.1, 2.2 and 2.3'!O279</f>
        <v>5.5079881268280201E-2</v>
      </c>
      <c r="E279" s="16">
        <v>43980</v>
      </c>
      <c r="F279" s="17">
        <v>3.27E-2</v>
      </c>
      <c r="G279" s="41">
        <f t="shared" si="30"/>
        <v>8.8159315106084435E-5</v>
      </c>
      <c r="L279" s="40">
        <f t="shared" si="28"/>
        <v>1.1684408463185471E-2</v>
      </c>
      <c r="M279" s="40">
        <f t="shared" si="29"/>
        <v>5.5289177545245614E-2</v>
      </c>
      <c r="O279" s="40">
        <f t="shared" si="31"/>
        <v>1.1684408463185471E-2</v>
      </c>
      <c r="P279" s="207">
        <f t="shared" si="32"/>
        <v>8.8159315106084435E-5</v>
      </c>
      <c r="Q279" s="208">
        <f t="shared" si="33"/>
        <v>1.0021992959873915</v>
      </c>
      <c r="R279" s="40">
        <f t="shared" si="34"/>
        <v>1.157080153070201E-2</v>
      </c>
      <c r="S279" s="209">
        <v>0</v>
      </c>
    </row>
    <row r="280" spans="1:19" x14ac:dyDescent="0.45">
      <c r="A280" s="16">
        <v>43983</v>
      </c>
      <c r="B280" s="42">
        <f>'Part 2 - CAPM 2.1, 2.2 and 2.3'!N280</f>
        <v>2.5184883422475667E-2</v>
      </c>
      <c r="C280" s="42">
        <f>'Part 2 - CAPM 2.1, 2.2 and 2.3'!O280</f>
        <v>8.9257331715197376E-3</v>
      </c>
      <c r="E280" s="16">
        <v>43983</v>
      </c>
      <c r="F280" s="17">
        <v>3.2899999999999999E-2</v>
      </c>
      <c r="G280" s="41">
        <f t="shared" si="30"/>
        <v>8.8689905403338543E-5</v>
      </c>
      <c r="L280" s="40">
        <f t="shared" si="28"/>
        <v>2.532896234093298E-2</v>
      </c>
      <c r="M280" s="40">
        <f t="shared" si="29"/>
        <v>9.0340534060717268E-3</v>
      </c>
      <c r="O280" s="40">
        <f t="shared" si="31"/>
        <v>2.532896234093298E-2</v>
      </c>
      <c r="P280" s="207">
        <f t="shared" si="32"/>
        <v>8.8689905403338543E-5</v>
      </c>
      <c r="Q280" s="208">
        <f t="shared" si="33"/>
        <v>1.0021992959873915</v>
      </c>
      <c r="R280" s="40">
        <f t="shared" si="34"/>
        <v>2.5184883422475667E-2</v>
      </c>
      <c r="S280" s="209">
        <v>0</v>
      </c>
    </row>
    <row r="281" spans="1:19" x14ac:dyDescent="0.45">
      <c r="A281" s="16">
        <v>43984</v>
      </c>
      <c r="B281" s="42">
        <f>'Part 2 - CAPM 2.1, 2.2 and 2.3'!N281</f>
        <v>1.4543031970198031E-2</v>
      </c>
      <c r="C281" s="42">
        <f>'Part 2 - CAPM 2.1, 2.2 and 2.3'!O281</f>
        <v>4.0801931404290601E-3</v>
      </c>
      <c r="E281" s="16">
        <v>43984</v>
      </c>
      <c r="F281" s="17">
        <v>3.3000000000000002E-2</v>
      </c>
      <c r="G281" s="41">
        <f t="shared" si="30"/>
        <v>8.8955162131920673E-5</v>
      </c>
      <c r="L281" s="40">
        <f t="shared" si="28"/>
        <v>1.4663971564186515E-2</v>
      </c>
      <c r="M281" s="40">
        <f t="shared" si="29"/>
        <v>4.1781218549625087E-3</v>
      </c>
      <c r="O281" s="40">
        <f t="shared" si="31"/>
        <v>1.4663971564186515E-2</v>
      </c>
      <c r="P281" s="207">
        <f t="shared" si="32"/>
        <v>8.8955162131920673E-5</v>
      </c>
      <c r="Q281" s="208">
        <f t="shared" si="33"/>
        <v>1.0021992959873915</v>
      </c>
      <c r="R281" s="40">
        <f t="shared" si="34"/>
        <v>1.4543031970198031E-2</v>
      </c>
      <c r="S281" s="209">
        <v>0</v>
      </c>
    </row>
    <row r="282" spans="1:19" x14ac:dyDescent="0.45">
      <c r="A282" s="16">
        <v>43985</v>
      </c>
      <c r="B282" s="42">
        <f>'Part 2 - CAPM 2.1, 2.2 and 2.3'!N282</f>
        <v>7.9650679726289142E-3</v>
      </c>
      <c r="C282" s="42">
        <f>'Part 2 - CAPM 2.1, 2.2 and 2.3'!O282</f>
        <v>2.3634511346292651E-2</v>
      </c>
      <c r="E282" s="16">
        <v>43985</v>
      </c>
      <c r="F282" s="17">
        <v>3.3500000000000002E-2</v>
      </c>
      <c r="G282" s="41">
        <f t="shared" si="30"/>
        <v>9.0281061773778148E-5</v>
      </c>
      <c r="L282" s="40">
        <f t="shared" si="28"/>
        <v>8.0728665764341952E-3</v>
      </c>
      <c r="M282" s="40">
        <f t="shared" si="29"/>
        <v>2.377677169403429E-2</v>
      </c>
      <c r="O282" s="40">
        <f t="shared" si="31"/>
        <v>8.0728665764341952E-3</v>
      </c>
      <c r="P282" s="207">
        <f t="shared" si="32"/>
        <v>9.0281061773778148E-5</v>
      </c>
      <c r="Q282" s="208">
        <f t="shared" si="33"/>
        <v>1.0021992959873915</v>
      </c>
      <c r="R282" s="40">
        <f t="shared" si="34"/>
        <v>7.9650679726289142E-3</v>
      </c>
      <c r="S282" s="209">
        <v>0</v>
      </c>
    </row>
    <row r="283" spans="1:19" x14ac:dyDescent="0.45">
      <c r="A283" s="16">
        <v>43986</v>
      </c>
      <c r="B283" s="42">
        <f>'Part 2 - CAPM 2.1, 2.2 and 2.3'!N283</f>
        <v>-2.1772692638338188E-3</v>
      </c>
      <c r="C283" s="42">
        <f>'Part 2 - CAPM 2.1, 2.2 and 2.3'!O283</f>
        <v>-1.6315145791780592E-2</v>
      </c>
      <c r="E283" s="16">
        <v>43986</v>
      </c>
      <c r="F283" s="17">
        <v>3.44E-2</v>
      </c>
      <c r="G283" s="41">
        <f t="shared" si="30"/>
        <v>9.2666069880342761E-5</v>
      </c>
      <c r="L283" s="40">
        <f t="shared" si="28"/>
        <v>-2.0893916535088966E-3</v>
      </c>
      <c r="M283" s="40">
        <f t="shared" si="29"/>
        <v>-1.6258361556573821E-2</v>
      </c>
      <c r="O283" s="40">
        <f t="shared" si="31"/>
        <v>-2.0893916535088966E-3</v>
      </c>
      <c r="P283" s="207">
        <f t="shared" si="32"/>
        <v>9.2666069880342761E-5</v>
      </c>
      <c r="Q283" s="208">
        <f t="shared" si="33"/>
        <v>1.0021992959873915</v>
      </c>
      <c r="R283" s="40">
        <f t="shared" si="34"/>
        <v>-2.1772692638338188E-3</v>
      </c>
      <c r="S283" s="209">
        <v>0</v>
      </c>
    </row>
    <row r="284" spans="1:19" x14ac:dyDescent="0.45">
      <c r="A284" s="16">
        <v>43987</v>
      </c>
      <c r="B284" s="42">
        <f>'Part 2 - CAPM 2.1, 2.2 and 2.3'!N284</f>
        <v>1.3765206731423157E-2</v>
      </c>
      <c r="C284" s="42">
        <f>'Part 2 - CAPM 2.1, 2.2 and 2.3'!O284</f>
        <v>2.4052064001049991E-2</v>
      </c>
      <c r="E284" s="16">
        <v>43987</v>
      </c>
      <c r="F284" s="17">
        <v>3.49E-2</v>
      </c>
      <c r="G284" s="41">
        <f t="shared" si="30"/>
        <v>9.3990180339842411E-5</v>
      </c>
      <c r="L284" s="40">
        <f t="shared" si="28"/>
        <v>1.3889470675693034E-2</v>
      </c>
      <c r="M284" s="40">
        <f t="shared" si="29"/>
        <v>2.4198951789235829E-2</v>
      </c>
      <c r="O284" s="40">
        <f t="shared" si="31"/>
        <v>1.3889470675693034E-2</v>
      </c>
      <c r="P284" s="207">
        <f t="shared" si="32"/>
        <v>9.3990180339842411E-5</v>
      </c>
      <c r="Q284" s="208">
        <f t="shared" si="33"/>
        <v>1.0021992959873915</v>
      </c>
      <c r="R284" s="40">
        <f t="shared" si="34"/>
        <v>1.3765206731423157E-2</v>
      </c>
      <c r="S284" s="209">
        <v>0</v>
      </c>
    </row>
    <row r="285" spans="1:19" x14ac:dyDescent="0.45">
      <c r="A285" s="16">
        <v>43990</v>
      </c>
      <c r="B285" s="42">
        <f>'Part 2 - CAPM 2.1, 2.2 and 2.3'!N285</f>
        <v>2.870891758382703E-3</v>
      </c>
      <c r="C285" s="42">
        <f>'Part 2 - CAPM 2.1, 2.2 and 2.3'!O285</f>
        <v>4.5910254468127139E-2</v>
      </c>
      <c r="E285" s="16">
        <v>43990</v>
      </c>
      <c r="F285" s="17">
        <v>3.4599999999999999E-2</v>
      </c>
      <c r="G285" s="41">
        <f t="shared" si="30"/>
        <v>9.3195790642264242E-5</v>
      </c>
      <c r="L285" s="40">
        <f t="shared" si="28"/>
        <v>2.9704014897494139E-3</v>
      </c>
      <c r="M285" s="40">
        <f t="shared" si="29"/>
        <v>4.610442049720128E-2</v>
      </c>
      <c r="O285" s="40">
        <f t="shared" si="31"/>
        <v>2.9704014897494139E-3</v>
      </c>
      <c r="P285" s="207">
        <f t="shared" si="32"/>
        <v>9.3195790642264242E-5</v>
      </c>
      <c r="Q285" s="208">
        <f t="shared" si="33"/>
        <v>1.0021992959873915</v>
      </c>
      <c r="R285" s="40">
        <f t="shared" si="34"/>
        <v>2.870891758382703E-3</v>
      </c>
      <c r="S285" s="209">
        <v>0</v>
      </c>
    </row>
    <row r="286" spans="1:19" x14ac:dyDescent="0.45">
      <c r="A286" s="16">
        <v>43991</v>
      </c>
      <c r="B286" s="42">
        <f>'Part 2 - CAPM 2.1, 2.2 and 2.3'!N286</f>
        <v>-1.0406544071410138E-2</v>
      </c>
      <c r="C286" s="42">
        <f>'Part 2 - CAPM 2.1, 2.2 and 2.3'!O286</f>
        <v>-1.0538230558200738E-2</v>
      </c>
      <c r="E286" s="16">
        <v>43991</v>
      </c>
      <c r="F286" s="17">
        <v>3.4500000000000003E-2</v>
      </c>
      <c r="G286" s="41">
        <f t="shared" si="30"/>
        <v>9.2930943027536017E-5</v>
      </c>
      <c r="L286" s="40">
        <f t="shared" si="28"/>
        <v>-1.0336500199001468E-2</v>
      </c>
      <c r="M286" s="40">
        <f t="shared" si="29"/>
        <v>-1.046847630335406E-2</v>
      </c>
      <c r="O286" s="40">
        <f t="shared" si="31"/>
        <v>-1.0336500199001468E-2</v>
      </c>
      <c r="P286" s="207">
        <f t="shared" si="32"/>
        <v>9.2930943027536017E-5</v>
      </c>
      <c r="Q286" s="208">
        <f t="shared" si="33"/>
        <v>1.0021992959873915</v>
      </c>
      <c r="R286" s="40">
        <f t="shared" si="34"/>
        <v>-1.0406544071410138E-2</v>
      </c>
      <c r="S286" s="209">
        <v>0</v>
      </c>
    </row>
    <row r="287" spans="1:19" x14ac:dyDescent="0.45">
      <c r="A287" s="16">
        <v>43992</v>
      </c>
      <c r="B287" s="42">
        <f>'Part 2 - CAPM 2.1, 2.2 and 2.3'!N287</f>
        <v>6.6142423509760184E-3</v>
      </c>
      <c r="C287" s="42">
        <f>'Part 2 - CAPM 2.1, 2.2 and 2.3'!O287</f>
        <v>-1.95368456156398E-2</v>
      </c>
      <c r="E287" s="16">
        <v>43992</v>
      </c>
      <c r="F287" s="17">
        <v>3.4300000000000004E-2</v>
      </c>
      <c r="G287" s="41">
        <f t="shared" si="30"/>
        <v>9.2401171195355403E-5</v>
      </c>
      <c r="L287" s="40">
        <f t="shared" si="28"/>
        <v>6.7211901988335106E-3</v>
      </c>
      <c r="M287" s="40">
        <f t="shared" si="29"/>
        <v>-1.948741175061321E-2</v>
      </c>
      <c r="O287" s="40">
        <f t="shared" si="31"/>
        <v>6.7211901988335106E-3</v>
      </c>
      <c r="P287" s="207">
        <f t="shared" si="32"/>
        <v>9.2401171195355403E-5</v>
      </c>
      <c r="Q287" s="208">
        <f t="shared" si="33"/>
        <v>1.0021992959873915</v>
      </c>
      <c r="R287" s="40">
        <f t="shared" si="34"/>
        <v>6.6142423509760184E-3</v>
      </c>
      <c r="S287" s="209">
        <v>0</v>
      </c>
    </row>
    <row r="288" spans="1:19" x14ac:dyDescent="0.45">
      <c r="A288" s="16">
        <v>43993</v>
      </c>
      <c r="B288" s="42">
        <f>'Part 2 - CAPM 2.1, 2.2 and 2.3'!N288</f>
        <v>-1.8943265317172407E-2</v>
      </c>
      <c r="C288" s="42">
        <f>'Part 2 - CAPM 2.1, 2.2 and 2.3'!O288</f>
        <v>-1.5388261667451306E-2</v>
      </c>
      <c r="E288" s="16">
        <v>43993</v>
      </c>
      <c r="F288" s="17">
        <v>3.3700000000000001E-2</v>
      </c>
      <c r="G288" s="41">
        <f t="shared" si="30"/>
        <v>9.081124252219297E-5</v>
      </c>
      <c r="L288" s="40">
        <f t="shared" si="28"/>
        <v>-1.8894115922050366E-2</v>
      </c>
      <c r="M288" s="40">
        <f t="shared" si="29"/>
        <v>-1.533129376706727E-2</v>
      </c>
      <c r="O288" s="40">
        <f t="shared" si="31"/>
        <v>-1.8894115922050366E-2</v>
      </c>
      <c r="P288" s="207">
        <f t="shared" si="32"/>
        <v>9.081124252219297E-5</v>
      </c>
      <c r="Q288" s="208">
        <f t="shared" si="33"/>
        <v>1.0021992959873915</v>
      </c>
      <c r="R288" s="40">
        <f t="shared" si="34"/>
        <v>-1.8943265317172407E-2</v>
      </c>
      <c r="S288" s="209">
        <v>0</v>
      </c>
    </row>
    <row r="289" spans="1:19" x14ac:dyDescent="0.45">
      <c r="A289" s="16">
        <v>43994</v>
      </c>
      <c r="B289" s="42">
        <f>'Part 2 - CAPM 2.1, 2.2 and 2.3'!N289</f>
        <v>7.2097066486845772E-3</v>
      </c>
      <c r="C289" s="42">
        <f>'Part 2 - CAPM 2.1, 2.2 and 2.3'!O289</f>
        <v>-3.4612720647504501E-2</v>
      </c>
      <c r="E289" s="16">
        <v>43994</v>
      </c>
      <c r="F289" s="17">
        <v>3.3500000000000002E-2</v>
      </c>
      <c r="G289" s="41">
        <f t="shared" si="30"/>
        <v>9.0281061773778148E-5</v>
      </c>
      <c r="L289" s="40">
        <f t="shared" si="28"/>
        <v>7.3158439893610773E-3</v>
      </c>
      <c r="M289" s="40">
        <f t="shared" si="29"/>
        <v>-3.4598563203363485E-2</v>
      </c>
      <c r="O289" s="40">
        <f t="shared" si="31"/>
        <v>7.3158439893610773E-3</v>
      </c>
      <c r="P289" s="207">
        <f t="shared" si="32"/>
        <v>9.0281061773778148E-5</v>
      </c>
      <c r="Q289" s="208">
        <f t="shared" si="33"/>
        <v>1.0021992959873915</v>
      </c>
      <c r="R289" s="40">
        <f t="shared" si="34"/>
        <v>7.2097066486845772E-3</v>
      </c>
      <c r="S289" s="209">
        <v>0</v>
      </c>
    </row>
    <row r="290" spans="1:19" x14ac:dyDescent="0.45">
      <c r="A290" s="16">
        <v>43997</v>
      </c>
      <c r="B290" s="42">
        <f>'Part 2 - CAPM 2.1, 2.2 and 2.3'!N290</f>
        <v>-1.35047069072669E-2</v>
      </c>
      <c r="C290" s="42">
        <f>'Part 2 - CAPM 2.1, 2.2 and 2.3'!O290</f>
        <v>2.2935091646861575E-3</v>
      </c>
      <c r="E290" s="16">
        <v>43997</v>
      </c>
      <c r="F290" s="17">
        <v>3.3500000000000002E-2</v>
      </c>
      <c r="G290" s="41">
        <f t="shared" si="30"/>
        <v>9.0281061773778148E-5</v>
      </c>
      <c r="L290" s="40">
        <f t="shared" si="28"/>
        <v>-1.3444126693205173E-2</v>
      </c>
      <c r="M290" s="40">
        <f t="shared" si="29"/>
        <v>2.3888343319628759E-3</v>
      </c>
      <c r="O290" s="40">
        <f t="shared" si="31"/>
        <v>-1.3444126693205173E-2</v>
      </c>
      <c r="P290" s="207">
        <f t="shared" si="32"/>
        <v>9.0281061773778148E-5</v>
      </c>
      <c r="Q290" s="208">
        <f t="shared" si="33"/>
        <v>1.0021992959873915</v>
      </c>
      <c r="R290" s="40">
        <f t="shared" si="34"/>
        <v>-1.35047069072669E-2</v>
      </c>
      <c r="S290" s="209">
        <v>0</v>
      </c>
    </row>
    <row r="291" spans="1:19" x14ac:dyDescent="0.45">
      <c r="A291" s="16">
        <v>43998</v>
      </c>
      <c r="B291" s="42">
        <f>'Part 2 - CAPM 2.1, 2.2 and 2.3'!N291</f>
        <v>8.0529709214822078E-3</v>
      </c>
      <c r="C291" s="42">
        <f>'Part 2 - CAPM 2.1, 2.2 and 2.3'!O291</f>
        <v>-2.4684023459591365E-3</v>
      </c>
      <c r="E291" s="16">
        <v>43998</v>
      </c>
      <c r="F291" s="17">
        <v>3.3500000000000002E-2</v>
      </c>
      <c r="G291" s="41">
        <f t="shared" si="30"/>
        <v>9.0281061773778148E-5</v>
      </c>
      <c r="L291" s="40">
        <f t="shared" si="28"/>
        <v>8.1609628498901833E-3</v>
      </c>
      <c r="M291" s="40">
        <f t="shared" si="29"/>
        <v>-2.3835500315600943E-3</v>
      </c>
      <c r="O291" s="40">
        <f t="shared" si="31"/>
        <v>8.1609628498901833E-3</v>
      </c>
      <c r="P291" s="207">
        <f t="shared" si="32"/>
        <v>9.0281061773778148E-5</v>
      </c>
      <c r="Q291" s="208">
        <f t="shared" si="33"/>
        <v>1.0021992959873915</v>
      </c>
      <c r="R291" s="40">
        <f t="shared" si="34"/>
        <v>8.0529709214822078E-3</v>
      </c>
      <c r="S291" s="209">
        <v>0</v>
      </c>
    </row>
    <row r="292" spans="1:19" x14ac:dyDescent="0.45">
      <c r="A292" s="16">
        <v>43999</v>
      </c>
      <c r="B292" s="42">
        <f>'Part 2 - CAPM 2.1, 2.2 and 2.3'!N292</f>
        <v>-1.5425326801330201E-3</v>
      </c>
      <c r="C292" s="42">
        <f>'Part 2 - CAPM 2.1, 2.2 and 2.3'!O292</f>
        <v>3.4867301775581526E-3</v>
      </c>
      <c r="E292" s="16">
        <v>43999</v>
      </c>
      <c r="F292" s="17">
        <v>3.3000000000000002E-2</v>
      </c>
      <c r="G292" s="41">
        <f t="shared" si="30"/>
        <v>8.8955162131920673E-5</v>
      </c>
      <c r="L292" s="40">
        <f t="shared" si="28"/>
        <v>-1.4569700039349363E-3</v>
      </c>
      <c r="M292" s="40">
        <f t="shared" si="29"/>
        <v>3.5833536913786939E-3</v>
      </c>
      <c r="O292" s="40">
        <f t="shared" si="31"/>
        <v>-1.4569700039349363E-3</v>
      </c>
      <c r="P292" s="207">
        <f t="shared" si="32"/>
        <v>8.8955162131920673E-5</v>
      </c>
      <c r="Q292" s="208">
        <f t="shared" si="33"/>
        <v>1.0021992959873915</v>
      </c>
      <c r="R292" s="40">
        <f t="shared" si="34"/>
        <v>-1.5425326801330201E-3</v>
      </c>
      <c r="S292" s="209">
        <v>0</v>
      </c>
    </row>
    <row r="293" spans="1:19" x14ac:dyDescent="0.45">
      <c r="A293" s="16">
        <v>44000</v>
      </c>
      <c r="B293" s="42">
        <f>'Part 2 - CAPM 2.1, 2.2 and 2.3'!N293</f>
        <v>1.7502740484517006E-2</v>
      </c>
      <c r="C293" s="42">
        <f>'Part 2 - CAPM 2.1, 2.2 and 2.3'!O293</f>
        <v>-7.2143153594051651E-3</v>
      </c>
      <c r="E293" s="16">
        <v>44000</v>
      </c>
      <c r="F293" s="17">
        <v>3.2799999999999996E-2</v>
      </c>
      <c r="G293" s="41">
        <f t="shared" si="30"/>
        <v>8.8424623063021457E-5</v>
      </c>
      <c r="L293" s="40">
        <f t="shared" si="28"/>
        <v>1.7629658814495981E-2</v>
      </c>
      <c r="M293" s="40">
        <f t="shared" si="29"/>
        <v>-7.1417571511638604E-3</v>
      </c>
      <c r="O293" s="40">
        <f t="shared" si="31"/>
        <v>1.7629658814495981E-2</v>
      </c>
      <c r="P293" s="207">
        <f t="shared" si="32"/>
        <v>8.8424623063021457E-5</v>
      </c>
      <c r="Q293" s="208">
        <f t="shared" si="33"/>
        <v>1.0021992959873915</v>
      </c>
      <c r="R293" s="40">
        <f t="shared" si="34"/>
        <v>1.7502740484517006E-2</v>
      </c>
      <c r="S293" s="209">
        <v>0</v>
      </c>
    </row>
    <row r="294" spans="1:19" x14ac:dyDescent="0.45">
      <c r="A294" s="16">
        <v>44001</v>
      </c>
      <c r="B294" s="42">
        <f>'Part 2 - CAPM 2.1, 2.2 and 2.3'!N294</f>
        <v>1.436776316855058E-2</v>
      </c>
      <c r="C294" s="42">
        <f>'Part 2 - CAPM 2.1, 2.2 and 2.3'!O294</f>
        <v>2.5629278726219343E-2</v>
      </c>
      <c r="E294" s="16">
        <v>44001</v>
      </c>
      <c r="F294" s="17">
        <v>3.2799999999999996E-2</v>
      </c>
      <c r="G294" s="41">
        <f t="shared" si="30"/>
        <v>8.8424623063021457E-5</v>
      </c>
      <c r="L294" s="40">
        <f t="shared" si="28"/>
        <v>1.4487786755497986E-2</v>
      </c>
      <c r="M294" s="40">
        <f t="shared" si="29"/>
        <v>2.5774069719144678E-2</v>
      </c>
      <c r="O294" s="40">
        <f t="shared" si="31"/>
        <v>1.4487786755497986E-2</v>
      </c>
      <c r="P294" s="207">
        <f t="shared" si="32"/>
        <v>8.8424623063021457E-5</v>
      </c>
      <c r="Q294" s="208">
        <f t="shared" si="33"/>
        <v>1.0021992959873915</v>
      </c>
      <c r="R294" s="40">
        <f t="shared" si="34"/>
        <v>1.436776316855058E-2</v>
      </c>
      <c r="S294" s="209">
        <v>0</v>
      </c>
    </row>
    <row r="295" spans="1:19" x14ac:dyDescent="0.45">
      <c r="A295" s="16">
        <v>44004</v>
      </c>
      <c r="B295" s="42">
        <f>'Part 2 - CAPM 2.1, 2.2 and 2.3'!N295</f>
        <v>9.7936841453853778E-3</v>
      </c>
      <c r="C295" s="42">
        <f>'Part 2 - CAPM 2.1, 2.2 and 2.3'!O295</f>
        <v>-1.0584847215411376E-2</v>
      </c>
      <c r="E295" s="16">
        <v>44004</v>
      </c>
      <c r="F295" s="17">
        <v>3.3099999999999997E-2</v>
      </c>
      <c r="G295" s="41">
        <f t="shared" si="30"/>
        <v>8.9220393253874875E-5</v>
      </c>
      <c r="L295" s="40">
        <f t="shared" si="28"/>
        <v>9.9044437488819796E-3</v>
      </c>
      <c r="M295" s="40">
        <f t="shared" si="29"/>
        <v>-1.0518906034165509E-2</v>
      </c>
      <c r="O295" s="40">
        <f t="shared" si="31"/>
        <v>9.9044437488819796E-3</v>
      </c>
      <c r="P295" s="207">
        <f t="shared" si="32"/>
        <v>8.9220393253874875E-5</v>
      </c>
      <c r="Q295" s="208">
        <f t="shared" si="33"/>
        <v>1.0021992959873915</v>
      </c>
      <c r="R295" s="40">
        <f t="shared" si="34"/>
        <v>9.7936841453853778E-3</v>
      </c>
      <c r="S295" s="209">
        <v>0</v>
      </c>
    </row>
    <row r="296" spans="1:19" x14ac:dyDescent="0.45">
      <c r="A296" s="16">
        <v>44005</v>
      </c>
      <c r="B296" s="42">
        <f>'Part 2 - CAPM 2.1, 2.2 and 2.3'!N296</f>
        <v>1.5778044866535057E-2</v>
      </c>
      <c r="C296" s="42">
        <f>'Part 2 - CAPM 2.1, 2.2 and 2.3'!O296</f>
        <v>9.3399784411681095E-3</v>
      </c>
      <c r="E296" s="16">
        <v>44005</v>
      </c>
      <c r="F296" s="17">
        <v>3.2799999999999996E-2</v>
      </c>
      <c r="G296" s="41">
        <f t="shared" si="30"/>
        <v>8.8424623063021457E-5</v>
      </c>
      <c r="L296" s="40">
        <f t="shared" si="28"/>
        <v>1.5901170080361932E-2</v>
      </c>
      <c r="M296" s="40">
        <f t="shared" si="29"/>
        <v>9.4489444413391153E-3</v>
      </c>
      <c r="O296" s="40">
        <f t="shared" si="31"/>
        <v>1.5901170080361932E-2</v>
      </c>
      <c r="P296" s="207">
        <f t="shared" si="32"/>
        <v>8.8424623063021457E-5</v>
      </c>
      <c r="Q296" s="208">
        <f t="shared" si="33"/>
        <v>1.0021992959873915</v>
      </c>
      <c r="R296" s="40">
        <f t="shared" si="34"/>
        <v>1.5778044866535057E-2</v>
      </c>
      <c r="S296" s="209">
        <v>0</v>
      </c>
    </row>
    <row r="297" spans="1:19" x14ac:dyDescent="0.45">
      <c r="A297" s="16">
        <v>44006</v>
      </c>
      <c r="B297" s="42">
        <f>'Part 2 - CAPM 2.1, 2.2 and 2.3'!N297</f>
        <v>-1.4568477590190686E-2</v>
      </c>
      <c r="C297" s="42">
        <f>'Part 2 - CAPM 2.1, 2.2 and 2.3'!O297</f>
        <v>-2.9858896176073443E-2</v>
      </c>
      <c r="E297" s="16">
        <v>44006</v>
      </c>
      <c r="F297" s="17">
        <v>3.2099999999999997E-2</v>
      </c>
      <c r="G297" s="41">
        <f t="shared" si="30"/>
        <v>8.6566929138109927E-5</v>
      </c>
      <c r="L297" s="40">
        <f t="shared" si="28"/>
        <v>-1.4513951055359086E-2</v>
      </c>
      <c r="M297" s="40">
        <f t="shared" si="29"/>
        <v>-2.9837997797483314E-2</v>
      </c>
      <c r="O297" s="40">
        <f t="shared" si="31"/>
        <v>-1.4513951055359086E-2</v>
      </c>
      <c r="P297" s="207">
        <f t="shared" si="32"/>
        <v>8.6566929138109927E-5</v>
      </c>
      <c r="Q297" s="208">
        <f t="shared" si="33"/>
        <v>1.0021992959873915</v>
      </c>
      <c r="R297" s="40">
        <f t="shared" si="34"/>
        <v>-1.4568477590190686E-2</v>
      </c>
      <c r="S297" s="209">
        <v>0</v>
      </c>
    </row>
    <row r="298" spans="1:19" x14ac:dyDescent="0.45">
      <c r="A298" s="16">
        <v>44007</v>
      </c>
      <c r="B298" s="42">
        <f>'Part 2 - CAPM 2.1, 2.2 and 2.3'!N298</f>
        <v>3.4383090476060465E-4</v>
      </c>
      <c r="C298" s="42">
        <f>'Part 2 - CAPM 2.1, 2.2 and 2.3'!O298</f>
        <v>-1.8136311906173673E-2</v>
      </c>
      <c r="E298" s="16">
        <v>44007</v>
      </c>
      <c r="F298" s="17">
        <v>3.1800000000000002E-2</v>
      </c>
      <c r="G298" s="41">
        <f t="shared" si="30"/>
        <v>8.5770389928185864E-5</v>
      </c>
      <c r="L298" s="40">
        <f t="shared" si="28"/>
        <v>4.3035748061797172E-4</v>
      </c>
      <c r="M298" s="40">
        <f t="shared" si="29"/>
        <v>-1.8090428634246817E-2</v>
      </c>
      <c r="O298" s="40">
        <f t="shared" si="31"/>
        <v>4.3035748061797172E-4</v>
      </c>
      <c r="P298" s="207">
        <f t="shared" si="32"/>
        <v>8.5770389928185864E-5</v>
      </c>
      <c r="Q298" s="208">
        <f t="shared" si="33"/>
        <v>1.0021992959873915</v>
      </c>
      <c r="R298" s="40">
        <f t="shared" si="34"/>
        <v>3.4383090476060465E-4</v>
      </c>
      <c r="S298" s="209">
        <v>0</v>
      </c>
    </row>
    <row r="299" spans="1:19" x14ac:dyDescent="0.45">
      <c r="A299" s="16">
        <v>44008</v>
      </c>
      <c r="B299" s="42">
        <f>'Part 2 - CAPM 2.1, 2.2 and 2.3'!N299</f>
        <v>6.8672525868127597E-3</v>
      </c>
      <c r="C299" s="42">
        <f>'Part 2 - CAPM 2.1, 2.2 and 2.3'!O299</f>
        <v>3.1164229610071953E-2</v>
      </c>
      <c r="E299" s="16">
        <v>44008</v>
      </c>
      <c r="F299" s="17">
        <v>3.1800000000000002E-2</v>
      </c>
      <c r="G299" s="41">
        <f t="shared" si="30"/>
        <v>8.5770389928185864E-5</v>
      </c>
      <c r="L299" s="40">
        <f t="shared" si="28"/>
        <v>6.968126097799527E-3</v>
      </c>
      <c r="M299" s="40">
        <f t="shared" si="29"/>
        <v>3.1318539365131723E-2</v>
      </c>
      <c r="O299" s="40">
        <f t="shared" si="31"/>
        <v>6.968126097799527E-3</v>
      </c>
      <c r="P299" s="207">
        <f t="shared" si="32"/>
        <v>8.5770389928185864E-5</v>
      </c>
      <c r="Q299" s="208">
        <f t="shared" si="33"/>
        <v>1.0021992959873915</v>
      </c>
      <c r="R299" s="40">
        <f t="shared" si="34"/>
        <v>6.8672525868127597E-3</v>
      </c>
      <c r="S299" s="209">
        <v>0</v>
      </c>
    </row>
    <row r="300" spans="1:19" x14ac:dyDescent="0.45">
      <c r="A300" s="16">
        <v>44011</v>
      </c>
      <c r="B300" s="42">
        <f>'Part 2 - CAPM 2.1, 2.2 and 2.3'!N300</f>
        <v>-8.3750246292480738E-3</v>
      </c>
      <c r="C300" s="42">
        <f>'Part 2 - CAPM 2.1, 2.2 and 2.3'!O300</f>
        <v>-2.0881702092318103E-2</v>
      </c>
      <c r="E300" s="16">
        <v>44011</v>
      </c>
      <c r="F300" s="17">
        <v>3.1699999999999999E-2</v>
      </c>
      <c r="G300" s="41">
        <f t="shared" si="30"/>
        <v>8.5504825532600748E-5</v>
      </c>
      <c r="L300" s="40">
        <f t="shared" si="28"/>
        <v>-8.3079389617768829E-3</v>
      </c>
      <c r="M300" s="40">
        <f t="shared" si="29"/>
        <v>-2.0842122310407041E-2</v>
      </c>
      <c r="O300" s="40">
        <f t="shared" si="31"/>
        <v>-8.3079389617768829E-3</v>
      </c>
      <c r="P300" s="207">
        <f t="shared" si="32"/>
        <v>8.5504825532600748E-5</v>
      </c>
      <c r="Q300" s="208">
        <f t="shared" si="33"/>
        <v>1.0021992959873915</v>
      </c>
      <c r="R300" s="40">
        <f t="shared" si="34"/>
        <v>-8.3750246292480738E-3</v>
      </c>
      <c r="S300" s="209">
        <v>0</v>
      </c>
    </row>
    <row r="301" spans="1:19" x14ac:dyDescent="0.45">
      <c r="A301" s="16">
        <v>44012</v>
      </c>
      <c r="B301" s="42">
        <f>'Part 2 - CAPM 2.1, 2.2 and 2.3'!N301</f>
        <v>-1.6459917569859376E-3</v>
      </c>
      <c r="C301" s="42">
        <f>'Part 2 - CAPM 2.1, 2.2 and 2.3'!O301</f>
        <v>-1.2827692066324451E-2</v>
      </c>
      <c r="E301" s="16">
        <v>44012</v>
      </c>
      <c r="F301" s="17">
        <v>3.15E-2</v>
      </c>
      <c r="G301" s="41">
        <f t="shared" si="30"/>
        <v>8.4973619722372717E-5</v>
      </c>
      <c r="L301" s="40">
        <f t="shared" si="28"/>
        <v>-1.5646381603299836E-3</v>
      </c>
      <c r="M301" s="40">
        <f t="shared" si="29"/>
        <v>-1.2770930338291041E-2</v>
      </c>
      <c r="O301" s="40">
        <f t="shared" si="31"/>
        <v>-1.5646381603299836E-3</v>
      </c>
      <c r="P301" s="207">
        <f t="shared" si="32"/>
        <v>8.4973619722372717E-5</v>
      </c>
      <c r="Q301" s="208">
        <f t="shared" si="33"/>
        <v>1.0021992959873915</v>
      </c>
      <c r="R301" s="40">
        <f t="shared" si="34"/>
        <v>-1.6459917569859376E-3</v>
      </c>
      <c r="S301" s="209">
        <v>0</v>
      </c>
    </row>
    <row r="302" spans="1:19" x14ac:dyDescent="0.45">
      <c r="A302" s="16">
        <v>44013</v>
      </c>
      <c r="B302" s="42">
        <f>'Part 2 - CAPM 2.1, 2.2 and 2.3'!N302</f>
        <v>9.349142968036921E-3</v>
      </c>
      <c r="C302" s="42">
        <f>'Part 2 - CAPM 2.1, 2.2 and 2.3'!O302</f>
        <v>-1.1148014677744912E-2</v>
      </c>
      <c r="E302" s="16">
        <v>44013</v>
      </c>
      <c r="F302" s="17">
        <v>3.1400000000000004E-2</v>
      </c>
      <c r="G302" s="41">
        <f t="shared" si="30"/>
        <v>8.4707978298181885E-5</v>
      </c>
      <c r="L302" s="40">
        <f t="shared" si="28"/>
        <v>9.4544124789502568E-3</v>
      </c>
      <c r="M302" s="40">
        <f t="shared" si="29"/>
        <v>-1.1087824483394876E-2</v>
      </c>
      <c r="O302" s="40">
        <f t="shared" si="31"/>
        <v>9.4544124789502568E-3</v>
      </c>
      <c r="P302" s="207">
        <f t="shared" si="32"/>
        <v>8.4707978298181885E-5</v>
      </c>
      <c r="Q302" s="208">
        <f t="shared" si="33"/>
        <v>1.0021992959873915</v>
      </c>
      <c r="R302" s="40">
        <f t="shared" si="34"/>
        <v>9.349142968036921E-3</v>
      </c>
      <c r="S302" s="209">
        <v>0</v>
      </c>
    </row>
    <row r="303" spans="1:19" x14ac:dyDescent="0.45">
      <c r="A303" s="16">
        <v>44014</v>
      </c>
      <c r="B303" s="42">
        <f>'Part 2 - CAPM 2.1, 2.2 and 2.3'!N303</f>
        <v>1.0797869245352629E-2</v>
      </c>
      <c r="C303" s="42">
        <f>'Part 2 - CAPM 2.1, 2.2 and 2.3'!O303</f>
        <v>1.731713949401276E-2</v>
      </c>
      <c r="E303" s="16">
        <v>44014</v>
      </c>
      <c r="F303" s="17">
        <v>3.15E-2</v>
      </c>
      <c r="G303" s="41">
        <f t="shared" si="30"/>
        <v>8.4973619722372717E-5</v>
      </c>
      <c r="L303" s="40">
        <f t="shared" si="28"/>
        <v>1.0906590575578684E-2</v>
      </c>
      <c r="M303" s="40">
        <f t="shared" si="29"/>
        <v>1.7440198629137416E-2</v>
      </c>
      <c r="O303" s="40">
        <f t="shared" si="31"/>
        <v>1.0906590575578684E-2</v>
      </c>
      <c r="P303" s="207">
        <f t="shared" si="32"/>
        <v>8.4973619722372717E-5</v>
      </c>
      <c r="Q303" s="208">
        <f t="shared" si="33"/>
        <v>1.0021992959873915</v>
      </c>
      <c r="R303" s="40">
        <f t="shared" si="34"/>
        <v>1.0797869245352629E-2</v>
      </c>
      <c r="S303" s="209">
        <v>0</v>
      </c>
    </row>
    <row r="304" spans="1:19" x14ac:dyDescent="0.45">
      <c r="A304" s="16">
        <v>44015</v>
      </c>
      <c r="B304" s="42">
        <f>'Part 2 - CAPM 2.1, 2.2 and 2.3'!N304</f>
        <v>5.5112620009039855E-3</v>
      </c>
      <c r="C304" s="42">
        <f>'Part 2 - CAPM 2.1, 2.2 and 2.3'!O304</f>
        <v>6.6341042153960665E-3</v>
      </c>
      <c r="E304" s="16">
        <v>44015</v>
      </c>
      <c r="F304" s="17">
        <v>3.1699999999999999E-2</v>
      </c>
      <c r="G304" s="41">
        <f t="shared" si="30"/>
        <v>8.5504825532600748E-5</v>
      </c>
      <c r="L304" s="40">
        <f t="shared" si="28"/>
        <v>5.6088877228406379E-3</v>
      </c>
      <c r="M304" s="40">
        <f t="shared" si="29"/>
        <v>6.7341993997095248E-3</v>
      </c>
      <c r="O304" s="40">
        <f t="shared" si="31"/>
        <v>5.6088877228406379E-3</v>
      </c>
      <c r="P304" s="207">
        <f t="shared" si="32"/>
        <v>8.5504825532600748E-5</v>
      </c>
      <c r="Q304" s="208">
        <f t="shared" si="33"/>
        <v>1.0021992959873915</v>
      </c>
      <c r="R304" s="40">
        <f t="shared" si="34"/>
        <v>5.5112620009039855E-3</v>
      </c>
      <c r="S304" s="209">
        <v>0</v>
      </c>
    </row>
    <row r="305" spans="1:19" x14ac:dyDescent="0.45">
      <c r="A305" s="16">
        <v>44018</v>
      </c>
      <c r="B305" s="42">
        <f>'Part 2 - CAPM 2.1, 2.2 and 2.3'!N305</f>
        <v>1.3650300837828127E-2</v>
      </c>
      <c r="C305" s="42">
        <f>'Part 2 - CAPM 2.1, 2.2 and 2.3'!O305</f>
        <v>1.6297990320098397E-2</v>
      </c>
      <c r="E305" s="16">
        <v>44018</v>
      </c>
      <c r="F305" s="17">
        <v>3.1699999999999999E-2</v>
      </c>
      <c r="G305" s="41">
        <f t="shared" si="30"/>
        <v>8.5504825532600748E-5</v>
      </c>
      <c r="L305" s="40">
        <f t="shared" si="28"/>
        <v>1.376582671522005E-2</v>
      </c>
      <c r="M305" s="40">
        <f t="shared" si="29"/>
        <v>1.6419339250344538E-2</v>
      </c>
      <c r="O305" s="40">
        <f t="shared" si="31"/>
        <v>1.376582671522005E-2</v>
      </c>
      <c r="P305" s="207">
        <f t="shared" si="32"/>
        <v>8.5504825532600748E-5</v>
      </c>
      <c r="Q305" s="208">
        <f t="shared" si="33"/>
        <v>1.0021992959873915</v>
      </c>
      <c r="R305" s="40">
        <f t="shared" si="34"/>
        <v>1.3650300837828127E-2</v>
      </c>
      <c r="S305" s="209">
        <v>0</v>
      </c>
    </row>
    <row r="306" spans="1:19" x14ac:dyDescent="0.45">
      <c r="A306" s="16">
        <v>44019</v>
      </c>
      <c r="B306" s="42">
        <f>'Part 2 - CAPM 2.1, 2.2 and 2.3'!N306</f>
        <v>3.8385145116297233E-3</v>
      </c>
      <c r="C306" s="42">
        <f>'Part 2 - CAPM 2.1, 2.2 and 2.3'!O306</f>
        <v>-2.1578838755158859E-2</v>
      </c>
      <c r="E306" s="16">
        <v>44019</v>
      </c>
      <c r="F306" s="17">
        <v>3.2000000000000001E-2</v>
      </c>
      <c r="G306" s="41">
        <f t="shared" si="30"/>
        <v>8.6301441726055472E-5</v>
      </c>
      <c r="L306" s="40">
        <f t="shared" si="28"/>
        <v>3.9332579829187506E-3</v>
      </c>
      <c r="M306" s="40">
        <f t="shared" si="29"/>
        <v>-2.1539995566919594E-2</v>
      </c>
      <c r="O306" s="40">
        <f t="shared" si="31"/>
        <v>3.9332579829187506E-3</v>
      </c>
      <c r="P306" s="207">
        <f t="shared" si="32"/>
        <v>8.6301441726055472E-5</v>
      </c>
      <c r="Q306" s="208">
        <f t="shared" si="33"/>
        <v>1.0021992959873915</v>
      </c>
      <c r="R306" s="40">
        <f t="shared" si="34"/>
        <v>3.8385145116297233E-3</v>
      </c>
      <c r="S306" s="209">
        <v>0</v>
      </c>
    </row>
    <row r="307" spans="1:19" x14ac:dyDescent="0.45">
      <c r="A307" s="16">
        <v>44020</v>
      </c>
      <c r="B307" s="42">
        <f>'Part 2 - CAPM 2.1, 2.2 and 2.3'!N307</f>
        <v>-7.4640513521553736E-3</v>
      </c>
      <c r="C307" s="42">
        <f>'Part 2 - CAPM 2.1, 2.2 and 2.3'!O307</f>
        <v>-8.01743603971471E-3</v>
      </c>
      <c r="E307" s="16">
        <v>44020</v>
      </c>
      <c r="F307" s="17">
        <v>3.1800000000000002E-2</v>
      </c>
      <c r="G307" s="41">
        <f t="shared" si="30"/>
        <v>8.5770389928185864E-5</v>
      </c>
      <c r="L307" s="40">
        <f t="shared" si="28"/>
        <v>-7.3946966204156677E-3</v>
      </c>
      <c r="M307" s="40">
        <f t="shared" si="29"/>
        <v>-7.9492983646978366E-3</v>
      </c>
      <c r="O307" s="40">
        <f t="shared" si="31"/>
        <v>-7.3946966204156677E-3</v>
      </c>
      <c r="P307" s="207">
        <f t="shared" si="32"/>
        <v>8.5770389928185864E-5</v>
      </c>
      <c r="Q307" s="208">
        <f t="shared" si="33"/>
        <v>1.0021992959873915</v>
      </c>
      <c r="R307" s="40">
        <f t="shared" si="34"/>
        <v>-7.4640513521553736E-3</v>
      </c>
      <c r="S307" s="209">
        <v>0</v>
      </c>
    </row>
    <row r="308" spans="1:19" x14ac:dyDescent="0.45">
      <c r="A308" s="16">
        <v>44021</v>
      </c>
      <c r="B308" s="42">
        <f>'Part 2 - CAPM 2.1, 2.2 and 2.3'!N308</f>
        <v>7.4831541863997391E-3</v>
      </c>
      <c r="C308" s="42">
        <f>'Part 2 - CAPM 2.1, 2.2 and 2.3'!O308</f>
        <v>-1.3616702230491055E-2</v>
      </c>
      <c r="E308" s="16">
        <v>44021</v>
      </c>
      <c r="F308" s="17">
        <v>3.2099999999999997E-2</v>
      </c>
      <c r="G308" s="41">
        <f t="shared" si="30"/>
        <v>8.6566929138109927E-5</v>
      </c>
      <c r="L308" s="40">
        <f t="shared" si="28"/>
        <v>7.5861787865130299E-3</v>
      </c>
      <c r="M308" s="40">
        <f t="shared" si="29"/>
        <v>-1.3560082459929968E-2</v>
      </c>
      <c r="O308" s="40">
        <f t="shared" si="31"/>
        <v>7.5861787865130299E-3</v>
      </c>
      <c r="P308" s="207">
        <f t="shared" si="32"/>
        <v>8.6566929138109927E-5</v>
      </c>
      <c r="Q308" s="208">
        <f t="shared" si="33"/>
        <v>1.0021992959873915</v>
      </c>
      <c r="R308" s="40">
        <f t="shared" si="34"/>
        <v>7.4831541863997391E-3</v>
      </c>
      <c r="S308" s="209">
        <v>0</v>
      </c>
    </row>
    <row r="309" spans="1:19" x14ac:dyDescent="0.45">
      <c r="A309" s="16">
        <v>44022</v>
      </c>
      <c r="B309" s="42">
        <f>'Part 2 - CAPM 2.1, 2.2 and 2.3'!N309</f>
        <v>-4.3282547616239385E-3</v>
      </c>
      <c r="C309" s="42">
        <f>'Part 2 - CAPM 2.1, 2.2 and 2.3'!O309</f>
        <v>-2.0659602013445959E-2</v>
      </c>
      <c r="E309" s="16">
        <v>44022</v>
      </c>
      <c r="F309" s="17">
        <v>3.1899999999999998E-2</v>
      </c>
      <c r="G309" s="41">
        <f t="shared" si="30"/>
        <v>8.6035928657857141E-5</v>
      </c>
      <c r="L309" s="40">
        <f t="shared" si="28"/>
        <v>-4.2517379462957295E-3</v>
      </c>
      <c r="M309" s="40">
        <f t="shared" si="29"/>
        <v>-2.0619002664597378E-2</v>
      </c>
      <c r="O309" s="40">
        <f t="shared" si="31"/>
        <v>-4.2517379462957295E-3</v>
      </c>
      <c r="P309" s="207">
        <f t="shared" si="32"/>
        <v>8.6035928657857141E-5</v>
      </c>
      <c r="Q309" s="208">
        <f t="shared" si="33"/>
        <v>1.0021992959873915</v>
      </c>
      <c r="R309" s="40">
        <f t="shared" si="34"/>
        <v>-4.3282547616239385E-3</v>
      </c>
      <c r="S309" s="209">
        <v>0</v>
      </c>
    </row>
    <row r="310" spans="1:19" x14ac:dyDescent="0.45">
      <c r="A310" s="16">
        <v>44025</v>
      </c>
      <c r="B310" s="42">
        <f>'Part 2 - CAPM 2.1, 2.2 and 2.3'!N310</f>
        <v>2.210927383854362E-3</v>
      </c>
      <c r="C310" s="42">
        <f>'Part 2 - CAPM 2.1, 2.2 and 2.3'!O310</f>
        <v>4.3691937328607256E-3</v>
      </c>
      <c r="E310" s="16">
        <v>44025</v>
      </c>
      <c r="F310" s="17">
        <v>3.2099999999999997E-2</v>
      </c>
      <c r="G310" s="41">
        <f t="shared" si="30"/>
        <v>8.6566929138109927E-5</v>
      </c>
      <c r="L310" s="40">
        <f t="shared" si="28"/>
        <v>2.3023567967161971E-3</v>
      </c>
      <c r="M310" s="40">
        <f t="shared" si="29"/>
        <v>4.4653698122436528E-3</v>
      </c>
      <c r="O310" s="40">
        <f t="shared" si="31"/>
        <v>2.3023567967161971E-3</v>
      </c>
      <c r="P310" s="207">
        <f t="shared" si="32"/>
        <v>8.6566929138109927E-5</v>
      </c>
      <c r="Q310" s="208">
        <f t="shared" si="33"/>
        <v>1.0021992959873915</v>
      </c>
      <c r="R310" s="40">
        <f t="shared" si="34"/>
        <v>2.210927383854362E-3</v>
      </c>
      <c r="S310" s="209">
        <v>0</v>
      </c>
    </row>
    <row r="311" spans="1:19" x14ac:dyDescent="0.45">
      <c r="A311" s="16">
        <v>44026</v>
      </c>
      <c r="B311" s="42">
        <f>'Part 2 - CAPM 2.1, 2.2 and 2.3'!N311</f>
        <v>-1.6030551120381868E-2</v>
      </c>
      <c r="C311" s="42">
        <f>'Part 2 - CAPM 2.1, 2.2 and 2.3'!O311</f>
        <v>-1.9731952796475504E-2</v>
      </c>
      <c r="E311" s="16">
        <v>44026</v>
      </c>
      <c r="F311" s="17">
        <v>3.2199999999999999E-2</v>
      </c>
      <c r="G311" s="41">
        <f t="shared" si="30"/>
        <v>8.6832390898683443E-5</v>
      </c>
      <c r="L311" s="40">
        <f t="shared" si="28"/>
        <v>-1.5978974656237915E-2</v>
      </c>
      <c r="M311" s="40">
        <f t="shared" si="29"/>
        <v>-1.9688516810185509E-2</v>
      </c>
      <c r="O311" s="40">
        <f t="shared" si="31"/>
        <v>-1.5978974656237915E-2</v>
      </c>
      <c r="P311" s="207">
        <f t="shared" si="32"/>
        <v>8.6832390898683443E-5</v>
      </c>
      <c r="Q311" s="208">
        <f t="shared" si="33"/>
        <v>1.0021992959873915</v>
      </c>
      <c r="R311" s="40">
        <f t="shared" si="34"/>
        <v>-1.6030551120381868E-2</v>
      </c>
      <c r="S311" s="209">
        <v>0</v>
      </c>
    </row>
    <row r="312" spans="1:19" x14ac:dyDescent="0.45">
      <c r="A312" s="16">
        <v>44027</v>
      </c>
      <c r="B312" s="42">
        <f>'Part 2 - CAPM 2.1, 2.2 and 2.3'!N312</f>
        <v>-4.8970441710783263E-4</v>
      </c>
      <c r="C312" s="42">
        <f>'Part 2 - CAPM 2.1, 2.2 and 2.3'!O312</f>
        <v>-1.4308170871615488E-2</v>
      </c>
      <c r="E312" s="16">
        <v>44027</v>
      </c>
      <c r="F312" s="17">
        <v>3.2300000000000002E-2</v>
      </c>
      <c r="G312" s="41">
        <f t="shared" si="30"/>
        <v>8.7097827013105089E-5</v>
      </c>
      <c r="L312" s="40">
        <f t="shared" si="28"/>
        <v>-4.0368359505428076E-4</v>
      </c>
      <c r="M312" s="40">
        <f t="shared" si="29"/>
        <v>-1.4252540947387239E-2</v>
      </c>
      <c r="O312" s="40">
        <f t="shared" si="31"/>
        <v>-4.0368359505428076E-4</v>
      </c>
      <c r="P312" s="207">
        <f t="shared" si="32"/>
        <v>8.7097827013105089E-5</v>
      </c>
      <c r="Q312" s="208">
        <f t="shared" si="33"/>
        <v>1.0021992959873915</v>
      </c>
      <c r="R312" s="40">
        <f t="shared" si="34"/>
        <v>-4.8970441710783263E-4</v>
      </c>
      <c r="S312" s="209">
        <v>0</v>
      </c>
    </row>
    <row r="313" spans="1:19" x14ac:dyDescent="0.45">
      <c r="A313" s="16">
        <v>44028</v>
      </c>
      <c r="B313" s="42">
        <f>'Part 2 - CAPM 2.1, 2.2 and 2.3'!N313</f>
        <v>8.7447800100959108E-3</v>
      </c>
      <c r="C313" s="42">
        <f>'Part 2 - CAPM 2.1, 2.2 and 2.3'!O313</f>
        <v>-1.3988386473220288E-3</v>
      </c>
      <c r="E313" s="16">
        <v>44028</v>
      </c>
      <c r="F313" s="17">
        <v>3.2400000000000005E-2</v>
      </c>
      <c r="G313" s="41">
        <f t="shared" si="30"/>
        <v>8.7363237486037804E-5</v>
      </c>
      <c r="L313" s="40">
        <f t="shared" si="28"/>
        <v>8.8513756071687752E-3</v>
      </c>
      <c r="M313" s="40">
        <f t="shared" si="29"/>
        <v>-1.3145518700600546E-3</v>
      </c>
      <c r="O313" s="40">
        <f t="shared" si="31"/>
        <v>8.8513756071687752E-3</v>
      </c>
      <c r="P313" s="207">
        <f t="shared" si="32"/>
        <v>8.7363237486037804E-5</v>
      </c>
      <c r="Q313" s="208">
        <f t="shared" si="33"/>
        <v>1.0021992959873915</v>
      </c>
      <c r="R313" s="40">
        <f t="shared" si="34"/>
        <v>8.7447800100959108E-3</v>
      </c>
      <c r="S313" s="209">
        <v>0</v>
      </c>
    </row>
    <row r="314" spans="1:19" x14ac:dyDescent="0.45">
      <c r="A314" s="16">
        <v>44029</v>
      </c>
      <c r="B314" s="42">
        <f>'Part 2 - CAPM 2.1, 2.2 and 2.3'!N314</f>
        <v>1.4593356767989164E-2</v>
      </c>
      <c r="C314" s="42">
        <f>'Part 2 - CAPM 2.1, 2.2 and 2.3'!O314</f>
        <v>5.506693748477251E-2</v>
      </c>
      <c r="E314" s="16">
        <v>44029</v>
      </c>
      <c r="F314" s="17">
        <v>3.2400000000000005E-2</v>
      </c>
      <c r="G314" s="41">
        <f t="shared" si="30"/>
        <v>8.7363237486037804E-5</v>
      </c>
      <c r="L314" s="40">
        <f t="shared" si="28"/>
        <v>1.4712815116457613E-2</v>
      </c>
      <c r="M314" s="40">
        <f t="shared" si="29"/>
        <v>5.5275409216906747E-2</v>
      </c>
      <c r="O314" s="40">
        <f t="shared" si="31"/>
        <v>1.4712815116457613E-2</v>
      </c>
      <c r="P314" s="207">
        <f t="shared" si="32"/>
        <v>8.7363237486037804E-5</v>
      </c>
      <c r="Q314" s="208">
        <f t="shared" si="33"/>
        <v>1.0021992959873915</v>
      </c>
      <c r="R314" s="40">
        <f t="shared" si="34"/>
        <v>1.4593356767989164E-2</v>
      </c>
      <c r="S314" s="209">
        <v>0</v>
      </c>
    </row>
    <row r="315" spans="1:19" x14ac:dyDescent="0.45">
      <c r="A315" s="16">
        <v>44032</v>
      </c>
      <c r="B315" s="42">
        <f>'Part 2 - CAPM 2.1, 2.2 and 2.3'!N315</f>
        <v>1.0007059508317645E-2</v>
      </c>
      <c r="C315" s="42">
        <f>'Part 2 - CAPM 2.1, 2.2 and 2.3'!O315</f>
        <v>-7.1043685088700739E-4</v>
      </c>
      <c r="E315" s="16">
        <v>44032</v>
      </c>
      <c r="F315" s="17">
        <v>3.27E-2</v>
      </c>
      <c r="G315" s="41">
        <f t="shared" si="30"/>
        <v>8.8159315106084435E-5</v>
      </c>
      <c r="L315" s="40">
        <f t="shared" si="28"/>
        <v>1.0117227309245962E-2</v>
      </c>
      <c r="M315" s="40">
        <f t="shared" si="29"/>
        <v>-6.2383999669637382E-4</v>
      </c>
      <c r="O315" s="40">
        <f t="shared" si="31"/>
        <v>1.0117227309245962E-2</v>
      </c>
      <c r="P315" s="207">
        <f t="shared" si="32"/>
        <v>8.8159315106084435E-5</v>
      </c>
      <c r="Q315" s="208">
        <f t="shared" si="33"/>
        <v>1.0021992959873915</v>
      </c>
      <c r="R315" s="40">
        <f t="shared" si="34"/>
        <v>1.0007059508317645E-2</v>
      </c>
      <c r="S315" s="209">
        <v>0</v>
      </c>
    </row>
    <row r="316" spans="1:19" x14ac:dyDescent="0.45">
      <c r="A316" s="16">
        <v>44033</v>
      </c>
      <c r="B316" s="42">
        <f>'Part 2 - CAPM 2.1, 2.2 and 2.3'!N316</f>
        <v>9.4281252368442533E-3</v>
      </c>
      <c r="C316" s="42">
        <f>'Part 2 - CAPM 2.1, 2.2 and 2.3'!O316</f>
        <v>2.6686966645423436E-2</v>
      </c>
      <c r="E316" s="16">
        <v>44033</v>
      </c>
      <c r="F316" s="17">
        <v>3.2500000000000001E-2</v>
      </c>
      <c r="G316" s="41">
        <f t="shared" si="30"/>
        <v>8.7628622322588612E-5</v>
      </c>
      <c r="L316" s="40">
        <f t="shared" si="28"/>
        <v>9.5364890971688585E-3</v>
      </c>
      <c r="M316" s="40">
        <f t="shared" si="29"/>
        <v>2.6833287806404958E-2</v>
      </c>
      <c r="O316" s="40">
        <f t="shared" si="31"/>
        <v>9.5364890971688585E-3</v>
      </c>
      <c r="P316" s="207">
        <f t="shared" si="32"/>
        <v>8.7628622322588612E-5</v>
      </c>
      <c r="Q316" s="208">
        <f t="shared" si="33"/>
        <v>1.0021992959873915</v>
      </c>
      <c r="R316" s="40">
        <f t="shared" si="34"/>
        <v>9.4281252368442533E-3</v>
      </c>
      <c r="S316" s="209">
        <v>0</v>
      </c>
    </row>
    <row r="317" spans="1:19" x14ac:dyDescent="0.45">
      <c r="A317" s="16">
        <v>44034</v>
      </c>
      <c r="B317" s="42">
        <f>'Part 2 - CAPM 2.1, 2.2 and 2.3'!N317</f>
        <v>-2.733539587418613E-3</v>
      </c>
      <c r="C317" s="42">
        <f>'Part 2 - CAPM 2.1, 2.2 and 2.3'!O317</f>
        <v>1.7316557924741546E-3</v>
      </c>
      <c r="E317" s="16">
        <v>44034</v>
      </c>
      <c r="F317" s="17">
        <v>3.2500000000000001E-2</v>
      </c>
      <c r="G317" s="41">
        <f t="shared" si="30"/>
        <v>8.7628622322588612E-5</v>
      </c>
      <c r="L317" s="40">
        <f t="shared" si="28"/>
        <v>-2.6519228277420101E-3</v>
      </c>
      <c r="M317" s="40">
        <f t="shared" si="29"/>
        <v>1.823092838432675E-3</v>
      </c>
      <c r="O317" s="40">
        <f t="shared" si="31"/>
        <v>-2.6519228277420101E-3</v>
      </c>
      <c r="P317" s="207">
        <f t="shared" si="32"/>
        <v>8.7628622322588612E-5</v>
      </c>
      <c r="Q317" s="208">
        <f t="shared" si="33"/>
        <v>1.0021992959873915</v>
      </c>
      <c r="R317" s="40">
        <f t="shared" si="34"/>
        <v>-2.733539587418613E-3</v>
      </c>
      <c r="S317" s="209">
        <v>0</v>
      </c>
    </row>
    <row r="318" spans="1:19" x14ac:dyDescent="0.45">
      <c r="A318" s="16">
        <v>44035</v>
      </c>
      <c r="B318" s="42">
        <f>'Part 2 - CAPM 2.1, 2.2 and 2.3'!N318</f>
        <v>7.3674151399417435E-3</v>
      </c>
      <c r="C318" s="42">
        <f>'Part 2 - CAPM 2.1, 2.2 and 2.3'!O318</f>
        <v>5.1690225345043346E-4</v>
      </c>
      <c r="E318" s="16">
        <v>44035</v>
      </c>
      <c r="F318" s="17">
        <v>3.2799999999999996E-2</v>
      </c>
      <c r="G318" s="41">
        <f t="shared" si="30"/>
        <v>8.8424623063021457E-5</v>
      </c>
      <c r="L318" s="40">
        <f t="shared" si="28"/>
        <v>7.4720428895594868E-3</v>
      </c>
      <c r="M318" s="40">
        <f t="shared" si="29"/>
        <v>6.0646369756534209E-4</v>
      </c>
      <c r="O318" s="40">
        <f t="shared" si="31"/>
        <v>7.4720428895594868E-3</v>
      </c>
      <c r="P318" s="207">
        <f t="shared" si="32"/>
        <v>8.8424623063021457E-5</v>
      </c>
      <c r="Q318" s="208">
        <f t="shared" si="33"/>
        <v>1.0021992959873915</v>
      </c>
      <c r="R318" s="40">
        <f t="shared" si="34"/>
        <v>7.3674151399417435E-3</v>
      </c>
      <c r="S318" s="209">
        <v>0</v>
      </c>
    </row>
    <row r="319" spans="1:19" x14ac:dyDescent="0.45">
      <c r="A319" s="16">
        <v>44036</v>
      </c>
      <c r="B319" s="42">
        <f>'Part 2 - CAPM 2.1, 2.2 and 2.3'!N319</f>
        <v>-3.1718417424020985E-3</v>
      </c>
      <c r="C319" s="42">
        <f>'Part 2 - CAPM 2.1, 2.2 and 2.3'!O319</f>
        <v>-2.0052392264750047E-2</v>
      </c>
      <c r="E319" s="16">
        <v>44036</v>
      </c>
      <c r="F319" s="17">
        <v>3.2899999999999999E-2</v>
      </c>
      <c r="G319" s="41">
        <f t="shared" si="30"/>
        <v>8.8689905403338543E-5</v>
      </c>
      <c r="L319" s="40">
        <f t="shared" si="28"/>
        <v>-3.090127655815466E-3</v>
      </c>
      <c r="M319" s="40">
        <f t="shared" si="29"/>
        <v>-2.0007803505192174E-2</v>
      </c>
      <c r="O319" s="40">
        <f t="shared" si="31"/>
        <v>-3.090127655815466E-3</v>
      </c>
      <c r="P319" s="207">
        <f t="shared" si="32"/>
        <v>8.8689905403338543E-5</v>
      </c>
      <c r="Q319" s="208">
        <f t="shared" si="33"/>
        <v>1.0021992959873915</v>
      </c>
      <c r="R319" s="40">
        <f t="shared" si="34"/>
        <v>-3.1718417424020985E-3</v>
      </c>
      <c r="S319" s="209">
        <v>0</v>
      </c>
    </row>
    <row r="320" spans="1:19" x14ac:dyDescent="0.45">
      <c r="A320" s="16">
        <v>44039</v>
      </c>
      <c r="B320" s="42">
        <f>'Part 2 - CAPM 2.1, 2.2 and 2.3'!N320</f>
        <v>-6.8081204668057399E-3</v>
      </c>
      <c r="C320" s="42">
        <f>'Part 2 - CAPM 2.1, 2.2 and 2.3'!O320</f>
        <v>-2.5580909646010916E-3</v>
      </c>
      <c r="E320" s="16">
        <v>44039</v>
      </c>
      <c r="F320" s="17">
        <v>3.3000000000000002E-2</v>
      </c>
      <c r="G320" s="41">
        <f t="shared" si="30"/>
        <v>8.8955162131920673E-5</v>
      </c>
      <c r="L320" s="40">
        <f t="shared" si="28"/>
        <v>-6.7341383766981429E-3</v>
      </c>
      <c r="M320" s="40">
        <f t="shared" si="29"/>
        <v>-2.4747618016630005E-3</v>
      </c>
      <c r="O320" s="40">
        <f t="shared" si="31"/>
        <v>-6.7341383766981429E-3</v>
      </c>
      <c r="P320" s="207">
        <f t="shared" si="32"/>
        <v>8.8955162131920673E-5</v>
      </c>
      <c r="Q320" s="208">
        <f t="shared" si="33"/>
        <v>1.0021992959873915</v>
      </c>
      <c r="R320" s="40">
        <f t="shared" si="34"/>
        <v>-6.8081204668057399E-3</v>
      </c>
      <c r="S320" s="209">
        <v>0</v>
      </c>
    </row>
    <row r="321" spans="1:19" x14ac:dyDescent="0.45">
      <c r="A321" s="16">
        <v>44040</v>
      </c>
      <c r="B321" s="42">
        <f>'Part 2 - CAPM 2.1, 2.2 and 2.3'!N321</f>
        <v>1.2858026285013919E-2</v>
      </c>
      <c r="C321" s="42">
        <f>'Part 2 - CAPM 2.1, 2.2 and 2.3'!O321</f>
        <v>-1.1228099460160342E-2</v>
      </c>
      <c r="E321" s="16">
        <v>44040</v>
      </c>
      <c r="F321" s="17">
        <v>3.32E-2</v>
      </c>
      <c r="G321" s="41">
        <f t="shared" si="30"/>
        <v>8.9485598774308173E-5</v>
      </c>
      <c r="L321" s="40">
        <f t="shared" si="28"/>
        <v>1.2975790489402632E-2</v>
      </c>
      <c r="M321" s="40">
        <f t="shared" si="29"/>
        <v>-1.1163307775474798E-2</v>
      </c>
      <c r="O321" s="40">
        <f t="shared" si="31"/>
        <v>1.2975790489402632E-2</v>
      </c>
      <c r="P321" s="207">
        <f t="shared" si="32"/>
        <v>8.9485598774308173E-5</v>
      </c>
      <c r="Q321" s="208">
        <f t="shared" si="33"/>
        <v>1.0021992959873915</v>
      </c>
      <c r="R321" s="40">
        <f t="shared" si="34"/>
        <v>1.2858026285013919E-2</v>
      </c>
      <c r="S321" s="209">
        <v>0</v>
      </c>
    </row>
    <row r="322" spans="1:19" x14ac:dyDescent="0.45">
      <c r="A322" s="16">
        <v>44041</v>
      </c>
      <c r="B322" s="42">
        <f>'Part 2 - CAPM 2.1, 2.2 and 2.3'!N322</f>
        <v>-5.0830590393080828E-3</v>
      </c>
      <c r="C322" s="42">
        <f>'Part 2 - CAPM 2.1, 2.2 and 2.3'!O322</f>
        <v>-5.0957434210522259E-3</v>
      </c>
      <c r="E322" s="16">
        <v>44041</v>
      </c>
      <c r="F322" s="17">
        <v>3.32E-2</v>
      </c>
      <c r="G322" s="41">
        <f t="shared" si="30"/>
        <v>8.9485598774308173E-5</v>
      </c>
      <c r="L322" s="40">
        <f t="shared" si="28"/>
        <v>-5.0047525918825997E-3</v>
      </c>
      <c r="M322" s="40">
        <f t="shared" si="29"/>
        <v>-5.0174648703366145E-3</v>
      </c>
      <c r="O322" s="40">
        <f t="shared" si="31"/>
        <v>-5.0047525918825997E-3</v>
      </c>
      <c r="P322" s="207">
        <f t="shared" si="32"/>
        <v>8.9485598774308173E-5</v>
      </c>
      <c r="Q322" s="208">
        <f t="shared" si="33"/>
        <v>1.0021992959873915</v>
      </c>
      <c r="R322" s="40">
        <f t="shared" si="34"/>
        <v>-5.0830590393080828E-3</v>
      </c>
      <c r="S322" s="209">
        <v>0</v>
      </c>
    </row>
    <row r="323" spans="1:19" x14ac:dyDescent="0.45">
      <c r="A323" s="16">
        <v>44042</v>
      </c>
      <c r="B323" s="42">
        <f>'Part 2 - CAPM 2.1, 2.2 and 2.3'!N323</f>
        <v>-7.1694429431306403E-3</v>
      </c>
      <c r="C323" s="42">
        <f>'Part 2 - CAPM 2.1, 2.2 and 2.3'!O323</f>
        <v>-2.2730995032736536E-2</v>
      </c>
      <c r="E323" s="16">
        <v>44042</v>
      </c>
      <c r="F323" s="17">
        <v>3.32E-2</v>
      </c>
      <c r="G323" s="41">
        <f t="shared" si="30"/>
        <v>8.9485598774308173E-5</v>
      </c>
      <c r="L323" s="40">
        <f t="shared" ref="L323:L386" si="35">G323+($J$1*(B323))</f>
        <v>-7.0957250714529917E-3</v>
      </c>
      <c r="M323" s="40">
        <f t="shared" ref="M323:M386" si="36">G323+($J$1*(C323))</f>
        <v>-2.2691501620127143E-2</v>
      </c>
      <c r="O323" s="40">
        <f t="shared" si="31"/>
        <v>-7.0957250714529917E-3</v>
      </c>
      <c r="P323" s="207">
        <f t="shared" si="32"/>
        <v>8.9485598774308173E-5</v>
      </c>
      <c r="Q323" s="208">
        <f t="shared" si="33"/>
        <v>1.0021992959873915</v>
      </c>
      <c r="R323" s="40">
        <f t="shared" si="34"/>
        <v>-7.1694429431306403E-3</v>
      </c>
      <c r="S323" s="209">
        <v>0</v>
      </c>
    </row>
    <row r="324" spans="1:19" x14ac:dyDescent="0.45">
      <c r="A324" s="16">
        <v>44043</v>
      </c>
      <c r="B324" s="42">
        <f>'Part 2 - CAPM 2.1, 2.2 and 2.3'!N324</f>
        <v>3.5920016987369492E-4</v>
      </c>
      <c r="C324" s="42">
        <f>'Part 2 - CAPM 2.1, 2.2 and 2.3'!O324</f>
        <v>7.6327873287537736E-3</v>
      </c>
      <c r="E324" s="16">
        <v>44043</v>
      </c>
      <c r="F324" s="17">
        <v>3.3099999999999997E-2</v>
      </c>
      <c r="G324" s="41">
        <f t="shared" ref="G324:G387" si="37">((1+F324)^(1/365))-1</f>
        <v>8.9220393253874875E-5</v>
      </c>
      <c r="L324" s="40">
        <f t="shared" si="35"/>
        <v>4.4921055061984336E-4</v>
      </c>
      <c r="M324" s="40">
        <f t="shared" si="36"/>
        <v>7.7387944805523898E-3</v>
      </c>
      <c r="O324" s="40">
        <f t="shared" ref="O324:O387" si="38">P324+(Q324*(R324))+S324</f>
        <v>4.4921055061984336E-4</v>
      </c>
      <c r="P324" s="207">
        <f t="shared" ref="P324:P387" si="39">G324</f>
        <v>8.9220393253874875E-5</v>
      </c>
      <c r="Q324" s="208">
        <f t="shared" ref="Q324:Q387" si="40">$J$1</f>
        <v>1.0021992959873915</v>
      </c>
      <c r="R324" s="40">
        <f t="shared" ref="R324:R387" si="41">B324</f>
        <v>3.5920016987369492E-4</v>
      </c>
      <c r="S324" s="209">
        <v>0</v>
      </c>
    </row>
    <row r="325" spans="1:19" x14ac:dyDescent="0.45">
      <c r="A325" s="16">
        <v>44046</v>
      </c>
      <c r="B325" s="42">
        <f>'Part 2 - CAPM 2.1, 2.2 and 2.3'!N325</f>
        <v>-1.1565589641837615E-2</v>
      </c>
      <c r="C325" s="42">
        <f>'Part 2 - CAPM 2.1, 2.2 and 2.3'!O325</f>
        <v>-3.0740296158300394E-2</v>
      </c>
      <c r="E325" s="16">
        <v>44046</v>
      </c>
      <c r="F325" s="17">
        <v>3.3000000000000002E-2</v>
      </c>
      <c r="G325" s="41">
        <f t="shared" si="37"/>
        <v>8.8955162131920673E-5</v>
      </c>
      <c r="L325" s="40">
        <f t="shared" si="35"/>
        <v>-1.1502070634596805E-2</v>
      </c>
      <c r="M325" s="40">
        <f t="shared" si="36"/>
        <v>-3.0718948006160651E-2</v>
      </c>
      <c r="O325" s="40">
        <f t="shared" si="38"/>
        <v>-1.1502070634596805E-2</v>
      </c>
      <c r="P325" s="207">
        <f t="shared" si="39"/>
        <v>8.8955162131920673E-5</v>
      </c>
      <c r="Q325" s="208">
        <f t="shared" si="40"/>
        <v>1.0021992959873915</v>
      </c>
      <c r="R325" s="40">
        <f t="shared" si="41"/>
        <v>-1.1565589641837615E-2</v>
      </c>
      <c r="S325" s="209">
        <v>0</v>
      </c>
    </row>
    <row r="326" spans="1:19" x14ac:dyDescent="0.45">
      <c r="A326" s="16">
        <v>44047</v>
      </c>
      <c r="B326" s="42">
        <f>'Part 2 - CAPM 2.1, 2.2 and 2.3'!N326</f>
        <v>1.5909611796181285E-2</v>
      </c>
      <c r="C326" s="42">
        <f>'Part 2 - CAPM 2.1, 2.2 and 2.3'!O326</f>
        <v>2.5460909511749123E-3</v>
      </c>
      <c r="E326" s="16">
        <v>44047</v>
      </c>
      <c r="F326" s="17">
        <v>3.3000000000000002E-2</v>
      </c>
      <c r="G326" s="41">
        <f t="shared" si="37"/>
        <v>8.8955162131920673E-5</v>
      </c>
      <c r="L326" s="40">
        <f t="shared" si="35"/>
        <v>1.6033556903697503E-2</v>
      </c>
      <c r="M326" s="40">
        <f t="shared" si="36"/>
        <v>2.6406457209192857E-3</v>
      </c>
      <c r="O326" s="40">
        <f t="shared" si="38"/>
        <v>1.6033556903697503E-2</v>
      </c>
      <c r="P326" s="207">
        <f t="shared" si="39"/>
        <v>8.8955162131920673E-5</v>
      </c>
      <c r="Q326" s="208">
        <f t="shared" si="40"/>
        <v>1.0021992959873915</v>
      </c>
      <c r="R326" s="40">
        <f t="shared" si="41"/>
        <v>1.5909611796181285E-2</v>
      </c>
      <c r="S326" s="209">
        <v>0</v>
      </c>
    </row>
    <row r="327" spans="1:19" x14ac:dyDescent="0.45">
      <c r="A327" s="16">
        <v>44048</v>
      </c>
      <c r="B327" s="42">
        <f>'Part 2 - CAPM 2.1, 2.2 and 2.3'!N327</f>
        <v>1.4317143732373399E-3</v>
      </c>
      <c r="C327" s="42">
        <f>'Part 2 - CAPM 2.1, 2.2 and 2.3'!O327</f>
        <v>1.1080558635502884E-2</v>
      </c>
      <c r="E327" s="16">
        <v>44048</v>
      </c>
      <c r="F327" s="17">
        <v>3.3000000000000002E-2</v>
      </c>
      <c r="G327" s="41">
        <f t="shared" si="37"/>
        <v>8.8955162131920673E-5</v>
      </c>
      <c r="L327" s="40">
        <f t="shared" si="35"/>
        <v>1.5238182990454123E-3</v>
      </c>
      <c r="M327" s="40">
        <f t="shared" si="36"/>
        <v>1.1193883225779922E-2</v>
      </c>
      <c r="O327" s="40">
        <f t="shared" si="38"/>
        <v>1.5238182990454123E-3</v>
      </c>
      <c r="P327" s="207">
        <f t="shared" si="39"/>
        <v>8.8955162131920673E-5</v>
      </c>
      <c r="Q327" s="208">
        <f t="shared" si="40"/>
        <v>1.0021992959873915</v>
      </c>
      <c r="R327" s="40">
        <f t="shared" si="41"/>
        <v>1.4317143732373399E-3</v>
      </c>
      <c r="S327" s="209">
        <v>0</v>
      </c>
    </row>
    <row r="328" spans="1:19" x14ac:dyDescent="0.45">
      <c r="A328" s="16">
        <v>44049</v>
      </c>
      <c r="B328" s="42">
        <f>'Part 2 - CAPM 2.1, 2.2 and 2.3'!N328</f>
        <v>8.7516444802831928E-3</v>
      </c>
      <c r="C328" s="42">
        <f>'Part 2 - CAPM 2.1, 2.2 and 2.3'!O328</f>
        <v>1.4206041589005108E-2</v>
      </c>
      <c r="E328" s="16">
        <v>44049</v>
      </c>
      <c r="F328" s="17">
        <v>3.3000000000000002E-2</v>
      </c>
      <c r="G328" s="41">
        <f t="shared" si="37"/>
        <v>8.8955162131920673E-5</v>
      </c>
      <c r="L328" s="40">
        <f t="shared" si="35"/>
        <v>8.8598470990036773E-3</v>
      </c>
      <c r="M328" s="40">
        <f t="shared" si="36"/>
        <v>1.4326240041400444E-2</v>
      </c>
      <c r="O328" s="40">
        <f t="shared" si="38"/>
        <v>8.8598470990036773E-3</v>
      </c>
      <c r="P328" s="207">
        <f t="shared" si="39"/>
        <v>8.8955162131920673E-5</v>
      </c>
      <c r="Q328" s="208">
        <f t="shared" si="40"/>
        <v>1.0021992959873915</v>
      </c>
      <c r="R328" s="40">
        <f t="shared" si="41"/>
        <v>8.7516444802831928E-3</v>
      </c>
      <c r="S328" s="209">
        <v>0</v>
      </c>
    </row>
    <row r="329" spans="1:19" x14ac:dyDescent="0.45">
      <c r="A329" s="16">
        <v>44050</v>
      </c>
      <c r="B329" s="42">
        <f>'Part 2 - CAPM 2.1, 2.2 and 2.3'!N329</f>
        <v>3.1338256996755929E-3</v>
      </c>
      <c r="C329" s="42">
        <f>'Part 2 - CAPM 2.1, 2.2 and 2.3'!O329</f>
        <v>7.5984247225574907E-3</v>
      </c>
      <c r="E329" s="16">
        <v>44050</v>
      </c>
      <c r="F329" s="17">
        <v>3.3000000000000002E-2</v>
      </c>
      <c r="G329" s="41">
        <f t="shared" si="37"/>
        <v>8.8955162131920673E-5</v>
      </c>
      <c r="L329" s="40">
        <f t="shared" si="35"/>
        <v>3.2296730720939946E-3</v>
      </c>
      <c r="M329" s="40">
        <f t="shared" si="36"/>
        <v>7.7040910696922291E-3</v>
      </c>
      <c r="O329" s="40">
        <f t="shared" si="38"/>
        <v>3.2296730720939946E-3</v>
      </c>
      <c r="P329" s="207">
        <f t="shared" si="39"/>
        <v>8.8955162131920673E-5</v>
      </c>
      <c r="Q329" s="208">
        <f t="shared" si="40"/>
        <v>1.0021992959873915</v>
      </c>
      <c r="R329" s="40">
        <f t="shared" si="41"/>
        <v>3.1338256996755929E-3</v>
      </c>
      <c r="S329" s="209">
        <v>0</v>
      </c>
    </row>
    <row r="330" spans="1:19" x14ac:dyDescent="0.45">
      <c r="A330" s="16">
        <v>44053</v>
      </c>
      <c r="B330" s="42">
        <f>'Part 2 - CAPM 2.1, 2.2 and 2.3'!N330</f>
        <v>7.5094555501985993E-3</v>
      </c>
      <c r="C330" s="42">
        <f>'Part 2 - CAPM 2.1, 2.2 and 2.3'!O330</f>
        <v>4.9963376688670329E-3</v>
      </c>
      <c r="E330" s="16">
        <v>44053</v>
      </c>
      <c r="F330" s="17">
        <v>3.32E-2</v>
      </c>
      <c r="G330" s="41">
        <f t="shared" si="37"/>
        <v>8.9485598774308173E-5</v>
      </c>
      <c r="L330" s="40">
        <f t="shared" si="35"/>
        <v>7.6154566644319544E-3</v>
      </c>
      <c r="M330" s="40">
        <f t="shared" si="36"/>
        <v>5.0968116930281337E-3</v>
      </c>
      <c r="O330" s="40">
        <f t="shared" si="38"/>
        <v>7.6154566644319544E-3</v>
      </c>
      <c r="P330" s="207">
        <f t="shared" si="39"/>
        <v>8.9485598774308173E-5</v>
      </c>
      <c r="Q330" s="208">
        <f t="shared" si="40"/>
        <v>1.0021992959873915</v>
      </c>
      <c r="R330" s="40">
        <f t="shared" si="41"/>
        <v>7.5094555501985993E-3</v>
      </c>
      <c r="S330" s="209">
        <v>0</v>
      </c>
    </row>
    <row r="331" spans="1:19" x14ac:dyDescent="0.45">
      <c r="A331" s="16">
        <v>44054</v>
      </c>
      <c r="B331" s="42">
        <f>'Part 2 - CAPM 2.1, 2.2 and 2.3'!N331</f>
        <v>2.3329492017745523E-3</v>
      </c>
      <c r="C331" s="42">
        <f>'Part 2 - CAPM 2.1, 2.2 and 2.3'!O331</f>
        <v>-7.6793532205782812E-3</v>
      </c>
      <c r="E331" s="16">
        <v>44054</v>
      </c>
      <c r="F331" s="17">
        <v>3.3099999999999997E-2</v>
      </c>
      <c r="G331" s="41">
        <f t="shared" si="37"/>
        <v>8.9220393253874875E-5</v>
      </c>
      <c r="L331" s="40">
        <f t="shared" si="35"/>
        <v>2.4273004408466785E-3</v>
      </c>
      <c r="M331" s="40">
        <f t="shared" si="36"/>
        <v>-7.6070219980481869E-3</v>
      </c>
      <c r="O331" s="40">
        <f t="shared" si="38"/>
        <v>2.4273004408466785E-3</v>
      </c>
      <c r="P331" s="207">
        <f t="shared" si="39"/>
        <v>8.9220393253874875E-5</v>
      </c>
      <c r="Q331" s="208">
        <f t="shared" si="40"/>
        <v>1.0021992959873915</v>
      </c>
      <c r="R331" s="40">
        <f t="shared" si="41"/>
        <v>2.3329492017745523E-3</v>
      </c>
      <c r="S331" s="209">
        <v>0</v>
      </c>
    </row>
    <row r="332" spans="1:19" x14ac:dyDescent="0.45">
      <c r="A332" s="16">
        <v>44055</v>
      </c>
      <c r="B332" s="42">
        <f>'Part 2 - CAPM 2.1, 2.2 and 2.3'!N332</f>
        <v>-7.5679805168580618E-4</v>
      </c>
      <c r="C332" s="42">
        <f>'Part 2 - CAPM 2.1, 2.2 and 2.3'!O332</f>
        <v>-4.5509260066775399E-3</v>
      </c>
      <c r="E332" s="16">
        <v>44055</v>
      </c>
      <c r="F332" s="17">
        <v>3.32E-2</v>
      </c>
      <c r="G332" s="41">
        <f t="shared" si="37"/>
        <v>8.9485598774308173E-5</v>
      </c>
      <c r="L332" s="40">
        <f t="shared" si="35"/>
        <v>-6.6897687582983634E-4</v>
      </c>
      <c r="M332" s="40">
        <f t="shared" si="36"/>
        <v>-4.4714492412086335E-3</v>
      </c>
      <c r="O332" s="40">
        <f t="shared" si="38"/>
        <v>-6.6897687582983634E-4</v>
      </c>
      <c r="P332" s="207">
        <f t="shared" si="39"/>
        <v>8.9485598774308173E-5</v>
      </c>
      <c r="Q332" s="208">
        <f t="shared" si="40"/>
        <v>1.0021992959873915</v>
      </c>
      <c r="R332" s="40">
        <f t="shared" si="41"/>
        <v>-7.5679805168580618E-4</v>
      </c>
      <c r="S332" s="209">
        <v>0</v>
      </c>
    </row>
    <row r="333" spans="1:19" x14ac:dyDescent="0.45">
      <c r="A333" s="16">
        <v>44056</v>
      </c>
      <c r="B333" s="42">
        <f>'Part 2 - CAPM 2.1, 2.2 and 2.3'!N333</f>
        <v>2.393862222806326E-3</v>
      </c>
      <c r="C333" s="42">
        <f>'Part 2 - CAPM 2.1, 2.2 and 2.3'!O333</f>
        <v>6.3133587501664444E-3</v>
      </c>
      <c r="E333" s="16">
        <v>44056</v>
      </c>
      <c r="F333" s="17">
        <v>3.2899999999999999E-2</v>
      </c>
      <c r="G333" s="41">
        <f t="shared" si="37"/>
        <v>8.8689905403338543E-5</v>
      </c>
      <c r="L333" s="40">
        <f t="shared" si="35"/>
        <v>2.4878169397906506E-3</v>
      </c>
      <c r="M333" s="40">
        <f t="shared" si="36"/>
        <v>6.4159336001359873E-3</v>
      </c>
      <c r="O333" s="40">
        <f t="shared" si="38"/>
        <v>2.4878169397906506E-3</v>
      </c>
      <c r="P333" s="207">
        <f t="shared" si="39"/>
        <v>8.8689905403338543E-5</v>
      </c>
      <c r="Q333" s="208">
        <f t="shared" si="40"/>
        <v>1.0021992959873915</v>
      </c>
      <c r="R333" s="40">
        <f t="shared" si="41"/>
        <v>2.393862222806326E-3</v>
      </c>
      <c r="S333" s="209">
        <v>0</v>
      </c>
    </row>
    <row r="334" spans="1:19" x14ac:dyDescent="0.45">
      <c r="A334" s="16">
        <v>44057</v>
      </c>
      <c r="B334" s="42">
        <f>'Part 2 - CAPM 2.1, 2.2 and 2.3'!N334</f>
        <v>-1.0128867709068188E-2</v>
      </c>
      <c r="C334" s="42">
        <f>'Part 2 - CAPM 2.1, 2.2 and 2.3'!O334</f>
        <v>-1.9172924627780776E-2</v>
      </c>
      <c r="E334" s="16">
        <v>44057</v>
      </c>
      <c r="F334" s="17">
        <v>3.3000000000000002E-2</v>
      </c>
      <c r="G334" s="41">
        <f t="shared" si="37"/>
        <v>8.8955162131920673E-5</v>
      </c>
      <c r="L334" s="40">
        <f t="shared" si="35"/>
        <v>-1.006218892504564E-2</v>
      </c>
      <c r="M334" s="40">
        <f t="shared" si="36"/>
        <v>-1.9126136401849295E-2</v>
      </c>
      <c r="O334" s="40">
        <f t="shared" si="38"/>
        <v>-1.006218892504564E-2</v>
      </c>
      <c r="P334" s="207">
        <f t="shared" si="39"/>
        <v>8.8955162131920673E-5</v>
      </c>
      <c r="Q334" s="208">
        <f t="shared" si="40"/>
        <v>1.0021992959873915</v>
      </c>
      <c r="R334" s="40">
        <f t="shared" si="41"/>
        <v>-1.0128867709068188E-2</v>
      </c>
      <c r="S334" s="209">
        <v>0</v>
      </c>
    </row>
    <row r="335" spans="1:19" x14ac:dyDescent="0.45">
      <c r="A335" s="16">
        <v>44060</v>
      </c>
      <c r="B335" s="42">
        <f>'Part 2 - CAPM 2.1, 2.2 and 2.3'!N335</f>
        <v>5.7169091431239685E-3</v>
      </c>
      <c r="C335" s="42">
        <f>'Part 2 - CAPM 2.1, 2.2 and 2.3'!O335</f>
        <v>2.8445150553568471E-2</v>
      </c>
      <c r="E335" s="16">
        <v>44060</v>
      </c>
      <c r="F335" s="17">
        <v>3.3099999999999997E-2</v>
      </c>
      <c r="G335" s="41">
        <f t="shared" si="37"/>
        <v>8.9220393253874875E-5</v>
      </c>
      <c r="L335" s="40">
        <f t="shared" si="35"/>
        <v>5.8187027117165982E-3</v>
      </c>
      <c r="M335" s="40">
        <f t="shared" si="36"/>
        <v>2.8596930252295559E-2</v>
      </c>
      <c r="O335" s="40">
        <f t="shared" si="38"/>
        <v>5.8187027117165982E-3</v>
      </c>
      <c r="P335" s="207">
        <f t="shared" si="39"/>
        <v>8.9220393253874875E-5</v>
      </c>
      <c r="Q335" s="208">
        <f t="shared" si="40"/>
        <v>1.0021992959873915</v>
      </c>
      <c r="R335" s="40">
        <f t="shared" si="41"/>
        <v>5.7169091431239685E-3</v>
      </c>
      <c r="S335" s="209">
        <v>0</v>
      </c>
    </row>
    <row r="336" spans="1:19" x14ac:dyDescent="0.45">
      <c r="A336" s="16">
        <v>44061</v>
      </c>
      <c r="B336" s="42">
        <f>'Part 2 - CAPM 2.1, 2.2 and 2.3'!N336</f>
        <v>1.2228016144510842E-2</v>
      </c>
      <c r="C336" s="42">
        <f>'Part 2 - CAPM 2.1, 2.2 and 2.3'!O336</f>
        <v>1.6935269741507237E-2</v>
      </c>
      <c r="E336" s="16">
        <v>44061</v>
      </c>
      <c r="F336" s="17">
        <v>3.2899999999999999E-2</v>
      </c>
      <c r="G336" s="41">
        <f t="shared" si="37"/>
        <v>8.8689905403338543E-5</v>
      </c>
      <c r="L336" s="40">
        <f t="shared" si="35"/>
        <v>1.2343599076754563E-2</v>
      </c>
      <c r="M336" s="40">
        <f t="shared" si="36"/>
        <v>1.7061205317698464E-2</v>
      </c>
      <c r="O336" s="40">
        <f t="shared" si="38"/>
        <v>1.2343599076754563E-2</v>
      </c>
      <c r="P336" s="207">
        <f t="shared" si="39"/>
        <v>8.8689905403338543E-5</v>
      </c>
      <c r="Q336" s="208">
        <f t="shared" si="40"/>
        <v>1.0021992959873915</v>
      </c>
      <c r="R336" s="40">
        <f t="shared" si="41"/>
        <v>1.2228016144510842E-2</v>
      </c>
      <c r="S336" s="209">
        <v>0</v>
      </c>
    </row>
    <row r="337" spans="1:19" x14ac:dyDescent="0.45">
      <c r="A337" s="16">
        <v>44062</v>
      </c>
      <c r="B337" s="42">
        <f>'Part 2 - CAPM 2.1, 2.2 and 2.3'!N337</f>
        <v>3.1627293499511262E-3</v>
      </c>
      <c r="C337" s="42">
        <f>'Part 2 - CAPM 2.1, 2.2 and 2.3'!O337</f>
        <v>-1.3727340964207243E-2</v>
      </c>
      <c r="E337" s="16">
        <v>44062</v>
      </c>
      <c r="F337" s="17">
        <v>3.27E-2</v>
      </c>
      <c r="G337" s="41">
        <f t="shared" si="37"/>
        <v>8.8159315106084435E-5</v>
      </c>
      <c r="L337" s="40">
        <f t="shared" si="35"/>
        <v>3.2578444430257638E-3</v>
      </c>
      <c r="M337" s="40">
        <f t="shared" si="36"/>
        <v>-1.3669372135001296E-2</v>
      </c>
      <c r="O337" s="40">
        <f t="shared" si="38"/>
        <v>3.2578444430257638E-3</v>
      </c>
      <c r="P337" s="207">
        <f t="shared" si="39"/>
        <v>8.8159315106084435E-5</v>
      </c>
      <c r="Q337" s="208">
        <f t="shared" si="40"/>
        <v>1.0021992959873915</v>
      </c>
      <c r="R337" s="40">
        <f t="shared" si="41"/>
        <v>3.1627293499511262E-3</v>
      </c>
      <c r="S337" s="209">
        <v>0</v>
      </c>
    </row>
    <row r="338" spans="1:19" x14ac:dyDescent="0.45">
      <c r="A338" s="16">
        <v>44063</v>
      </c>
      <c r="B338" s="42">
        <f>'Part 2 - CAPM 2.1, 2.2 and 2.3'!N338</f>
        <v>-4.7388665606627493E-3</v>
      </c>
      <c r="C338" s="42">
        <f>'Part 2 - CAPM 2.1, 2.2 and 2.3'!O338</f>
        <v>3.2598341811802517E-2</v>
      </c>
      <c r="E338" s="16">
        <v>44063</v>
      </c>
      <c r="F338" s="17">
        <v>3.1699999999999999E-2</v>
      </c>
      <c r="G338" s="41">
        <f t="shared" si="37"/>
        <v>8.5504825532600748E-5</v>
      </c>
      <c r="L338" s="40">
        <f t="shared" si="35"/>
        <v>-4.6637839053417984E-3</v>
      </c>
      <c r="M338" s="40">
        <f t="shared" si="36"/>
        <v>3.2755540039677435E-2</v>
      </c>
      <c r="O338" s="40">
        <f t="shared" si="38"/>
        <v>-4.6637839053417984E-3</v>
      </c>
      <c r="P338" s="207">
        <f t="shared" si="39"/>
        <v>8.5504825532600748E-5</v>
      </c>
      <c r="Q338" s="208">
        <f t="shared" si="40"/>
        <v>1.0021992959873915</v>
      </c>
      <c r="R338" s="40">
        <f t="shared" si="41"/>
        <v>-4.7388665606627493E-3</v>
      </c>
      <c r="S338" s="209">
        <v>0</v>
      </c>
    </row>
    <row r="339" spans="1:19" x14ac:dyDescent="0.45">
      <c r="A339" s="16">
        <v>44064</v>
      </c>
      <c r="B339" s="42">
        <f>'Part 2 - CAPM 2.1, 2.2 and 2.3'!N339</f>
        <v>5.763196893223319E-3</v>
      </c>
      <c r="C339" s="42">
        <f>'Part 2 - CAPM 2.1, 2.2 and 2.3'!O339</f>
        <v>-1.3476175916485105E-2</v>
      </c>
      <c r="E339" s="16">
        <v>44064</v>
      </c>
      <c r="F339" s="17">
        <v>3.1899999999999998E-2</v>
      </c>
      <c r="G339" s="41">
        <f t="shared" si="37"/>
        <v>8.6035928657857141E-5</v>
      </c>
      <c r="L339" s="40">
        <f t="shared" si="35"/>
        <v>5.8619077976829895E-3</v>
      </c>
      <c r="M339" s="40">
        <f t="shared" si="36"/>
        <v>-1.3419778087445756E-2</v>
      </c>
      <c r="O339" s="40">
        <f t="shared" si="38"/>
        <v>5.8619077976829895E-3</v>
      </c>
      <c r="P339" s="207">
        <f t="shared" si="39"/>
        <v>8.6035928657857141E-5</v>
      </c>
      <c r="Q339" s="208">
        <f t="shared" si="40"/>
        <v>1.0021992959873915</v>
      </c>
      <c r="R339" s="40">
        <f t="shared" si="41"/>
        <v>5.763196893223319E-3</v>
      </c>
      <c r="S339" s="209">
        <v>0</v>
      </c>
    </row>
    <row r="340" spans="1:19" x14ac:dyDescent="0.45">
      <c r="A340" s="16">
        <v>44067</v>
      </c>
      <c r="B340" s="42">
        <f>'Part 2 - CAPM 2.1, 2.2 and 2.3'!N340</f>
        <v>7.8499320634063674E-3</v>
      </c>
      <c r="C340" s="42">
        <f>'Part 2 - CAPM 2.1, 2.2 and 2.3'!O340</f>
        <v>2.3799839625016292E-3</v>
      </c>
      <c r="E340" s="16">
        <v>44067</v>
      </c>
      <c r="F340" s="17">
        <v>3.2500000000000001E-2</v>
      </c>
      <c r="G340" s="41">
        <f t="shared" si="37"/>
        <v>8.7628622322588612E-5</v>
      </c>
      <c r="L340" s="40">
        <f t="shared" si="35"/>
        <v>7.9548250098173019E-3</v>
      </c>
      <c r="M340" s="40">
        <f t="shared" si="36"/>
        <v>2.472846874003004E-3</v>
      </c>
      <c r="O340" s="40">
        <f t="shared" si="38"/>
        <v>7.9548250098173019E-3</v>
      </c>
      <c r="P340" s="207">
        <f t="shared" si="39"/>
        <v>8.7628622322588612E-5</v>
      </c>
      <c r="Q340" s="208">
        <f t="shared" si="40"/>
        <v>1.0021992959873915</v>
      </c>
      <c r="R340" s="40">
        <f t="shared" si="41"/>
        <v>7.8499320634063674E-3</v>
      </c>
      <c r="S340" s="209">
        <v>0</v>
      </c>
    </row>
    <row r="341" spans="1:19" x14ac:dyDescent="0.45">
      <c r="A341" s="16">
        <v>44068</v>
      </c>
      <c r="B341" s="42">
        <f>'Part 2 - CAPM 2.1, 2.2 and 2.3'!N341</f>
        <v>1.0594084203426656E-3</v>
      </c>
      <c r="C341" s="42">
        <f>'Part 2 - CAPM 2.1, 2.2 and 2.3'!O341</f>
        <v>-9.3189285458753161E-3</v>
      </c>
      <c r="E341" s="16">
        <v>44068</v>
      </c>
      <c r="F341" s="17">
        <v>3.27E-2</v>
      </c>
      <c r="G341" s="41">
        <f t="shared" si="37"/>
        <v>8.8159315106084435E-5</v>
      </c>
      <c r="L341" s="40">
        <f t="shared" si="35"/>
        <v>1.1498976881366184E-3</v>
      </c>
      <c r="M341" s="40">
        <f t="shared" si="36"/>
        <v>-9.2512643129269642E-3</v>
      </c>
      <c r="O341" s="40">
        <f t="shared" si="38"/>
        <v>1.1498976881366184E-3</v>
      </c>
      <c r="P341" s="207">
        <f t="shared" si="39"/>
        <v>8.8159315106084435E-5</v>
      </c>
      <c r="Q341" s="208">
        <f t="shared" si="40"/>
        <v>1.0021992959873915</v>
      </c>
      <c r="R341" s="40">
        <f t="shared" si="41"/>
        <v>1.0594084203426656E-3</v>
      </c>
      <c r="S341" s="209">
        <v>0</v>
      </c>
    </row>
    <row r="342" spans="1:19" x14ac:dyDescent="0.45">
      <c r="A342" s="16">
        <v>44069</v>
      </c>
      <c r="B342" s="42">
        <f>'Part 2 - CAPM 2.1, 2.2 and 2.3'!N342</f>
        <v>6.0003836425730319E-3</v>
      </c>
      <c r="C342" s="42">
        <f>'Part 2 - CAPM 2.1, 2.2 and 2.3'!O342</f>
        <v>1.1091699600539533E-2</v>
      </c>
      <c r="E342" s="16">
        <v>44069</v>
      </c>
      <c r="F342" s="17">
        <v>3.2799999999999996E-2</v>
      </c>
      <c r="G342" s="41">
        <f t="shared" si="37"/>
        <v>8.8424623063021457E-5</v>
      </c>
      <c r="L342" s="40">
        <f t="shared" si="35"/>
        <v>6.1020048853039736E-3</v>
      </c>
      <c r="M342" s="40">
        <f t="shared" si="36"/>
        <v>1.1204518154027374E-2</v>
      </c>
      <c r="O342" s="40">
        <f t="shared" si="38"/>
        <v>6.1020048853039736E-3</v>
      </c>
      <c r="P342" s="207">
        <f t="shared" si="39"/>
        <v>8.8424623063021457E-5</v>
      </c>
      <c r="Q342" s="208">
        <f t="shared" si="40"/>
        <v>1.0021992959873915</v>
      </c>
      <c r="R342" s="40">
        <f t="shared" si="41"/>
        <v>6.0003836425730319E-3</v>
      </c>
      <c r="S342" s="209">
        <v>0</v>
      </c>
    </row>
    <row r="343" spans="1:19" x14ac:dyDescent="0.45">
      <c r="A343" s="16">
        <v>44070</v>
      </c>
      <c r="B343" s="42">
        <f>'Part 2 - CAPM 2.1, 2.2 and 2.3'!N343</f>
        <v>1.3270843578999266E-3</v>
      </c>
      <c r="C343" s="42">
        <f>'Part 2 - CAPM 2.1, 2.2 and 2.3'!O343</f>
        <v>-1.544548574951923E-2</v>
      </c>
      <c r="E343" s="16">
        <v>44070</v>
      </c>
      <c r="F343" s="17">
        <v>3.3099999999999997E-2</v>
      </c>
      <c r="G343" s="41">
        <f t="shared" si="37"/>
        <v>8.9220393253874875E-5</v>
      </c>
      <c r="L343" s="40">
        <f t="shared" si="35"/>
        <v>1.4192234024570608E-3</v>
      </c>
      <c r="M343" s="40">
        <f t="shared" si="36"/>
        <v>-1.5390234551097585E-2</v>
      </c>
      <c r="O343" s="40">
        <f t="shared" si="38"/>
        <v>1.4192234024570608E-3</v>
      </c>
      <c r="P343" s="207">
        <f t="shared" si="39"/>
        <v>8.9220393253874875E-5</v>
      </c>
      <c r="Q343" s="208">
        <f t="shared" si="40"/>
        <v>1.0021992959873915</v>
      </c>
      <c r="R343" s="40">
        <f t="shared" si="41"/>
        <v>1.3270843578999266E-3</v>
      </c>
      <c r="S343" s="209">
        <v>0</v>
      </c>
    </row>
    <row r="344" spans="1:19" x14ac:dyDescent="0.45">
      <c r="A344" s="16">
        <v>44071</v>
      </c>
      <c r="B344" s="42">
        <f>'Part 2 - CAPM 2.1, 2.2 and 2.3'!N344</f>
        <v>6.2099018003226427E-3</v>
      </c>
      <c r="C344" s="42">
        <f>'Part 2 - CAPM 2.1, 2.2 and 2.3'!O344</f>
        <v>2.4061008793598323E-3</v>
      </c>
      <c r="E344" s="16">
        <v>44071</v>
      </c>
      <c r="F344" s="17">
        <v>3.3099999999999997E-2</v>
      </c>
      <c r="G344" s="41">
        <f t="shared" si="37"/>
        <v>8.9220393253874875E-5</v>
      </c>
      <c r="L344" s="40">
        <f t="shared" si="35"/>
        <v>6.3127796056880623E-3</v>
      </c>
      <c r="M344" s="40">
        <f t="shared" si="36"/>
        <v>2.5006130006229427E-3</v>
      </c>
      <c r="O344" s="40">
        <f t="shared" si="38"/>
        <v>6.3127796056880623E-3</v>
      </c>
      <c r="P344" s="207">
        <f t="shared" si="39"/>
        <v>8.9220393253874875E-5</v>
      </c>
      <c r="Q344" s="208">
        <f t="shared" si="40"/>
        <v>1.0021992959873915</v>
      </c>
      <c r="R344" s="40">
        <f t="shared" si="41"/>
        <v>6.2099018003226427E-3</v>
      </c>
      <c r="S344" s="209">
        <v>0</v>
      </c>
    </row>
    <row r="345" spans="1:19" x14ac:dyDescent="0.45">
      <c r="A345" s="16">
        <v>44074</v>
      </c>
      <c r="B345" s="42">
        <f>'Part 2 - CAPM 2.1, 2.2 and 2.3'!N345</f>
        <v>-2.7990215154209228E-2</v>
      </c>
      <c r="C345" s="42">
        <f>'Part 2 - CAPM 2.1, 2.2 and 2.3'!O345</f>
        <v>1.9824191239587435E-2</v>
      </c>
      <c r="E345" s="16">
        <v>44074</v>
      </c>
      <c r="F345" s="17">
        <v>3.2899999999999999E-2</v>
      </c>
      <c r="G345" s="41">
        <f t="shared" si="37"/>
        <v>8.8689905403338543E-5</v>
      </c>
      <c r="L345" s="40">
        <f t="shared" si="35"/>
        <v>-2.7963084016680767E-2</v>
      </c>
      <c r="M345" s="40">
        <f t="shared" si="36"/>
        <v>1.9956480409237282E-2</v>
      </c>
      <c r="O345" s="40">
        <f t="shared" si="38"/>
        <v>-2.7963084016680767E-2</v>
      </c>
      <c r="P345" s="207">
        <f t="shared" si="39"/>
        <v>8.8689905403338543E-5</v>
      </c>
      <c r="Q345" s="208">
        <f t="shared" si="40"/>
        <v>1.0021992959873915</v>
      </c>
      <c r="R345" s="40">
        <f t="shared" si="41"/>
        <v>-2.7990215154209228E-2</v>
      </c>
      <c r="S345" s="209">
        <v>0</v>
      </c>
    </row>
    <row r="346" spans="1:19" x14ac:dyDescent="0.45">
      <c r="A346" s="16">
        <v>44075</v>
      </c>
      <c r="B346" s="42">
        <f>'Part 2 - CAPM 2.1, 2.2 and 2.3'!N346</f>
        <v>7.4019323425955838E-3</v>
      </c>
      <c r="C346" s="42">
        <f>'Part 2 - CAPM 2.1, 2.2 and 2.3'!O346</f>
        <v>-3.1815087222208945E-2</v>
      </c>
      <c r="E346" s="16">
        <v>44075</v>
      </c>
      <c r="F346" s="17">
        <v>3.2799999999999996E-2</v>
      </c>
      <c r="G346" s="41">
        <f t="shared" si="37"/>
        <v>8.8424623063021457E-5</v>
      </c>
      <c r="L346" s="40">
        <f t="shared" si="35"/>
        <v>7.5066360057586198E-3</v>
      </c>
      <c r="M346" s="40">
        <f t="shared" si="36"/>
        <v>-3.1796633392812239E-2</v>
      </c>
      <c r="O346" s="40">
        <f t="shared" si="38"/>
        <v>7.5066360057586198E-3</v>
      </c>
      <c r="P346" s="207">
        <f t="shared" si="39"/>
        <v>8.8424623063021457E-5</v>
      </c>
      <c r="Q346" s="208">
        <f t="shared" si="40"/>
        <v>1.0021992959873915</v>
      </c>
      <c r="R346" s="40">
        <f t="shared" si="41"/>
        <v>7.4019323425955838E-3</v>
      </c>
      <c r="S346" s="209">
        <v>0</v>
      </c>
    </row>
    <row r="347" spans="1:19" x14ac:dyDescent="0.45">
      <c r="A347" s="16">
        <v>44076</v>
      </c>
      <c r="B347" s="42">
        <f>'Part 2 - CAPM 2.1, 2.2 and 2.3'!N347</f>
        <v>7.9769210784423582E-3</v>
      </c>
      <c r="C347" s="42">
        <f>'Part 2 - CAPM 2.1, 2.2 and 2.3'!O347</f>
        <v>1.1884380750671735E-2</v>
      </c>
      <c r="E347" s="16">
        <v>44076</v>
      </c>
      <c r="F347" s="17">
        <v>3.2599999999999997E-2</v>
      </c>
      <c r="G347" s="41">
        <f t="shared" si="37"/>
        <v>8.7893981527420451E-5</v>
      </c>
      <c r="L347" s="40">
        <f t="shared" si="35"/>
        <v>8.0823586704893355E-3</v>
      </c>
      <c r="M347" s="40">
        <f t="shared" si="36"/>
        <v>1.1998412003096742E-2</v>
      </c>
      <c r="O347" s="40">
        <f t="shared" si="38"/>
        <v>8.0823586704893355E-3</v>
      </c>
      <c r="P347" s="207">
        <f t="shared" si="39"/>
        <v>8.7893981527420451E-5</v>
      </c>
      <c r="Q347" s="208">
        <f t="shared" si="40"/>
        <v>1.0021992959873915</v>
      </c>
      <c r="R347" s="40">
        <f t="shared" si="41"/>
        <v>7.9769210784423582E-3</v>
      </c>
      <c r="S347" s="209">
        <v>0</v>
      </c>
    </row>
    <row r="348" spans="1:19" x14ac:dyDescent="0.45">
      <c r="A348" s="16">
        <v>44077</v>
      </c>
      <c r="B348" s="42">
        <f>'Part 2 - CAPM 2.1, 2.2 and 2.3'!N348</f>
        <v>1.6193257192626284E-3</v>
      </c>
      <c r="C348" s="42">
        <f>'Part 2 - CAPM 2.1, 2.2 and 2.3'!O348</f>
        <v>-1.5654519137193672E-2</v>
      </c>
      <c r="E348" s="16">
        <v>44077</v>
      </c>
      <c r="F348" s="17">
        <v>3.2599999999999997E-2</v>
      </c>
      <c r="G348" s="41">
        <f t="shared" si="37"/>
        <v>8.7893981527420451E-5</v>
      </c>
      <c r="L348" s="40">
        <f t="shared" si="35"/>
        <v>1.710781077346703E-3</v>
      </c>
      <c r="M348" s="40">
        <f t="shared" si="36"/>
        <v>-1.5601054076789224E-2</v>
      </c>
      <c r="O348" s="40">
        <f t="shared" si="38"/>
        <v>1.710781077346703E-3</v>
      </c>
      <c r="P348" s="207">
        <f t="shared" si="39"/>
        <v>8.7893981527420451E-5</v>
      </c>
      <c r="Q348" s="208">
        <f t="shared" si="40"/>
        <v>1.0021992959873915</v>
      </c>
      <c r="R348" s="40">
        <f t="shared" si="41"/>
        <v>1.6193257192626284E-3</v>
      </c>
      <c r="S348" s="209">
        <v>0</v>
      </c>
    </row>
    <row r="349" spans="1:19" x14ac:dyDescent="0.45">
      <c r="A349" s="16">
        <v>44078</v>
      </c>
      <c r="B349" s="42">
        <f>'Part 2 - CAPM 2.1, 2.2 and 2.3'!N349</f>
        <v>-1.6522952411863585E-2</v>
      </c>
      <c r="C349" s="42">
        <f>'Part 2 - CAPM 2.1, 2.2 and 2.3'!O349</f>
        <v>-1.4635913900811226E-2</v>
      </c>
      <c r="E349" s="16">
        <v>44078</v>
      </c>
      <c r="F349" s="17">
        <v>3.27E-2</v>
      </c>
      <c r="G349" s="41">
        <f t="shared" si="37"/>
        <v>8.8159315106084435E-5</v>
      </c>
      <c r="L349" s="40">
        <f t="shared" si="35"/>
        <v>-1.6471131959696773E-2</v>
      </c>
      <c r="M349" s="40">
        <f t="shared" si="36"/>
        <v>-1.4579943292419004E-2</v>
      </c>
      <c r="O349" s="40">
        <f t="shared" si="38"/>
        <v>-1.6471131959696773E-2</v>
      </c>
      <c r="P349" s="207">
        <f t="shared" si="39"/>
        <v>8.8159315106084435E-5</v>
      </c>
      <c r="Q349" s="208">
        <f t="shared" si="40"/>
        <v>1.0021992959873915</v>
      </c>
      <c r="R349" s="40">
        <f t="shared" si="41"/>
        <v>-1.6522952411863585E-2</v>
      </c>
      <c r="S349" s="209">
        <v>0</v>
      </c>
    </row>
    <row r="350" spans="1:19" x14ac:dyDescent="0.45">
      <c r="A350" s="16">
        <v>44081</v>
      </c>
      <c r="B350" s="42">
        <f>'Part 2 - CAPM 2.1, 2.2 and 2.3'!N350</f>
        <v>3.4734098170129249E-5</v>
      </c>
      <c r="C350" s="42">
        <f>'Part 2 - CAPM 2.1, 2.2 and 2.3'!O350</f>
        <v>-1.8701501170230922E-2</v>
      </c>
      <c r="E350" s="16">
        <v>44081</v>
      </c>
      <c r="F350" s="17">
        <v>3.2599999999999997E-2</v>
      </c>
      <c r="G350" s="41">
        <f t="shared" si="37"/>
        <v>8.7893981527420451E-5</v>
      </c>
      <c r="L350" s="40">
        <f t="shared" si="35"/>
        <v>1.2270447026028092E-4</v>
      </c>
      <c r="M350" s="40">
        <f t="shared" si="36"/>
        <v>-1.865473732518539E-2</v>
      </c>
      <c r="O350" s="40">
        <f t="shared" si="38"/>
        <v>1.2270447026028092E-4</v>
      </c>
      <c r="P350" s="207">
        <f t="shared" si="39"/>
        <v>8.7893981527420451E-5</v>
      </c>
      <c r="Q350" s="208">
        <f t="shared" si="40"/>
        <v>1.0021992959873915</v>
      </c>
      <c r="R350" s="40">
        <f t="shared" si="41"/>
        <v>3.4734098170129249E-5</v>
      </c>
      <c r="S350" s="209">
        <v>0</v>
      </c>
    </row>
    <row r="351" spans="1:19" x14ac:dyDescent="0.45">
      <c r="A351" s="16">
        <v>44082</v>
      </c>
      <c r="B351" s="42">
        <f>'Part 2 - CAPM 2.1, 2.2 and 2.3'!N351</f>
        <v>-5.339196194977287E-3</v>
      </c>
      <c r="C351" s="42">
        <f>'Part 2 - CAPM 2.1, 2.2 and 2.3'!O351</f>
        <v>-2.6249048785348072E-2</v>
      </c>
      <c r="E351" s="16">
        <v>44082</v>
      </c>
      <c r="F351" s="17">
        <v>3.27E-2</v>
      </c>
      <c r="G351" s="41">
        <f t="shared" si="37"/>
        <v>8.8159315106084435E-5</v>
      </c>
      <c r="L351" s="40">
        <f t="shared" si="35"/>
        <v>-5.262779352638712E-3</v>
      </c>
      <c r="M351" s="40">
        <f t="shared" si="36"/>
        <v>-2.6218618897908448E-2</v>
      </c>
      <c r="O351" s="40">
        <f t="shared" si="38"/>
        <v>-5.262779352638712E-3</v>
      </c>
      <c r="P351" s="207">
        <f t="shared" si="39"/>
        <v>8.8159315106084435E-5</v>
      </c>
      <c r="Q351" s="208">
        <f t="shared" si="40"/>
        <v>1.0021992959873915</v>
      </c>
      <c r="R351" s="40">
        <f t="shared" si="41"/>
        <v>-5.339196194977287E-3</v>
      </c>
      <c r="S351" s="209">
        <v>0</v>
      </c>
    </row>
    <row r="352" spans="1:19" x14ac:dyDescent="0.45">
      <c r="A352" s="16">
        <v>44083</v>
      </c>
      <c r="B352" s="42">
        <f>'Part 2 - CAPM 2.1, 2.2 and 2.3'!N352</f>
        <v>-4.3376943534519027E-3</v>
      </c>
      <c r="C352" s="42">
        <f>'Part 2 - CAPM 2.1, 2.2 and 2.3'!O352</f>
        <v>-2.3593602510741659E-2</v>
      </c>
      <c r="E352" s="16">
        <v>44083</v>
      </c>
      <c r="F352" s="17">
        <v>3.2599999999999997E-2</v>
      </c>
      <c r="G352" s="41">
        <f t="shared" si="37"/>
        <v>8.7893981527420451E-5</v>
      </c>
      <c r="L352" s="40">
        <f t="shared" si="35"/>
        <v>-4.2593402457105599E-3</v>
      </c>
      <c r="M352" s="40">
        <f t="shared" si="36"/>
        <v>-2.3557597844544222E-2</v>
      </c>
      <c r="O352" s="40">
        <f t="shared" si="38"/>
        <v>-4.2593402457105599E-3</v>
      </c>
      <c r="P352" s="207">
        <f t="shared" si="39"/>
        <v>8.7893981527420451E-5</v>
      </c>
      <c r="Q352" s="208">
        <f t="shared" si="40"/>
        <v>1.0021992959873915</v>
      </c>
      <c r="R352" s="40">
        <f t="shared" si="41"/>
        <v>-4.3376943534519027E-3</v>
      </c>
      <c r="S352" s="209">
        <v>0</v>
      </c>
    </row>
    <row r="353" spans="1:19" x14ac:dyDescent="0.45">
      <c r="A353" s="16">
        <v>44084</v>
      </c>
      <c r="B353" s="42">
        <f>'Part 2 - CAPM 2.1, 2.2 and 2.3'!N353</f>
        <v>1.3909136605268583E-2</v>
      </c>
      <c r="C353" s="42">
        <f>'Part 2 - CAPM 2.1, 2.2 and 2.3'!O353</f>
        <v>1.2977914676328894E-2</v>
      </c>
      <c r="E353" s="16">
        <v>44084</v>
      </c>
      <c r="F353" s="17">
        <v>3.32E-2</v>
      </c>
      <c r="G353" s="41">
        <f t="shared" si="37"/>
        <v>8.9485598774308173E-5</v>
      </c>
      <c r="L353" s="40">
        <f t="shared" si="35"/>
        <v>1.4029212512366938E-2</v>
      </c>
      <c r="M353" s="40">
        <f t="shared" si="36"/>
        <v>1.3095942550775562E-2</v>
      </c>
      <c r="O353" s="40">
        <f t="shared" si="38"/>
        <v>1.4029212512366938E-2</v>
      </c>
      <c r="P353" s="207">
        <f t="shared" si="39"/>
        <v>8.9485598774308173E-5</v>
      </c>
      <c r="Q353" s="208">
        <f t="shared" si="40"/>
        <v>1.0021992959873915</v>
      </c>
      <c r="R353" s="40">
        <f t="shared" si="41"/>
        <v>1.3909136605268583E-2</v>
      </c>
      <c r="S353" s="209">
        <v>0</v>
      </c>
    </row>
    <row r="354" spans="1:19" x14ac:dyDescent="0.45">
      <c r="A354" s="16">
        <v>44085</v>
      </c>
      <c r="B354" s="42">
        <f>'Part 2 - CAPM 2.1, 2.2 and 2.3'!N354</f>
        <v>2.6859188882334029E-3</v>
      </c>
      <c r="C354" s="42">
        <f>'Part 2 - CAPM 2.1, 2.2 and 2.3'!O354</f>
        <v>-4.8422223145636626E-3</v>
      </c>
      <c r="E354" s="16">
        <v>44085</v>
      </c>
      <c r="F354" s="17">
        <v>3.3399999999999999E-2</v>
      </c>
      <c r="G354" s="41">
        <f t="shared" si="37"/>
        <v>9.0015933029263806E-5</v>
      </c>
      <c r="L354" s="40">
        <f t="shared" si="35"/>
        <v>2.7818419518960175E-3</v>
      </c>
      <c r="M354" s="40">
        <f t="shared" si="36"/>
        <v>-4.7628558616408766E-3</v>
      </c>
      <c r="O354" s="40">
        <f t="shared" si="38"/>
        <v>2.7818419518960175E-3</v>
      </c>
      <c r="P354" s="207">
        <f t="shared" si="39"/>
        <v>9.0015933029263806E-5</v>
      </c>
      <c r="Q354" s="208">
        <f t="shared" si="40"/>
        <v>1.0021992959873915</v>
      </c>
      <c r="R354" s="40">
        <f t="shared" si="41"/>
        <v>2.6859188882334029E-3</v>
      </c>
      <c r="S354" s="209">
        <v>0</v>
      </c>
    </row>
    <row r="355" spans="1:19" x14ac:dyDescent="0.45">
      <c r="A355" s="16">
        <v>44088</v>
      </c>
      <c r="B355" s="42">
        <f>'Part 2 - CAPM 2.1, 2.2 and 2.3'!N355</f>
        <v>4.8745732742695438E-3</v>
      </c>
      <c r="C355" s="42">
        <f>'Part 2 - CAPM 2.1, 2.2 and 2.3'!O355</f>
        <v>4.6846166189903216E-3</v>
      </c>
      <c r="E355" s="16">
        <v>44088</v>
      </c>
      <c r="F355" s="17">
        <v>3.3500000000000002E-2</v>
      </c>
      <c r="G355" s="41">
        <f t="shared" si="37"/>
        <v>9.0281061773778148E-5</v>
      </c>
      <c r="L355" s="40">
        <f t="shared" si="35"/>
        <v>4.9755749654856688E-3</v>
      </c>
      <c r="M355" s="40">
        <f t="shared" si="36"/>
        <v>4.7852005392967131E-3</v>
      </c>
      <c r="O355" s="40">
        <f t="shared" si="38"/>
        <v>4.9755749654856688E-3</v>
      </c>
      <c r="P355" s="207">
        <f t="shared" si="39"/>
        <v>9.0281061773778148E-5</v>
      </c>
      <c r="Q355" s="208">
        <f t="shared" si="40"/>
        <v>1.0021992959873915</v>
      </c>
      <c r="R355" s="40">
        <f t="shared" si="41"/>
        <v>4.8745732742695438E-3</v>
      </c>
      <c r="S355" s="209">
        <v>0</v>
      </c>
    </row>
    <row r="356" spans="1:19" x14ac:dyDescent="0.45">
      <c r="A356" s="16">
        <v>44089</v>
      </c>
      <c r="B356" s="42">
        <f>'Part 2 - CAPM 2.1, 2.2 and 2.3'!N356</f>
        <v>8.3425119750340331E-3</v>
      </c>
      <c r="C356" s="42">
        <f>'Part 2 - CAPM 2.1, 2.2 and 2.3'!O356</f>
        <v>1.9469090991026299E-3</v>
      </c>
      <c r="E356" s="16">
        <v>44089</v>
      </c>
      <c r="F356" s="17">
        <v>3.3300000000000003E-2</v>
      </c>
      <c r="G356" s="41">
        <f t="shared" si="37"/>
        <v>8.975077869766146E-5</v>
      </c>
      <c r="L356" s="40">
        <f t="shared" si="35"/>
        <v>8.4506104068431519E-3</v>
      </c>
      <c r="M356" s="40">
        <f t="shared" si="36"/>
        <v>2.0409417071697638E-3</v>
      </c>
      <c r="O356" s="40">
        <f t="shared" si="38"/>
        <v>8.4506104068431519E-3</v>
      </c>
      <c r="P356" s="207">
        <f t="shared" si="39"/>
        <v>8.975077869766146E-5</v>
      </c>
      <c r="Q356" s="208">
        <f t="shared" si="40"/>
        <v>1.0021992959873915</v>
      </c>
      <c r="R356" s="40">
        <f t="shared" si="41"/>
        <v>8.3425119750340331E-3</v>
      </c>
      <c r="S356" s="209">
        <v>0</v>
      </c>
    </row>
    <row r="357" spans="1:19" x14ac:dyDescent="0.45">
      <c r="A357" s="16">
        <v>44090</v>
      </c>
      <c r="B357" s="42">
        <f>'Part 2 - CAPM 2.1, 2.2 and 2.3'!N357</f>
        <v>6.0883293515088905E-3</v>
      </c>
      <c r="C357" s="42">
        <f>'Part 2 - CAPM 2.1, 2.2 and 2.3'!O357</f>
        <v>-1.0252882687790038E-2</v>
      </c>
      <c r="E357" s="16">
        <v>44090</v>
      </c>
      <c r="F357" s="17">
        <v>3.3500000000000002E-2</v>
      </c>
      <c r="G357" s="41">
        <f t="shared" si="37"/>
        <v>9.0281061773778148E-5</v>
      </c>
      <c r="L357" s="40">
        <f t="shared" si="35"/>
        <v>6.1920004515953605E-3</v>
      </c>
      <c r="M357" s="40">
        <f t="shared" si="36"/>
        <v>-1.0185150749770713E-2</v>
      </c>
      <c r="O357" s="40">
        <f t="shared" si="38"/>
        <v>6.1920004515953605E-3</v>
      </c>
      <c r="P357" s="207">
        <f t="shared" si="39"/>
        <v>9.0281061773778148E-5</v>
      </c>
      <c r="Q357" s="208">
        <f t="shared" si="40"/>
        <v>1.0021992959873915</v>
      </c>
      <c r="R357" s="40">
        <f t="shared" si="41"/>
        <v>6.0883293515088905E-3</v>
      </c>
      <c r="S357" s="209">
        <v>0</v>
      </c>
    </row>
    <row r="358" spans="1:19" x14ac:dyDescent="0.45">
      <c r="A358" s="16">
        <v>44091</v>
      </c>
      <c r="B358" s="42">
        <f>'Part 2 - CAPM 2.1, 2.2 and 2.3'!N358</f>
        <v>-6.916131048796877E-3</v>
      </c>
      <c r="C358" s="42">
        <f>'Part 2 - CAPM 2.1, 2.2 and 2.3'!O358</f>
        <v>1.2786443317923894E-3</v>
      </c>
      <c r="E358" s="16">
        <v>44091</v>
      </c>
      <c r="F358" s="17">
        <v>3.3500000000000002E-2</v>
      </c>
      <c r="G358" s="41">
        <f t="shared" si="37"/>
        <v>9.0281061773778148E-5</v>
      </c>
      <c r="L358" s="40">
        <f t="shared" si="35"/>
        <v>-6.8410606062869915E-3</v>
      </c>
      <c r="M358" s="40">
        <f t="shared" si="36"/>
        <v>1.3717375109143794E-3</v>
      </c>
      <c r="O358" s="40">
        <f t="shared" si="38"/>
        <v>-6.8410606062869915E-3</v>
      </c>
      <c r="P358" s="207">
        <f t="shared" si="39"/>
        <v>9.0281061773778148E-5</v>
      </c>
      <c r="Q358" s="208">
        <f t="shared" si="40"/>
        <v>1.0021992959873915</v>
      </c>
      <c r="R358" s="40">
        <f t="shared" si="41"/>
        <v>-6.916131048796877E-3</v>
      </c>
      <c r="S358" s="209">
        <v>0</v>
      </c>
    </row>
    <row r="359" spans="1:19" x14ac:dyDescent="0.45">
      <c r="A359" s="16">
        <v>44092</v>
      </c>
      <c r="B359" s="42">
        <f>'Part 2 - CAPM 2.1, 2.2 and 2.3'!N359</f>
        <v>-8.481141816943363E-4</v>
      </c>
      <c r="C359" s="42">
        <f>'Part 2 - CAPM 2.1, 2.2 and 2.3'!O359</f>
        <v>1.5630839922504983E-2</v>
      </c>
      <c r="E359" s="16">
        <v>44092</v>
      </c>
      <c r="F359" s="17">
        <v>3.3500000000000002E-2</v>
      </c>
      <c r="G359" s="41">
        <f t="shared" si="37"/>
        <v>9.0281061773778148E-5</v>
      </c>
      <c r="L359" s="40">
        <f t="shared" si="35"/>
        <v>-7.5969837403720838E-4</v>
      </c>
      <c r="M359" s="40">
        <f t="shared" si="36"/>
        <v>1.5755497827799884E-2</v>
      </c>
      <c r="O359" s="40">
        <f t="shared" si="38"/>
        <v>-7.5969837403720838E-4</v>
      </c>
      <c r="P359" s="207">
        <f t="shared" si="39"/>
        <v>9.0281061773778148E-5</v>
      </c>
      <c r="Q359" s="208">
        <f t="shared" si="40"/>
        <v>1.0021992959873915</v>
      </c>
      <c r="R359" s="40">
        <f t="shared" si="41"/>
        <v>-8.481141816943363E-4</v>
      </c>
      <c r="S359" s="209">
        <v>0</v>
      </c>
    </row>
    <row r="360" spans="1:19" x14ac:dyDescent="0.45">
      <c r="A360" s="16">
        <v>44095</v>
      </c>
      <c r="B360" s="42">
        <f>'Part 2 - CAPM 2.1, 2.2 and 2.3'!N360</f>
        <v>-2.5876678704209521E-2</v>
      </c>
      <c r="C360" s="42">
        <f>'Part 2 - CAPM 2.1, 2.2 and 2.3'!O360</f>
        <v>-4.2486504378457475E-2</v>
      </c>
      <c r="E360" s="16">
        <v>44095</v>
      </c>
      <c r="F360" s="17">
        <v>3.3700000000000001E-2</v>
      </c>
      <c r="G360" s="41">
        <f t="shared" si="37"/>
        <v>9.081124252219297E-5</v>
      </c>
      <c r="L360" s="40">
        <f t="shared" si="35"/>
        <v>-2.5842777937328518E-2</v>
      </c>
      <c r="M360" s="40">
        <f t="shared" si="36"/>
        <v>-4.2489133534533118E-2</v>
      </c>
      <c r="O360" s="40">
        <f t="shared" si="38"/>
        <v>-2.5842777937328518E-2</v>
      </c>
      <c r="P360" s="207">
        <f t="shared" si="39"/>
        <v>9.081124252219297E-5</v>
      </c>
      <c r="Q360" s="208">
        <f t="shared" si="40"/>
        <v>1.0021992959873915</v>
      </c>
      <c r="R360" s="40">
        <f t="shared" si="41"/>
        <v>-2.5876678704209521E-2</v>
      </c>
      <c r="S360" s="209">
        <v>0</v>
      </c>
    </row>
    <row r="361" spans="1:19" x14ac:dyDescent="0.45">
      <c r="A361" s="16">
        <v>44096</v>
      </c>
      <c r="B361" s="42">
        <f>'Part 2 - CAPM 2.1, 2.2 and 2.3'!N361</f>
        <v>-1.0732380728262393E-2</v>
      </c>
      <c r="C361" s="42">
        <f>'Part 2 - CAPM 2.1, 2.2 and 2.3'!O361</f>
        <v>-2.3281784047616157E-2</v>
      </c>
      <c r="E361" s="16">
        <v>44096</v>
      </c>
      <c r="F361" s="17">
        <v>3.39E-2</v>
      </c>
      <c r="G361" s="41">
        <f t="shared" si="37"/>
        <v>9.1341320982207819E-5</v>
      </c>
      <c r="L361" s="40">
        <f t="shared" si="35"/>
        <v>-1.0664643089151011E-2</v>
      </c>
      <c r="M361" s="40">
        <f t="shared" si="36"/>
        <v>-2.3241646260869189E-2</v>
      </c>
      <c r="O361" s="40">
        <f t="shared" si="38"/>
        <v>-1.0664643089151011E-2</v>
      </c>
      <c r="P361" s="207">
        <f t="shared" si="39"/>
        <v>9.1341320982207819E-5</v>
      </c>
      <c r="Q361" s="208">
        <f t="shared" si="40"/>
        <v>1.0021992959873915</v>
      </c>
      <c r="R361" s="40">
        <f t="shared" si="41"/>
        <v>-1.0732380728262393E-2</v>
      </c>
      <c r="S361" s="209">
        <v>0</v>
      </c>
    </row>
    <row r="362" spans="1:19" x14ac:dyDescent="0.45">
      <c r="A362" s="16">
        <v>44097</v>
      </c>
      <c r="B362" s="42">
        <f>'Part 2 - CAPM 2.1, 2.2 and 2.3'!N362</f>
        <v>-2.2128705401863779E-3</v>
      </c>
      <c r="C362" s="42">
        <f>'Part 2 - CAPM 2.1, 2.2 and 2.3'!O362</f>
        <v>-2.6709781330507006E-2</v>
      </c>
      <c r="E362" s="16">
        <v>44097</v>
      </c>
      <c r="F362" s="17">
        <v>3.3799999999999997E-2</v>
      </c>
      <c r="G362" s="41">
        <f t="shared" si="37"/>
        <v>9.1076294535863411E-5</v>
      </c>
      <c r="L362" s="40">
        <f t="shared" si="35"/>
        <v>-2.1266610029501633E-3</v>
      </c>
      <c r="M362" s="40">
        <f t="shared" si="36"/>
        <v>-2.6677447750875431E-2</v>
      </c>
      <c r="O362" s="40">
        <f t="shared" si="38"/>
        <v>-2.1266610029501633E-3</v>
      </c>
      <c r="P362" s="207">
        <f t="shared" si="39"/>
        <v>9.1076294535863411E-5</v>
      </c>
      <c r="Q362" s="208">
        <f t="shared" si="40"/>
        <v>1.0021992959873915</v>
      </c>
      <c r="R362" s="40">
        <f t="shared" si="41"/>
        <v>-2.2128705401863779E-3</v>
      </c>
      <c r="S362" s="209">
        <v>0</v>
      </c>
    </row>
    <row r="363" spans="1:19" x14ac:dyDescent="0.45">
      <c r="A363" s="16">
        <v>44098</v>
      </c>
      <c r="B363" s="42">
        <f>'Part 2 - CAPM 2.1, 2.2 and 2.3'!N363</f>
        <v>-2.7238447967999166E-2</v>
      </c>
      <c r="C363" s="42">
        <f>'Part 2 - CAPM 2.1, 2.2 and 2.3'!O363</f>
        <v>-1.4873307322460403E-2</v>
      </c>
      <c r="E363" s="16">
        <v>44098</v>
      </c>
      <c r="F363" s="17">
        <v>3.39E-2</v>
      </c>
      <c r="G363" s="41">
        <f t="shared" si="37"/>
        <v>9.1341320982207819E-5</v>
      </c>
      <c r="L363" s="40">
        <f t="shared" si="35"/>
        <v>-2.7207012056335751E-2</v>
      </c>
      <c r="M363" s="40">
        <f t="shared" si="36"/>
        <v>-1.4814676806591723E-2</v>
      </c>
      <c r="O363" s="40">
        <f t="shared" si="38"/>
        <v>-2.7207012056335751E-2</v>
      </c>
      <c r="P363" s="207">
        <f t="shared" si="39"/>
        <v>9.1341320982207819E-5</v>
      </c>
      <c r="Q363" s="208">
        <f t="shared" si="40"/>
        <v>1.0021992959873915</v>
      </c>
      <c r="R363" s="40">
        <f t="shared" si="41"/>
        <v>-2.7238447967999166E-2</v>
      </c>
      <c r="S363" s="209">
        <v>0</v>
      </c>
    </row>
    <row r="364" spans="1:19" x14ac:dyDescent="0.45">
      <c r="A364" s="16">
        <v>44099</v>
      </c>
      <c r="B364" s="42">
        <f>'Part 2 - CAPM 2.1, 2.2 and 2.3'!N364</f>
        <v>2.3537044044735153E-2</v>
      </c>
      <c r="C364" s="42">
        <f>'Part 2 - CAPM 2.1, 2.2 and 2.3'!O364</f>
        <v>3.3667098288920262E-2</v>
      </c>
      <c r="E364" s="16">
        <v>44099</v>
      </c>
      <c r="F364" s="17">
        <v>3.39E-2</v>
      </c>
      <c r="G364" s="41">
        <f t="shared" si="37"/>
        <v>9.1341320982207819E-5</v>
      </c>
      <c r="L364" s="40">
        <f t="shared" si="35"/>
        <v>2.3680150292240004E-2</v>
      </c>
      <c r="M364" s="40">
        <f t="shared" si="36"/>
        <v>3.3832483524076411E-2</v>
      </c>
      <c r="O364" s="40">
        <f t="shared" si="38"/>
        <v>2.3680150292240004E-2</v>
      </c>
      <c r="P364" s="207">
        <f t="shared" si="39"/>
        <v>9.1341320982207819E-5</v>
      </c>
      <c r="Q364" s="208">
        <f t="shared" si="40"/>
        <v>1.0021992959873915</v>
      </c>
      <c r="R364" s="40">
        <f t="shared" si="41"/>
        <v>2.3537044044735153E-2</v>
      </c>
      <c r="S364" s="209">
        <v>0</v>
      </c>
    </row>
    <row r="365" spans="1:19" x14ac:dyDescent="0.45">
      <c r="A365" s="16">
        <v>44102</v>
      </c>
      <c r="B365" s="42">
        <f>'Part 2 - CAPM 2.1, 2.2 and 2.3'!N365</f>
        <v>1.892903051950064E-2</v>
      </c>
      <c r="C365" s="42">
        <f>'Part 2 - CAPM 2.1, 2.2 and 2.3'!O365</f>
        <v>4.2724598596610555E-2</v>
      </c>
      <c r="E365" s="16">
        <v>44102</v>
      </c>
      <c r="F365" s="17">
        <v>3.3799999999999997E-2</v>
      </c>
      <c r="G365" s="41">
        <f t="shared" si="37"/>
        <v>9.1076294535863411E-5</v>
      </c>
      <c r="L365" s="40">
        <f t="shared" si="35"/>
        <v>1.9061737354903255E-2</v>
      </c>
      <c r="M365" s="40">
        <f t="shared" si="36"/>
        <v>4.290963892940286E-2</v>
      </c>
      <c r="O365" s="40">
        <f t="shared" si="38"/>
        <v>1.9061737354903255E-2</v>
      </c>
      <c r="P365" s="207">
        <f t="shared" si="39"/>
        <v>9.1076294535863411E-5</v>
      </c>
      <c r="Q365" s="208">
        <f t="shared" si="40"/>
        <v>1.0021992959873915</v>
      </c>
      <c r="R365" s="40">
        <f t="shared" si="41"/>
        <v>1.892903051950064E-2</v>
      </c>
      <c r="S365" s="209">
        <v>0</v>
      </c>
    </row>
    <row r="366" spans="1:19" x14ac:dyDescent="0.45">
      <c r="A366" s="16">
        <v>44103</v>
      </c>
      <c r="B366" s="42">
        <f>'Part 2 - CAPM 2.1, 2.2 and 2.3'!N366</f>
        <v>-1.2215419303386258E-3</v>
      </c>
      <c r="C366" s="42">
        <f>'Part 2 - CAPM 2.1, 2.2 and 2.3'!O366</f>
        <v>-3.7669099342730807E-2</v>
      </c>
      <c r="E366" s="16">
        <v>44103</v>
      </c>
      <c r="F366" s="17">
        <v>3.3700000000000001E-2</v>
      </c>
      <c r="G366" s="41">
        <f t="shared" si="37"/>
        <v>9.081124252219297E-5</v>
      </c>
      <c r="L366" s="40">
        <f t="shared" si="35"/>
        <v>-1.1334172200822572E-3</v>
      </c>
      <c r="M366" s="40">
        <f t="shared" si="36"/>
        <v>-3.7661133599241732E-2</v>
      </c>
      <c r="O366" s="40">
        <f t="shared" si="38"/>
        <v>-1.1334172200822572E-3</v>
      </c>
      <c r="P366" s="207">
        <f t="shared" si="39"/>
        <v>9.081124252219297E-5</v>
      </c>
      <c r="Q366" s="208">
        <f t="shared" si="40"/>
        <v>1.0021992959873915</v>
      </c>
      <c r="R366" s="40">
        <f t="shared" si="41"/>
        <v>-1.2215419303386258E-3</v>
      </c>
      <c r="S366" s="209">
        <v>0</v>
      </c>
    </row>
    <row r="367" spans="1:19" x14ac:dyDescent="0.45">
      <c r="A367" s="16">
        <v>44104</v>
      </c>
      <c r="B367" s="42">
        <f>'Part 2 - CAPM 2.1, 2.2 and 2.3'!N367</f>
        <v>2.2767355924537412E-3</v>
      </c>
      <c r="C367" s="42">
        <f>'Part 2 - CAPM 2.1, 2.2 and 2.3'!O367</f>
        <v>1.3569112047214585E-3</v>
      </c>
      <c r="E367" s="16">
        <v>44104</v>
      </c>
      <c r="F367" s="17">
        <v>3.3099999999999997E-2</v>
      </c>
      <c r="G367" s="41">
        <f t="shared" si="37"/>
        <v>8.9220393253874875E-5</v>
      </c>
      <c r="L367" s="40">
        <f t="shared" si="35"/>
        <v>2.3709632011604509E-3</v>
      </c>
      <c r="M367" s="40">
        <f t="shared" si="36"/>
        <v>1.4491158473431238E-3</v>
      </c>
      <c r="O367" s="40">
        <f t="shared" si="38"/>
        <v>2.3709632011604509E-3</v>
      </c>
      <c r="P367" s="207">
        <f t="shared" si="39"/>
        <v>8.9220393253874875E-5</v>
      </c>
      <c r="Q367" s="208">
        <f t="shared" si="40"/>
        <v>1.0021992959873915</v>
      </c>
      <c r="R367" s="40">
        <f t="shared" si="41"/>
        <v>2.2767355924537412E-3</v>
      </c>
      <c r="S367" s="209">
        <v>0</v>
      </c>
    </row>
    <row r="368" spans="1:19" x14ac:dyDescent="0.45">
      <c r="A368" s="16">
        <v>44105</v>
      </c>
      <c r="B368" s="42">
        <f>'Part 2 - CAPM 2.1, 2.2 and 2.3'!N368</f>
        <v>1.275231261787855E-2</v>
      </c>
      <c r="C368" s="42">
        <f>'Part 2 - CAPM 2.1, 2.2 and 2.3'!O368</f>
        <v>-1.5319373028269774E-3</v>
      </c>
      <c r="E368" s="16">
        <v>44105</v>
      </c>
      <c r="F368" s="17">
        <v>3.2599999999999997E-2</v>
      </c>
      <c r="G368" s="41">
        <f t="shared" si="37"/>
        <v>8.7893981527420451E-5</v>
      </c>
      <c r="L368" s="40">
        <f t="shared" si="35"/>
        <v>1.2868252709376434E-2</v>
      </c>
      <c r="M368" s="40">
        <f t="shared" si="36"/>
        <v>-1.4474125048625998E-3</v>
      </c>
      <c r="O368" s="40">
        <f t="shared" si="38"/>
        <v>1.2868252709376434E-2</v>
      </c>
      <c r="P368" s="207">
        <f t="shared" si="39"/>
        <v>8.7893981527420451E-5</v>
      </c>
      <c r="Q368" s="208">
        <f t="shared" si="40"/>
        <v>1.0021992959873915</v>
      </c>
      <c r="R368" s="40">
        <f t="shared" si="41"/>
        <v>1.275231261787855E-2</v>
      </c>
      <c r="S368" s="209">
        <v>0</v>
      </c>
    </row>
    <row r="369" spans="1:19" x14ac:dyDescent="0.45">
      <c r="A369" s="16">
        <v>44109</v>
      </c>
      <c r="B369" s="42">
        <f>'Part 2 - CAPM 2.1, 2.2 and 2.3'!N369</f>
        <v>5.6811475855370252E-3</v>
      </c>
      <c r="C369" s="42">
        <f>'Part 2 - CAPM 2.1, 2.2 and 2.3'!O369</f>
        <v>6.3358020021335849E-4</v>
      </c>
      <c r="E369" s="16">
        <v>44109</v>
      </c>
      <c r="F369" s="17">
        <v>3.32E-2</v>
      </c>
      <c r="G369" s="41">
        <f t="shared" si="37"/>
        <v>8.9485598774308173E-5</v>
      </c>
      <c r="L369" s="40">
        <f t="shared" si="35"/>
        <v>5.783127709399984E-3</v>
      </c>
      <c r="M369" s="40">
        <f t="shared" si="36"/>
        <v>7.2445922937968668E-4</v>
      </c>
      <c r="O369" s="40">
        <f t="shared" si="38"/>
        <v>5.783127709399984E-3</v>
      </c>
      <c r="P369" s="207">
        <f t="shared" si="39"/>
        <v>8.9485598774308173E-5</v>
      </c>
      <c r="Q369" s="208">
        <f t="shared" si="40"/>
        <v>1.0021992959873915</v>
      </c>
      <c r="R369" s="40">
        <f t="shared" si="41"/>
        <v>5.6811475855370252E-3</v>
      </c>
      <c r="S369" s="209">
        <v>0</v>
      </c>
    </row>
    <row r="370" spans="1:19" x14ac:dyDescent="0.45">
      <c r="A370" s="16">
        <v>44110</v>
      </c>
      <c r="B370" s="42">
        <f>'Part 2 - CAPM 2.1, 2.2 and 2.3'!N370</f>
        <v>1.105455147445805E-2</v>
      </c>
      <c r="C370" s="42">
        <f>'Part 2 - CAPM 2.1, 2.2 and 2.3'!O370</f>
        <v>2.0781444590290367E-3</v>
      </c>
      <c r="E370" s="16">
        <v>44110</v>
      </c>
      <c r="F370" s="17">
        <v>3.32E-2</v>
      </c>
      <c r="G370" s="41">
        <f t="shared" si="37"/>
        <v>8.9485598774308173E-5</v>
      </c>
      <c r="L370" s="40">
        <f t="shared" si="35"/>
        <v>1.1168349303932547E-2</v>
      </c>
      <c r="M370" s="40">
        <f t="shared" si="36"/>
        <v>2.1722005125733076E-3</v>
      </c>
      <c r="O370" s="40">
        <f t="shared" si="38"/>
        <v>1.1168349303932547E-2</v>
      </c>
      <c r="P370" s="207">
        <f t="shared" si="39"/>
        <v>8.9485598774308173E-5</v>
      </c>
      <c r="Q370" s="208">
        <f t="shared" si="40"/>
        <v>1.0021992959873915</v>
      </c>
      <c r="R370" s="40">
        <f t="shared" si="41"/>
        <v>1.105455147445805E-2</v>
      </c>
      <c r="S370" s="209">
        <v>0</v>
      </c>
    </row>
    <row r="371" spans="1:19" x14ac:dyDescent="0.45">
      <c r="A371" s="16">
        <v>44111</v>
      </c>
      <c r="B371" s="42">
        <f>'Part 2 - CAPM 2.1, 2.2 and 2.3'!N371</f>
        <v>3.2527550263988705E-3</v>
      </c>
      <c r="C371" s="42">
        <f>'Part 2 - CAPM 2.1, 2.2 and 2.3'!O371</f>
        <v>1.6494127648025741E-2</v>
      </c>
      <c r="E371" s="16">
        <v>44111</v>
      </c>
      <c r="F371" s="17">
        <v>3.2799999999999996E-2</v>
      </c>
      <c r="G371" s="41">
        <f t="shared" si="37"/>
        <v>8.8424623063021457E-5</v>
      </c>
      <c r="L371" s="40">
        <f t="shared" si="35"/>
        <v>3.3483334205394186E-3</v>
      </c>
      <c r="M371" s="40">
        <f t="shared" si="36"/>
        <v>1.6618827739840591E-2</v>
      </c>
      <c r="O371" s="40">
        <f t="shared" si="38"/>
        <v>3.3483334205394186E-3</v>
      </c>
      <c r="P371" s="207">
        <f t="shared" si="39"/>
        <v>8.8424623063021457E-5</v>
      </c>
      <c r="Q371" s="208">
        <f t="shared" si="40"/>
        <v>1.0021992959873915</v>
      </c>
      <c r="R371" s="40">
        <f t="shared" si="41"/>
        <v>3.2527550263988705E-3</v>
      </c>
      <c r="S371" s="209">
        <v>0</v>
      </c>
    </row>
    <row r="372" spans="1:19" x14ac:dyDescent="0.45">
      <c r="A372" s="16">
        <v>44112</v>
      </c>
      <c r="B372" s="42">
        <f>'Part 2 - CAPM 2.1, 2.2 and 2.3'!N372</f>
        <v>5.8466315683502338E-3</v>
      </c>
      <c r="C372" s="42">
        <f>'Part 2 - CAPM 2.1, 2.2 and 2.3'!O372</f>
        <v>-2.9166438807460143E-2</v>
      </c>
      <c r="E372" s="16">
        <v>44112</v>
      </c>
      <c r="F372" s="17">
        <v>3.2799999999999996E-2</v>
      </c>
      <c r="G372" s="41">
        <f t="shared" si="37"/>
        <v>8.8424623063021457E-5</v>
      </c>
      <c r="L372" s="40">
        <f t="shared" si="35"/>
        <v>5.9479146647612845E-3</v>
      </c>
      <c r="M372" s="40">
        <f t="shared" si="36"/>
        <v>-2.914215981623287E-2</v>
      </c>
      <c r="O372" s="40">
        <f t="shared" si="38"/>
        <v>5.9479146647612845E-3</v>
      </c>
      <c r="P372" s="207">
        <f t="shared" si="39"/>
        <v>8.8424623063021457E-5</v>
      </c>
      <c r="Q372" s="208">
        <f t="shared" si="40"/>
        <v>1.0021992959873915</v>
      </c>
      <c r="R372" s="40">
        <f t="shared" si="41"/>
        <v>5.8466315683502338E-3</v>
      </c>
      <c r="S372" s="209">
        <v>0</v>
      </c>
    </row>
    <row r="373" spans="1:19" x14ac:dyDescent="0.45">
      <c r="A373" s="16">
        <v>44113</v>
      </c>
      <c r="B373" s="42">
        <f>'Part 2 - CAPM 2.1, 2.2 and 2.3'!N373</f>
        <v>3.8601146416425607E-3</v>
      </c>
      <c r="C373" s="42">
        <f>'Part 2 - CAPM 2.1, 2.2 and 2.3'!O373</f>
        <v>2.6938337121623603E-2</v>
      </c>
      <c r="E373" s="16">
        <v>44113</v>
      </c>
      <c r="F373" s="17">
        <v>3.2899999999999999E-2</v>
      </c>
      <c r="G373" s="41">
        <f t="shared" si="37"/>
        <v>8.8689905403338543E-5</v>
      </c>
      <c r="L373" s="40">
        <f t="shared" si="35"/>
        <v>3.9572940816881355E-3</v>
      </c>
      <c r="M373" s="40">
        <f t="shared" si="36"/>
        <v>2.7086272403765529E-2</v>
      </c>
      <c r="O373" s="40">
        <f t="shared" si="38"/>
        <v>3.9572940816881355E-3</v>
      </c>
      <c r="P373" s="207">
        <f t="shared" si="39"/>
        <v>8.8689905403338543E-5</v>
      </c>
      <c r="Q373" s="208">
        <f t="shared" si="40"/>
        <v>1.0021992959873915</v>
      </c>
      <c r="R373" s="40">
        <f t="shared" si="41"/>
        <v>3.8601146416425607E-3</v>
      </c>
      <c r="S373" s="209">
        <v>0</v>
      </c>
    </row>
    <row r="374" spans="1:19" x14ac:dyDescent="0.45">
      <c r="A374" s="16">
        <v>44116</v>
      </c>
      <c r="B374" s="42">
        <f>'Part 2 - CAPM 2.1, 2.2 and 2.3'!N374</f>
        <v>-5.8099002386297993E-4</v>
      </c>
      <c r="C374" s="42">
        <f>'Part 2 - CAPM 2.1, 2.2 and 2.3'!O374</f>
        <v>-1.6447153632287999E-2</v>
      </c>
      <c r="E374" s="16">
        <v>44116</v>
      </c>
      <c r="F374" s="17">
        <v>3.2899999999999999E-2</v>
      </c>
      <c r="G374" s="41">
        <f t="shared" si="37"/>
        <v>8.8689905403338543E-5</v>
      </c>
      <c r="L374" s="40">
        <f t="shared" si="35"/>
        <v>-4.9357788748783781E-4</v>
      </c>
      <c r="M374" s="40">
        <f t="shared" si="36"/>
        <v>-1.6394635885872165E-2</v>
      </c>
      <c r="O374" s="40">
        <f t="shared" si="38"/>
        <v>-4.9357788748783781E-4</v>
      </c>
      <c r="P374" s="207">
        <f t="shared" si="39"/>
        <v>8.8689905403338543E-5</v>
      </c>
      <c r="Q374" s="208">
        <f t="shared" si="40"/>
        <v>1.0021992959873915</v>
      </c>
      <c r="R374" s="40">
        <f t="shared" si="41"/>
        <v>-5.8099002386297993E-4</v>
      </c>
      <c r="S374" s="209">
        <v>0</v>
      </c>
    </row>
    <row r="375" spans="1:19" x14ac:dyDescent="0.45">
      <c r="A375" s="16">
        <v>44117</v>
      </c>
      <c r="B375" s="42">
        <f>'Part 2 - CAPM 2.1, 2.2 and 2.3'!N375</f>
        <v>-1.0019459711166927E-3</v>
      </c>
      <c r="C375" s="42">
        <f>'Part 2 - CAPM 2.1, 2.2 and 2.3'!O375</f>
        <v>-8.1175570439121077E-4</v>
      </c>
      <c r="E375" s="16">
        <v>44117</v>
      </c>
      <c r="F375" s="17">
        <v>3.2899999999999999E-2</v>
      </c>
      <c r="G375" s="41">
        <f t="shared" si="37"/>
        <v>8.8689905403338543E-5</v>
      </c>
      <c r="L375" s="40">
        <f t="shared" si="35"/>
        <v>-9.1545964146721418E-4</v>
      </c>
      <c r="M375" s="40">
        <f t="shared" si="36"/>
        <v>-7.2485109005128207E-4</v>
      </c>
      <c r="O375" s="40">
        <f t="shared" si="38"/>
        <v>-9.1545964146721418E-4</v>
      </c>
      <c r="P375" s="207">
        <f t="shared" si="39"/>
        <v>8.8689905403338543E-5</v>
      </c>
      <c r="Q375" s="208">
        <f t="shared" si="40"/>
        <v>1.0021992959873915</v>
      </c>
      <c r="R375" s="40">
        <f t="shared" si="41"/>
        <v>-1.0019459711166927E-3</v>
      </c>
      <c r="S375" s="209">
        <v>0</v>
      </c>
    </row>
    <row r="376" spans="1:19" x14ac:dyDescent="0.45">
      <c r="A376" s="16">
        <v>44118</v>
      </c>
      <c r="B376" s="42">
        <f>'Part 2 - CAPM 2.1, 2.2 and 2.3'!N376</f>
        <v>2.6792593985009495E-3</v>
      </c>
      <c r="C376" s="42">
        <f>'Part 2 - CAPM 2.1, 2.2 and 2.3'!O376</f>
        <v>-3.0479427966184736E-2</v>
      </c>
      <c r="E376" s="16">
        <v>44118</v>
      </c>
      <c r="F376" s="17">
        <v>3.2899999999999999E-2</v>
      </c>
      <c r="G376" s="41">
        <f t="shared" si="37"/>
        <v>8.8689905403338543E-5</v>
      </c>
      <c r="L376" s="40">
        <f t="shared" si="35"/>
        <v>2.7738417883485921E-3</v>
      </c>
      <c r="M376" s="40">
        <f t="shared" si="36"/>
        <v>-3.0457771344405419E-2</v>
      </c>
      <c r="O376" s="40">
        <f t="shared" si="38"/>
        <v>2.7738417883485921E-3</v>
      </c>
      <c r="P376" s="207">
        <f t="shared" si="39"/>
        <v>8.8689905403338543E-5</v>
      </c>
      <c r="Q376" s="208">
        <f t="shared" si="40"/>
        <v>1.0021992959873915</v>
      </c>
      <c r="R376" s="40">
        <f t="shared" si="41"/>
        <v>2.6792593985009495E-3</v>
      </c>
      <c r="S376" s="209">
        <v>0</v>
      </c>
    </row>
    <row r="377" spans="1:19" x14ac:dyDescent="0.45">
      <c r="A377" s="16">
        <v>44119</v>
      </c>
      <c r="B377" s="42">
        <f>'Part 2 - CAPM 2.1, 2.2 and 2.3'!N377</f>
        <v>-2.1939382001441254E-2</v>
      </c>
      <c r="C377" s="42">
        <f>'Part 2 - CAPM 2.1, 2.2 and 2.3'!O377</f>
        <v>-1.426646771509802E-2</v>
      </c>
      <c r="E377" s="16">
        <v>44119</v>
      </c>
      <c r="F377" s="17">
        <v>3.2400000000000005E-2</v>
      </c>
      <c r="G377" s="41">
        <f t="shared" si="37"/>
        <v>8.7363237486037804E-5</v>
      </c>
      <c r="L377" s="40">
        <f t="shared" si="35"/>
        <v>-2.1900269958756834E-2</v>
      </c>
      <c r="M377" s="40">
        <f t="shared" si="36"/>
        <v>-1.4210480662812049E-2</v>
      </c>
      <c r="O377" s="40">
        <f t="shared" si="38"/>
        <v>-2.1900269958756834E-2</v>
      </c>
      <c r="P377" s="207">
        <f t="shared" si="39"/>
        <v>8.7363237486037804E-5</v>
      </c>
      <c r="Q377" s="208">
        <f t="shared" si="40"/>
        <v>1.0021992959873915</v>
      </c>
      <c r="R377" s="40">
        <f t="shared" si="41"/>
        <v>-2.1939382001441254E-2</v>
      </c>
      <c r="S377" s="209">
        <v>0</v>
      </c>
    </row>
    <row r="378" spans="1:19" x14ac:dyDescent="0.45">
      <c r="A378" s="16">
        <v>44120</v>
      </c>
      <c r="B378" s="42">
        <f>'Part 2 - CAPM 2.1, 2.2 and 2.3'!N378</f>
        <v>7.8916525791851554E-3</v>
      </c>
      <c r="C378" s="42">
        <f>'Part 2 - CAPM 2.1, 2.2 and 2.3'!O378</f>
        <v>1.808069126667752E-2</v>
      </c>
      <c r="E378" s="16">
        <v>44120</v>
      </c>
      <c r="F378" s="17">
        <v>3.2400000000000005E-2</v>
      </c>
      <c r="G378" s="41">
        <f t="shared" si="37"/>
        <v>8.7363237486037804E-5</v>
      </c>
      <c r="L378" s="40">
        <f t="shared" si="35"/>
        <v>7.9963718965224834E-3</v>
      </c>
      <c r="M378" s="40">
        <f t="shared" si="36"/>
        <v>1.8207819295915625E-2</v>
      </c>
      <c r="O378" s="40">
        <f t="shared" si="38"/>
        <v>7.9963718965224834E-3</v>
      </c>
      <c r="P378" s="207">
        <f t="shared" si="39"/>
        <v>8.7363237486037804E-5</v>
      </c>
      <c r="Q378" s="208">
        <f t="shared" si="40"/>
        <v>1.0021992959873915</v>
      </c>
      <c r="R378" s="40">
        <f t="shared" si="41"/>
        <v>7.8916525791851554E-3</v>
      </c>
      <c r="S378" s="209">
        <v>0</v>
      </c>
    </row>
    <row r="379" spans="1:19" x14ac:dyDescent="0.45">
      <c r="A379" s="16">
        <v>44123</v>
      </c>
      <c r="B379" s="42">
        <f>'Part 2 - CAPM 2.1, 2.2 and 2.3'!N379</f>
        <v>8.5398223580694932E-3</v>
      </c>
      <c r="C379" s="42">
        <f>'Part 2 - CAPM 2.1, 2.2 and 2.3'!O379</f>
        <v>3.0395642753142053E-2</v>
      </c>
      <c r="E379" s="16">
        <v>44123</v>
      </c>
      <c r="F379" s="17">
        <v>3.2500000000000001E-2</v>
      </c>
      <c r="G379" s="41">
        <f t="shared" si="37"/>
        <v>8.7628622322588612E-5</v>
      </c>
      <c r="L379" s="40">
        <f t="shared" si="35"/>
        <v>8.6462325774372215E-3</v>
      </c>
      <c r="M379" s="40">
        <f t="shared" si="36"/>
        <v>3.0550120390605815E-2</v>
      </c>
      <c r="O379" s="40">
        <f t="shared" si="38"/>
        <v>8.6462325774372215E-3</v>
      </c>
      <c r="P379" s="207">
        <f t="shared" si="39"/>
        <v>8.7628622322588612E-5</v>
      </c>
      <c r="Q379" s="208">
        <f t="shared" si="40"/>
        <v>1.0021992959873915</v>
      </c>
      <c r="R379" s="40">
        <f t="shared" si="41"/>
        <v>8.5398223580694932E-3</v>
      </c>
      <c r="S379" s="209">
        <v>0</v>
      </c>
    </row>
    <row r="380" spans="1:19" x14ac:dyDescent="0.45">
      <c r="A380" s="16">
        <v>44124</v>
      </c>
      <c r="B380" s="42">
        <f>'Part 2 - CAPM 2.1, 2.2 and 2.3'!N380</f>
        <v>2.3533300461705806E-3</v>
      </c>
      <c r="C380" s="42">
        <f>'Part 2 - CAPM 2.1, 2.2 and 2.3'!O380</f>
        <v>-2.7504656039349883E-2</v>
      </c>
      <c r="E380" s="16">
        <v>44124</v>
      </c>
      <c r="F380" s="17">
        <v>3.2500000000000001E-2</v>
      </c>
      <c r="G380" s="41">
        <f t="shared" si="37"/>
        <v>8.7628622322588612E-5</v>
      </c>
      <c r="L380" s="40">
        <f t="shared" si="35"/>
        <v>2.4461343378207202E-3</v>
      </c>
      <c r="M380" s="40">
        <f t="shared" si="36"/>
        <v>-2.7477518296689221E-2</v>
      </c>
      <c r="O380" s="40">
        <f t="shared" si="38"/>
        <v>2.4461343378207202E-3</v>
      </c>
      <c r="P380" s="207">
        <f t="shared" si="39"/>
        <v>8.7628622322588612E-5</v>
      </c>
      <c r="Q380" s="208">
        <f t="shared" si="40"/>
        <v>1.0021992959873915</v>
      </c>
      <c r="R380" s="40">
        <f t="shared" si="41"/>
        <v>2.3533300461705806E-3</v>
      </c>
      <c r="S380" s="209">
        <v>0</v>
      </c>
    </row>
    <row r="381" spans="1:19" x14ac:dyDescent="0.45">
      <c r="A381" s="16">
        <v>44125</v>
      </c>
      <c r="B381" s="42">
        <f>'Part 2 - CAPM 2.1, 2.2 and 2.3'!N381</f>
        <v>2.3387046446494853E-3</v>
      </c>
      <c r="C381" s="42">
        <f>'Part 2 - CAPM 2.1, 2.2 and 2.3'!O381</f>
        <v>5.8486821722322233E-3</v>
      </c>
      <c r="E381" s="16">
        <v>44125</v>
      </c>
      <c r="F381" s="17">
        <v>3.1899999999999998E-2</v>
      </c>
      <c r="G381" s="41">
        <f t="shared" si="37"/>
        <v>8.6035928657857141E-5</v>
      </c>
      <c r="L381" s="40">
        <f t="shared" si="35"/>
        <v>2.429884077048014E-3</v>
      </c>
      <c r="M381" s="40">
        <f t="shared" si="36"/>
        <v>5.9475810841229989E-3</v>
      </c>
      <c r="O381" s="40">
        <f t="shared" si="38"/>
        <v>2.429884077048014E-3</v>
      </c>
      <c r="P381" s="207">
        <f t="shared" si="39"/>
        <v>8.6035928657857141E-5</v>
      </c>
      <c r="Q381" s="208">
        <f t="shared" si="40"/>
        <v>1.0021992959873915</v>
      </c>
      <c r="R381" s="40">
        <f t="shared" si="41"/>
        <v>2.3387046446494853E-3</v>
      </c>
      <c r="S381" s="209">
        <v>0</v>
      </c>
    </row>
    <row r="382" spans="1:19" x14ac:dyDescent="0.45">
      <c r="A382" s="16">
        <v>44126</v>
      </c>
      <c r="B382" s="42">
        <f>'Part 2 - CAPM 2.1, 2.2 and 2.3'!N382</f>
        <v>-1.2703809627154926E-3</v>
      </c>
      <c r="C382" s="42">
        <f>'Part 2 - CAPM 2.1, 2.2 and 2.3'!O382</f>
        <v>1.5400158734578662E-2</v>
      </c>
      <c r="E382" s="16">
        <v>44126</v>
      </c>
      <c r="F382" s="17">
        <v>3.2099999999999997E-2</v>
      </c>
      <c r="G382" s="41">
        <f t="shared" si="37"/>
        <v>8.6566929138109927E-5</v>
      </c>
      <c r="L382" s="40">
        <f t="shared" si="35"/>
        <v>-1.1866079773311415E-3</v>
      </c>
      <c r="M382" s="40">
        <f t="shared" si="36"/>
        <v>1.5520595171026923E-2</v>
      </c>
      <c r="O382" s="40">
        <f t="shared" si="38"/>
        <v>-1.1866079773311415E-3</v>
      </c>
      <c r="P382" s="207">
        <f t="shared" si="39"/>
        <v>8.6566929138109927E-5</v>
      </c>
      <c r="Q382" s="208">
        <f t="shared" si="40"/>
        <v>1.0021992959873915</v>
      </c>
      <c r="R382" s="40">
        <f t="shared" si="41"/>
        <v>-1.2703809627154926E-3</v>
      </c>
      <c r="S382" s="209">
        <v>0</v>
      </c>
    </row>
    <row r="383" spans="1:19" x14ac:dyDescent="0.45">
      <c r="A383" s="16">
        <v>44127</v>
      </c>
      <c r="B383" s="42">
        <f>'Part 2 - CAPM 2.1, 2.2 and 2.3'!N383</f>
        <v>3.535784931550249E-3</v>
      </c>
      <c r="C383" s="42">
        <f>'Part 2 - CAPM 2.1, 2.2 and 2.3'!O383</f>
        <v>2.0920823083347396E-3</v>
      </c>
      <c r="E383" s="16">
        <v>44127</v>
      </c>
      <c r="F383" s="17">
        <v>3.2099999999999997E-2</v>
      </c>
      <c r="G383" s="41">
        <f t="shared" si="37"/>
        <v>8.6566929138109927E-5</v>
      </c>
      <c r="L383" s="40">
        <f t="shared" si="35"/>
        <v>3.6301280983005967E-3</v>
      </c>
      <c r="M383" s="40">
        <f t="shared" si="36"/>
        <v>2.1832503456988631E-3</v>
      </c>
      <c r="O383" s="40">
        <f t="shared" si="38"/>
        <v>3.6301280983005967E-3</v>
      </c>
      <c r="P383" s="207">
        <f t="shared" si="39"/>
        <v>8.6566929138109927E-5</v>
      </c>
      <c r="Q383" s="208">
        <f t="shared" si="40"/>
        <v>1.0021992959873915</v>
      </c>
      <c r="R383" s="40">
        <f t="shared" si="41"/>
        <v>3.535784931550249E-3</v>
      </c>
      <c r="S383" s="209">
        <v>0</v>
      </c>
    </row>
    <row r="384" spans="1:19" x14ac:dyDescent="0.45">
      <c r="A384" s="16">
        <v>44130</v>
      </c>
      <c r="B384" s="42">
        <f>'Part 2 - CAPM 2.1, 2.2 and 2.3'!N384</f>
        <v>-1.3655384831805334E-2</v>
      </c>
      <c r="C384" s="42">
        <f>'Part 2 - CAPM 2.1, 2.2 and 2.3'!O384</f>
        <v>-1.1681566136036721E-2</v>
      </c>
      <c r="E384" s="16">
        <v>44130</v>
      </c>
      <c r="F384" s="17">
        <v>3.2400000000000005E-2</v>
      </c>
      <c r="G384" s="41">
        <f t="shared" si="37"/>
        <v>8.7363237486037804E-5</v>
      </c>
      <c r="L384" s="40">
        <f t="shared" si="35"/>
        <v>-1.3598053827386174E-2</v>
      </c>
      <c r="M384" s="40">
        <f t="shared" si="36"/>
        <v>-1.1619894120080118E-2</v>
      </c>
      <c r="O384" s="40">
        <f t="shared" si="38"/>
        <v>-1.3598053827386174E-2</v>
      </c>
      <c r="P384" s="207">
        <f t="shared" si="39"/>
        <v>8.7363237486037804E-5</v>
      </c>
      <c r="Q384" s="208">
        <f t="shared" si="40"/>
        <v>1.0021992959873915</v>
      </c>
      <c r="R384" s="40">
        <f t="shared" si="41"/>
        <v>-1.3655384831805334E-2</v>
      </c>
      <c r="S384" s="209">
        <v>0</v>
      </c>
    </row>
    <row r="385" spans="1:19" x14ac:dyDescent="0.45">
      <c r="A385" s="16">
        <v>44131</v>
      </c>
      <c r="B385" s="42">
        <f>'Part 2 - CAPM 2.1, 2.2 and 2.3'!N385</f>
        <v>1.034629095124007E-2</v>
      </c>
      <c r="C385" s="42">
        <f>'Part 2 - CAPM 2.1, 2.2 and 2.3'!O385</f>
        <v>-1.9881022849350814E-2</v>
      </c>
      <c r="E385" s="16">
        <v>44131</v>
      </c>
      <c r="F385" s="17">
        <v>3.2000000000000001E-2</v>
      </c>
      <c r="G385" s="41">
        <f t="shared" si="37"/>
        <v>8.6301441726055472E-5</v>
      </c>
      <c r="L385" s="40">
        <f t="shared" si="35"/>
        <v>1.0455346949139573E-2</v>
      </c>
      <c r="M385" s="40">
        <f t="shared" si="36"/>
        <v>-1.9838445661402575E-2</v>
      </c>
      <c r="O385" s="40">
        <f t="shared" si="38"/>
        <v>1.0455346949139573E-2</v>
      </c>
      <c r="P385" s="207">
        <f t="shared" si="39"/>
        <v>8.6301441726055472E-5</v>
      </c>
      <c r="Q385" s="208">
        <f t="shared" si="40"/>
        <v>1.0021992959873915</v>
      </c>
      <c r="R385" s="40">
        <f t="shared" si="41"/>
        <v>1.034629095124007E-2</v>
      </c>
      <c r="S385" s="209">
        <v>0</v>
      </c>
    </row>
    <row r="386" spans="1:19" x14ac:dyDescent="0.45">
      <c r="A386" s="16">
        <v>44132</v>
      </c>
      <c r="B386" s="42">
        <f>'Part 2 - CAPM 2.1, 2.2 and 2.3'!N386</f>
        <v>-1.1981213975379969E-2</v>
      </c>
      <c r="C386" s="42">
        <f>'Part 2 - CAPM 2.1, 2.2 and 2.3'!O386</f>
        <v>-7.5662639540998809E-3</v>
      </c>
      <c r="E386" s="16">
        <v>44132</v>
      </c>
      <c r="F386" s="17">
        <v>3.2199999999999999E-2</v>
      </c>
      <c r="G386" s="41">
        <f t="shared" si="37"/>
        <v>8.6832390898683443E-5</v>
      </c>
      <c r="L386" s="40">
        <f t="shared" si="35"/>
        <v>-1.1920731820301417E-2</v>
      </c>
      <c r="M386" s="40">
        <f t="shared" si="36"/>
        <v>-7.4960720171549948E-3</v>
      </c>
      <c r="O386" s="40">
        <f t="shared" si="38"/>
        <v>-1.1920731820301417E-2</v>
      </c>
      <c r="P386" s="207">
        <f t="shared" si="39"/>
        <v>8.6832390898683443E-5</v>
      </c>
      <c r="Q386" s="208">
        <f t="shared" si="40"/>
        <v>1.0021992959873915</v>
      </c>
      <c r="R386" s="40">
        <f t="shared" si="41"/>
        <v>-1.1981213975379969E-2</v>
      </c>
      <c r="S386" s="209">
        <v>0</v>
      </c>
    </row>
    <row r="387" spans="1:19" x14ac:dyDescent="0.45">
      <c r="A387" s="16">
        <v>44133</v>
      </c>
      <c r="B387" s="42">
        <f>'Part 2 - CAPM 2.1, 2.2 and 2.3'!N387</f>
        <v>-4.1307631838575646E-3</v>
      </c>
      <c r="C387" s="42">
        <f>'Part 2 - CAPM 2.1, 2.2 and 2.3'!O387</f>
        <v>-2.947669842987654E-2</v>
      </c>
      <c r="E387" s="16">
        <v>44133</v>
      </c>
      <c r="F387" s="17">
        <v>3.2300000000000002E-2</v>
      </c>
      <c r="G387" s="41">
        <f t="shared" si="37"/>
        <v>8.7097827013105089E-5</v>
      </c>
      <c r="L387" s="40">
        <f t="shared" ref="L387:L450" si="42">G387+($J$1*(B387))</f>
        <v>-4.0527501277395819E-3</v>
      </c>
      <c r="M387" s="40">
        <f t="shared" ref="M387:M450" si="43">G387+($J$1*(C387))</f>
        <v>-2.9454428587441812E-2</v>
      </c>
      <c r="O387" s="40">
        <f t="shared" si="38"/>
        <v>-4.0527501277395819E-3</v>
      </c>
      <c r="P387" s="207">
        <f t="shared" si="39"/>
        <v>8.7097827013105089E-5</v>
      </c>
      <c r="Q387" s="208">
        <f t="shared" si="40"/>
        <v>1.0021992959873915</v>
      </c>
      <c r="R387" s="40">
        <f t="shared" si="41"/>
        <v>-4.1307631838575646E-3</v>
      </c>
      <c r="S387" s="209">
        <v>0</v>
      </c>
    </row>
    <row r="388" spans="1:19" x14ac:dyDescent="0.45">
      <c r="A388" s="16">
        <v>44137</v>
      </c>
      <c r="B388" s="42">
        <f>'Part 2 - CAPM 2.1, 2.2 and 2.3'!N388</f>
        <v>1.7844450533726692E-4</v>
      </c>
      <c r="C388" s="42">
        <f>'Part 2 - CAPM 2.1, 2.2 and 2.3'!O388</f>
        <v>2.0098972166240625E-2</v>
      </c>
      <c r="E388" s="16">
        <v>44137</v>
      </c>
      <c r="F388" s="17">
        <v>3.2400000000000005E-2</v>
      </c>
      <c r="G388" s="41">
        <f t="shared" ref="G388:G451" si="44">((1+F388)^(1/365))-1</f>
        <v>8.7363237486037804E-5</v>
      </c>
      <c r="L388" s="40">
        <f t="shared" si="42"/>
        <v>2.6620019510786505E-4</v>
      </c>
      <c r="M388" s="40">
        <f t="shared" si="43"/>
        <v>2.023053899256257E-2</v>
      </c>
      <c r="O388" s="40">
        <f t="shared" ref="O388:O451" si="45">P388+(Q388*(R388))+S388</f>
        <v>2.6620019510786505E-4</v>
      </c>
      <c r="P388" s="207">
        <f t="shared" ref="P388:P451" si="46">G388</f>
        <v>8.7363237486037804E-5</v>
      </c>
      <c r="Q388" s="208">
        <f t="shared" ref="Q388:Q451" si="47">$J$1</f>
        <v>1.0021992959873915</v>
      </c>
      <c r="R388" s="40">
        <f t="shared" ref="R388:R451" si="48">B388</f>
        <v>1.7844450533726692E-4</v>
      </c>
      <c r="S388" s="209">
        <v>0</v>
      </c>
    </row>
    <row r="389" spans="1:19" x14ac:dyDescent="0.45">
      <c r="A389" s="16">
        <v>44138</v>
      </c>
      <c r="B389" s="42">
        <f>'Part 2 - CAPM 2.1, 2.2 and 2.3'!N389</f>
        <v>1.0370704382427411E-2</v>
      </c>
      <c r="C389" s="42">
        <f>'Part 2 - CAPM 2.1, 2.2 and 2.3'!O389</f>
        <v>9.0455877004254302E-3</v>
      </c>
      <c r="E389" s="16">
        <v>44138</v>
      </c>
      <c r="F389" s="17">
        <v>3.2199999999999999E-2</v>
      </c>
      <c r="G389" s="41">
        <f t="shared" si="44"/>
        <v>8.6832390898683443E-5</v>
      </c>
      <c r="L389" s="40">
        <f t="shared" si="42"/>
        <v>1.0480345021860791E-2</v>
      </c>
      <c r="M389" s="40">
        <f t="shared" si="43"/>
        <v>9.1523140160572579E-3</v>
      </c>
      <c r="O389" s="40">
        <f t="shared" si="45"/>
        <v>1.0480345021860791E-2</v>
      </c>
      <c r="P389" s="207">
        <f t="shared" si="46"/>
        <v>8.6832390898683443E-5</v>
      </c>
      <c r="Q389" s="208">
        <f t="shared" si="47"/>
        <v>1.0021992959873915</v>
      </c>
      <c r="R389" s="40">
        <f t="shared" si="48"/>
        <v>1.0370704382427411E-2</v>
      </c>
      <c r="S389" s="209">
        <v>0</v>
      </c>
    </row>
    <row r="390" spans="1:19" x14ac:dyDescent="0.45">
      <c r="A390" s="16">
        <v>44139</v>
      </c>
      <c r="B390" s="42">
        <f>'Part 2 - CAPM 2.1, 2.2 and 2.3'!N390</f>
        <v>6.9568261439862554E-3</v>
      </c>
      <c r="C390" s="42">
        <f>'Part 2 - CAPM 2.1, 2.2 and 2.3'!O390</f>
        <v>2.1753456119010077E-3</v>
      </c>
      <c r="E390" s="16">
        <v>44139</v>
      </c>
      <c r="F390" s="17">
        <v>3.2300000000000002E-2</v>
      </c>
      <c r="G390" s="41">
        <f t="shared" si="44"/>
        <v>8.7097827013105089E-5</v>
      </c>
      <c r="L390" s="40">
        <f t="shared" si="42"/>
        <v>7.0592240908228104E-3</v>
      </c>
      <c r="M390" s="40">
        <f t="shared" si="43"/>
        <v>2.2672276677895564E-3</v>
      </c>
      <c r="O390" s="40">
        <f t="shared" si="45"/>
        <v>7.0592240908228104E-3</v>
      </c>
      <c r="P390" s="207">
        <f t="shared" si="46"/>
        <v>8.7097827013105089E-5</v>
      </c>
      <c r="Q390" s="208">
        <f t="shared" si="47"/>
        <v>1.0021992959873915</v>
      </c>
      <c r="R390" s="40">
        <f t="shared" si="48"/>
        <v>6.9568261439862554E-3</v>
      </c>
      <c r="S390" s="209">
        <v>0</v>
      </c>
    </row>
    <row r="391" spans="1:19" x14ac:dyDescent="0.45">
      <c r="A391" s="16">
        <v>44140</v>
      </c>
      <c r="B391" s="42">
        <f>'Part 2 - CAPM 2.1, 2.2 and 2.3'!N391</f>
        <v>1.7400068468113185E-2</v>
      </c>
      <c r="C391" s="42">
        <f>'Part 2 - CAPM 2.1, 2.2 and 2.3'!O391</f>
        <v>1.7219678368077713E-2</v>
      </c>
      <c r="E391" s="16">
        <v>44140</v>
      </c>
      <c r="F391" s="17">
        <v>3.2099999999999997E-2</v>
      </c>
      <c r="G391" s="41">
        <f t="shared" si="44"/>
        <v>8.6566929138109927E-5</v>
      </c>
      <c r="L391" s="40">
        <f t="shared" si="42"/>
        <v>1.7524903298013553E-2</v>
      </c>
      <c r="M391" s="40">
        <f t="shared" si="43"/>
        <v>1.7344116466754909E-2</v>
      </c>
      <c r="O391" s="40">
        <f t="shared" si="45"/>
        <v>1.7524903298013553E-2</v>
      </c>
      <c r="P391" s="207">
        <f t="shared" si="46"/>
        <v>8.6566929138109927E-5</v>
      </c>
      <c r="Q391" s="208">
        <f t="shared" si="47"/>
        <v>1.0021992959873915</v>
      </c>
      <c r="R391" s="40">
        <f t="shared" si="48"/>
        <v>1.7400068468113185E-2</v>
      </c>
      <c r="S391" s="209">
        <v>0</v>
      </c>
    </row>
    <row r="392" spans="1:19" x14ac:dyDescent="0.45">
      <c r="A392" s="16">
        <v>44141</v>
      </c>
      <c r="B392" s="42">
        <f>'Part 2 - CAPM 2.1, 2.2 and 2.3'!N392</f>
        <v>9.7936276388770373E-3</v>
      </c>
      <c r="C392" s="42">
        <f>'Part 2 - CAPM 2.1, 2.2 and 2.3'!O392</f>
        <v>5.8319205278481437E-3</v>
      </c>
      <c r="E392" s="16">
        <v>44141</v>
      </c>
      <c r="F392" s="17">
        <v>3.1600000000000003E-2</v>
      </c>
      <c r="G392" s="41">
        <f t="shared" si="44"/>
        <v>8.5239235465550678E-5</v>
      </c>
      <c r="L392" s="40">
        <f t="shared" si="42"/>
        <v>9.9004059603107764E-3</v>
      </c>
      <c r="M392" s="40">
        <f t="shared" si="43"/>
        <v>5.929985882729377E-3</v>
      </c>
      <c r="O392" s="40">
        <f t="shared" si="45"/>
        <v>9.9004059603107764E-3</v>
      </c>
      <c r="P392" s="207">
        <f t="shared" si="46"/>
        <v>8.5239235465550678E-5</v>
      </c>
      <c r="Q392" s="208">
        <f t="shared" si="47"/>
        <v>1.0021992959873915</v>
      </c>
      <c r="R392" s="40">
        <f t="shared" si="48"/>
        <v>9.7936276388770373E-3</v>
      </c>
      <c r="S392" s="209">
        <v>0</v>
      </c>
    </row>
    <row r="393" spans="1:19" x14ac:dyDescent="0.45">
      <c r="A393" s="16">
        <v>44144</v>
      </c>
      <c r="B393" s="42">
        <f>'Part 2 - CAPM 2.1, 2.2 and 2.3'!N393</f>
        <v>1.4152331408433342E-2</v>
      </c>
      <c r="C393" s="42">
        <f>'Part 2 - CAPM 2.1, 2.2 and 2.3'!O393</f>
        <v>6.5326734391011982E-3</v>
      </c>
      <c r="E393" s="16">
        <v>44144</v>
      </c>
      <c r="F393" s="17">
        <v>3.15E-2</v>
      </c>
      <c r="G393" s="41">
        <f t="shared" si="44"/>
        <v>8.4973619722372717E-5</v>
      </c>
      <c r="L393" s="40">
        <f t="shared" si="42"/>
        <v>1.4268430193834516E-2</v>
      </c>
      <c r="M393" s="40">
        <f t="shared" si="43"/>
        <v>6.632014341305126E-3</v>
      </c>
      <c r="O393" s="40">
        <f t="shared" si="45"/>
        <v>1.4268430193834516E-2</v>
      </c>
      <c r="P393" s="207">
        <f t="shared" si="46"/>
        <v>8.4973619722372717E-5</v>
      </c>
      <c r="Q393" s="208">
        <f t="shared" si="47"/>
        <v>1.0021992959873915</v>
      </c>
      <c r="R393" s="40">
        <f t="shared" si="48"/>
        <v>1.4152331408433342E-2</v>
      </c>
      <c r="S393" s="209">
        <v>0</v>
      </c>
    </row>
    <row r="394" spans="1:19" x14ac:dyDescent="0.45">
      <c r="A394" s="16">
        <v>44145</v>
      </c>
      <c r="B394" s="42">
        <f>'Part 2 - CAPM 2.1, 2.2 and 2.3'!N394</f>
        <v>9.0173453181223943E-3</v>
      </c>
      <c r="C394" s="42">
        <f>'Part 2 - CAPM 2.1, 2.2 and 2.3'!O394</f>
        <v>3.3514070909290726E-2</v>
      </c>
      <c r="E394" s="16">
        <v>44145</v>
      </c>
      <c r="F394" s="17">
        <v>3.2300000000000002E-2</v>
      </c>
      <c r="G394" s="41">
        <f t="shared" si="44"/>
        <v>8.7097827013105089E-5</v>
      </c>
      <c r="L394" s="40">
        <f t="shared" si="42"/>
        <v>9.1242749565105703E-3</v>
      </c>
      <c r="M394" s="40">
        <f t="shared" si="43"/>
        <v>3.3674876097975787E-2</v>
      </c>
      <c r="O394" s="40">
        <f t="shared" si="45"/>
        <v>9.1242749565105703E-3</v>
      </c>
      <c r="P394" s="207">
        <f t="shared" si="46"/>
        <v>8.7097827013105089E-5</v>
      </c>
      <c r="Q394" s="208">
        <f t="shared" si="47"/>
        <v>1.0021992959873915</v>
      </c>
      <c r="R394" s="40">
        <f t="shared" si="48"/>
        <v>9.0173453181223943E-3</v>
      </c>
      <c r="S394" s="209">
        <v>0</v>
      </c>
    </row>
    <row r="395" spans="1:19" x14ac:dyDescent="0.45">
      <c r="A395" s="16">
        <v>44146</v>
      </c>
      <c r="B395" s="42">
        <f>'Part 2 - CAPM 2.1, 2.2 and 2.3'!N395</f>
        <v>8.4342238002415772E-3</v>
      </c>
      <c r="C395" s="42">
        <f>'Part 2 - CAPM 2.1, 2.2 and 2.3'!O395</f>
        <v>2.2528274060261103E-2</v>
      </c>
      <c r="E395" s="16">
        <v>44146</v>
      </c>
      <c r="F395" s="17">
        <v>3.2099999999999997E-2</v>
      </c>
      <c r="G395" s="41">
        <f t="shared" si="44"/>
        <v>8.6566929138109927E-5</v>
      </c>
      <c r="L395" s="40">
        <f t="shared" si="42"/>
        <v>8.5393400839403211E-3</v>
      </c>
      <c r="M395" s="40">
        <f t="shared" si="43"/>
        <v>2.26643873321428E-2</v>
      </c>
      <c r="O395" s="40">
        <f t="shared" si="45"/>
        <v>8.5393400839403211E-3</v>
      </c>
      <c r="P395" s="207">
        <f t="shared" si="46"/>
        <v>8.6566929138109927E-5</v>
      </c>
      <c r="Q395" s="208">
        <f t="shared" si="47"/>
        <v>1.0021992959873915</v>
      </c>
      <c r="R395" s="40">
        <f t="shared" si="48"/>
        <v>8.4342238002415772E-3</v>
      </c>
      <c r="S395" s="209">
        <v>0</v>
      </c>
    </row>
    <row r="396" spans="1:19" x14ac:dyDescent="0.45">
      <c r="A396" s="16">
        <v>44147</v>
      </c>
      <c r="B396" s="42">
        <f>'Part 2 - CAPM 2.1, 2.2 and 2.3'!N396</f>
        <v>-1.4172044780808568E-3</v>
      </c>
      <c r="C396" s="42">
        <f>'Part 2 - CAPM 2.1, 2.2 and 2.3'!O396</f>
        <v>-1.1142068033584944E-2</v>
      </c>
      <c r="E396" s="16">
        <v>44147</v>
      </c>
      <c r="F396" s="17">
        <v>3.1400000000000004E-2</v>
      </c>
      <c r="G396" s="41">
        <f t="shared" si="44"/>
        <v>8.4707978298181885E-5</v>
      </c>
      <c r="L396" s="40">
        <f t="shared" si="42"/>
        <v>-1.3356133519046316E-3</v>
      </c>
      <c r="M396" s="40">
        <f t="shared" si="43"/>
        <v>-1.1081864760804269E-2</v>
      </c>
      <c r="O396" s="40">
        <f t="shared" si="45"/>
        <v>-1.3356133519046316E-3</v>
      </c>
      <c r="P396" s="207">
        <f t="shared" si="46"/>
        <v>8.4707978298181885E-5</v>
      </c>
      <c r="Q396" s="208">
        <f t="shared" si="47"/>
        <v>1.0021992959873915</v>
      </c>
      <c r="R396" s="40">
        <f t="shared" si="48"/>
        <v>-1.4172044780808568E-3</v>
      </c>
      <c r="S396" s="209">
        <v>0</v>
      </c>
    </row>
    <row r="397" spans="1:19" x14ac:dyDescent="0.45">
      <c r="A397" s="16">
        <v>44148</v>
      </c>
      <c r="B397" s="42">
        <f>'Part 2 - CAPM 2.1, 2.2 and 2.3'!N397</f>
        <v>4.2178435798056009E-3</v>
      </c>
      <c r="C397" s="42">
        <f>'Part 2 - CAPM 2.1, 2.2 and 2.3'!O397</f>
        <v>8.3010362565027768E-3</v>
      </c>
      <c r="E397" s="16">
        <v>44148</v>
      </c>
      <c r="F397" s="17">
        <v>3.1400000000000004E-2</v>
      </c>
      <c r="G397" s="41">
        <f t="shared" si="44"/>
        <v>8.4707978298181885E-5</v>
      </c>
      <c r="L397" s="40">
        <f t="shared" si="42"/>
        <v>4.3118278445642942E-3</v>
      </c>
      <c r="M397" s="40">
        <f t="shared" si="43"/>
        <v>8.4040006705310769E-3</v>
      </c>
      <c r="O397" s="40">
        <f t="shared" si="45"/>
        <v>4.3118278445642942E-3</v>
      </c>
      <c r="P397" s="207">
        <f t="shared" si="46"/>
        <v>8.4707978298181885E-5</v>
      </c>
      <c r="Q397" s="208">
        <f t="shared" si="47"/>
        <v>1.0021992959873915</v>
      </c>
      <c r="R397" s="40">
        <f t="shared" si="48"/>
        <v>4.2178435798056009E-3</v>
      </c>
      <c r="S397" s="209">
        <v>0</v>
      </c>
    </row>
    <row r="398" spans="1:19" x14ac:dyDescent="0.45">
      <c r="A398" s="16">
        <v>44152</v>
      </c>
      <c r="B398" s="42">
        <f>'Part 2 - CAPM 2.1, 2.2 and 2.3'!N398</f>
        <v>1.3085347474566812E-2</v>
      </c>
      <c r="C398" s="42">
        <f>'Part 2 - CAPM 2.1, 2.2 and 2.3'!O398</f>
        <v>-1.186571975931008E-2</v>
      </c>
      <c r="E398" s="16">
        <v>44152</v>
      </c>
      <c r="F398" s="17">
        <v>3.1400000000000004E-2</v>
      </c>
      <c r="G398" s="41">
        <f t="shared" si="44"/>
        <v>8.4707978298181885E-5</v>
      </c>
      <c r="L398" s="40">
        <f t="shared" si="42"/>
        <v>1.3198834005059433E-2</v>
      </c>
      <c r="M398" s="40">
        <f t="shared" si="43"/>
        <v>-1.1807108010866062E-2</v>
      </c>
      <c r="O398" s="40">
        <f t="shared" si="45"/>
        <v>1.3198834005059433E-2</v>
      </c>
      <c r="P398" s="207">
        <f t="shared" si="46"/>
        <v>8.4707978298181885E-5</v>
      </c>
      <c r="Q398" s="208">
        <f t="shared" si="47"/>
        <v>1.0021992959873915</v>
      </c>
      <c r="R398" s="40">
        <f t="shared" si="48"/>
        <v>1.3085347474566812E-2</v>
      </c>
      <c r="S398" s="209">
        <v>0</v>
      </c>
    </row>
    <row r="399" spans="1:19" x14ac:dyDescent="0.45">
      <c r="A399" s="16">
        <v>44153</v>
      </c>
      <c r="B399" s="42">
        <f>'Part 2 - CAPM 2.1, 2.2 and 2.3'!N399</f>
        <v>6.0312158251602677E-3</v>
      </c>
      <c r="C399" s="42">
        <f>'Part 2 - CAPM 2.1, 2.2 and 2.3'!O399</f>
        <v>9.0330301513808046E-3</v>
      </c>
      <c r="E399" s="16">
        <v>44153</v>
      </c>
      <c r="F399" s="17">
        <v>3.0899999999999997E-2</v>
      </c>
      <c r="G399" s="41">
        <f t="shared" si="44"/>
        <v>8.337938578617532E-5</v>
      </c>
      <c r="L399" s="40">
        <f t="shared" si="42"/>
        <v>6.1278596397098106E-3</v>
      </c>
      <c r="M399" s="40">
        <f t="shared" si="43"/>
        <v>9.1362758441328983E-3</v>
      </c>
      <c r="O399" s="40">
        <f t="shared" si="45"/>
        <v>6.1278596397098106E-3</v>
      </c>
      <c r="P399" s="207">
        <f t="shared" si="46"/>
        <v>8.337938578617532E-5</v>
      </c>
      <c r="Q399" s="208">
        <f t="shared" si="47"/>
        <v>1.0021992959873915</v>
      </c>
      <c r="R399" s="40">
        <f t="shared" si="48"/>
        <v>6.0312158251602677E-3</v>
      </c>
      <c r="S399" s="209">
        <v>0</v>
      </c>
    </row>
    <row r="400" spans="1:19" x14ac:dyDescent="0.45">
      <c r="A400" s="16">
        <v>44154</v>
      </c>
      <c r="B400" s="42">
        <f>'Part 2 - CAPM 2.1, 2.2 and 2.3'!N400</f>
        <v>-1.0549507470738E-2</v>
      </c>
      <c r="C400" s="42">
        <f>'Part 2 - CAPM 2.1, 2.2 and 2.3'!O400</f>
        <v>2.6992539118314588E-3</v>
      </c>
      <c r="E400" s="16">
        <v>44154</v>
      </c>
      <c r="F400" s="17">
        <v>2.98E-2</v>
      </c>
      <c r="G400" s="41">
        <f t="shared" si="44"/>
        <v>8.0454218814862699E-5</v>
      </c>
      <c r="L400" s="40">
        <f t="shared" si="42"/>
        <v>-1.0492254741372489E-2</v>
      </c>
      <c r="M400" s="40">
        <f t="shared" si="43"/>
        <v>2.7856445889435635E-3</v>
      </c>
      <c r="O400" s="40">
        <f t="shared" si="45"/>
        <v>-1.0492254741372489E-2</v>
      </c>
      <c r="P400" s="207">
        <f t="shared" si="46"/>
        <v>8.0454218814862699E-5</v>
      </c>
      <c r="Q400" s="208">
        <f t="shared" si="47"/>
        <v>1.0021992959873915</v>
      </c>
      <c r="R400" s="40">
        <f t="shared" si="48"/>
        <v>-1.0549507470738E-2</v>
      </c>
      <c r="S400" s="209">
        <v>0</v>
      </c>
    </row>
    <row r="401" spans="1:19" x14ac:dyDescent="0.45">
      <c r="A401" s="16">
        <v>44155</v>
      </c>
      <c r="B401" s="42">
        <f>'Part 2 - CAPM 2.1, 2.2 and 2.3'!N401</f>
        <v>7.8457889145373653E-3</v>
      </c>
      <c r="C401" s="42">
        <f>'Part 2 - CAPM 2.1, 2.2 and 2.3'!O401</f>
        <v>-7.0107272018212017E-3</v>
      </c>
      <c r="E401" s="16">
        <v>44155</v>
      </c>
      <c r="F401" s="17">
        <v>2.9900000000000003E-2</v>
      </c>
      <c r="G401" s="41">
        <f t="shared" si="44"/>
        <v>8.0720271814271882E-5</v>
      </c>
      <c r="L401" s="40">
        <f t="shared" si="42"/>
        <v>7.9437643984293007E-3</v>
      </c>
      <c r="M401" s="40">
        <f t="shared" si="43"/>
        <v>-6.9454255942105921E-3</v>
      </c>
      <c r="O401" s="40">
        <f t="shared" si="45"/>
        <v>7.9437643984293007E-3</v>
      </c>
      <c r="P401" s="207">
        <f t="shared" si="46"/>
        <v>8.0720271814271882E-5</v>
      </c>
      <c r="Q401" s="208">
        <f t="shared" si="47"/>
        <v>1.0021992959873915</v>
      </c>
      <c r="R401" s="40">
        <f t="shared" si="48"/>
        <v>7.8457889145373653E-3</v>
      </c>
      <c r="S401" s="209">
        <v>0</v>
      </c>
    </row>
    <row r="402" spans="1:19" x14ac:dyDescent="0.45">
      <c r="A402" s="16">
        <v>44158</v>
      </c>
      <c r="B402" s="42">
        <f>'Part 2 - CAPM 2.1, 2.2 and 2.3'!N402</f>
        <v>7.0587933525749552E-3</v>
      </c>
      <c r="C402" s="42">
        <f>'Part 2 - CAPM 2.1, 2.2 and 2.3'!O402</f>
        <v>6.7609174203389161E-2</v>
      </c>
      <c r="E402" s="16">
        <v>44158</v>
      </c>
      <c r="F402" s="17">
        <v>0.03</v>
      </c>
      <c r="G402" s="41">
        <f t="shared" si="44"/>
        <v>8.0986299053176225E-5</v>
      </c>
      <c r="L402" s="40">
        <f t="shared" si="42"/>
        <v>7.1553040275242757E-3</v>
      </c>
      <c r="M402" s="40">
        <f t="shared" si="43"/>
        <v>6.7838853087978712E-2</v>
      </c>
      <c r="O402" s="40">
        <f t="shared" si="45"/>
        <v>7.1553040275242757E-3</v>
      </c>
      <c r="P402" s="207">
        <f t="shared" si="46"/>
        <v>8.0986299053176225E-5</v>
      </c>
      <c r="Q402" s="208">
        <f t="shared" si="47"/>
        <v>1.0021992959873915</v>
      </c>
      <c r="R402" s="40">
        <f t="shared" si="48"/>
        <v>7.0587933525749552E-3</v>
      </c>
      <c r="S402" s="209">
        <v>0</v>
      </c>
    </row>
    <row r="403" spans="1:19" x14ac:dyDescent="0.45">
      <c r="A403" s="16">
        <v>44159</v>
      </c>
      <c r="B403" s="42">
        <f>'Part 2 - CAPM 2.1, 2.2 and 2.3'!N403</f>
        <v>9.0990761240695387E-3</v>
      </c>
      <c r="C403" s="42">
        <f>'Part 2 - CAPM 2.1, 2.2 and 2.3'!O403</f>
        <v>-5.3108083204339391E-3</v>
      </c>
      <c r="E403" s="16">
        <v>44159</v>
      </c>
      <c r="F403" s="17">
        <v>3.04E-2</v>
      </c>
      <c r="G403" s="41">
        <f t="shared" si="44"/>
        <v>8.2050150499224372E-5</v>
      </c>
      <c r="L403" s="40">
        <f t="shared" si="42"/>
        <v>9.2011378361773997E-3</v>
      </c>
      <c r="M403" s="40">
        <f t="shared" si="43"/>
        <v>-5.2404382093636506E-3</v>
      </c>
      <c r="O403" s="40">
        <f t="shared" si="45"/>
        <v>9.2011378361773997E-3</v>
      </c>
      <c r="P403" s="207">
        <f t="shared" si="46"/>
        <v>8.2050150499224372E-5</v>
      </c>
      <c r="Q403" s="208">
        <f t="shared" si="47"/>
        <v>1.0021992959873915</v>
      </c>
      <c r="R403" s="40">
        <f t="shared" si="48"/>
        <v>9.0990761240695387E-3</v>
      </c>
      <c r="S403" s="209">
        <v>0</v>
      </c>
    </row>
    <row r="404" spans="1:19" x14ac:dyDescent="0.45">
      <c r="A404" s="16">
        <v>44160</v>
      </c>
      <c r="B404" s="42">
        <f>'Part 2 - CAPM 2.1, 2.2 and 2.3'!N404</f>
        <v>-1.4861142897356976E-2</v>
      </c>
      <c r="C404" s="42">
        <f>'Part 2 - CAPM 2.1, 2.2 and 2.3'!O404</f>
        <v>6.1680386779871116E-2</v>
      </c>
      <c r="E404" s="16">
        <v>44160</v>
      </c>
      <c r="F404" s="17">
        <v>2.98E-2</v>
      </c>
      <c r="G404" s="41">
        <f t="shared" si="44"/>
        <v>8.0454218814862699E-5</v>
      </c>
      <c r="L404" s="40">
        <f t="shared" si="42"/>
        <v>-1.4813372730484322E-2</v>
      </c>
      <c r="M404" s="40">
        <f t="shared" si="43"/>
        <v>6.1896494425831707E-2</v>
      </c>
      <c r="O404" s="40">
        <f t="shared" si="45"/>
        <v>-1.4813372730484322E-2</v>
      </c>
      <c r="P404" s="207">
        <f t="shared" si="46"/>
        <v>8.0454218814862699E-5</v>
      </c>
      <c r="Q404" s="208">
        <f t="shared" si="47"/>
        <v>1.0021992959873915</v>
      </c>
      <c r="R404" s="40">
        <f t="shared" si="48"/>
        <v>-1.4861142897356976E-2</v>
      </c>
      <c r="S404" s="209">
        <v>0</v>
      </c>
    </row>
    <row r="405" spans="1:19" x14ac:dyDescent="0.45">
      <c r="A405" s="16">
        <v>44161</v>
      </c>
      <c r="B405" s="42">
        <f>'Part 2 - CAPM 2.1, 2.2 and 2.3'!N405</f>
        <v>9.2918129516142561E-3</v>
      </c>
      <c r="C405" s="42">
        <f>'Part 2 - CAPM 2.1, 2.2 and 2.3'!O405</f>
        <v>-7.5051323233649506E-3</v>
      </c>
      <c r="E405" s="16">
        <v>44161</v>
      </c>
      <c r="F405" s="17">
        <v>2.9399999999999999E-2</v>
      </c>
      <c r="G405" s="41">
        <f t="shared" si="44"/>
        <v>7.9389749107594554E-5</v>
      </c>
      <c r="L405" s="40">
        <f t="shared" si="42"/>
        <v>9.3916381476619286E-3</v>
      </c>
      <c r="M405" s="40">
        <f t="shared" si="43"/>
        <v>-7.4422485816609749E-3</v>
      </c>
      <c r="O405" s="40">
        <f t="shared" si="45"/>
        <v>9.3916381476619286E-3</v>
      </c>
      <c r="P405" s="207">
        <f t="shared" si="46"/>
        <v>7.9389749107594554E-5</v>
      </c>
      <c r="Q405" s="208">
        <f t="shared" si="47"/>
        <v>1.0021992959873915</v>
      </c>
      <c r="R405" s="40">
        <f t="shared" si="48"/>
        <v>9.2918129516142561E-3</v>
      </c>
      <c r="S405" s="209">
        <v>0</v>
      </c>
    </row>
    <row r="406" spans="1:19" x14ac:dyDescent="0.45">
      <c r="A406" s="16">
        <v>44162</v>
      </c>
      <c r="B406" s="42">
        <f>'Part 2 - CAPM 2.1, 2.2 and 2.3'!N406</f>
        <v>4.1367082866600249E-3</v>
      </c>
      <c r="C406" s="42">
        <f>'Part 2 - CAPM 2.1, 2.2 and 2.3'!O406</f>
        <v>-2.1276131048525406E-2</v>
      </c>
      <c r="E406" s="16">
        <v>44162</v>
      </c>
      <c r="F406" s="17">
        <v>2.9300000000000003E-2</v>
      </c>
      <c r="G406" s="41">
        <f t="shared" si="44"/>
        <v>7.9123567228611691E-5</v>
      </c>
      <c r="L406" s="40">
        <f t="shared" si="42"/>
        <v>4.2249296998244975E-3</v>
      </c>
      <c r="M406" s="40">
        <f t="shared" si="43"/>
        <v>-2.1243799990939033E-2</v>
      </c>
      <c r="O406" s="40">
        <f t="shared" si="45"/>
        <v>4.2249296998244975E-3</v>
      </c>
      <c r="P406" s="207">
        <f t="shared" si="46"/>
        <v>7.9123567228611691E-5</v>
      </c>
      <c r="Q406" s="208">
        <f t="shared" si="47"/>
        <v>1.0021992959873915</v>
      </c>
      <c r="R406" s="40">
        <f t="shared" si="48"/>
        <v>4.1367082866600249E-3</v>
      </c>
      <c r="S406" s="209">
        <v>0</v>
      </c>
    </row>
    <row r="407" spans="1:19" x14ac:dyDescent="0.45">
      <c r="A407" s="16">
        <v>44166</v>
      </c>
      <c r="B407" s="42">
        <f>'Part 2 - CAPM 2.1, 2.2 and 2.3'!N407</f>
        <v>1.0751261698120154E-2</v>
      </c>
      <c r="C407" s="42">
        <f>'Part 2 - CAPM 2.1, 2.2 and 2.3'!O407</f>
        <v>3.8773581149200348E-2</v>
      </c>
      <c r="E407" s="16">
        <v>44166</v>
      </c>
      <c r="F407" s="17">
        <v>2.9600000000000001E-2</v>
      </c>
      <c r="G407" s="41">
        <f t="shared" si="44"/>
        <v>7.9922035512991485E-5</v>
      </c>
      <c r="L407" s="40">
        <f t="shared" si="42"/>
        <v>1.0854828940345217E-2</v>
      </c>
      <c r="M407" s="40">
        <f t="shared" si="43"/>
        <v>3.8938777766151574E-2</v>
      </c>
      <c r="O407" s="40">
        <f t="shared" si="45"/>
        <v>1.0854828940345217E-2</v>
      </c>
      <c r="P407" s="207">
        <f t="shared" si="46"/>
        <v>7.9922035512991485E-5</v>
      </c>
      <c r="Q407" s="208">
        <f t="shared" si="47"/>
        <v>1.0021992959873915</v>
      </c>
      <c r="R407" s="40">
        <f t="shared" si="48"/>
        <v>1.0751261698120154E-2</v>
      </c>
      <c r="S407" s="209">
        <v>0</v>
      </c>
    </row>
    <row r="408" spans="1:19" x14ac:dyDescent="0.45">
      <c r="A408" s="16">
        <v>44167</v>
      </c>
      <c r="B408" s="42">
        <f>'Part 2 - CAPM 2.1, 2.2 and 2.3'!N408</f>
        <v>2.0412026828328048E-3</v>
      </c>
      <c r="C408" s="42">
        <f>'Part 2 - CAPM 2.1, 2.2 and 2.3'!O408</f>
        <v>4.0384453520175966E-2</v>
      </c>
      <c r="E408" s="16">
        <v>44167</v>
      </c>
      <c r="F408" s="17">
        <v>3.0200000000000001E-2</v>
      </c>
      <c r="G408" s="41">
        <f t="shared" si="44"/>
        <v>8.1518276267900092E-5</v>
      </c>
      <c r="L408" s="40">
        <f t="shared" si="42"/>
        <v>2.1272101679705121E-3</v>
      </c>
      <c r="M408" s="40">
        <f t="shared" si="43"/>
        <v>4.055478916302379E-2</v>
      </c>
      <c r="O408" s="40">
        <f t="shared" si="45"/>
        <v>2.1272101679705121E-3</v>
      </c>
      <c r="P408" s="207">
        <f t="shared" si="46"/>
        <v>8.1518276267900092E-5</v>
      </c>
      <c r="Q408" s="208">
        <f t="shared" si="47"/>
        <v>1.0021992959873915</v>
      </c>
      <c r="R408" s="40">
        <f t="shared" si="48"/>
        <v>2.0412026828328048E-3</v>
      </c>
      <c r="S408" s="209">
        <v>0</v>
      </c>
    </row>
    <row r="409" spans="1:19" x14ac:dyDescent="0.45">
      <c r="A409" s="16">
        <v>44168</v>
      </c>
      <c r="B409" s="42">
        <f>'Part 2 - CAPM 2.1, 2.2 and 2.3'!N409</f>
        <v>3.1825126741166581E-3</v>
      </c>
      <c r="C409" s="42">
        <f>'Part 2 - CAPM 2.1, 2.2 and 2.3'!O409</f>
        <v>4.5291873697603333E-2</v>
      </c>
      <c r="E409" s="16">
        <v>44168</v>
      </c>
      <c r="F409" s="17">
        <v>3.0499999999999999E-2</v>
      </c>
      <c r="G409" s="41">
        <f t="shared" si="44"/>
        <v>8.2316049008435144E-5</v>
      </c>
      <c r="L409" s="40">
        <f t="shared" si="42"/>
        <v>3.2718280104791007E-3</v>
      </c>
      <c r="M409" s="40">
        <f t="shared" si="43"/>
        <v>4.547379998269635E-2</v>
      </c>
      <c r="O409" s="40">
        <f t="shared" si="45"/>
        <v>3.2718280104791007E-3</v>
      </c>
      <c r="P409" s="207">
        <f t="shared" si="46"/>
        <v>8.2316049008435144E-5</v>
      </c>
      <c r="Q409" s="208">
        <f t="shared" si="47"/>
        <v>1.0021992959873915</v>
      </c>
      <c r="R409" s="40">
        <f t="shared" si="48"/>
        <v>3.1825126741166581E-3</v>
      </c>
      <c r="S409" s="209">
        <v>0</v>
      </c>
    </row>
    <row r="410" spans="1:19" x14ac:dyDescent="0.45">
      <c r="A410" s="16">
        <v>44169</v>
      </c>
      <c r="B410" s="42">
        <f>'Part 2 - CAPM 2.1, 2.2 and 2.3'!N410</f>
        <v>7.7444435208637048E-3</v>
      </c>
      <c r="C410" s="42">
        <f>'Part 2 - CAPM 2.1, 2.2 and 2.3'!O410</f>
        <v>1.2883798432271103E-2</v>
      </c>
      <c r="E410" s="16">
        <v>44169</v>
      </c>
      <c r="F410" s="17">
        <v>3.0099999999999998E-2</v>
      </c>
      <c r="G410" s="41">
        <f t="shared" si="44"/>
        <v>8.125230053601662E-5</v>
      </c>
      <c r="L410" s="40">
        <f t="shared" si="42"/>
        <v>7.8427281449597371E-3</v>
      </c>
      <c r="M410" s="40">
        <f t="shared" si="43"/>
        <v>1.2993386019001575E-2</v>
      </c>
      <c r="O410" s="40">
        <f t="shared" si="45"/>
        <v>7.8427281449597371E-3</v>
      </c>
      <c r="P410" s="207">
        <f t="shared" si="46"/>
        <v>8.125230053601662E-5</v>
      </c>
      <c r="Q410" s="208">
        <f t="shared" si="47"/>
        <v>1.0021992959873915</v>
      </c>
      <c r="R410" s="40">
        <f t="shared" si="48"/>
        <v>7.7444435208637048E-3</v>
      </c>
      <c r="S410" s="209">
        <v>0</v>
      </c>
    </row>
    <row r="411" spans="1:19" x14ac:dyDescent="0.45">
      <c r="A411" s="16">
        <v>44172</v>
      </c>
      <c r="B411" s="42">
        <f>'Part 2 - CAPM 2.1, 2.2 and 2.3'!N411</f>
        <v>8.2433135754283581E-3</v>
      </c>
      <c r="C411" s="42">
        <f>'Part 2 - CAPM 2.1, 2.2 and 2.3'!O411</f>
        <v>1.8838638700846823E-2</v>
      </c>
      <c r="E411" s="16">
        <v>44172</v>
      </c>
      <c r="F411" s="17">
        <v>3.0299999999999997E-2</v>
      </c>
      <c r="G411" s="41">
        <f t="shared" si="44"/>
        <v>8.1784226253933667E-5</v>
      </c>
      <c r="L411" s="40">
        <f t="shared" si="42"/>
        <v>8.3432272881515425E-3</v>
      </c>
      <c r="M411" s="40">
        <f t="shared" si="43"/>
        <v>1.8961854669603449E-2</v>
      </c>
      <c r="O411" s="40">
        <f t="shared" si="45"/>
        <v>8.3432272881515425E-3</v>
      </c>
      <c r="P411" s="207">
        <f t="shared" si="46"/>
        <v>8.1784226253933667E-5</v>
      </c>
      <c r="Q411" s="208">
        <f t="shared" si="47"/>
        <v>1.0021992959873915</v>
      </c>
      <c r="R411" s="40">
        <f t="shared" si="48"/>
        <v>8.2433135754283581E-3</v>
      </c>
      <c r="S411" s="209">
        <v>0</v>
      </c>
    </row>
    <row r="412" spans="1:19" x14ac:dyDescent="0.45">
      <c r="A412" s="16">
        <v>44173</v>
      </c>
      <c r="B412" s="42">
        <f>'Part 2 - CAPM 2.1, 2.2 and 2.3'!N412</f>
        <v>1.5803281921647685E-3</v>
      </c>
      <c r="C412" s="42">
        <f>'Part 2 - CAPM 2.1, 2.2 and 2.3'!O412</f>
        <v>-8.8201785462975954E-3</v>
      </c>
      <c r="E412" s="16">
        <v>44173</v>
      </c>
      <c r="F412" s="17">
        <v>3.0299999999999997E-2</v>
      </c>
      <c r="G412" s="41">
        <f t="shared" si="44"/>
        <v>8.1784226253933667E-5</v>
      </c>
      <c r="L412" s="40">
        <f t="shared" si="42"/>
        <v>1.6655880278704919E-3</v>
      </c>
      <c r="M412" s="40">
        <f t="shared" si="43"/>
        <v>-8.7577925033286118E-3</v>
      </c>
      <c r="O412" s="40">
        <f t="shared" si="45"/>
        <v>1.6655880278704919E-3</v>
      </c>
      <c r="P412" s="207">
        <f t="shared" si="46"/>
        <v>8.1784226253933667E-5</v>
      </c>
      <c r="Q412" s="208">
        <f t="shared" si="47"/>
        <v>1.0021992959873915</v>
      </c>
      <c r="R412" s="40">
        <f t="shared" si="48"/>
        <v>1.5803281921647685E-3</v>
      </c>
      <c r="S412" s="209">
        <v>0</v>
      </c>
    </row>
    <row r="413" spans="1:19" x14ac:dyDescent="0.45">
      <c r="A413" s="16">
        <v>44174</v>
      </c>
      <c r="B413" s="42">
        <f>'Part 2 - CAPM 2.1, 2.2 and 2.3'!N413</f>
        <v>8.2635244225457167E-3</v>
      </c>
      <c r="C413" s="42">
        <f>'Part 2 - CAPM 2.1, 2.2 and 2.3'!O413</f>
        <v>4.8758299171111777E-3</v>
      </c>
      <c r="E413" s="16">
        <v>44174</v>
      </c>
      <c r="F413" s="17">
        <v>3.0699999999999998E-2</v>
      </c>
      <c r="G413" s="41">
        <f t="shared" si="44"/>
        <v>8.2847768839267033E-5</v>
      </c>
      <c r="L413" s="40">
        <f t="shared" si="42"/>
        <v>8.3645461274892002E-3</v>
      </c>
      <c r="M413" s="40">
        <f t="shared" si="43"/>
        <v>4.9694010791223511E-3</v>
      </c>
      <c r="O413" s="40">
        <f t="shared" si="45"/>
        <v>8.3645461274892002E-3</v>
      </c>
      <c r="P413" s="207">
        <f t="shared" si="46"/>
        <v>8.2847768839267033E-5</v>
      </c>
      <c r="Q413" s="208">
        <f t="shared" si="47"/>
        <v>1.0021992959873915</v>
      </c>
      <c r="R413" s="40">
        <f t="shared" si="48"/>
        <v>8.2635244225457167E-3</v>
      </c>
      <c r="S413" s="209">
        <v>0</v>
      </c>
    </row>
    <row r="414" spans="1:19" x14ac:dyDescent="0.45">
      <c r="A414" s="16">
        <v>44175</v>
      </c>
      <c r="B414" s="42">
        <f>'Part 2 - CAPM 2.1, 2.2 and 2.3'!N414</f>
        <v>-3.64713176353312E-3</v>
      </c>
      <c r="C414" s="42">
        <f>'Part 2 - CAPM 2.1, 2.2 and 2.3'!O414</f>
        <v>4.8510969361451623E-3</v>
      </c>
      <c r="E414" s="16">
        <v>44175</v>
      </c>
      <c r="F414" s="17">
        <v>3.0800000000000001E-2</v>
      </c>
      <c r="G414" s="41">
        <f t="shared" si="44"/>
        <v>8.3113590170658114E-5</v>
      </c>
      <c r="L414" s="40">
        <f t="shared" si="42"/>
        <v>-3.5720392956154886E-3</v>
      </c>
      <c r="M414" s="40">
        <f t="shared" si="43"/>
        <v>4.944879524341932E-3</v>
      </c>
      <c r="O414" s="40">
        <f t="shared" si="45"/>
        <v>-3.5720392956154886E-3</v>
      </c>
      <c r="P414" s="207">
        <f t="shared" si="46"/>
        <v>8.3113590170658114E-5</v>
      </c>
      <c r="Q414" s="208">
        <f t="shared" si="47"/>
        <v>1.0021992959873915</v>
      </c>
      <c r="R414" s="40">
        <f t="shared" si="48"/>
        <v>-3.64713176353312E-3</v>
      </c>
      <c r="S414" s="209">
        <v>0</v>
      </c>
    </row>
    <row r="415" spans="1:19" x14ac:dyDescent="0.45">
      <c r="A415" s="16">
        <v>44176</v>
      </c>
      <c r="B415" s="42">
        <f>'Part 2 - CAPM 2.1, 2.2 and 2.3'!N415</f>
        <v>2.6132487800418743E-3</v>
      </c>
      <c r="C415" s="42">
        <f>'Part 2 - CAPM 2.1, 2.2 and 2.3'!O415</f>
        <v>5.6108124015549946E-2</v>
      </c>
      <c r="E415" s="16">
        <v>44176</v>
      </c>
      <c r="F415" s="17">
        <v>3.1099999999999999E-2</v>
      </c>
      <c r="G415" s="41">
        <f t="shared" si="44"/>
        <v>8.3910899889128032E-5</v>
      </c>
      <c r="L415" s="40">
        <f t="shared" si="42"/>
        <v>2.7029069874870042E-3</v>
      </c>
      <c r="M415" s="40">
        <f t="shared" si="43"/>
        <v>5.6315433287446537E-2</v>
      </c>
      <c r="O415" s="40">
        <f t="shared" si="45"/>
        <v>2.7029069874870042E-3</v>
      </c>
      <c r="P415" s="207">
        <f t="shared" si="46"/>
        <v>8.3910899889128032E-5</v>
      </c>
      <c r="Q415" s="208">
        <f t="shared" si="47"/>
        <v>1.0021992959873915</v>
      </c>
      <c r="R415" s="40">
        <f t="shared" si="48"/>
        <v>2.6132487800418743E-3</v>
      </c>
      <c r="S415" s="209">
        <v>0</v>
      </c>
    </row>
    <row r="416" spans="1:19" x14ac:dyDescent="0.45">
      <c r="A416" s="16">
        <v>44179</v>
      </c>
      <c r="B416" s="42">
        <f>'Part 2 - CAPM 2.1, 2.2 and 2.3'!N416</f>
        <v>3.8412909548471057E-3</v>
      </c>
      <c r="C416" s="42">
        <f>'Part 2 - CAPM 2.1, 2.2 and 2.3'!O416</f>
        <v>4.8469808108375367E-2</v>
      </c>
      <c r="E416" s="16">
        <v>44179</v>
      </c>
      <c r="F416" s="17">
        <v>3.1099999999999999E-2</v>
      </c>
      <c r="G416" s="41">
        <f t="shared" si="44"/>
        <v>8.3910899889128032E-5</v>
      </c>
      <c r="L416" s="40">
        <f t="shared" si="42"/>
        <v>3.9336499905196325E-3</v>
      </c>
      <c r="M416" s="40">
        <f t="shared" si="43"/>
        <v>4.8660318462746883E-2</v>
      </c>
      <c r="O416" s="40">
        <f t="shared" si="45"/>
        <v>3.9336499905196325E-3</v>
      </c>
      <c r="P416" s="207">
        <f t="shared" si="46"/>
        <v>8.3910899889128032E-5</v>
      </c>
      <c r="Q416" s="208">
        <f t="shared" si="47"/>
        <v>1.0021992959873915</v>
      </c>
      <c r="R416" s="40">
        <f t="shared" si="48"/>
        <v>3.8412909548471057E-3</v>
      </c>
      <c r="S416" s="209">
        <v>0</v>
      </c>
    </row>
    <row r="417" spans="1:19" x14ac:dyDescent="0.45">
      <c r="A417" s="16">
        <v>44180</v>
      </c>
      <c r="B417" s="42">
        <f>'Part 2 - CAPM 2.1, 2.2 and 2.3'!N417</f>
        <v>6.8736036022541572E-4</v>
      </c>
      <c r="C417" s="42">
        <f>'Part 2 - CAPM 2.1, 2.2 and 2.3'!O417</f>
        <v>-1.0428738486095997E-2</v>
      </c>
      <c r="E417" s="16">
        <v>44180</v>
      </c>
      <c r="F417" s="17">
        <v>3.1099999999999999E-2</v>
      </c>
      <c r="G417" s="41">
        <f t="shared" si="44"/>
        <v>8.3910899889128032E-5</v>
      </c>
      <c r="L417" s="40">
        <f t="shared" si="42"/>
        <v>7.7278296899667951E-4</v>
      </c>
      <c r="M417" s="40">
        <f t="shared" si="43"/>
        <v>-1.0367763468912895E-2</v>
      </c>
      <c r="O417" s="40">
        <f t="shared" si="45"/>
        <v>7.7278296899667951E-4</v>
      </c>
      <c r="P417" s="207">
        <f t="shared" si="46"/>
        <v>8.3910899889128032E-5</v>
      </c>
      <c r="Q417" s="208">
        <f t="shared" si="47"/>
        <v>1.0021992959873915</v>
      </c>
      <c r="R417" s="40">
        <f t="shared" si="48"/>
        <v>6.8736036022541572E-4</v>
      </c>
      <c r="S417" s="209">
        <v>0</v>
      </c>
    </row>
    <row r="418" spans="1:19" x14ac:dyDescent="0.45">
      <c r="A418" s="16">
        <v>44181</v>
      </c>
      <c r="B418" s="42">
        <f>'Part 2 - CAPM 2.1, 2.2 and 2.3'!N418</f>
        <v>8.4868192030303075E-3</v>
      </c>
      <c r="C418" s="42">
        <f>'Part 2 - CAPM 2.1, 2.2 and 2.3'!O418</f>
        <v>2.4306067284052497E-2</v>
      </c>
      <c r="E418" s="16">
        <v>44181</v>
      </c>
      <c r="F418" s="17">
        <v>3.1200000000000002E-2</v>
      </c>
      <c r="G418" s="41">
        <f t="shared" si="44"/>
        <v>8.4176618386555546E-5</v>
      </c>
      <c r="L418" s="40">
        <f t="shared" si="42"/>
        <v>8.5896608488358044E-3</v>
      </c>
      <c r="M418" s="40">
        <f t="shared" si="43"/>
        <v>2.4443700138686138E-2</v>
      </c>
      <c r="O418" s="40">
        <f t="shared" si="45"/>
        <v>8.5896608488358044E-3</v>
      </c>
      <c r="P418" s="207">
        <f t="shared" si="46"/>
        <v>8.4176618386555546E-5</v>
      </c>
      <c r="Q418" s="208">
        <f t="shared" si="47"/>
        <v>1.0021992959873915</v>
      </c>
      <c r="R418" s="40">
        <f t="shared" si="48"/>
        <v>8.4868192030303075E-3</v>
      </c>
      <c r="S418" s="209">
        <v>0</v>
      </c>
    </row>
    <row r="419" spans="1:19" x14ac:dyDescent="0.45">
      <c r="A419" s="16">
        <v>44182</v>
      </c>
      <c r="B419" s="42">
        <f>'Part 2 - CAPM 2.1, 2.2 and 2.3'!N419</f>
        <v>2.2344417976097541E-3</v>
      </c>
      <c r="C419" s="42">
        <f>'Part 2 - CAPM 2.1, 2.2 and 2.3'!O419</f>
        <v>-1.3689884488058674E-2</v>
      </c>
      <c r="E419" s="16">
        <v>44182</v>
      </c>
      <c r="F419" s="17">
        <v>3.1300000000000001E-2</v>
      </c>
      <c r="G419" s="41">
        <f t="shared" si="44"/>
        <v>8.4442311187871155E-5</v>
      </c>
      <c r="L419" s="40">
        <f t="shared" si="42"/>
        <v>2.3237983076771682E-3</v>
      </c>
      <c r="M419" s="40">
        <f t="shared" si="43"/>
        <v>-1.3635550284893244E-2</v>
      </c>
      <c r="O419" s="40">
        <f t="shared" si="45"/>
        <v>2.3237983076771682E-3</v>
      </c>
      <c r="P419" s="207">
        <f t="shared" si="46"/>
        <v>8.4442311187871155E-5</v>
      </c>
      <c r="Q419" s="208">
        <f t="shared" si="47"/>
        <v>1.0021992959873915</v>
      </c>
      <c r="R419" s="40">
        <f t="shared" si="48"/>
        <v>2.2344417976097541E-3</v>
      </c>
      <c r="S419" s="209">
        <v>0</v>
      </c>
    </row>
    <row r="420" spans="1:19" x14ac:dyDescent="0.45">
      <c r="A420" s="16">
        <v>44183</v>
      </c>
      <c r="B420" s="42">
        <f>'Part 2 - CAPM 2.1, 2.2 and 2.3'!N420</f>
        <v>6.7844880168888044E-4</v>
      </c>
      <c r="C420" s="42">
        <f>'Part 2 - CAPM 2.1, 2.2 and 2.3'!O420</f>
        <v>-2.4714452771810311E-2</v>
      </c>
      <c r="E420" s="16">
        <v>44183</v>
      </c>
      <c r="F420" s="17">
        <v>3.1099999999999999E-2</v>
      </c>
      <c r="G420" s="41">
        <f t="shared" si="44"/>
        <v>8.3910899889128032E-5</v>
      </c>
      <c r="L420" s="40">
        <f t="shared" si="42"/>
        <v>7.638518113052134E-4</v>
      </c>
      <c r="M420" s="40">
        <f t="shared" si="43"/>
        <v>-2.4684896268732805E-2</v>
      </c>
      <c r="O420" s="40">
        <f t="shared" si="45"/>
        <v>7.638518113052134E-4</v>
      </c>
      <c r="P420" s="207">
        <f t="shared" si="46"/>
        <v>8.3910899889128032E-5</v>
      </c>
      <c r="Q420" s="208">
        <f t="shared" si="47"/>
        <v>1.0021992959873915</v>
      </c>
      <c r="R420" s="40">
        <f t="shared" si="48"/>
        <v>6.7844880168888044E-4</v>
      </c>
      <c r="S420" s="209">
        <v>0</v>
      </c>
    </row>
    <row r="421" spans="1:19" x14ac:dyDescent="0.45">
      <c r="A421" s="16">
        <v>44186</v>
      </c>
      <c r="B421" s="42">
        <f>'Part 2 - CAPM 2.1, 2.2 and 2.3'!N421</f>
        <v>-3.4496595547647578E-2</v>
      </c>
      <c r="C421" s="42">
        <f>'Part 2 - CAPM 2.1, 2.2 and 2.3'!O421</f>
        <v>-9.2508684735430349E-2</v>
      </c>
      <c r="E421" s="16">
        <v>44186</v>
      </c>
      <c r="F421" s="17">
        <v>3.1300000000000001E-2</v>
      </c>
      <c r="G421" s="41">
        <f t="shared" si="44"/>
        <v>8.4442311187871155E-5</v>
      </c>
      <c r="L421" s="40">
        <f t="shared" si="42"/>
        <v>-3.4488021460626316E-2</v>
      </c>
      <c r="M421" s="40">
        <f t="shared" si="43"/>
        <v>-9.2627696403379978E-2</v>
      </c>
      <c r="O421" s="40">
        <f t="shared" si="45"/>
        <v>-3.4488021460626316E-2</v>
      </c>
      <c r="P421" s="207">
        <f t="shared" si="46"/>
        <v>8.4442311187871155E-5</v>
      </c>
      <c r="Q421" s="208">
        <f t="shared" si="47"/>
        <v>1.0021992959873915</v>
      </c>
      <c r="R421" s="40">
        <f t="shared" si="48"/>
        <v>-3.4496595547647578E-2</v>
      </c>
      <c r="S421" s="209">
        <v>0</v>
      </c>
    </row>
    <row r="422" spans="1:19" x14ac:dyDescent="0.45">
      <c r="A422" s="16">
        <v>44187</v>
      </c>
      <c r="B422" s="42">
        <f>'Part 2 - CAPM 2.1, 2.2 and 2.3'!N422</f>
        <v>1.0084706254321469E-2</v>
      </c>
      <c r="C422" s="42">
        <f>'Part 2 - CAPM 2.1, 2.2 and 2.3'!O422</f>
        <v>7.7060544034492067E-3</v>
      </c>
      <c r="E422" s="16">
        <v>44187</v>
      </c>
      <c r="F422" s="17">
        <v>3.1400000000000004E-2</v>
      </c>
      <c r="G422" s="41">
        <f t="shared" si="44"/>
        <v>8.4707978298181885E-5</v>
      </c>
      <c r="L422" s="40">
        <f t="shared" si="42"/>
        <v>1.0191593486618803E-2</v>
      </c>
      <c r="M422" s="40">
        <f t="shared" si="43"/>
        <v>7.8077102762755153E-3</v>
      </c>
      <c r="O422" s="40">
        <f t="shared" si="45"/>
        <v>1.0191593486618803E-2</v>
      </c>
      <c r="P422" s="207">
        <f t="shared" si="46"/>
        <v>8.4707978298181885E-5</v>
      </c>
      <c r="Q422" s="208">
        <f t="shared" si="47"/>
        <v>1.0021992959873915</v>
      </c>
      <c r="R422" s="40">
        <f t="shared" si="48"/>
        <v>1.0084706254321469E-2</v>
      </c>
      <c r="S422" s="209">
        <v>0</v>
      </c>
    </row>
    <row r="423" spans="1:19" x14ac:dyDescent="0.45">
      <c r="A423" s="16">
        <v>44188</v>
      </c>
      <c r="B423" s="42">
        <f>'Part 2 - CAPM 2.1, 2.2 and 2.3'!N423</f>
        <v>1.3440601139594176E-2</v>
      </c>
      <c r="C423" s="42">
        <f>'Part 2 - CAPM 2.1, 2.2 and 2.3'!O423</f>
        <v>2.6764632658413945E-3</v>
      </c>
      <c r="E423" s="16">
        <v>44188</v>
      </c>
      <c r="F423" s="17">
        <v>3.1300000000000001E-2</v>
      </c>
      <c r="G423" s="41">
        <f t="shared" si="44"/>
        <v>8.4442311187871155E-5</v>
      </c>
      <c r="L423" s="40">
        <f t="shared" si="42"/>
        <v>1.3554603310936487E-2</v>
      </c>
      <c r="M423" s="40">
        <f t="shared" si="43"/>
        <v>2.7667919119502317E-3</v>
      </c>
      <c r="O423" s="40">
        <f t="shared" si="45"/>
        <v>1.3554603310936487E-2</v>
      </c>
      <c r="P423" s="207">
        <f t="shared" si="46"/>
        <v>8.4442311187871155E-5</v>
      </c>
      <c r="Q423" s="208">
        <f t="shared" si="47"/>
        <v>1.0021992959873915</v>
      </c>
      <c r="R423" s="40">
        <f t="shared" si="48"/>
        <v>1.3440601139594176E-2</v>
      </c>
      <c r="S423" s="209">
        <v>0</v>
      </c>
    </row>
    <row r="424" spans="1:19" x14ac:dyDescent="0.45">
      <c r="A424" s="16">
        <v>44189</v>
      </c>
      <c r="B424" s="42">
        <f>'Part 2 - CAPM 2.1, 2.2 and 2.3'!N424</f>
        <v>8.7970824247939495E-3</v>
      </c>
      <c r="C424" s="42">
        <f>'Part 2 - CAPM 2.1, 2.2 and 2.3'!O424</f>
        <v>2.5796614957534689E-2</v>
      </c>
      <c r="E424" s="16">
        <v>44189</v>
      </c>
      <c r="F424" s="17">
        <v>3.1300000000000001E-2</v>
      </c>
      <c r="G424" s="41">
        <f t="shared" si="44"/>
        <v>8.4442311187871155E-5</v>
      </c>
      <c r="L424" s="40">
        <f t="shared" si="42"/>
        <v>8.9008721240594231E-3</v>
      </c>
      <c r="M424" s="40">
        <f t="shared" si="43"/>
        <v>2.5937791660486952E-2</v>
      </c>
      <c r="O424" s="40">
        <f t="shared" si="45"/>
        <v>8.9008721240594231E-3</v>
      </c>
      <c r="P424" s="207">
        <f t="shared" si="46"/>
        <v>8.4442311187871155E-5</v>
      </c>
      <c r="Q424" s="208">
        <f t="shared" si="47"/>
        <v>1.0021992959873915</v>
      </c>
      <c r="R424" s="40">
        <f t="shared" si="48"/>
        <v>8.7970824247939495E-3</v>
      </c>
      <c r="S424" s="209">
        <v>0</v>
      </c>
    </row>
    <row r="425" spans="1:19" x14ac:dyDescent="0.45">
      <c r="A425" s="16">
        <v>44193</v>
      </c>
      <c r="B425" s="42">
        <f>'Part 2 - CAPM 2.1, 2.2 and 2.3'!N425</f>
        <v>9.5800692040015362E-3</v>
      </c>
      <c r="C425" s="42">
        <f>'Part 2 - CAPM 2.1, 2.2 and 2.3'!O425</f>
        <v>6.8938158668522143E-3</v>
      </c>
      <c r="E425" s="16">
        <v>44193</v>
      </c>
      <c r="F425" s="17">
        <v>3.1200000000000002E-2</v>
      </c>
      <c r="G425" s="41">
        <f t="shared" si="44"/>
        <v>8.4176618386555546E-5</v>
      </c>
      <c r="L425" s="40">
        <f t="shared" si="42"/>
        <v>9.6853152301473854E-3</v>
      </c>
      <c r="M425" s="40">
        <f t="shared" si="43"/>
        <v>6.9931540268125545E-3</v>
      </c>
      <c r="O425" s="40">
        <f t="shared" si="45"/>
        <v>9.6853152301473854E-3</v>
      </c>
      <c r="P425" s="207">
        <f t="shared" si="46"/>
        <v>8.4176618386555546E-5</v>
      </c>
      <c r="Q425" s="208">
        <f t="shared" si="47"/>
        <v>1.0021992959873915</v>
      </c>
      <c r="R425" s="40">
        <f t="shared" si="48"/>
        <v>9.5800692040015362E-3</v>
      </c>
      <c r="S425" s="209">
        <v>0</v>
      </c>
    </row>
    <row r="426" spans="1:19" x14ac:dyDescent="0.45">
      <c r="A426" s="16">
        <v>44194</v>
      </c>
      <c r="B426" s="42">
        <f>'Part 2 - CAPM 2.1, 2.2 and 2.3'!N426</f>
        <v>2.740824335840648E-3</v>
      </c>
      <c r="C426" s="42">
        <f>'Part 2 - CAPM 2.1, 2.2 and 2.3'!O426</f>
        <v>-7.0135484265414893E-3</v>
      </c>
      <c r="E426" s="16">
        <v>44194</v>
      </c>
      <c r="F426" s="17">
        <v>3.1099999999999999E-2</v>
      </c>
      <c r="G426" s="41">
        <f t="shared" si="44"/>
        <v>8.3910899889128032E-5</v>
      </c>
      <c r="L426" s="40">
        <f t="shared" si="42"/>
        <v>2.8307631196937354E-3</v>
      </c>
      <c r="M426" s="40">
        <f t="shared" si="43"/>
        <v>-6.9450623955642299E-3</v>
      </c>
      <c r="O426" s="40">
        <f t="shared" si="45"/>
        <v>2.8307631196937354E-3</v>
      </c>
      <c r="P426" s="207">
        <f t="shared" si="46"/>
        <v>8.3910899889128032E-5</v>
      </c>
      <c r="Q426" s="208">
        <f t="shared" si="47"/>
        <v>1.0021992959873915</v>
      </c>
      <c r="R426" s="40">
        <f t="shared" si="48"/>
        <v>2.740824335840648E-3</v>
      </c>
      <c r="S426" s="209">
        <v>0</v>
      </c>
    </row>
    <row r="427" spans="1:19" x14ac:dyDescent="0.45">
      <c r="A427" s="16">
        <v>44195</v>
      </c>
      <c r="B427" s="42">
        <f>'Part 2 - CAPM 2.1, 2.2 and 2.3'!N427</f>
        <v>3.6365208541658464E-3</v>
      </c>
      <c r="C427" s="42">
        <f>'Part 2 - CAPM 2.1, 2.2 and 2.3'!O427</f>
        <v>9.9068953658203521E-4</v>
      </c>
      <c r="E427" s="16">
        <v>44195</v>
      </c>
      <c r="F427" s="17">
        <v>3.0699999999999998E-2</v>
      </c>
      <c r="G427" s="41">
        <f t="shared" si="44"/>
        <v>8.2847768839267033E-5</v>
      </c>
      <c r="L427" s="40">
        <f t="shared" si="42"/>
        <v>3.7273664087277463E-3</v>
      </c>
      <c r="M427" s="40">
        <f t="shared" si="43"/>
        <v>1.075716124943858E-3</v>
      </c>
      <c r="O427" s="40">
        <f t="shared" si="45"/>
        <v>3.7273664087277463E-3</v>
      </c>
      <c r="P427" s="207">
        <f t="shared" si="46"/>
        <v>8.2847768839267033E-5</v>
      </c>
      <c r="Q427" s="208">
        <f t="shared" si="47"/>
        <v>1.0021992959873915</v>
      </c>
      <c r="R427" s="40">
        <f t="shared" si="48"/>
        <v>3.6365208541658464E-3</v>
      </c>
      <c r="S427" s="209">
        <v>0</v>
      </c>
    </row>
    <row r="428" spans="1:19" x14ac:dyDescent="0.45">
      <c r="A428" s="16">
        <v>44196</v>
      </c>
      <c r="B428" s="42">
        <f>'Part 2 - CAPM 2.1, 2.2 and 2.3'!N428</f>
        <v>6.6869550137308841E-4</v>
      </c>
      <c r="C428" s="42">
        <f>'Part 2 - CAPM 2.1, 2.2 and 2.3'!O428</f>
        <v>-2.2276198868017641E-3</v>
      </c>
      <c r="E428" s="16">
        <v>44196</v>
      </c>
      <c r="F428" s="17">
        <v>3.0699999999999998E-2</v>
      </c>
      <c r="G428" s="41">
        <f t="shared" si="44"/>
        <v>8.2847768839267033E-5</v>
      </c>
      <c r="L428" s="40">
        <f t="shared" si="42"/>
        <v>7.5301392954531211E-4</v>
      </c>
      <c r="M428" s="40">
        <f t="shared" si="43"/>
        <v>-2.1496713134409738E-3</v>
      </c>
      <c r="O428" s="40">
        <f t="shared" si="45"/>
        <v>7.5301392954531211E-4</v>
      </c>
      <c r="P428" s="207">
        <f t="shared" si="46"/>
        <v>8.2847768839267033E-5</v>
      </c>
      <c r="Q428" s="208">
        <f t="shared" si="47"/>
        <v>1.0021992959873915</v>
      </c>
      <c r="R428" s="40">
        <f t="shared" si="48"/>
        <v>6.6869550137308841E-4</v>
      </c>
      <c r="S428" s="209">
        <v>0</v>
      </c>
    </row>
    <row r="429" spans="1:19" x14ac:dyDescent="0.45">
      <c r="A429" s="16">
        <v>44197</v>
      </c>
      <c r="B429" s="42">
        <f>'Part 2 - CAPM 2.1, 2.2 and 2.3'!N429</f>
        <v>4.8277944442096845E-3</v>
      </c>
      <c r="C429" s="42">
        <f>'Part 2 - CAPM 2.1, 2.2 and 2.3'!O429</f>
        <v>1.5302523132410227E-3</v>
      </c>
      <c r="E429" s="16">
        <v>44197</v>
      </c>
      <c r="F429" s="17">
        <v>3.0299999999999997E-2</v>
      </c>
      <c r="G429" s="41">
        <f t="shared" si="44"/>
        <v>8.1784226253933667E-5</v>
      </c>
      <c r="L429" s="40">
        <f t="shared" si="42"/>
        <v>4.9201964194127198E-3</v>
      </c>
      <c r="M429" s="40">
        <f t="shared" si="43"/>
        <v>1.615402017267164E-3</v>
      </c>
      <c r="O429" s="40">
        <f t="shared" si="45"/>
        <v>4.9201964194127198E-3</v>
      </c>
      <c r="P429" s="207">
        <f t="shared" si="46"/>
        <v>8.1784226253933667E-5</v>
      </c>
      <c r="Q429" s="208">
        <f t="shared" si="47"/>
        <v>1.0021992959873915</v>
      </c>
      <c r="R429" s="40">
        <f t="shared" si="48"/>
        <v>4.8277944442096845E-3</v>
      </c>
      <c r="S429" s="209">
        <v>0</v>
      </c>
    </row>
    <row r="430" spans="1:19" x14ac:dyDescent="0.45">
      <c r="A430" s="16">
        <v>44200</v>
      </c>
      <c r="B430" s="42">
        <f>'Part 2 - CAPM 2.1, 2.2 and 2.3'!N430</f>
        <v>1.0022018414816914E-2</v>
      </c>
      <c r="C430" s="42">
        <f>'Part 2 - CAPM 2.1, 2.2 and 2.3'!O430</f>
        <v>4.015426727589199E-2</v>
      </c>
      <c r="E430" s="16">
        <v>44200</v>
      </c>
      <c r="F430" s="17">
        <v>3.0299999999999997E-2</v>
      </c>
      <c r="G430" s="41">
        <f t="shared" si="44"/>
        <v>8.1784226253933667E-5</v>
      </c>
      <c r="L430" s="40">
        <f t="shared" si="42"/>
        <v>1.0125844025956119E-2</v>
      </c>
      <c r="M430" s="40">
        <f t="shared" si="43"/>
        <v>4.0324362621042442E-2</v>
      </c>
      <c r="O430" s="40">
        <f t="shared" si="45"/>
        <v>1.0125844025956119E-2</v>
      </c>
      <c r="P430" s="207">
        <f t="shared" si="46"/>
        <v>8.1784226253933667E-5</v>
      </c>
      <c r="Q430" s="208">
        <f t="shared" si="47"/>
        <v>1.0021992959873915</v>
      </c>
      <c r="R430" s="40">
        <f t="shared" si="48"/>
        <v>1.0022018414816914E-2</v>
      </c>
      <c r="S430" s="209">
        <v>0</v>
      </c>
    </row>
    <row r="431" spans="1:19" x14ac:dyDescent="0.45">
      <c r="A431" s="16">
        <v>44201</v>
      </c>
      <c r="B431" s="42">
        <f>'Part 2 - CAPM 2.1, 2.2 and 2.3'!N431</f>
        <v>6.3495421764145736E-3</v>
      </c>
      <c r="C431" s="42">
        <f>'Part 2 - CAPM 2.1, 2.2 and 2.3'!O431</f>
        <v>-2.0711506353288993E-2</v>
      </c>
      <c r="E431" s="16">
        <v>44201</v>
      </c>
      <c r="F431" s="17">
        <v>3.0499999999999999E-2</v>
      </c>
      <c r="G431" s="41">
        <f t="shared" si="44"/>
        <v>8.2316049008435144E-5</v>
      </c>
      <c r="L431" s="40">
        <f t="shared" si="42"/>
        <v>6.4458227480533705E-3</v>
      </c>
      <c r="M431" s="40">
        <f t="shared" si="43"/>
        <v>-2.067474103709618E-2</v>
      </c>
      <c r="O431" s="40">
        <f t="shared" si="45"/>
        <v>6.4458227480533705E-3</v>
      </c>
      <c r="P431" s="207">
        <f t="shared" si="46"/>
        <v>8.2316049008435144E-5</v>
      </c>
      <c r="Q431" s="208">
        <f t="shared" si="47"/>
        <v>1.0021992959873915</v>
      </c>
      <c r="R431" s="40">
        <f t="shared" si="48"/>
        <v>6.3495421764145736E-3</v>
      </c>
      <c r="S431" s="209">
        <v>0</v>
      </c>
    </row>
    <row r="432" spans="1:19" x14ac:dyDescent="0.45">
      <c r="A432" s="16">
        <v>44202</v>
      </c>
      <c r="B432" s="42">
        <f>'Part 2 - CAPM 2.1, 2.2 and 2.3'!N432</f>
        <v>-2.5561313517071895E-3</v>
      </c>
      <c r="C432" s="42">
        <f>'Part 2 - CAPM 2.1, 2.2 and 2.3'!O432</f>
        <v>2.0980604156011544E-2</v>
      </c>
      <c r="E432" s="16">
        <v>44202</v>
      </c>
      <c r="F432" s="17">
        <v>3.0800000000000001E-2</v>
      </c>
      <c r="G432" s="41">
        <f t="shared" si="44"/>
        <v>8.3113590170658114E-5</v>
      </c>
      <c r="L432" s="40">
        <f t="shared" si="42"/>
        <v>-2.4786394509615866E-3</v>
      </c>
      <c r="M432" s="40">
        <f t="shared" si="43"/>
        <v>2.110986030471557E-2</v>
      </c>
      <c r="O432" s="40">
        <f t="shared" si="45"/>
        <v>-2.4786394509615866E-3</v>
      </c>
      <c r="P432" s="207">
        <f t="shared" si="46"/>
        <v>8.3113590170658114E-5</v>
      </c>
      <c r="Q432" s="208">
        <f t="shared" si="47"/>
        <v>1.0021992959873915</v>
      </c>
      <c r="R432" s="40">
        <f t="shared" si="48"/>
        <v>-2.5561313517071895E-3</v>
      </c>
      <c r="S432" s="209">
        <v>0</v>
      </c>
    </row>
    <row r="433" spans="1:19" x14ac:dyDescent="0.45">
      <c r="A433" s="16">
        <v>44203</v>
      </c>
      <c r="B433" s="42">
        <f>'Part 2 - CAPM 2.1, 2.2 and 2.3'!N433</f>
        <v>2.3201579880851443E-3</v>
      </c>
      <c r="C433" s="42">
        <f>'Part 2 - CAPM 2.1, 2.2 and 2.3'!O433</f>
        <v>9.7165493455248584E-3</v>
      </c>
      <c r="E433" s="16">
        <v>44203</v>
      </c>
      <c r="F433" s="17">
        <v>3.0499999999999999E-2</v>
      </c>
      <c r="G433" s="41">
        <f t="shared" si="44"/>
        <v>8.2316049008435144E-5</v>
      </c>
      <c r="L433" s="40">
        <f t="shared" si="42"/>
        <v>2.4075767512468896E-3</v>
      </c>
      <c r="M433" s="40">
        <f t="shared" si="43"/>
        <v>9.8202349625201978E-3</v>
      </c>
      <c r="O433" s="40">
        <f t="shared" si="45"/>
        <v>2.4075767512468896E-3</v>
      </c>
      <c r="P433" s="207">
        <f t="shared" si="46"/>
        <v>8.2316049008435144E-5</v>
      </c>
      <c r="Q433" s="208">
        <f t="shared" si="47"/>
        <v>1.0021992959873915</v>
      </c>
      <c r="R433" s="40">
        <f t="shared" si="48"/>
        <v>2.3201579880851443E-3</v>
      </c>
      <c r="S433" s="209">
        <v>0</v>
      </c>
    </row>
    <row r="434" spans="1:19" x14ac:dyDescent="0.45">
      <c r="A434" s="16">
        <v>44204</v>
      </c>
      <c r="B434" s="42">
        <f>'Part 2 - CAPM 2.1, 2.2 and 2.3'!N434</f>
        <v>1.3473311704818351E-2</v>
      </c>
      <c r="C434" s="42">
        <f>'Part 2 - CAPM 2.1, 2.2 and 2.3'!O434</f>
        <v>2.8007305718662542E-2</v>
      </c>
      <c r="E434" s="16">
        <v>44204</v>
      </c>
      <c r="F434" s="17">
        <v>3.0600000000000002E-2</v>
      </c>
      <c r="G434" s="41">
        <f t="shared" si="44"/>
        <v>8.2581921786895052E-5</v>
      </c>
      <c r="L434" s="40">
        <f t="shared" si="42"/>
        <v>1.3585525426974528E-2</v>
      </c>
      <c r="M434" s="40">
        <f t="shared" si="43"/>
        <v>2.8151483995534139E-2</v>
      </c>
      <c r="O434" s="40">
        <f t="shared" si="45"/>
        <v>1.3585525426974528E-2</v>
      </c>
      <c r="P434" s="207">
        <f t="shared" si="46"/>
        <v>8.2581921786895052E-5</v>
      </c>
      <c r="Q434" s="208">
        <f t="shared" si="47"/>
        <v>1.0021992959873915</v>
      </c>
      <c r="R434" s="40">
        <f t="shared" si="48"/>
        <v>1.3473311704818351E-2</v>
      </c>
      <c r="S434" s="209">
        <v>0</v>
      </c>
    </row>
    <row r="435" spans="1:19" x14ac:dyDescent="0.45">
      <c r="A435" s="16">
        <v>44207</v>
      </c>
      <c r="B435" s="42">
        <f>'Part 2 - CAPM 2.1, 2.2 and 2.3'!N435</f>
        <v>6.695301143355409E-3</v>
      </c>
      <c r="C435" s="42">
        <f>'Part 2 - CAPM 2.1, 2.2 and 2.3'!O435</f>
        <v>1.878887294275905E-2</v>
      </c>
      <c r="E435" s="16">
        <v>44207</v>
      </c>
      <c r="F435" s="17">
        <v>3.2799999999999996E-2</v>
      </c>
      <c r="G435" s="41">
        <f t="shared" si="44"/>
        <v>8.8424623063021457E-5</v>
      </c>
      <c r="L435" s="40">
        <f t="shared" si="42"/>
        <v>6.7984507153573898E-3</v>
      </c>
      <c r="M435" s="40">
        <f t="shared" si="43"/>
        <v>1.8918619858692691E-2</v>
      </c>
      <c r="O435" s="40">
        <f t="shared" si="45"/>
        <v>6.7984507153573898E-3</v>
      </c>
      <c r="P435" s="207">
        <f t="shared" si="46"/>
        <v>8.8424623063021457E-5</v>
      </c>
      <c r="Q435" s="208">
        <f t="shared" si="47"/>
        <v>1.0021992959873915</v>
      </c>
      <c r="R435" s="40">
        <f t="shared" si="48"/>
        <v>6.695301143355409E-3</v>
      </c>
      <c r="S435" s="209">
        <v>0</v>
      </c>
    </row>
    <row r="436" spans="1:19" x14ac:dyDescent="0.45">
      <c r="A436" s="16">
        <v>44208</v>
      </c>
      <c r="B436" s="42">
        <f>'Part 2 - CAPM 2.1, 2.2 and 2.3'!N436</f>
        <v>4.2300695259396325E-3</v>
      </c>
      <c r="C436" s="42">
        <f>'Part 2 - CAPM 2.1, 2.2 and 2.3'!O436</f>
        <v>8.6877821053621927E-3</v>
      </c>
      <c r="E436" s="16">
        <v>44208</v>
      </c>
      <c r="F436" s="17">
        <v>3.2799999999999996E-2</v>
      </c>
      <c r="G436" s="41">
        <f t="shared" si="44"/>
        <v>8.8424623063021457E-5</v>
      </c>
      <c r="L436" s="40">
        <f t="shared" si="42"/>
        <v>4.3277973239374407E-3</v>
      </c>
      <c r="M436" s="40">
        <f t="shared" si="43"/>
        <v>8.7953137327488693E-3</v>
      </c>
      <c r="O436" s="40">
        <f t="shared" si="45"/>
        <v>4.3277973239374407E-3</v>
      </c>
      <c r="P436" s="207">
        <f t="shared" si="46"/>
        <v>8.8424623063021457E-5</v>
      </c>
      <c r="Q436" s="208">
        <f t="shared" si="47"/>
        <v>1.0021992959873915</v>
      </c>
      <c r="R436" s="40">
        <f t="shared" si="48"/>
        <v>4.2300695259396325E-3</v>
      </c>
      <c r="S436" s="209">
        <v>0</v>
      </c>
    </row>
    <row r="437" spans="1:19" x14ac:dyDescent="0.45">
      <c r="A437" s="16">
        <v>44209</v>
      </c>
      <c r="B437" s="42">
        <f>'Part 2 - CAPM 2.1, 2.2 and 2.3'!N437</f>
        <v>-1.5187032950038316E-3</v>
      </c>
      <c r="C437" s="42">
        <f>'Part 2 - CAPM 2.1, 2.2 and 2.3'!O437</f>
        <v>1.7311550689727142E-2</v>
      </c>
      <c r="E437" s="16">
        <v>44209</v>
      </c>
      <c r="F437" s="17">
        <v>3.27E-2</v>
      </c>
      <c r="G437" s="41">
        <f t="shared" si="44"/>
        <v>8.8159315106084435E-5</v>
      </c>
      <c r="L437" s="40">
        <f t="shared" si="42"/>
        <v>-1.4338840579604874E-3</v>
      </c>
      <c r="M437" s="40">
        <f t="shared" si="43"/>
        <v>1.7437783228800668E-2</v>
      </c>
      <c r="O437" s="40">
        <f t="shared" si="45"/>
        <v>-1.4338840579604874E-3</v>
      </c>
      <c r="P437" s="207">
        <f t="shared" si="46"/>
        <v>8.8159315106084435E-5</v>
      </c>
      <c r="Q437" s="208">
        <f t="shared" si="47"/>
        <v>1.0021992959873915</v>
      </c>
      <c r="R437" s="40">
        <f t="shared" si="48"/>
        <v>-1.5187032950038316E-3</v>
      </c>
      <c r="S437" s="209">
        <v>0</v>
      </c>
    </row>
    <row r="438" spans="1:19" x14ac:dyDescent="0.45">
      <c r="A438" s="16">
        <v>44210</v>
      </c>
      <c r="B438" s="42">
        <f>'Part 2 - CAPM 2.1, 2.2 and 2.3'!N438</f>
        <v>2.2693681077966634E-3</v>
      </c>
      <c r="C438" s="42">
        <f>'Part 2 - CAPM 2.1, 2.2 and 2.3'!O438</f>
        <v>-1.9894579229451136E-3</v>
      </c>
      <c r="E438" s="16">
        <v>44210</v>
      </c>
      <c r="F438" s="17">
        <v>3.3099999999999997E-2</v>
      </c>
      <c r="G438" s="41">
        <f t="shared" si="44"/>
        <v>8.9220393253874875E-5</v>
      </c>
      <c r="L438" s="40">
        <f t="shared" si="42"/>
        <v>2.3635795132239297E-3</v>
      </c>
      <c r="M438" s="40">
        <f t="shared" si="43"/>
        <v>-1.9046129365182561E-3</v>
      </c>
      <c r="O438" s="40">
        <f t="shared" si="45"/>
        <v>2.3635795132239297E-3</v>
      </c>
      <c r="P438" s="207">
        <f t="shared" si="46"/>
        <v>8.9220393253874875E-5</v>
      </c>
      <c r="Q438" s="208">
        <f t="shared" si="47"/>
        <v>1.0021992959873915</v>
      </c>
      <c r="R438" s="40">
        <f t="shared" si="48"/>
        <v>2.2693681077966634E-3</v>
      </c>
      <c r="S438" s="209">
        <v>0</v>
      </c>
    </row>
    <row r="439" spans="1:19" x14ac:dyDescent="0.45">
      <c r="A439" s="16">
        <v>44211</v>
      </c>
      <c r="B439" s="42">
        <f>'Part 2 - CAPM 2.1, 2.2 and 2.3'!N439</f>
        <v>-1.1547325308692562E-2</v>
      </c>
      <c r="C439" s="42">
        <f>'Part 2 - CAPM 2.1, 2.2 and 2.3'!O439</f>
        <v>-3.4834049258092456E-2</v>
      </c>
      <c r="E439" s="16">
        <v>44211</v>
      </c>
      <c r="F439" s="17">
        <v>3.2899999999999999E-2</v>
      </c>
      <c r="G439" s="41">
        <f t="shared" si="44"/>
        <v>8.8689905403338543E-5</v>
      </c>
      <c r="L439" s="40">
        <f t="shared" si="42"/>
        <v>-1.1484031389505735E-2</v>
      </c>
      <c r="M439" s="40">
        <f t="shared" si="43"/>
        <v>-3.4821969737447042E-2</v>
      </c>
      <c r="O439" s="40">
        <f t="shared" si="45"/>
        <v>-1.1484031389505735E-2</v>
      </c>
      <c r="P439" s="207">
        <f t="shared" si="46"/>
        <v>8.8689905403338543E-5</v>
      </c>
      <c r="Q439" s="208">
        <f t="shared" si="47"/>
        <v>1.0021992959873915</v>
      </c>
      <c r="R439" s="40">
        <f t="shared" si="48"/>
        <v>-1.1547325308692562E-2</v>
      </c>
      <c r="S439" s="209">
        <v>0</v>
      </c>
    </row>
    <row r="440" spans="1:19" x14ac:dyDescent="0.45">
      <c r="A440" s="16">
        <v>44214</v>
      </c>
      <c r="B440" s="42">
        <f>'Part 2 - CAPM 2.1, 2.2 and 2.3'!N440</f>
        <v>-1.3080369648986742E-2</v>
      </c>
      <c r="C440" s="42">
        <f>'Part 2 - CAPM 2.1, 2.2 and 2.3'!O440</f>
        <v>-4.6933401852819946E-2</v>
      </c>
      <c r="E440" s="16">
        <v>44214</v>
      </c>
      <c r="F440" s="17">
        <v>3.3099999999999997E-2</v>
      </c>
      <c r="G440" s="41">
        <f t="shared" si="44"/>
        <v>8.9220393253874875E-5</v>
      </c>
      <c r="L440" s="40">
        <f t="shared" si="42"/>
        <v>-1.3019916860215482E-2</v>
      </c>
      <c r="M440" s="40">
        <f t="shared" si="43"/>
        <v>-4.6947401901935616E-2</v>
      </c>
      <c r="O440" s="40">
        <f t="shared" si="45"/>
        <v>-1.3019916860215482E-2</v>
      </c>
      <c r="P440" s="207">
        <f t="shared" si="46"/>
        <v>8.9220393253874875E-5</v>
      </c>
      <c r="Q440" s="208">
        <f t="shared" si="47"/>
        <v>1.0021992959873915</v>
      </c>
      <c r="R440" s="40">
        <f t="shared" si="48"/>
        <v>-1.3080369648986742E-2</v>
      </c>
      <c r="S440" s="209">
        <v>0</v>
      </c>
    </row>
    <row r="441" spans="1:19" x14ac:dyDescent="0.45">
      <c r="A441" s="16">
        <v>44215</v>
      </c>
      <c r="B441" s="42">
        <f>'Part 2 - CAPM 2.1, 2.2 and 2.3'!N441</f>
        <v>1.7373437686172128E-2</v>
      </c>
      <c r="C441" s="42">
        <f>'Part 2 - CAPM 2.1, 2.2 and 2.3'!O441</f>
        <v>1.4912835874173405E-2</v>
      </c>
      <c r="E441" s="16">
        <v>44215</v>
      </c>
      <c r="F441" s="17">
        <v>3.3300000000000003E-2</v>
      </c>
      <c r="G441" s="41">
        <f t="shared" si="44"/>
        <v>8.975077869766146E-5</v>
      </c>
      <c r="L441" s="40">
        <f t="shared" si="42"/>
        <v>1.7501397796660184E-2</v>
      </c>
      <c r="M441" s="40">
        <f t="shared" si="43"/>
        <v>1.5035384392969765E-2</v>
      </c>
      <c r="O441" s="40">
        <f t="shared" si="45"/>
        <v>1.7501397796660184E-2</v>
      </c>
      <c r="P441" s="207">
        <f t="shared" si="46"/>
        <v>8.975077869766146E-5</v>
      </c>
      <c r="Q441" s="208">
        <f t="shared" si="47"/>
        <v>1.0021992959873915</v>
      </c>
      <c r="R441" s="40">
        <f t="shared" si="48"/>
        <v>1.7373437686172128E-2</v>
      </c>
      <c r="S441" s="209">
        <v>0</v>
      </c>
    </row>
    <row r="442" spans="1:19" x14ac:dyDescent="0.45">
      <c r="A442" s="16">
        <v>44216</v>
      </c>
      <c r="B442" s="42">
        <f>'Part 2 - CAPM 2.1, 2.2 and 2.3'!N442</f>
        <v>7.9643625131616616E-3</v>
      </c>
      <c r="C442" s="42">
        <f>'Part 2 - CAPM 2.1, 2.2 and 2.3'!O442</f>
        <v>7.555774340063613E-3</v>
      </c>
      <c r="E442" s="16">
        <v>44216</v>
      </c>
      <c r="F442" s="17">
        <v>3.32E-2</v>
      </c>
      <c r="G442" s="41">
        <f t="shared" si="44"/>
        <v>8.9485598774308173E-5</v>
      </c>
      <c r="L442" s="40">
        <f t="shared" si="42"/>
        <v>8.0713641024532986E-3</v>
      </c>
      <c r="M442" s="40">
        <f t="shared" si="43"/>
        <v>7.6618773230256593E-3</v>
      </c>
      <c r="O442" s="40">
        <f t="shared" si="45"/>
        <v>8.0713641024532986E-3</v>
      </c>
      <c r="P442" s="207">
        <f t="shared" si="46"/>
        <v>8.9485598774308173E-5</v>
      </c>
      <c r="Q442" s="208">
        <f t="shared" si="47"/>
        <v>1.0021992959873915</v>
      </c>
      <c r="R442" s="40">
        <f t="shared" si="48"/>
        <v>7.9643625131616616E-3</v>
      </c>
      <c r="S442" s="209">
        <v>0</v>
      </c>
    </row>
    <row r="443" spans="1:19" x14ac:dyDescent="0.45">
      <c r="A443" s="16">
        <v>44217</v>
      </c>
      <c r="B443" s="42">
        <f>'Part 2 - CAPM 2.1, 2.2 and 2.3'!N443</f>
        <v>-5.2557541702265044E-3</v>
      </c>
      <c r="C443" s="42">
        <f>'Part 2 - CAPM 2.1, 2.2 and 2.3'!O443</f>
        <v>-4.2072287824368559E-2</v>
      </c>
      <c r="E443" s="16">
        <v>44217</v>
      </c>
      <c r="F443" s="17">
        <v>3.32E-2</v>
      </c>
      <c r="G443" s="41">
        <f t="shared" si="44"/>
        <v>8.9485598774308173E-5</v>
      </c>
      <c r="L443" s="40">
        <f t="shared" si="42"/>
        <v>-5.1778275305094917E-3</v>
      </c>
      <c r="M443" s="40">
        <f t="shared" si="43"/>
        <v>-4.2075331639386766E-2</v>
      </c>
      <c r="O443" s="40">
        <f t="shared" si="45"/>
        <v>-5.1778275305094917E-3</v>
      </c>
      <c r="P443" s="207">
        <f t="shared" si="46"/>
        <v>8.9485598774308173E-5</v>
      </c>
      <c r="Q443" s="208">
        <f t="shared" si="47"/>
        <v>1.0021992959873915</v>
      </c>
      <c r="R443" s="40">
        <f t="shared" si="48"/>
        <v>-5.2557541702265044E-3</v>
      </c>
      <c r="S443" s="209">
        <v>0</v>
      </c>
    </row>
    <row r="444" spans="1:19" x14ac:dyDescent="0.45">
      <c r="A444" s="16">
        <v>44218</v>
      </c>
      <c r="B444" s="42">
        <f>'Part 2 - CAPM 2.1, 2.2 and 2.3'!N444</f>
        <v>-1.3525793173289908E-2</v>
      </c>
      <c r="C444" s="42">
        <f>'Part 2 - CAPM 2.1, 2.2 and 2.3'!O444</f>
        <v>-2.0680826675859871E-2</v>
      </c>
      <c r="E444" s="16">
        <v>44218</v>
      </c>
      <c r="F444" s="17">
        <v>3.32E-2</v>
      </c>
      <c r="G444" s="41">
        <f t="shared" si="44"/>
        <v>8.9485598774308173E-5</v>
      </c>
      <c r="L444" s="40">
        <f t="shared" si="42"/>
        <v>-1.3466054797167904E-2</v>
      </c>
      <c r="M444" s="40">
        <f t="shared" si="43"/>
        <v>-2.0636824336209721E-2</v>
      </c>
      <c r="O444" s="40">
        <f t="shared" si="45"/>
        <v>-1.3466054797167904E-2</v>
      </c>
      <c r="P444" s="207">
        <f t="shared" si="46"/>
        <v>8.9485598774308173E-5</v>
      </c>
      <c r="Q444" s="208">
        <f t="shared" si="47"/>
        <v>1.0021992959873915</v>
      </c>
      <c r="R444" s="40">
        <f t="shared" si="48"/>
        <v>-1.3525793173289908E-2</v>
      </c>
      <c r="S444" s="209">
        <v>0</v>
      </c>
    </row>
    <row r="445" spans="1:19" x14ac:dyDescent="0.45">
      <c r="A445" s="16">
        <v>44221</v>
      </c>
      <c r="B445" s="42">
        <f>'Part 2 - CAPM 2.1, 2.2 and 2.3'!N445</f>
        <v>-9.4374728478196987E-3</v>
      </c>
      <c r="C445" s="42">
        <f>'Part 2 - CAPM 2.1, 2.2 and 2.3'!O445</f>
        <v>-1.5185150865163763E-2</v>
      </c>
      <c r="E445" s="16">
        <v>44221</v>
      </c>
      <c r="F445" s="17">
        <v>3.3700000000000001E-2</v>
      </c>
      <c r="G445" s="41">
        <f t="shared" si="44"/>
        <v>9.081124252219297E-5</v>
      </c>
      <c r="L445" s="40">
        <f t="shared" si="42"/>
        <v>-9.3674174014628329E-3</v>
      </c>
      <c r="M445" s="40">
        <f t="shared" si="43"/>
        <v>-1.512773626400726E-2</v>
      </c>
      <c r="O445" s="40">
        <f t="shared" si="45"/>
        <v>-9.3674174014628329E-3</v>
      </c>
      <c r="P445" s="207">
        <f t="shared" si="46"/>
        <v>9.081124252219297E-5</v>
      </c>
      <c r="Q445" s="208">
        <f t="shared" si="47"/>
        <v>1.0021992959873915</v>
      </c>
      <c r="R445" s="40">
        <f t="shared" si="48"/>
        <v>-9.4374728478196987E-3</v>
      </c>
      <c r="S445" s="209">
        <v>0</v>
      </c>
    </row>
    <row r="446" spans="1:19" x14ac:dyDescent="0.45">
      <c r="A446" s="16">
        <v>44223</v>
      </c>
      <c r="B446" s="42">
        <f>'Part 2 - CAPM 2.1, 2.2 and 2.3'!N446</f>
        <v>-1.6894505668553529E-2</v>
      </c>
      <c r="C446" s="42">
        <f>'Part 2 - CAPM 2.1, 2.2 and 2.3'!O446</f>
        <v>-1.815214815143977E-2</v>
      </c>
      <c r="E446" s="16">
        <v>44223</v>
      </c>
      <c r="F446" s="17">
        <v>3.3300000000000003E-2</v>
      </c>
      <c r="G446" s="41">
        <f t="shared" si="44"/>
        <v>8.975077869766146E-5</v>
      </c>
      <c r="L446" s="40">
        <f t="shared" si="42"/>
        <v>-1.6841910908381681E-2</v>
      </c>
      <c r="M446" s="40">
        <f t="shared" si="43"/>
        <v>-1.8102319319334106E-2</v>
      </c>
      <c r="O446" s="40">
        <f t="shared" si="45"/>
        <v>-1.6841910908381681E-2</v>
      </c>
      <c r="P446" s="207">
        <f t="shared" si="46"/>
        <v>8.975077869766146E-5</v>
      </c>
      <c r="Q446" s="208">
        <f t="shared" si="47"/>
        <v>1.0021992959873915</v>
      </c>
      <c r="R446" s="40">
        <f t="shared" si="48"/>
        <v>-1.6894505668553529E-2</v>
      </c>
      <c r="S446" s="209">
        <v>0</v>
      </c>
    </row>
    <row r="447" spans="1:19" x14ac:dyDescent="0.45">
      <c r="A447" s="16">
        <v>44224</v>
      </c>
      <c r="B447" s="42">
        <f>'Part 2 - CAPM 2.1, 2.2 and 2.3'!N447</f>
        <v>-9.0804001014620234E-3</v>
      </c>
      <c r="C447" s="42">
        <f>'Part 2 - CAPM 2.1, 2.2 and 2.3'!O447</f>
        <v>1.0500312252008872E-2</v>
      </c>
      <c r="E447" s="16">
        <v>44224</v>
      </c>
      <c r="F447" s="17">
        <v>3.3599999999999998E-2</v>
      </c>
      <c r="G447" s="41">
        <f t="shared" si="44"/>
        <v>9.0546164936533557E-5</v>
      </c>
      <c r="L447" s="40">
        <f t="shared" si="42"/>
        <v>-9.0098244240325448E-3</v>
      </c>
      <c r="M447" s="40">
        <f t="shared" si="43"/>
        <v>1.0613951711547607E-2</v>
      </c>
      <c r="O447" s="40">
        <f t="shared" si="45"/>
        <v>-9.0098244240325448E-3</v>
      </c>
      <c r="P447" s="207">
        <f t="shared" si="46"/>
        <v>9.0546164936533557E-5</v>
      </c>
      <c r="Q447" s="208">
        <f t="shared" si="47"/>
        <v>1.0021992959873915</v>
      </c>
      <c r="R447" s="40">
        <f t="shared" si="48"/>
        <v>-9.0804001014620234E-3</v>
      </c>
      <c r="S447" s="209">
        <v>0</v>
      </c>
    </row>
    <row r="448" spans="1:19" x14ac:dyDescent="0.45">
      <c r="A448" s="16">
        <v>44225</v>
      </c>
      <c r="B448" s="42">
        <f>'Part 2 - CAPM 2.1, 2.2 and 2.3'!N448</f>
        <v>-1.233895523140576E-2</v>
      </c>
      <c r="C448" s="42">
        <f>'Part 2 - CAPM 2.1, 2.2 and 2.3'!O448</f>
        <v>-2.6014694309262495E-2</v>
      </c>
      <c r="E448" s="16">
        <v>44225</v>
      </c>
      <c r="F448" s="17">
        <v>3.3700000000000001E-2</v>
      </c>
      <c r="G448" s="41">
        <f t="shared" si="44"/>
        <v>9.081124252219297E-5</v>
      </c>
      <c r="L448" s="40">
        <f t="shared" si="42"/>
        <v>-1.2275281003612601E-2</v>
      </c>
      <c r="M448" s="40">
        <f t="shared" si="43"/>
        <v>-2.598109707954788E-2</v>
      </c>
      <c r="O448" s="40">
        <f t="shared" si="45"/>
        <v>-1.2275281003612601E-2</v>
      </c>
      <c r="P448" s="207">
        <f t="shared" si="46"/>
        <v>9.081124252219297E-5</v>
      </c>
      <c r="Q448" s="208">
        <f t="shared" si="47"/>
        <v>1.0021992959873915</v>
      </c>
      <c r="R448" s="40">
        <f t="shared" si="48"/>
        <v>-1.233895523140576E-2</v>
      </c>
      <c r="S448" s="209">
        <v>0</v>
      </c>
    </row>
    <row r="449" spans="1:19" x14ac:dyDescent="0.45">
      <c r="A449" s="16">
        <v>44228</v>
      </c>
      <c r="B449" s="42">
        <f>'Part 2 - CAPM 2.1, 2.2 and 2.3'!N449</f>
        <v>4.1294734510140152E-2</v>
      </c>
      <c r="C449" s="42">
        <f>'Part 2 - CAPM 2.1, 2.2 and 2.3'!O449</f>
        <v>2.8788541135281683E-2</v>
      </c>
      <c r="E449" s="16">
        <v>44228</v>
      </c>
      <c r="F449" s="17">
        <v>3.3500000000000002E-2</v>
      </c>
      <c r="G449" s="41">
        <f t="shared" si="44"/>
        <v>9.0281061773778148E-5</v>
      </c>
      <c r="L449" s="40">
        <f t="shared" si="42"/>
        <v>4.1475834915822483E-2</v>
      </c>
      <c r="M449" s="40">
        <f t="shared" si="43"/>
        <v>2.8942136720057143E-2</v>
      </c>
      <c r="O449" s="40">
        <f t="shared" si="45"/>
        <v>4.1475834915822483E-2</v>
      </c>
      <c r="P449" s="207">
        <f t="shared" si="46"/>
        <v>9.0281061773778148E-5</v>
      </c>
      <c r="Q449" s="208">
        <f t="shared" si="47"/>
        <v>1.0021992959873915</v>
      </c>
      <c r="R449" s="40">
        <f t="shared" si="48"/>
        <v>4.1294734510140152E-2</v>
      </c>
      <c r="S449" s="209">
        <v>0</v>
      </c>
    </row>
    <row r="450" spans="1:19" x14ac:dyDescent="0.45">
      <c r="A450" s="16">
        <v>44229</v>
      </c>
      <c r="B450" s="42">
        <f>'Part 2 - CAPM 2.1, 2.2 and 2.3'!N450</f>
        <v>2.3961823600954332E-2</v>
      </c>
      <c r="C450" s="42">
        <f>'Part 2 - CAPM 2.1, 2.2 and 2.3'!O450</f>
        <v>2.1923763136109147E-2</v>
      </c>
      <c r="E450" s="16">
        <v>44229</v>
      </c>
      <c r="F450" s="17">
        <v>3.3599999999999998E-2</v>
      </c>
      <c r="G450" s="41">
        <f t="shared" si="44"/>
        <v>9.0546164936533557E-5</v>
      </c>
      <c r="L450" s="40">
        <f t="shared" si="42"/>
        <v>2.4105068908387029E-2</v>
      </c>
      <c r="M450" s="40">
        <f t="shared" si="43"/>
        <v>2.2062526145339448E-2</v>
      </c>
      <c r="O450" s="40">
        <f t="shared" si="45"/>
        <v>2.4105068908387029E-2</v>
      </c>
      <c r="P450" s="207">
        <f t="shared" si="46"/>
        <v>9.0546164936533557E-5</v>
      </c>
      <c r="Q450" s="208">
        <f t="shared" si="47"/>
        <v>1.0021992959873915</v>
      </c>
      <c r="R450" s="40">
        <f t="shared" si="48"/>
        <v>2.3961823600954332E-2</v>
      </c>
      <c r="S450" s="209">
        <v>0</v>
      </c>
    </row>
    <row r="451" spans="1:19" x14ac:dyDescent="0.45">
      <c r="A451" s="16">
        <v>44230</v>
      </c>
      <c r="B451" s="42">
        <f>'Part 2 - CAPM 2.1, 2.2 and 2.3'!N451</f>
        <v>9.9311168898749205E-3</v>
      </c>
      <c r="C451" s="42">
        <f>'Part 2 - CAPM 2.1, 2.2 and 2.3'!O451</f>
        <v>5.2939533231270344E-3</v>
      </c>
      <c r="E451" s="16">
        <v>44230</v>
      </c>
      <c r="F451" s="17">
        <v>3.3799999999999997E-2</v>
      </c>
      <c r="G451" s="41">
        <f t="shared" si="44"/>
        <v>9.1076294535863411E-5</v>
      </c>
      <c r="L451" s="40">
        <f t="shared" ref="L451:L514" si="49">G451+($J$1*(B451))</f>
        <v>1.0044034649937002E-2</v>
      </c>
      <c r="M451" s="40">
        <f t="shared" ref="M451:M514" si="50">G451+($J$1*(C451))</f>
        <v>5.3966725879638893E-3</v>
      </c>
      <c r="O451" s="40">
        <f t="shared" si="45"/>
        <v>1.0044034649937002E-2</v>
      </c>
      <c r="P451" s="207">
        <f t="shared" si="46"/>
        <v>9.1076294535863411E-5</v>
      </c>
      <c r="Q451" s="208">
        <f t="shared" si="47"/>
        <v>1.0021992959873915</v>
      </c>
      <c r="R451" s="40">
        <f t="shared" si="48"/>
        <v>9.9311168898749205E-3</v>
      </c>
      <c r="S451" s="209">
        <v>0</v>
      </c>
    </row>
    <row r="452" spans="1:19" x14ac:dyDescent="0.45">
      <c r="A452" s="16">
        <v>44231</v>
      </c>
      <c r="B452" s="42">
        <f>'Part 2 - CAPM 2.1, 2.2 and 2.3'!N452</f>
        <v>9.0923918200193667E-3</v>
      </c>
      <c r="C452" s="42">
        <f>'Part 2 - CAPM 2.1, 2.2 and 2.3'!O452</f>
        <v>4.5972126704928645E-2</v>
      </c>
      <c r="E452" s="16">
        <v>44231</v>
      </c>
      <c r="F452" s="17">
        <v>3.3799999999999997E-2</v>
      </c>
      <c r="G452" s="41">
        <f t="shared" ref="G452:G515" si="51">((1+F452)^(1/365))-1</f>
        <v>9.1076294535863411E-5</v>
      </c>
      <c r="L452" s="40">
        <f t="shared" si="49"/>
        <v>9.2034649754007911E-3</v>
      </c>
      <c r="M452" s="40">
        <f t="shared" si="50"/>
        <v>4.6164309313258517E-2</v>
      </c>
      <c r="O452" s="40">
        <f t="shared" ref="O452:O515" si="52">P452+(Q452*(R452))+S452</f>
        <v>9.2034649754007911E-3</v>
      </c>
      <c r="P452" s="207">
        <f t="shared" ref="P452:P515" si="53">G452</f>
        <v>9.1076294535863411E-5</v>
      </c>
      <c r="Q452" s="208">
        <f t="shared" ref="Q452:Q515" si="54">$J$1</f>
        <v>1.0021992959873915</v>
      </c>
      <c r="R452" s="40">
        <f t="shared" ref="R452:R515" si="55">B452</f>
        <v>9.0923918200193667E-3</v>
      </c>
      <c r="S452" s="209">
        <v>0</v>
      </c>
    </row>
    <row r="453" spans="1:19" x14ac:dyDescent="0.45">
      <c r="A453" s="16">
        <v>44232</v>
      </c>
      <c r="B453" s="42">
        <f>'Part 2 - CAPM 2.1, 2.2 and 2.3'!N453</f>
        <v>-5.7917794079703755E-4</v>
      </c>
      <c r="C453" s="42">
        <f>'Part 2 - CAPM 2.1, 2.2 and 2.3'!O453</f>
        <v>-9.081124252219297E-5</v>
      </c>
      <c r="E453" s="16">
        <v>44232</v>
      </c>
      <c r="F453" s="17">
        <v>3.3700000000000001E-2</v>
      </c>
      <c r="G453" s="41">
        <f t="shared" si="51"/>
        <v>9.081124252219297E-5</v>
      </c>
      <c r="L453" s="40">
        <f t="shared" si="49"/>
        <v>-4.8964048199602519E-4</v>
      </c>
      <c r="M453" s="40">
        <f t="shared" si="50"/>
        <v>-1.9972080128910117E-7</v>
      </c>
      <c r="O453" s="40">
        <f t="shared" si="52"/>
        <v>-4.8964048199602519E-4</v>
      </c>
      <c r="P453" s="207">
        <f t="shared" si="53"/>
        <v>9.081124252219297E-5</v>
      </c>
      <c r="Q453" s="208">
        <f t="shared" si="54"/>
        <v>1.0021992959873915</v>
      </c>
      <c r="R453" s="40">
        <f t="shared" si="55"/>
        <v>-5.7917794079703755E-4</v>
      </c>
      <c r="S453" s="209">
        <v>0</v>
      </c>
    </row>
    <row r="454" spans="1:19" x14ac:dyDescent="0.45">
      <c r="A454" s="16">
        <v>44235</v>
      </c>
      <c r="B454" s="42">
        <f>'Part 2 - CAPM 2.1, 2.2 and 2.3'!N454</f>
        <v>1.3056743491452482E-2</v>
      </c>
      <c r="C454" s="42">
        <f>'Part 2 - CAPM 2.1, 2.2 and 2.3'!O454</f>
        <v>2.0390499561369256E-2</v>
      </c>
      <c r="E454" s="16">
        <v>44235</v>
      </c>
      <c r="F454" s="17">
        <v>3.3700000000000001E-2</v>
      </c>
      <c r="G454" s="41">
        <f t="shared" si="51"/>
        <v>9.081124252219297E-5</v>
      </c>
      <c r="L454" s="40">
        <f t="shared" si="49"/>
        <v>1.3176270377543826E-2</v>
      </c>
      <c r="M454" s="40">
        <f t="shared" si="50"/>
        <v>2.0526155547757677E-2</v>
      </c>
      <c r="O454" s="40">
        <f t="shared" si="52"/>
        <v>1.3176270377543826E-2</v>
      </c>
      <c r="P454" s="207">
        <f t="shared" si="53"/>
        <v>9.081124252219297E-5</v>
      </c>
      <c r="Q454" s="208">
        <f t="shared" si="54"/>
        <v>1.0021992959873915</v>
      </c>
      <c r="R454" s="40">
        <f t="shared" si="55"/>
        <v>1.3056743491452482E-2</v>
      </c>
      <c r="S454" s="209">
        <v>0</v>
      </c>
    </row>
    <row r="455" spans="1:19" x14ac:dyDescent="0.45">
      <c r="A455" s="16">
        <v>44236</v>
      </c>
      <c r="B455" s="42">
        <f>'Part 2 - CAPM 2.1, 2.2 and 2.3'!N455</f>
        <v>-6.61756207406588E-4</v>
      </c>
      <c r="C455" s="42">
        <f>'Part 2 - CAPM 2.1, 2.2 and 2.3'!O455</f>
        <v>1.3456339661309538E-2</v>
      </c>
      <c r="E455" s="16">
        <v>44236</v>
      </c>
      <c r="F455" s="17">
        <v>3.3799999999999997E-2</v>
      </c>
      <c r="G455" s="41">
        <f t="shared" si="51"/>
        <v>9.1076294535863411E-5</v>
      </c>
      <c r="L455" s="40">
        <f t="shared" si="49"/>
        <v>-5.7213531064230537E-4</v>
      </c>
      <c r="M455" s="40">
        <f t="shared" si="50"/>
        <v>1.3577010429667496E-2</v>
      </c>
      <c r="O455" s="40">
        <f t="shared" si="52"/>
        <v>-5.7213531064230537E-4</v>
      </c>
      <c r="P455" s="207">
        <f t="shared" si="53"/>
        <v>9.1076294535863411E-5</v>
      </c>
      <c r="Q455" s="208">
        <f t="shared" si="54"/>
        <v>1.0021992959873915</v>
      </c>
      <c r="R455" s="40">
        <f t="shared" si="55"/>
        <v>-6.61756207406588E-4</v>
      </c>
      <c r="S455" s="209">
        <v>0</v>
      </c>
    </row>
    <row r="456" spans="1:19" x14ac:dyDescent="0.45">
      <c r="A456" s="16">
        <v>44237</v>
      </c>
      <c r="B456" s="42">
        <f>'Part 2 - CAPM 2.1, 2.2 and 2.3'!N456</f>
        <v>1.3766498157084626E-3</v>
      </c>
      <c r="C456" s="42">
        <f>'Part 2 - CAPM 2.1, 2.2 and 2.3'!O456</f>
        <v>-9.9920663935457645E-3</v>
      </c>
      <c r="E456" s="16">
        <v>44237</v>
      </c>
      <c r="F456" s="17">
        <v>3.3799999999999997E-2</v>
      </c>
      <c r="G456" s="41">
        <f t="shared" si="51"/>
        <v>9.1076294535863411E-5</v>
      </c>
      <c r="L456" s="40">
        <f t="shared" si="49"/>
        <v>1.4707537706600568E-3</v>
      </c>
      <c r="M456" s="40">
        <f t="shared" si="50"/>
        <v>-9.9229656105349756E-3</v>
      </c>
      <c r="O456" s="40">
        <f t="shared" si="52"/>
        <v>1.4707537706600568E-3</v>
      </c>
      <c r="P456" s="207">
        <f t="shared" si="53"/>
        <v>9.1076294535863411E-5</v>
      </c>
      <c r="Q456" s="208">
        <f t="shared" si="54"/>
        <v>1.0021992959873915</v>
      </c>
      <c r="R456" s="40">
        <f t="shared" si="55"/>
        <v>1.3766498157084626E-3</v>
      </c>
      <c r="S456" s="209">
        <v>0</v>
      </c>
    </row>
    <row r="457" spans="1:19" x14ac:dyDescent="0.45">
      <c r="A457" s="16">
        <v>44238</v>
      </c>
      <c r="B457" s="42">
        <f>'Part 2 - CAPM 2.1, 2.2 and 2.3'!N457</f>
        <v>4.8605519068387944E-3</v>
      </c>
      <c r="C457" s="42">
        <f>'Part 2 - CAPM 2.1, 2.2 and 2.3'!O457</f>
        <v>-5.5902810617737501E-3</v>
      </c>
      <c r="E457" s="16">
        <v>44238</v>
      </c>
      <c r="F457" s="17">
        <v>3.3500000000000002E-2</v>
      </c>
      <c r="G457" s="41">
        <f t="shared" si="51"/>
        <v>9.0281061773778148E-5</v>
      </c>
      <c r="L457" s="40">
        <f t="shared" si="49"/>
        <v>4.9615227609177918E-3</v>
      </c>
      <c r="M457" s="40">
        <f t="shared" si="50"/>
        <v>-5.5122946827075216E-3</v>
      </c>
      <c r="O457" s="40">
        <f t="shared" si="52"/>
        <v>4.9615227609177918E-3</v>
      </c>
      <c r="P457" s="207">
        <f t="shared" si="53"/>
        <v>9.0281061773778148E-5</v>
      </c>
      <c r="Q457" s="208">
        <f t="shared" si="54"/>
        <v>1.0021992959873915</v>
      </c>
      <c r="R457" s="40">
        <f t="shared" si="55"/>
        <v>4.8605519068387944E-3</v>
      </c>
      <c r="S457" s="209">
        <v>0</v>
      </c>
    </row>
    <row r="458" spans="1:19" x14ac:dyDescent="0.45">
      <c r="A458" s="16">
        <v>44239</v>
      </c>
      <c r="B458" s="42">
        <f>'Part 2 - CAPM 2.1, 2.2 and 2.3'!N458</f>
        <v>-5.3325051099971203E-4</v>
      </c>
      <c r="C458" s="42">
        <f>'Part 2 - CAPM 2.1, 2.2 and 2.3'!O458</f>
        <v>-2.4725246002428206E-2</v>
      </c>
      <c r="E458" s="16">
        <v>44239</v>
      </c>
      <c r="F458" s="17">
        <v>3.3300000000000003E-2</v>
      </c>
      <c r="G458" s="41">
        <f t="shared" si="51"/>
        <v>8.975077869766146E-5</v>
      </c>
      <c r="L458" s="40">
        <f t="shared" si="49"/>
        <v>-4.4467250801116678E-4</v>
      </c>
      <c r="M458" s="40">
        <f t="shared" si="50"/>
        <v>-2.4689873358050955E-2</v>
      </c>
      <c r="O458" s="40">
        <f t="shared" si="52"/>
        <v>-4.4467250801116678E-4</v>
      </c>
      <c r="P458" s="207">
        <f t="shared" si="53"/>
        <v>8.975077869766146E-5</v>
      </c>
      <c r="Q458" s="208">
        <f t="shared" si="54"/>
        <v>1.0021992959873915</v>
      </c>
      <c r="R458" s="40">
        <f t="shared" si="55"/>
        <v>-5.3325051099971203E-4</v>
      </c>
      <c r="S458" s="209">
        <v>0</v>
      </c>
    </row>
    <row r="459" spans="1:19" x14ac:dyDescent="0.45">
      <c r="A459" s="16">
        <v>44242</v>
      </c>
      <c r="B459" s="42">
        <f>'Part 2 - CAPM 2.1, 2.2 and 2.3'!N459</f>
        <v>9.7837611004833996E-3</v>
      </c>
      <c r="C459" s="42">
        <f>'Part 2 - CAPM 2.1, 2.2 and 2.3'!O459</f>
        <v>1.4858968009473145E-2</v>
      </c>
      <c r="E459" s="16">
        <v>44242</v>
      </c>
      <c r="F459" s="17">
        <v>3.32E-2</v>
      </c>
      <c r="G459" s="41">
        <f t="shared" si="51"/>
        <v>8.9485598774308173E-5</v>
      </c>
      <c r="L459" s="40">
        <f t="shared" si="49"/>
        <v>9.8947640857875978E-3</v>
      </c>
      <c r="M459" s="40">
        <f t="shared" si="50"/>
        <v>1.4981132876967467E-2</v>
      </c>
      <c r="O459" s="40">
        <f t="shared" si="52"/>
        <v>9.8947640857875978E-3</v>
      </c>
      <c r="P459" s="207">
        <f t="shared" si="53"/>
        <v>8.9485598774308173E-5</v>
      </c>
      <c r="Q459" s="208">
        <f t="shared" si="54"/>
        <v>1.0021992959873915</v>
      </c>
      <c r="R459" s="40">
        <f t="shared" si="55"/>
        <v>9.7837611004833996E-3</v>
      </c>
      <c r="S459" s="209">
        <v>0</v>
      </c>
    </row>
    <row r="460" spans="1:19" x14ac:dyDescent="0.45">
      <c r="A460" s="16">
        <v>44243</v>
      </c>
      <c r="B460" s="42">
        <f>'Part 2 - CAPM 2.1, 2.2 and 2.3'!N460</f>
        <v>1.1101098817214027E-3</v>
      </c>
      <c r="C460" s="42">
        <f>'Part 2 - CAPM 2.1, 2.2 and 2.3'!O460</f>
        <v>5.3745213329447976E-2</v>
      </c>
      <c r="E460" s="16">
        <v>44243</v>
      </c>
      <c r="F460" s="17">
        <v>3.3099999999999997E-2</v>
      </c>
      <c r="G460" s="41">
        <f t="shared" si="51"/>
        <v>8.9220393253874875E-5</v>
      </c>
      <c r="L460" s="40">
        <f t="shared" si="49"/>
        <v>1.2017717351837111E-3</v>
      </c>
      <c r="M460" s="40">
        <f t="shared" si="50"/>
        <v>5.3952635354718809E-2</v>
      </c>
      <c r="O460" s="40">
        <f t="shared" si="52"/>
        <v>1.2017717351837111E-3</v>
      </c>
      <c r="P460" s="207">
        <f t="shared" si="53"/>
        <v>8.9220393253874875E-5</v>
      </c>
      <c r="Q460" s="208">
        <f t="shared" si="54"/>
        <v>1.0021992959873915</v>
      </c>
      <c r="R460" s="40">
        <f t="shared" si="55"/>
        <v>1.1101098817214027E-3</v>
      </c>
      <c r="S460" s="209">
        <v>0</v>
      </c>
    </row>
    <row r="461" spans="1:19" x14ac:dyDescent="0.45">
      <c r="A461" s="16">
        <v>44244</v>
      </c>
      <c r="B461" s="42">
        <f>'Part 2 - CAPM 2.1, 2.2 and 2.3'!N461</f>
        <v>-4.0228974126731926E-3</v>
      </c>
      <c r="C461" s="42">
        <f>'Part 2 - CAPM 2.1, 2.2 and 2.3'!O461</f>
        <v>-1.454705171855508E-2</v>
      </c>
      <c r="E461" s="16">
        <v>44244</v>
      </c>
      <c r="F461" s="17">
        <v>3.3099999999999997E-2</v>
      </c>
      <c r="G461" s="41">
        <f t="shared" si="51"/>
        <v>8.9220393253874875E-5</v>
      </c>
      <c r="L461" s="40">
        <f t="shared" si="49"/>
        <v>-3.942524561556698E-3</v>
      </c>
      <c r="M461" s="40">
        <f t="shared" si="50"/>
        <v>-1.44898245977742E-2</v>
      </c>
      <c r="O461" s="40">
        <f t="shared" si="52"/>
        <v>-3.942524561556698E-3</v>
      </c>
      <c r="P461" s="207">
        <f t="shared" si="53"/>
        <v>8.9220393253874875E-5</v>
      </c>
      <c r="Q461" s="208">
        <f t="shared" si="54"/>
        <v>1.0021992959873915</v>
      </c>
      <c r="R461" s="40">
        <f t="shared" si="55"/>
        <v>-4.0228974126731926E-3</v>
      </c>
      <c r="S461" s="209">
        <v>0</v>
      </c>
    </row>
    <row r="462" spans="1:19" x14ac:dyDescent="0.45">
      <c r="A462" s="16">
        <v>44245</v>
      </c>
      <c r="B462" s="42">
        <f>'Part 2 - CAPM 2.1, 2.2 and 2.3'!N462</f>
        <v>-2.6074491679590902E-3</v>
      </c>
      <c r="C462" s="42">
        <f>'Part 2 - CAPM 2.1, 2.2 and 2.3'!O462</f>
        <v>8.2553488970052935E-2</v>
      </c>
      <c r="E462" s="16">
        <v>44245</v>
      </c>
      <c r="F462" s="17">
        <v>3.2300000000000002E-2</v>
      </c>
      <c r="G462" s="41">
        <f t="shared" si="51"/>
        <v>8.7097827013105089E-5</v>
      </c>
      <c r="L462" s="40">
        <f t="shared" si="49"/>
        <v>-2.5260858934384048E-3</v>
      </c>
      <c r="M462" s="40">
        <f t="shared" si="50"/>
        <v>8.2822146354103052E-2</v>
      </c>
      <c r="O462" s="40">
        <f t="shared" si="52"/>
        <v>-2.5260858934384048E-3</v>
      </c>
      <c r="P462" s="207">
        <f t="shared" si="53"/>
        <v>8.7097827013105089E-5</v>
      </c>
      <c r="Q462" s="208">
        <f t="shared" si="54"/>
        <v>1.0021992959873915</v>
      </c>
      <c r="R462" s="40">
        <f t="shared" si="55"/>
        <v>-2.6074491679590902E-3</v>
      </c>
      <c r="S462" s="209">
        <v>0</v>
      </c>
    </row>
    <row r="463" spans="1:19" x14ac:dyDescent="0.45">
      <c r="A463" s="16">
        <v>44249</v>
      </c>
      <c r="B463" s="42">
        <f>'Part 2 - CAPM 2.1, 2.2 and 2.3'!N463</f>
        <v>-2.8190850813044413E-2</v>
      </c>
      <c r="C463" s="42">
        <f>'Part 2 - CAPM 2.1, 2.2 and 2.3'!O463</f>
        <v>-3.9833631066446197E-2</v>
      </c>
      <c r="E463" s="16">
        <v>44249</v>
      </c>
      <c r="F463" s="17">
        <v>3.2099999999999997E-2</v>
      </c>
      <c r="G463" s="41">
        <f t="shared" si="51"/>
        <v>8.6566929138109927E-5</v>
      </c>
      <c r="L463" s="40">
        <f t="shared" si="49"/>
        <v>-2.8166283908980586E-2</v>
      </c>
      <c r="M463" s="40">
        <f t="shared" si="50"/>
        <v>-3.9834670082275758E-2</v>
      </c>
      <c r="O463" s="40">
        <f t="shared" si="52"/>
        <v>-2.8166283908980586E-2</v>
      </c>
      <c r="P463" s="207">
        <f t="shared" si="53"/>
        <v>8.6566929138109927E-5</v>
      </c>
      <c r="Q463" s="208">
        <f t="shared" si="54"/>
        <v>1.0021992959873915</v>
      </c>
      <c r="R463" s="40">
        <f t="shared" si="55"/>
        <v>-2.8190850813044413E-2</v>
      </c>
      <c r="S463" s="209">
        <v>0</v>
      </c>
    </row>
    <row r="464" spans="1:19" x14ac:dyDescent="0.45">
      <c r="A464" s="16">
        <v>44250</v>
      </c>
      <c r="B464" s="42">
        <f>'Part 2 - CAPM 2.1, 2.2 and 2.3'!N464</f>
        <v>4.1014820888783865E-3</v>
      </c>
      <c r="C464" s="42">
        <f>'Part 2 - CAPM 2.1, 2.2 and 2.3'!O464</f>
        <v>5.5416460177304568E-2</v>
      </c>
      <c r="E464" s="16">
        <v>44250</v>
      </c>
      <c r="F464" s="17">
        <v>3.2199999999999999E-2</v>
      </c>
      <c r="G464" s="41">
        <f t="shared" si="51"/>
        <v>8.6832390898683443E-5</v>
      </c>
      <c r="L464" s="40">
        <f t="shared" si="49"/>
        <v>4.1973348528774983E-3</v>
      </c>
      <c r="M464" s="40">
        <f t="shared" si="50"/>
        <v>5.5625169766706638E-2</v>
      </c>
      <c r="O464" s="40">
        <f t="shared" si="52"/>
        <v>4.1973348528774983E-3</v>
      </c>
      <c r="P464" s="207">
        <f t="shared" si="53"/>
        <v>8.6832390898683443E-5</v>
      </c>
      <c r="Q464" s="208">
        <f t="shared" si="54"/>
        <v>1.0021992959873915</v>
      </c>
      <c r="R464" s="40">
        <f t="shared" si="55"/>
        <v>4.1014820888783865E-3</v>
      </c>
      <c r="S464" s="209">
        <v>0</v>
      </c>
    </row>
    <row r="465" spans="1:19" x14ac:dyDescent="0.45">
      <c r="A465" s="16">
        <v>44251</v>
      </c>
      <c r="B465" s="42">
        <f>'Part 2 - CAPM 2.1, 2.2 and 2.3'!N465</f>
        <v>1.5528622613985091E-2</v>
      </c>
      <c r="C465" s="42">
        <f>'Part 2 - CAPM 2.1, 2.2 and 2.3'!O465</f>
        <v>1.2391151430933115E-2</v>
      </c>
      <c r="E465" s="16">
        <v>44251</v>
      </c>
      <c r="F465" s="17">
        <v>3.2099999999999997E-2</v>
      </c>
      <c r="G465" s="41">
        <f t="shared" si="51"/>
        <v>8.6566929138109927E-5</v>
      </c>
      <c r="L465" s="40">
        <f t="shared" si="49"/>
        <v>1.5649341580527856E-2</v>
      </c>
      <c r="M465" s="40">
        <f t="shared" si="50"/>
        <v>1.2504970169692438E-2</v>
      </c>
      <c r="O465" s="40">
        <f t="shared" si="52"/>
        <v>1.5649341580527856E-2</v>
      </c>
      <c r="P465" s="207">
        <f t="shared" si="53"/>
        <v>8.6566929138109927E-5</v>
      </c>
      <c r="Q465" s="208">
        <f t="shared" si="54"/>
        <v>1.0021992959873915</v>
      </c>
      <c r="R465" s="40">
        <f t="shared" si="55"/>
        <v>1.5528622613985091E-2</v>
      </c>
      <c r="S465" s="209">
        <v>0</v>
      </c>
    </row>
    <row r="466" spans="1:19" x14ac:dyDescent="0.45">
      <c r="A466" s="16">
        <v>44252</v>
      </c>
      <c r="B466" s="42">
        <f>'Part 2 - CAPM 2.1, 2.2 and 2.3'!N466</f>
        <v>8.9586447940913101E-3</v>
      </c>
      <c r="C466" s="42">
        <f>'Part 2 - CAPM 2.1, 2.2 and 2.3'!O466</f>
        <v>4.7889581722747897E-2</v>
      </c>
      <c r="E466" s="16">
        <v>44252</v>
      </c>
      <c r="F466" s="17">
        <v>3.1800000000000002E-2</v>
      </c>
      <c r="G466" s="41">
        <f t="shared" si="51"/>
        <v>8.5770389928185864E-5</v>
      </c>
      <c r="L466" s="40">
        <f t="shared" si="49"/>
        <v>9.0641178955676079E-3</v>
      </c>
      <c r="M466" s="40">
        <f t="shared" si="50"/>
        <v>4.8080675477596785E-2</v>
      </c>
      <c r="O466" s="40">
        <f t="shared" si="52"/>
        <v>9.0641178955676079E-3</v>
      </c>
      <c r="P466" s="207">
        <f t="shared" si="53"/>
        <v>8.5770389928185864E-5</v>
      </c>
      <c r="Q466" s="208">
        <f t="shared" si="54"/>
        <v>1.0021992959873915</v>
      </c>
      <c r="R466" s="40">
        <f t="shared" si="55"/>
        <v>8.9586447940913101E-3</v>
      </c>
      <c r="S466" s="209">
        <v>0</v>
      </c>
    </row>
    <row r="467" spans="1:19" x14ac:dyDescent="0.45">
      <c r="A467" s="16">
        <v>44253</v>
      </c>
      <c r="B467" s="42">
        <f>'Part 2 - CAPM 2.1, 2.2 and 2.3'!N467</f>
        <v>-3.0834598743744602E-2</v>
      </c>
      <c r="C467" s="42">
        <f>'Part 2 - CAPM 2.1, 2.2 and 2.3'!O467</f>
        <v>-6.7704152452580033E-2</v>
      </c>
      <c r="E467" s="16">
        <v>44253</v>
      </c>
      <c r="F467" s="17">
        <v>3.1699999999999999E-2</v>
      </c>
      <c r="G467" s="41">
        <f t="shared" si="51"/>
        <v>8.5504825532600748E-5</v>
      </c>
      <c r="L467" s="40">
        <f t="shared" si="49"/>
        <v>-3.0816908327501946E-2</v>
      </c>
      <c r="M467" s="40">
        <f t="shared" si="50"/>
        <v>-6.7767549097866142E-2</v>
      </c>
      <c r="O467" s="40">
        <f t="shared" si="52"/>
        <v>-3.0816908327501946E-2</v>
      </c>
      <c r="P467" s="207">
        <f t="shared" si="53"/>
        <v>8.5504825532600748E-5</v>
      </c>
      <c r="Q467" s="208">
        <f t="shared" si="54"/>
        <v>1.0021992959873915</v>
      </c>
      <c r="R467" s="40">
        <f t="shared" si="55"/>
        <v>-3.0834598743744602E-2</v>
      </c>
      <c r="S467" s="209">
        <v>0</v>
      </c>
    </row>
    <row r="468" spans="1:19" x14ac:dyDescent="0.45">
      <c r="A468" s="16">
        <v>44256</v>
      </c>
      <c r="B468" s="42">
        <f>'Part 2 - CAPM 2.1, 2.2 and 2.3'!N468</f>
        <v>1.5256231624731675E-2</v>
      </c>
      <c r="C468" s="42">
        <f>'Part 2 - CAPM 2.1, 2.2 and 2.3'!O468</f>
        <v>5.4417672113605799E-2</v>
      </c>
      <c r="E468" s="16">
        <v>44256</v>
      </c>
      <c r="F468" s="17">
        <v>3.2199999999999999E-2</v>
      </c>
      <c r="G468" s="41">
        <f t="shared" si="51"/>
        <v>8.6832390898683443E-5</v>
      </c>
      <c r="L468" s="40">
        <f t="shared" si="49"/>
        <v>1.5376616984625346E-2</v>
      </c>
      <c r="M468" s="40">
        <f t="shared" si="50"/>
        <v>5.4624185072427126E-2</v>
      </c>
      <c r="O468" s="40">
        <f t="shared" si="52"/>
        <v>1.5376616984625346E-2</v>
      </c>
      <c r="P468" s="207">
        <f t="shared" si="53"/>
        <v>8.6832390898683443E-5</v>
      </c>
      <c r="Q468" s="208">
        <f t="shared" si="54"/>
        <v>1.0021992959873915</v>
      </c>
      <c r="R468" s="40">
        <f t="shared" si="55"/>
        <v>1.5256231624731675E-2</v>
      </c>
      <c r="S468" s="209">
        <v>0</v>
      </c>
    </row>
    <row r="469" spans="1:19" x14ac:dyDescent="0.45">
      <c r="A469" s="16">
        <v>44257</v>
      </c>
      <c r="B469" s="42">
        <f>'Part 2 - CAPM 2.1, 2.2 and 2.3'!N469</f>
        <v>1.2129882921634192E-2</v>
      </c>
      <c r="C469" s="42">
        <f>'Part 2 - CAPM 2.1, 2.2 and 2.3'!O469</f>
        <v>-3.0415751656169911E-2</v>
      </c>
      <c r="E469" s="16">
        <v>44257</v>
      </c>
      <c r="F469" s="17">
        <v>3.2199999999999999E-2</v>
      </c>
      <c r="G469" s="41">
        <f t="shared" si="51"/>
        <v>8.6832390898683443E-5</v>
      </c>
      <c r="L469" s="40">
        <f t="shared" si="49"/>
        <v>1.2243392515369956E-2</v>
      </c>
      <c r="M469" s="40">
        <f t="shared" si="50"/>
        <v>-3.039581250584214E-2</v>
      </c>
      <c r="O469" s="40">
        <f t="shared" si="52"/>
        <v>1.2243392515369956E-2</v>
      </c>
      <c r="P469" s="207">
        <f t="shared" si="53"/>
        <v>8.6832390898683443E-5</v>
      </c>
      <c r="Q469" s="208">
        <f t="shared" si="54"/>
        <v>1.0021992959873915</v>
      </c>
      <c r="R469" s="40">
        <f t="shared" si="55"/>
        <v>1.2129882921634192E-2</v>
      </c>
      <c r="S469" s="209">
        <v>0</v>
      </c>
    </row>
    <row r="470" spans="1:19" x14ac:dyDescent="0.45">
      <c r="A470" s="16">
        <v>44258</v>
      </c>
      <c r="B470" s="42">
        <f>'Part 2 - CAPM 2.1, 2.2 and 2.3'!N470</f>
        <v>1.9513684368872731E-2</v>
      </c>
      <c r="C470" s="42">
        <f>'Part 2 - CAPM 2.1, 2.2 and 2.3'!O470</f>
        <v>4.3173923620849148E-3</v>
      </c>
      <c r="E470" s="16">
        <v>44258</v>
      </c>
      <c r="F470" s="17">
        <v>3.2599999999999997E-2</v>
      </c>
      <c r="G470" s="41">
        <f t="shared" si="51"/>
        <v>8.7893981527420451E-5</v>
      </c>
      <c r="L470" s="40">
        <f t="shared" si="49"/>
        <v>1.9644494718131837E-2</v>
      </c>
      <c r="M470" s="40">
        <f t="shared" si="50"/>
        <v>4.4147815673102634E-3</v>
      </c>
      <c r="O470" s="40">
        <f t="shared" si="52"/>
        <v>1.9644494718131837E-2</v>
      </c>
      <c r="P470" s="207">
        <f t="shared" si="53"/>
        <v>8.7893981527420451E-5</v>
      </c>
      <c r="Q470" s="208">
        <f t="shared" si="54"/>
        <v>1.0021992959873915</v>
      </c>
      <c r="R470" s="40">
        <f t="shared" si="55"/>
        <v>1.9513684368872731E-2</v>
      </c>
      <c r="S470" s="209">
        <v>0</v>
      </c>
    </row>
    <row r="471" spans="1:19" x14ac:dyDescent="0.45">
      <c r="A471" s="16">
        <v>44259</v>
      </c>
      <c r="B471" s="42">
        <f>'Part 2 - CAPM 2.1, 2.2 and 2.3'!N471</f>
        <v>-6.0375847516782313E-3</v>
      </c>
      <c r="C471" s="42">
        <f>'Part 2 - CAPM 2.1, 2.2 and 2.3'!O471</f>
        <v>-1.1491137394252388E-2</v>
      </c>
      <c r="E471" s="16">
        <v>44259</v>
      </c>
      <c r="F471" s="17">
        <v>3.2500000000000001E-2</v>
      </c>
      <c r="G471" s="41">
        <f t="shared" si="51"/>
        <v>8.7628622322588612E-5</v>
      </c>
      <c r="L471" s="40">
        <f t="shared" si="49"/>
        <v>-5.9632345652735454E-3</v>
      </c>
      <c r="M471" s="40">
        <f t="shared" si="50"/>
        <v>-1.1428781184291543E-2</v>
      </c>
      <c r="O471" s="40">
        <f t="shared" si="52"/>
        <v>-5.9632345652735454E-3</v>
      </c>
      <c r="P471" s="207">
        <f t="shared" si="53"/>
        <v>8.7628622322588612E-5</v>
      </c>
      <c r="Q471" s="208">
        <f t="shared" si="54"/>
        <v>1.0021992959873915</v>
      </c>
      <c r="R471" s="40">
        <f t="shared" si="55"/>
        <v>-6.0375847516782313E-3</v>
      </c>
      <c r="S471" s="209">
        <v>0</v>
      </c>
    </row>
    <row r="472" spans="1:19" x14ac:dyDescent="0.45">
      <c r="A472" s="16">
        <v>44260</v>
      </c>
      <c r="B472" s="42">
        <f>'Part 2 - CAPM 2.1, 2.2 and 2.3'!N472</f>
        <v>-1.1898005475543771E-2</v>
      </c>
      <c r="C472" s="42">
        <f>'Part 2 - CAPM 2.1, 2.2 and 2.3'!O472</f>
        <v>1.987608291908427E-2</v>
      </c>
      <c r="E472" s="16">
        <v>44260</v>
      </c>
      <c r="F472" s="17">
        <v>3.2799999999999996E-2</v>
      </c>
      <c r="G472" s="41">
        <f t="shared" si="51"/>
        <v>8.8424623063021457E-5</v>
      </c>
      <c r="L472" s="40">
        <f t="shared" si="49"/>
        <v>-1.1835748088181075E-2</v>
      </c>
      <c r="M472" s="40">
        <f t="shared" si="50"/>
        <v>2.0008220931556294E-2</v>
      </c>
      <c r="O472" s="40">
        <f t="shared" si="52"/>
        <v>-1.1835748088181075E-2</v>
      </c>
      <c r="P472" s="207">
        <f t="shared" si="53"/>
        <v>8.8424623063021457E-5</v>
      </c>
      <c r="Q472" s="208">
        <f t="shared" si="54"/>
        <v>1.0021992959873915</v>
      </c>
      <c r="R472" s="40">
        <f t="shared" si="55"/>
        <v>-1.1898005475543771E-2</v>
      </c>
      <c r="S472" s="209">
        <v>0</v>
      </c>
    </row>
    <row r="473" spans="1:19" x14ac:dyDescent="0.45">
      <c r="A473" s="16">
        <v>44263</v>
      </c>
      <c r="B473" s="42">
        <f>'Part 2 - CAPM 2.1, 2.2 and 2.3'!N473</f>
        <v>1.501815574526708E-3</v>
      </c>
      <c r="C473" s="42">
        <f>'Part 2 - CAPM 2.1, 2.2 and 2.3'!O473</f>
        <v>2.8618913578037964E-2</v>
      </c>
      <c r="E473" s="16">
        <v>44263</v>
      </c>
      <c r="F473" s="17">
        <v>3.3099999999999997E-2</v>
      </c>
      <c r="G473" s="41">
        <f t="shared" si="51"/>
        <v>8.9220393253874875E-5</v>
      </c>
      <c r="L473" s="40">
        <f t="shared" si="49"/>
        <v>1.5943389047474415E-3</v>
      </c>
      <c r="M473" s="40">
        <f t="shared" si="50"/>
        <v>2.8771075433087524E-2</v>
      </c>
      <c r="O473" s="40">
        <f t="shared" si="52"/>
        <v>1.5943389047474415E-3</v>
      </c>
      <c r="P473" s="207">
        <f t="shared" si="53"/>
        <v>8.9220393253874875E-5</v>
      </c>
      <c r="Q473" s="208">
        <f t="shared" si="54"/>
        <v>1.0021992959873915</v>
      </c>
      <c r="R473" s="40">
        <f t="shared" si="55"/>
        <v>1.501815574526708E-3</v>
      </c>
      <c r="S473" s="209">
        <v>0</v>
      </c>
    </row>
    <row r="474" spans="1:19" x14ac:dyDescent="0.45">
      <c r="A474" s="16">
        <v>44264</v>
      </c>
      <c r="B474" s="42">
        <f>'Part 2 - CAPM 2.1, 2.2 and 2.3'!N474</f>
        <v>4.5486409962037753E-3</v>
      </c>
      <c r="C474" s="42">
        <f>'Part 2 - CAPM 2.1, 2.2 and 2.3'!O474</f>
        <v>-1.2774475027949784E-2</v>
      </c>
      <c r="E474" s="16">
        <v>44264</v>
      </c>
      <c r="F474" s="17">
        <v>3.32E-2</v>
      </c>
      <c r="G474" s="41">
        <f t="shared" si="51"/>
        <v>8.9485598774308173E-5</v>
      </c>
      <c r="L474" s="40">
        <f t="shared" si="49"/>
        <v>4.6481304028691195E-3</v>
      </c>
      <c r="M474" s="40">
        <f t="shared" si="50"/>
        <v>-1.2713084280845478E-2</v>
      </c>
      <c r="O474" s="40">
        <f t="shared" si="52"/>
        <v>4.6481304028691195E-3</v>
      </c>
      <c r="P474" s="207">
        <f t="shared" si="53"/>
        <v>8.9485598774308173E-5</v>
      </c>
      <c r="Q474" s="208">
        <f t="shared" si="54"/>
        <v>1.0021992959873915</v>
      </c>
      <c r="R474" s="40">
        <f t="shared" si="55"/>
        <v>4.5486409962037753E-3</v>
      </c>
      <c r="S474" s="209">
        <v>0</v>
      </c>
    </row>
    <row r="475" spans="1:19" x14ac:dyDescent="0.45">
      <c r="A475" s="16">
        <v>44265</v>
      </c>
      <c r="B475" s="42">
        <f>'Part 2 - CAPM 2.1, 2.2 and 2.3'!N475</f>
        <v>5.7874126036794558E-3</v>
      </c>
      <c r="C475" s="42">
        <f>'Part 2 - CAPM 2.1, 2.2 and 2.3'!O475</f>
        <v>-2.0217965256161839E-2</v>
      </c>
      <c r="E475" s="16">
        <v>44265</v>
      </c>
      <c r="F475" s="17">
        <v>3.32E-2</v>
      </c>
      <c r="G475" s="41">
        <f t="shared" si="51"/>
        <v>8.9485598774308173E-5</v>
      </c>
      <c r="L475" s="40">
        <f t="shared" si="49"/>
        <v>5.8896264357704156E-3</v>
      </c>
      <c r="M475" s="40">
        <f t="shared" si="50"/>
        <v>-2.0172944947248628E-2</v>
      </c>
      <c r="O475" s="40">
        <f t="shared" si="52"/>
        <v>5.8896264357704156E-3</v>
      </c>
      <c r="P475" s="207">
        <f t="shared" si="53"/>
        <v>8.9485598774308173E-5</v>
      </c>
      <c r="Q475" s="208">
        <f t="shared" si="54"/>
        <v>1.0021992959873915</v>
      </c>
      <c r="R475" s="40">
        <f t="shared" si="55"/>
        <v>5.7874126036794558E-3</v>
      </c>
      <c r="S475" s="209">
        <v>0</v>
      </c>
    </row>
    <row r="476" spans="1:19" x14ac:dyDescent="0.45">
      <c r="A476" s="16">
        <v>44267</v>
      </c>
      <c r="B476" s="42">
        <f>'Part 2 - CAPM 2.1, 2.2 and 2.3'!N476</f>
        <v>-7.7674133245812047E-3</v>
      </c>
      <c r="C476" s="42">
        <f>'Part 2 - CAPM 2.1, 2.2 and 2.3'!O476</f>
        <v>5.5928630196861867E-3</v>
      </c>
      <c r="E476" s="16">
        <v>44267</v>
      </c>
      <c r="F476" s="17">
        <v>3.3000000000000002E-2</v>
      </c>
      <c r="G476" s="41">
        <f t="shared" si="51"/>
        <v>8.8955162131920673E-5</v>
      </c>
      <c r="L476" s="40">
        <f t="shared" si="49"/>
        <v>-7.6955410034064472E-3</v>
      </c>
      <c r="M476" s="40">
        <f t="shared" si="50"/>
        <v>5.6941185430153338E-3</v>
      </c>
      <c r="O476" s="40">
        <f t="shared" si="52"/>
        <v>-7.6955410034064472E-3</v>
      </c>
      <c r="P476" s="207">
        <f t="shared" si="53"/>
        <v>8.8955162131920673E-5</v>
      </c>
      <c r="Q476" s="208">
        <f t="shared" si="54"/>
        <v>1.0021992959873915</v>
      </c>
      <c r="R476" s="40">
        <f t="shared" si="55"/>
        <v>-7.7674133245812047E-3</v>
      </c>
      <c r="S476" s="209">
        <v>0</v>
      </c>
    </row>
    <row r="477" spans="1:19" x14ac:dyDescent="0.45">
      <c r="A477" s="16">
        <v>44270</v>
      </c>
      <c r="B477" s="42">
        <f>'Part 2 - CAPM 2.1, 2.2 and 2.3'!N477</f>
        <v>-6.7397956416868866E-3</v>
      </c>
      <c r="C477" s="42">
        <f>'Part 2 - CAPM 2.1, 2.2 and 2.3'!O477</f>
        <v>-6.1740619477546185E-3</v>
      </c>
      <c r="E477" s="16">
        <v>44270</v>
      </c>
      <c r="F477" s="17">
        <v>3.3300000000000003E-2</v>
      </c>
      <c r="G477" s="41">
        <f t="shared" si="51"/>
        <v>8.975077869766146E-5</v>
      </c>
      <c r="L477" s="40">
        <f t="shared" si="49"/>
        <v>-6.6648676684998263E-3</v>
      </c>
      <c r="M477" s="40">
        <f t="shared" si="50"/>
        <v>-6.0978897587245602E-3</v>
      </c>
      <c r="O477" s="40">
        <f t="shared" si="52"/>
        <v>-6.6648676684998263E-3</v>
      </c>
      <c r="P477" s="207">
        <f t="shared" si="53"/>
        <v>8.975077869766146E-5</v>
      </c>
      <c r="Q477" s="208">
        <f t="shared" si="54"/>
        <v>1.0021992959873915</v>
      </c>
      <c r="R477" s="40">
        <f t="shared" si="55"/>
        <v>-6.7397956416868866E-3</v>
      </c>
      <c r="S477" s="209">
        <v>0</v>
      </c>
    </row>
    <row r="478" spans="1:19" x14ac:dyDescent="0.45">
      <c r="A478" s="16">
        <v>44271</v>
      </c>
      <c r="B478" s="42">
        <f>'Part 2 - CAPM 2.1, 2.2 and 2.3'!N478</f>
        <v>1.135534246233547E-4</v>
      </c>
      <c r="C478" s="42">
        <f>'Part 2 - CAPM 2.1, 2.2 and 2.3'!O478</f>
        <v>6.4685296072249108E-3</v>
      </c>
      <c r="E478" s="16">
        <v>44271</v>
      </c>
      <c r="F478" s="17">
        <v>3.3500000000000002E-2</v>
      </c>
      <c r="G478" s="41">
        <f t="shared" si="51"/>
        <v>9.0281061773778148E-5</v>
      </c>
      <c r="L478" s="40">
        <f t="shared" si="49"/>
        <v>2.0408422398826155E-4</v>
      </c>
      <c r="M478" s="40">
        <f t="shared" si="50"/>
        <v>6.5730368802081824E-3</v>
      </c>
      <c r="O478" s="40">
        <f t="shared" si="52"/>
        <v>2.0408422398826155E-4</v>
      </c>
      <c r="P478" s="207">
        <f t="shared" si="53"/>
        <v>9.0281061773778148E-5</v>
      </c>
      <c r="Q478" s="208">
        <f t="shared" si="54"/>
        <v>1.0021992959873915</v>
      </c>
      <c r="R478" s="40">
        <f t="shared" si="55"/>
        <v>1.135534246233547E-4</v>
      </c>
      <c r="S478" s="209">
        <v>0</v>
      </c>
    </row>
    <row r="479" spans="1:19" x14ac:dyDescent="0.45">
      <c r="A479" s="16">
        <v>44272</v>
      </c>
      <c r="B479" s="42">
        <f>'Part 2 - CAPM 2.1, 2.2 and 2.3'!N479</f>
        <v>-1.5498626183130566E-2</v>
      </c>
      <c r="C479" s="42">
        <f>'Part 2 - CAPM 2.1, 2.2 and 2.3'!O479</f>
        <v>-5.004684057524033E-2</v>
      </c>
      <c r="E479" s="16">
        <v>44272</v>
      </c>
      <c r="F479" s="17">
        <v>3.3500000000000002E-2</v>
      </c>
      <c r="G479" s="41">
        <f t="shared" si="51"/>
        <v>9.0281061773778148E-5</v>
      </c>
      <c r="L479" s="40">
        <f t="shared" si="49"/>
        <v>-1.5442431187731429E-2</v>
      </c>
      <c r="M479" s="40">
        <f t="shared" si="50"/>
        <v>-5.0066627329125299E-2</v>
      </c>
      <c r="O479" s="40">
        <f t="shared" si="52"/>
        <v>-1.5442431187731429E-2</v>
      </c>
      <c r="P479" s="207">
        <f t="shared" si="53"/>
        <v>9.0281061773778148E-5</v>
      </c>
      <c r="Q479" s="208">
        <f t="shared" si="54"/>
        <v>1.0021992959873915</v>
      </c>
      <c r="R479" s="40">
        <f t="shared" si="55"/>
        <v>-1.5498626183130566E-2</v>
      </c>
      <c r="S479" s="209">
        <v>0</v>
      </c>
    </row>
    <row r="480" spans="1:19" x14ac:dyDescent="0.45">
      <c r="A480" s="16">
        <v>44273</v>
      </c>
      <c r="B480" s="42">
        <f>'Part 2 - CAPM 2.1, 2.2 and 2.3'!N480</f>
        <v>-1.1895587921033329E-2</v>
      </c>
      <c r="C480" s="42">
        <f>'Part 2 - CAPM 2.1, 2.2 and 2.3'!O480</f>
        <v>7.6837197052952722E-3</v>
      </c>
      <c r="E480" s="16">
        <v>44273</v>
      </c>
      <c r="F480" s="17">
        <v>3.32E-2</v>
      </c>
      <c r="G480" s="41">
        <f t="shared" si="51"/>
        <v>8.9485598774308173E-5</v>
      </c>
      <c r="L480" s="40">
        <f t="shared" si="49"/>
        <v>-1.1832264241041413E-2</v>
      </c>
      <c r="M480" s="40">
        <f t="shared" si="50"/>
        <v>7.7901040779856778E-3</v>
      </c>
      <c r="O480" s="40">
        <f t="shared" si="52"/>
        <v>-1.1832264241041413E-2</v>
      </c>
      <c r="P480" s="207">
        <f t="shared" si="53"/>
        <v>8.9485598774308173E-5</v>
      </c>
      <c r="Q480" s="208">
        <f t="shared" si="54"/>
        <v>1.0021992959873915</v>
      </c>
      <c r="R480" s="40">
        <f t="shared" si="55"/>
        <v>-1.1895587921033329E-2</v>
      </c>
      <c r="S480" s="209">
        <v>0</v>
      </c>
    </row>
    <row r="481" spans="1:19" x14ac:dyDescent="0.45">
      <c r="A481" s="16">
        <v>44274</v>
      </c>
      <c r="B481" s="42">
        <f>'Part 2 - CAPM 2.1, 2.2 and 2.3'!N481</f>
        <v>1.141384897324179E-2</v>
      </c>
      <c r="C481" s="42">
        <f>'Part 2 - CAPM 2.1, 2.2 and 2.3'!O481</f>
        <v>2.6325722703041277E-3</v>
      </c>
      <c r="E481" s="16">
        <v>44274</v>
      </c>
      <c r="F481" s="17">
        <v>3.3300000000000003E-2</v>
      </c>
      <c r="G481" s="41">
        <f t="shared" si="51"/>
        <v>8.975077869766146E-5</v>
      </c>
      <c r="L481" s="40">
        <f t="shared" si="49"/>
        <v>1.1528702184186996E-2</v>
      </c>
      <c r="M481" s="40">
        <f t="shared" si="50"/>
        <v>2.7281128546323874E-3</v>
      </c>
      <c r="O481" s="40">
        <f t="shared" si="52"/>
        <v>1.1528702184186996E-2</v>
      </c>
      <c r="P481" s="207">
        <f t="shared" si="53"/>
        <v>8.975077869766146E-5</v>
      </c>
      <c r="Q481" s="208">
        <f t="shared" si="54"/>
        <v>1.0021992959873915</v>
      </c>
      <c r="R481" s="40">
        <f t="shared" si="55"/>
        <v>1.141384897324179E-2</v>
      </c>
      <c r="S481" s="209">
        <v>0</v>
      </c>
    </row>
    <row r="482" spans="1:19" x14ac:dyDescent="0.45">
      <c r="A482" s="16">
        <v>44277</v>
      </c>
      <c r="B482" s="42">
        <f>'Part 2 - CAPM 2.1, 2.2 and 2.3'!N482</f>
        <v>1.8672917321635482E-3</v>
      </c>
      <c r="C482" s="42">
        <f>'Part 2 - CAPM 2.1, 2.2 and 2.3'!O482</f>
        <v>-8.2345471587882101E-3</v>
      </c>
      <c r="E482" s="16">
        <v>44277</v>
      </c>
      <c r="F482" s="17">
        <v>3.3300000000000003E-2</v>
      </c>
      <c r="G482" s="41">
        <f t="shared" si="51"/>
        <v>8.975077869766146E-5</v>
      </c>
      <c r="L482" s="40">
        <f t="shared" si="49"/>
        <v>1.9611492380750464E-3</v>
      </c>
      <c r="M482" s="40">
        <f t="shared" si="50"/>
        <v>-8.1629065866148584E-3</v>
      </c>
      <c r="O482" s="40">
        <f t="shared" si="52"/>
        <v>1.9611492380750464E-3</v>
      </c>
      <c r="P482" s="207">
        <f t="shared" si="53"/>
        <v>8.975077869766146E-5</v>
      </c>
      <c r="Q482" s="208">
        <f t="shared" si="54"/>
        <v>1.0021992959873915</v>
      </c>
      <c r="R482" s="40">
        <f t="shared" si="55"/>
        <v>1.8672917321635482E-3</v>
      </c>
      <c r="S482" s="209">
        <v>0</v>
      </c>
    </row>
    <row r="483" spans="1:19" x14ac:dyDescent="0.45">
      <c r="A483" s="16">
        <v>44278</v>
      </c>
      <c r="B483" s="42">
        <f>'Part 2 - CAPM 2.1, 2.2 and 2.3'!N483</f>
        <v>6.2886065714067999E-3</v>
      </c>
      <c r="C483" s="42">
        <f>'Part 2 - CAPM 2.1, 2.2 and 2.3'!O483</f>
        <v>-2.2443765377237704E-2</v>
      </c>
      <c r="E483" s="16">
        <v>44278</v>
      </c>
      <c r="F483" s="17">
        <v>3.3300000000000003E-2</v>
      </c>
      <c r="G483" s="41">
        <f t="shared" si="51"/>
        <v>8.975077869766146E-5</v>
      </c>
      <c r="L483" s="40">
        <f t="shared" si="49"/>
        <v>6.3921878573032402E-3</v>
      </c>
      <c r="M483" s="40">
        <f t="shared" si="50"/>
        <v>-2.2403375081676159E-2</v>
      </c>
      <c r="O483" s="40">
        <f t="shared" si="52"/>
        <v>6.3921878573032402E-3</v>
      </c>
      <c r="P483" s="207">
        <f t="shared" si="53"/>
        <v>8.975077869766146E-5</v>
      </c>
      <c r="Q483" s="208">
        <f t="shared" si="54"/>
        <v>1.0021992959873915</v>
      </c>
      <c r="R483" s="40">
        <f t="shared" si="55"/>
        <v>6.2886065714067999E-3</v>
      </c>
      <c r="S483" s="209">
        <v>0</v>
      </c>
    </row>
    <row r="484" spans="1:19" x14ac:dyDescent="0.45">
      <c r="A484" s="16">
        <v>44279</v>
      </c>
      <c r="B484" s="42">
        <f>'Part 2 - CAPM 2.1, 2.2 and 2.3'!N484</f>
        <v>-1.7815021167590459E-2</v>
      </c>
      <c r="C484" s="42">
        <f>'Part 2 - CAPM 2.1, 2.2 and 2.3'!O484</f>
        <v>-2.2021621987283833E-2</v>
      </c>
      <c r="E484" s="16">
        <v>44279</v>
      </c>
      <c r="F484" s="17">
        <v>3.3300000000000003E-2</v>
      </c>
      <c r="G484" s="41">
        <f t="shared" si="51"/>
        <v>8.975077869766146E-5</v>
      </c>
      <c r="L484" s="40">
        <f t="shared" si="49"/>
        <v>-1.7764450893461976E-2</v>
      </c>
      <c r="M484" s="40">
        <f t="shared" si="50"/>
        <v>-2.1980303273458658E-2</v>
      </c>
      <c r="O484" s="40">
        <f t="shared" si="52"/>
        <v>-1.7764450893461976E-2</v>
      </c>
      <c r="P484" s="207">
        <f t="shared" si="53"/>
        <v>8.975077869766146E-5</v>
      </c>
      <c r="Q484" s="208">
        <f t="shared" si="54"/>
        <v>1.0021992959873915</v>
      </c>
      <c r="R484" s="40">
        <f t="shared" si="55"/>
        <v>-1.7815021167590459E-2</v>
      </c>
      <c r="S484" s="209">
        <v>0</v>
      </c>
    </row>
    <row r="485" spans="1:19" x14ac:dyDescent="0.45">
      <c r="A485" s="16">
        <v>44280</v>
      </c>
      <c r="B485" s="42">
        <f>'Part 2 - CAPM 2.1, 2.2 and 2.3'!N485</f>
        <v>-1.6806437030250504E-2</v>
      </c>
      <c r="C485" s="42">
        <f>'Part 2 - CAPM 2.1, 2.2 and 2.3'!O485</f>
        <v>-2.680704285068268E-2</v>
      </c>
      <c r="E485" s="16">
        <v>44280</v>
      </c>
      <c r="F485" s="17">
        <v>3.32E-2</v>
      </c>
      <c r="G485" s="41">
        <f t="shared" si="51"/>
        <v>8.9485598774308173E-5</v>
      </c>
      <c r="L485" s="40">
        <f t="shared" si="49"/>
        <v>-1.6753913760999176E-2</v>
      </c>
      <c r="M485" s="40">
        <f t="shared" si="50"/>
        <v>-2.677651387368371E-2</v>
      </c>
      <c r="O485" s="40">
        <f t="shared" si="52"/>
        <v>-1.6753913760999176E-2</v>
      </c>
      <c r="P485" s="207">
        <f t="shared" si="53"/>
        <v>8.9485598774308173E-5</v>
      </c>
      <c r="Q485" s="208">
        <f t="shared" si="54"/>
        <v>1.0021992959873915</v>
      </c>
      <c r="R485" s="40">
        <f t="shared" si="55"/>
        <v>-1.6806437030250504E-2</v>
      </c>
      <c r="S485" s="209">
        <v>0</v>
      </c>
    </row>
    <row r="486" spans="1:19" x14ac:dyDescent="0.45">
      <c r="A486" s="16">
        <v>44281</v>
      </c>
      <c r="B486" s="42">
        <f>'Part 2 - CAPM 2.1, 2.2 and 2.3'!N486</f>
        <v>1.288469004007143E-2</v>
      </c>
      <c r="C486" s="42">
        <f>'Part 2 - CAPM 2.1, 2.2 and 2.3'!O486</f>
        <v>3.832348234197161E-3</v>
      </c>
      <c r="E486" s="16">
        <v>44281</v>
      </c>
      <c r="F486" s="17">
        <v>3.3099999999999997E-2</v>
      </c>
      <c r="G486" s="41">
        <f t="shared" si="51"/>
        <v>8.9220393253874875E-5</v>
      </c>
      <c r="L486" s="40">
        <f t="shared" si="49"/>
        <v>1.3002247680429218E-2</v>
      </c>
      <c r="M486" s="40">
        <f t="shared" si="50"/>
        <v>3.9299970955447927E-3</v>
      </c>
      <c r="O486" s="40">
        <f t="shared" si="52"/>
        <v>1.3002247680429218E-2</v>
      </c>
      <c r="P486" s="207">
        <f t="shared" si="53"/>
        <v>8.9220393253874875E-5</v>
      </c>
      <c r="Q486" s="208">
        <f t="shared" si="54"/>
        <v>1.0021992959873915</v>
      </c>
      <c r="R486" s="40">
        <f t="shared" si="55"/>
        <v>1.288469004007143E-2</v>
      </c>
      <c r="S486" s="209">
        <v>0</v>
      </c>
    </row>
    <row r="487" spans="1:19" x14ac:dyDescent="0.45">
      <c r="A487" s="16">
        <v>44285</v>
      </c>
      <c r="B487" s="42">
        <f>'Part 2 - CAPM 2.1, 2.2 and 2.3'!N487</f>
        <v>1.9583342554831962E-2</v>
      </c>
      <c r="C487" s="42">
        <f>'Part 2 - CAPM 2.1, 2.2 and 2.3'!O487</f>
        <v>1.065296710674607E-2</v>
      </c>
      <c r="E487" s="16">
        <v>44285</v>
      </c>
      <c r="F487" s="17">
        <v>3.3099999999999997E-2</v>
      </c>
      <c r="G487" s="41">
        <f t="shared" si="51"/>
        <v>8.9220393253874875E-5</v>
      </c>
      <c r="L487" s="40">
        <f t="shared" si="49"/>
        <v>1.9715632514786394E-2</v>
      </c>
      <c r="M487" s="40">
        <f t="shared" si="50"/>
        <v>1.0765616527811625E-2</v>
      </c>
      <c r="O487" s="40">
        <f t="shared" si="52"/>
        <v>1.9715632514786394E-2</v>
      </c>
      <c r="P487" s="207">
        <f t="shared" si="53"/>
        <v>8.9220393253874875E-5</v>
      </c>
      <c r="Q487" s="208">
        <f t="shared" si="54"/>
        <v>1.0021992959873915</v>
      </c>
      <c r="R487" s="40">
        <f t="shared" si="55"/>
        <v>1.9583342554831962E-2</v>
      </c>
      <c r="S487" s="209">
        <v>0</v>
      </c>
    </row>
    <row r="488" spans="1:19" x14ac:dyDescent="0.45">
      <c r="A488" s="16">
        <v>44286</v>
      </c>
      <c r="B488" s="42">
        <f>'Part 2 - CAPM 2.1, 2.2 and 2.3'!N488</f>
        <v>-6.0778750861406354E-3</v>
      </c>
      <c r="C488" s="42">
        <f>'Part 2 - CAPM 2.1, 2.2 and 2.3'!O488</f>
        <v>-1.3131637575975595E-2</v>
      </c>
      <c r="E488" s="16">
        <v>44286</v>
      </c>
      <c r="F488" s="17">
        <v>3.27E-2</v>
      </c>
      <c r="G488" s="41">
        <f t="shared" si="51"/>
        <v>8.8159315106084435E-5</v>
      </c>
      <c r="L488" s="40">
        <f t="shared" si="49"/>
        <v>-6.0030828173233668E-3</v>
      </c>
      <c r="M488" s="40">
        <f t="shared" si="50"/>
        <v>-1.3072358618698234E-2</v>
      </c>
      <c r="O488" s="40">
        <f t="shared" si="52"/>
        <v>-6.0030828173233668E-3</v>
      </c>
      <c r="P488" s="207">
        <f t="shared" si="53"/>
        <v>8.8159315106084435E-5</v>
      </c>
      <c r="Q488" s="208">
        <f t="shared" si="54"/>
        <v>1.0021992959873915</v>
      </c>
      <c r="R488" s="40">
        <f t="shared" si="55"/>
        <v>-6.0778750861406354E-3</v>
      </c>
      <c r="S488" s="209">
        <v>0</v>
      </c>
    </row>
    <row r="489" spans="1:19" x14ac:dyDescent="0.45">
      <c r="A489" s="16">
        <v>44291</v>
      </c>
      <c r="B489" s="42">
        <f>'Part 2 - CAPM 2.1, 2.2 and 2.3'!N489</f>
        <v>-1.3139050461432407E-3</v>
      </c>
      <c r="C489" s="42">
        <f>'Part 2 - CAPM 2.1, 2.2 and 2.3'!O489</f>
        <v>1.1170325366908849E-2</v>
      </c>
      <c r="E489" s="16">
        <v>44291</v>
      </c>
      <c r="F489" s="17">
        <v>3.2500000000000001E-2</v>
      </c>
      <c r="G489" s="41">
        <f t="shared" si="51"/>
        <v>8.7628622322588612E-5</v>
      </c>
      <c r="L489" s="40">
        <f t="shared" si="49"/>
        <v>-1.2291660899164485E-3</v>
      </c>
      <c r="M489" s="40">
        <f t="shared" si="50"/>
        <v>1.1282520840988738E-2</v>
      </c>
      <c r="O489" s="40">
        <f t="shared" si="52"/>
        <v>-1.2291660899164485E-3</v>
      </c>
      <c r="P489" s="207">
        <f t="shared" si="53"/>
        <v>8.7628622322588612E-5</v>
      </c>
      <c r="Q489" s="208">
        <f t="shared" si="54"/>
        <v>1.0021992959873915</v>
      </c>
      <c r="R489" s="40">
        <f t="shared" si="55"/>
        <v>-1.3139050461432407E-3</v>
      </c>
      <c r="S489" s="209">
        <v>0</v>
      </c>
    </row>
    <row r="490" spans="1:19" x14ac:dyDescent="0.45">
      <c r="A490" s="16">
        <v>44292</v>
      </c>
      <c r="B490" s="42">
        <f>'Part 2 - CAPM 2.1, 2.2 and 2.3'!N490</f>
        <v>4.7495244117864736E-3</v>
      </c>
      <c r="C490" s="42">
        <f>'Part 2 - CAPM 2.1, 2.2 and 2.3'!O490</f>
        <v>3.7837922210803058E-3</v>
      </c>
      <c r="E490" s="16">
        <v>44292</v>
      </c>
      <c r="F490" s="17">
        <v>3.2799999999999996E-2</v>
      </c>
      <c r="G490" s="41">
        <f t="shared" si="51"/>
        <v>8.8424623063021457E-5</v>
      </c>
      <c r="L490" s="40">
        <f t="shared" si="49"/>
        <v>4.8483946448303556E-3</v>
      </c>
      <c r="M490" s="40">
        <f t="shared" si="50"/>
        <v>3.8805385231922727E-3</v>
      </c>
      <c r="O490" s="40">
        <f t="shared" si="52"/>
        <v>4.8483946448303556E-3</v>
      </c>
      <c r="P490" s="207">
        <f t="shared" si="53"/>
        <v>8.8424623063021457E-5</v>
      </c>
      <c r="Q490" s="208">
        <f t="shared" si="54"/>
        <v>1.0021992959873915</v>
      </c>
      <c r="R490" s="40">
        <f t="shared" si="55"/>
        <v>4.7495244117864736E-3</v>
      </c>
      <c r="S490" s="209">
        <v>0</v>
      </c>
    </row>
    <row r="491" spans="1:19" x14ac:dyDescent="0.45">
      <c r="A491" s="16">
        <v>44293</v>
      </c>
      <c r="B491" s="42">
        <f>'Part 2 - CAPM 2.1, 2.2 and 2.3'!N491</f>
        <v>9.8815413957221675E-3</v>
      </c>
      <c r="C491" s="42">
        <f>'Part 2 - CAPM 2.1, 2.2 and 2.3'!O491</f>
        <v>9.0734128434440727E-3</v>
      </c>
      <c r="E491" s="16">
        <v>44293</v>
      </c>
      <c r="F491" s="17">
        <v>3.2500000000000001E-2</v>
      </c>
      <c r="G491" s="41">
        <f t="shared" si="51"/>
        <v>8.7628622322588612E-5</v>
      </c>
      <c r="L491" s="40">
        <f t="shared" si="49"/>
        <v>9.990902452385611E-3</v>
      </c>
      <c r="M491" s="40">
        <f t="shared" si="50"/>
        <v>9.1809965862251954E-3</v>
      </c>
      <c r="O491" s="40">
        <f t="shared" si="52"/>
        <v>9.990902452385611E-3</v>
      </c>
      <c r="P491" s="207">
        <f t="shared" si="53"/>
        <v>8.7628622322588612E-5</v>
      </c>
      <c r="Q491" s="208">
        <f t="shared" si="54"/>
        <v>1.0021992959873915</v>
      </c>
      <c r="R491" s="40">
        <f t="shared" si="55"/>
        <v>9.8815413957221675E-3</v>
      </c>
      <c r="S491" s="209">
        <v>0</v>
      </c>
    </row>
    <row r="492" spans="1:19" x14ac:dyDescent="0.45">
      <c r="A492" s="16">
        <v>44294</v>
      </c>
      <c r="B492" s="42">
        <f>'Part 2 - CAPM 2.1, 2.2 and 2.3'!N492</f>
        <v>4.7452175763007236E-3</v>
      </c>
      <c r="C492" s="42">
        <f>'Part 2 - CAPM 2.1, 2.2 and 2.3'!O492</f>
        <v>-1.0123460749082883E-2</v>
      </c>
      <c r="E492" s="16">
        <v>44294</v>
      </c>
      <c r="F492" s="17">
        <v>3.3399999999999999E-2</v>
      </c>
      <c r="G492" s="41">
        <f t="shared" si="51"/>
        <v>9.0015933029263806E-5</v>
      </c>
      <c r="L492" s="40">
        <f t="shared" si="49"/>
        <v>4.8456696473048455E-3</v>
      </c>
      <c r="M492" s="40">
        <f t="shared" si="50"/>
        <v>-1.0055709302657593E-2</v>
      </c>
      <c r="O492" s="40">
        <f t="shared" si="52"/>
        <v>4.8456696473048455E-3</v>
      </c>
      <c r="P492" s="207">
        <f t="shared" si="53"/>
        <v>9.0015933029263806E-5</v>
      </c>
      <c r="Q492" s="208">
        <f t="shared" si="54"/>
        <v>1.0021992959873915</v>
      </c>
      <c r="R492" s="40">
        <f t="shared" si="55"/>
        <v>4.7452175763007236E-3</v>
      </c>
      <c r="S492" s="209">
        <v>0</v>
      </c>
    </row>
    <row r="493" spans="1:19" x14ac:dyDescent="0.45">
      <c r="A493" s="16">
        <v>44295</v>
      </c>
      <c r="B493" s="42">
        <f>'Part 2 - CAPM 2.1, 2.2 and 2.3'!N493</f>
        <v>-1.226230067533097E-3</v>
      </c>
      <c r="C493" s="42">
        <f>'Part 2 - CAPM 2.1, 2.2 and 2.3'!O493</f>
        <v>3.7709879279746524E-3</v>
      </c>
      <c r="E493" s="16">
        <v>44295</v>
      </c>
      <c r="F493" s="17">
        <v>3.3399999999999999E-2</v>
      </c>
      <c r="G493" s="41">
        <f t="shared" si="51"/>
        <v>9.0015933029263806E-5</v>
      </c>
      <c r="L493" s="40">
        <f t="shared" si="49"/>
        <v>-1.1389109773709775E-3</v>
      </c>
      <c r="M493" s="40">
        <f t="shared" si="50"/>
        <v>3.8692973796224128E-3</v>
      </c>
      <c r="O493" s="40">
        <f t="shared" si="52"/>
        <v>-1.1389109773709775E-3</v>
      </c>
      <c r="P493" s="207">
        <f t="shared" si="53"/>
        <v>9.0015933029263806E-5</v>
      </c>
      <c r="Q493" s="208">
        <f t="shared" si="54"/>
        <v>1.0021992959873915</v>
      </c>
      <c r="R493" s="40">
        <f t="shared" si="55"/>
        <v>-1.226230067533097E-3</v>
      </c>
      <c r="S493" s="209">
        <v>0</v>
      </c>
    </row>
    <row r="494" spans="1:19" x14ac:dyDescent="0.45">
      <c r="A494" s="16">
        <v>44298</v>
      </c>
      <c r="B494" s="42">
        <f>'Part 2 - CAPM 2.1, 2.2 and 2.3'!N494</f>
        <v>-4.0266215413674353E-2</v>
      </c>
      <c r="C494" s="42">
        <f>'Part 2 - CAPM 2.1, 2.2 and 2.3'!O494</f>
        <v>-5.4417204138696912E-2</v>
      </c>
      <c r="E494" s="16">
        <v>44298</v>
      </c>
      <c r="F494" s="17">
        <v>3.3500000000000002E-2</v>
      </c>
      <c r="G494" s="41">
        <f t="shared" si="51"/>
        <v>9.0281061773778148E-5</v>
      </c>
      <c r="L494" s="40">
        <f t="shared" si="49"/>
        <v>-4.0264491677887315E-2</v>
      </c>
      <c r="M494" s="40">
        <f t="shared" si="50"/>
        <v>-5.4446602615630439E-2</v>
      </c>
      <c r="O494" s="40">
        <f t="shared" si="52"/>
        <v>-4.0264491677887315E-2</v>
      </c>
      <c r="P494" s="207">
        <f t="shared" si="53"/>
        <v>9.0281061773778148E-5</v>
      </c>
      <c r="Q494" s="208">
        <f t="shared" si="54"/>
        <v>1.0021992959873915</v>
      </c>
      <c r="R494" s="40">
        <f t="shared" si="55"/>
        <v>-4.0266215413674353E-2</v>
      </c>
      <c r="S494" s="209">
        <v>0</v>
      </c>
    </row>
    <row r="495" spans="1:19" x14ac:dyDescent="0.45">
      <c r="A495" s="16">
        <v>44301</v>
      </c>
      <c r="B495" s="42">
        <f>'Part 2 - CAPM 2.1, 2.2 and 2.3'!N495</f>
        <v>1.7665990753541871E-2</v>
      </c>
      <c r="C495" s="42">
        <f>'Part 2 - CAPM 2.1, 2.2 and 2.3'!O495</f>
        <v>6.7017254021215875E-2</v>
      </c>
      <c r="E495" s="16">
        <v>44301</v>
      </c>
      <c r="F495" s="17">
        <v>3.3399999999999999E-2</v>
      </c>
      <c r="G495" s="41">
        <f t="shared" si="51"/>
        <v>9.0015933029263806E-5</v>
      </c>
      <c r="L495" s="40">
        <f t="shared" si="49"/>
        <v>1.7794859429148695E-2</v>
      </c>
      <c r="M495" s="40">
        <f t="shared" si="50"/>
        <v>6.72546607321E-2</v>
      </c>
      <c r="O495" s="40">
        <f t="shared" si="52"/>
        <v>1.7794859429148695E-2</v>
      </c>
      <c r="P495" s="207">
        <f t="shared" si="53"/>
        <v>9.0015933029263806E-5</v>
      </c>
      <c r="Q495" s="208">
        <f t="shared" si="54"/>
        <v>1.0021992959873915</v>
      </c>
      <c r="R495" s="40">
        <f t="shared" si="55"/>
        <v>1.7665990753541871E-2</v>
      </c>
      <c r="S495" s="209">
        <v>0</v>
      </c>
    </row>
    <row r="496" spans="1:19" x14ac:dyDescent="0.45">
      <c r="A496" s="16">
        <v>44302</v>
      </c>
      <c r="B496" s="42">
        <f>'Part 2 - CAPM 2.1, 2.2 and 2.3'!N496</f>
        <v>4.8496781246290116E-3</v>
      </c>
      <c r="C496" s="42">
        <f>'Part 2 - CAPM 2.1, 2.2 and 2.3'!O496</f>
        <v>2.1348764438576261E-2</v>
      </c>
      <c r="E496" s="16">
        <v>44302</v>
      </c>
      <c r="F496" s="17">
        <v>3.3399999999999999E-2</v>
      </c>
      <c r="G496" s="41">
        <f t="shared" si="51"/>
        <v>9.0015933029263806E-5</v>
      </c>
      <c r="L496" s="40">
        <f t="shared" si="49"/>
        <v>4.9503599352979126E-3</v>
      </c>
      <c r="M496" s="40">
        <f t="shared" si="50"/>
        <v>2.1485732623571053E-2</v>
      </c>
      <c r="O496" s="40">
        <f t="shared" si="52"/>
        <v>4.9503599352979126E-3</v>
      </c>
      <c r="P496" s="207">
        <f t="shared" si="53"/>
        <v>9.0015933029263806E-5</v>
      </c>
      <c r="Q496" s="208">
        <f t="shared" si="54"/>
        <v>1.0021992959873915</v>
      </c>
      <c r="R496" s="40">
        <f t="shared" si="55"/>
        <v>4.8496781246290116E-3</v>
      </c>
      <c r="S496" s="209">
        <v>0</v>
      </c>
    </row>
    <row r="497" spans="1:19" x14ac:dyDescent="0.45">
      <c r="A497" s="16">
        <v>44305</v>
      </c>
      <c r="B497" s="42">
        <f>'Part 2 - CAPM 2.1, 2.2 and 2.3'!N497</f>
        <v>-1.8109397913632287E-2</v>
      </c>
      <c r="C497" s="42">
        <f>'Part 2 - CAPM 2.1, 2.2 and 2.3'!O497</f>
        <v>-3.8336549718490272E-2</v>
      </c>
      <c r="E497" s="16">
        <v>44305</v>
      </c>
      <c r="F497" s="17">
        <v>3.3500000000000002E-2</v>
      </c>
      <c r="G497" s="41">
        <f t="shared" si="51"/>
        <v>9.0281061773778148E-5</v>
      </c>
      <c r="L497" s="40">
        <f t="shared" si="49"/>
        <v>-1.8058944778024038E-2</v>
      </c>
      <c r="M497" s="40">
        <f t="shared" si="50"/>
        <v>-3.8330582076682808E-2</v>
      </c>
      <c r="O497" s="40">
        <f t="shared" si="52"/>
        <v>-1.8058944778024038E-2</v>
      </c>
      <c r="P497" s="207">
        <f t="shared" si="53"/>
        <v>9.0281061773778148E-5</v>
      </c>
      <c r="Q497" s="208">
        <f t="shared" si="54"/>
        <v>1.0021992959873915</v>
      </c>
      <c r="R497" s="40">
        <f t="shared" si="55"/>
        <v>-1.8109397913632287E-2</v>
      </c>
      <c r="S497" s="209">
        <v>0</v>
      </c>
    </row>
    <row r="498" spans="1:19" x14ac:dyDescent="0.45">
      <c r="A498" s="16">
        <v>44306</v>
      </c>
      <c r="B498" s="42">
        <f>'Part 2 - CAPM 2.1, 2.2 and 2.3'!N498</f>
        <v>-1.833077842779322E-3</v>
      </c>
      <c r="C498" s="42">
        <f>'Part 2 - CAPM 2.1, 2.2 and 2.3'!O498</f>
        <v>4.7596445907340731E-3</v>
      </c>
      <c r="E498" s="16">
        <v>44306</v>
      </c>
      <c r="F498" s="17">
        <v>3.3399999999999999E-2</v>
      </c>
      <c r="G498" s="41">
        <f t="shared" si="51"/>
        <v>9.0015933029263806E-5</v>
      </c>
      <c r="L498" s="40">
        <f t="shared" si="49"/>
        <v>-1.7470933904942592E-3</v>
      </c>
      <c r="M498" s="40">
        <f t="shared" si="50"/>
        <v>4.8601283910131481E-3</v>
      </c>
      <c r="O498" s="40">
        <f t="shared" si="52"/>
        <v>-1.7470933904942592E-3</v>
      </c>
      <c r="P498" s="207">
        <f t="shared" si="53"/>
        <v>9.0015933029263806E-5</v>
      </c>
      <c r="Q498" s="208">
        <f t="shared" si="54"/>
        <v>1.0021992959873915</v>
      </c>
      <c r="R498" s="40">
        <f t="shared" si="55"/>
        <v>-1.833077842779322E-3</v>
      </c>
      <c r="S498" s="209">
        <v>0</v>
      </c>
    </row>
    <row r="499" spans="1:19" x14ac:dyDescent="0.45">
      <c r="A499" s="16">
        <v>44308</v>
      </c>
      <c r="B499" s="42">
        <f>'Part 2 - CAPM 2.1, 2.2 and 2.3'!N499</f>
        <v>6.2678654949559565E-3</v>
      </c>
      <c r="C499" s="42">
        <f>'Part 2 - CAPM 2.1, 2.2 and 2.3'!O499</f>
        <v>-4.9165358880286043E-3</v>
      </c>
      <c r="E499" s="16">
        <v>44308</v>
      </c>
      <c r="F499" s="17">
        <v>3.3500000000000002E-2</v>
      </c>
      <c r="G499" s="41">
        <f t="shared" si="51"/>
        <v>9.0281061773778148E-5</v>
      </c>
      <c r="L499" s="40">
        <f t="shared" si="49"/>
        <v>6.3719314481623015E-3</v>
      </c>
      <c r="M499" s="40">
        <f t="shared" si="50"/>
        <v>-4.8370677439052339E-3</v>
      </c>
      <c r="O499" s="40">
        <f t="shared" si="52"/>
        <v>6.3719314481623015E-3</v>
      </c>
      <c r="P499" s="207">
        <f t="shared" si="53"/>
        <v>9.0281061773778148E-5</v>
      </c>
      <c r="Q499" s="208">
        <f t="shared" si="54"/>
        <v>1.0021992959873915</v>
      </c>
      <c r="R499" s="40">
        <f t="shared" si="55"/>
        <v>6.2678654949559565E-3</v>
      </c>
      <c r="S499" s="209">
        <v>0</v>
      </c>
    </row>
    <row r="500" spans="1:19" x14ac:dyDescent="0.45">
      <c r="A500" s="16">
        <v>44309</v>
      </c>
      <c r="B500" s="42">
        <f>'Part 2 - CAPM 2.1, 2.2 and 2.3'!N500</f>
        <v>-2.2699264291441163E-3</v>
      </c>
      <c r="C500" s="42">
        <f>'Part 2 - CAPM 2.1, 2.2 and 2.3'!O500</f>
        <v>-5.9093434072136101E-3</v>
      </c>
      <c r="E500" s="16">
        <v>44309</v>
      </c>
      <c r="F500" s="17">
        <v>3.3300000000000003E-2</v>
      </c>
      <c r="G500" s="41">
        <f t="shared" si="51"/>
        <v>8.975077869766146E-5</v>
      </c>
      <c r="L500" s="40">
        <f t="shared" si="49"/>
        <v>-2.1851678905337457E-3</v>
      </c>
      <c r="M500" s="40">
        <f t="shared" si="50"/>
        <v>-5.8325890237595525E-3</v>
      </c>
      <c r="O500" s="40">
        <f t="shared" si="52"/>
        <v>-2.1851678905337457E-3</v>
      </c>
      <c r="P500" s="207">
        <f t="shared" si="53"/>
        <v>8.975077869766146E-5</v>
      </c>
      <c r="Q500" s="208">
        <f t="shared" si="54"/>
        <v>1.0021992959873915</v>
      </c>
      <c r="R500" s="40">
        <f t="shared" si="55"/>
        <v>-2.2699264291441163E-3</v>
      </c>
      <c r="S500" s="209">
        <v>0</v>
      </c>
    </row>
    <row r="501" spans="1:19" x14ac:dyDescent="0.45">
      <c r="A501" s="16">
        <v>44312</v>
      </c>
      <c r="B501" s="42">
        <f>'Part 2 - CAPM 2.1, 2.2 and 2.3'!N501</f>
        <v>9.1002108919341126E-3</v>
      </c>
      <c r="C501" s="42">
        <f>'Part 2 - CAPM 2.1, 2.2 and 2.3'!O501</f>
        <v>2.8370784895949937E-3</v>
      </c>
      <c r="E501" s="16">
        <v>44312</v>
      </c>
      <c r="F501" s="17">
        <v>3.3300000000000003E-2</v>
      </c>
      <c r="G501" s="41">
        <f t="shared" si="51"/>
        <v>8.975077869766146E-5</v>
      </c>
      <c r="L501" s="40">
        <f t="shared" si="49"/>
        <v>9.209975727930822E-3</v>
      </c>
      <c r="M501" s="40">
        <f t="shared" si="50"/>
        <v>2.9330688436307365E-3</v>
      </c>
      <c r="O501" s="40">
        <f t="shared" si="52"/>
        <v>9.209975727930822E-3</v>
      </c>
      <c r="P501" s="207">
        <f t="shared" si="53"/>
        <v>8.975077869766146E-5</v>
      </c>
      <c r="Q501" s="208">
        <f t="shared" si="54"/>
        <v>1.0021992959873915</v>
      </c>
      <c r="R501" s="40">
        <f t="shared" si="55"/>
        <v>9.1002108919341126E-3</v>
      </c>
      <c r="S501" s="209">
        <v>0</v>
      </c>
    </row>
    <row r="502" spans="1:19" x14ac:dyDescent="0.45">
      <c r="A502" s="16">
        <v>44313</v>
      </c>
      <c r="B502" s="42">
        <f>'Part 2 - CAPM 2.1, 2.2 and 2.3'!N502</f>
        <v>1.1836400397751169E-2</v>
      </c>
      <c r="C502" s="42">
        <f>'Part 2 - CAPM 2.1, 2.2 and 2.3'!O502</f>
        <v>4.774062450874323E-3</v>
      </c>
      <c r="E502" s="16">
        <v>44313</v>
      </c>
      <c r="F502" s="17">
        <v>3.3300000000000003E-2</v>
      </c>
      <c r="G502" s="41">
        <f t="shared" si="51"/>
        <v>8.975077869766146E-5</v>
      </c>
      <c r="L502" s="40">
        <f t="shared" si="49"/>
        <v>1.1952182924348765E-2</v>
      </c>
      <c r="M502" s="40">
        <f t="shared" si="50"/>
        <v>4.8743128059637493E-3</v>
      </c>
      <c r="O502" s="40">
        <f t="shared" si="52"/>
        <v>1.1952182924348765E-2</v>
      </c>
      <c r="P502" s="207">
        <f t="shared" si="53"/>
        <v>8.975077869766146E-5</v>
      </c>
      <c r="Q502" s="208">
        <f t="shared" si="54"/>
        <v>1.0021992959873915</v>
      </c>
      <c r="R502" s="40">
        <f t="shared" si="55"/>
        <v>1.1836400397751169E-2</v>
      </c>
      <c r="S502" s="209">
        <v>0</v>
      </c>
    </row>
    <row r="503" spans="1:19" x14ac:dyDescent="0.45">
      <c r="A503" s="16">
        <v>44314</v>
      </c>
      <c r="B503" s="42">
        <f>'Part 2 - CAPM 2.1, 2.2 and 2.3'!N503</f>
        <v>1.2480471384205742E-2</v>
      </c>
      <c r="C503" s="42">
        <f>'Part 2 - CAPM 2.1, 2.2 and 2.3'!O503</f>
        <v>7.1706558040709736E-3</v>
      </c>
      <c r="E503" s="16">
        <v>44314</v>
      </c>
      <c r="F503" s="17">
        <v>3.3300000000000003E-2</v>
      </c>
      <c r="G503" s="41">
        <f t="shared" si="51"/>
        <v>8.975077869766146E-5</v>
      </c>
      <c r="L503" s="40">
        <f t="shared" si="49"/>
        <v>1.2597670413539442E-2</v>
      </c>
      <c r="M503" s="40">
        <f t="shared" si="50"/>
        <v>7.276176977305494E-3</v>
      </c>
      <c r="O503" s="40">
        <f t="shared" si="52"/>
        <v>1.2597670413539442E-2</v>
      </c>
      <c r="P503" s="207">
        <f t="shared" si="53"/>
        <v>8.975077869766146E-5</v>
      </c>
      <c r="Q503" s="208">
        <f t="shared" si="54"/>
        <v>1.0021992959873915</v>
      </c>
      <c r="R503" s="40">
        <f t="shared" si="55"/>
        <v>1.2480471384205742E-2</v>
      </c>
      <c r="S503" s="209">
        <v>0</v>
      </c>
    </row>
    <row r="504" spans="1:19" x14ac:dyDescent="0.45">
      <c r="A504" s="16">
        <v>44315</v>
      </c>
      <c r="B504" s="42">
        <f>'Part 2 - CAPM 2.1, 2.2 and 2.3'!N504</f>
        <v>1.0962805452278425E-3</v>
      </c>
      <c r="C504" s="42">
        <f>'Part 2 - CAPM 2.1, 2.2 and 2.3'!O504</f>
        <v>2.3126750809063443E-3</v>
      </c>
      <c r="E504" s="16">
        <v>44315</v>
      </c>
      <c r="F504" s="17">
        <v>3.3399999999999999E-2</v>
      </c>
      <c r="G504" s="41">
        <f t="shared" si="51"/>
        <v>9.0015933029263806E-5</v>
      </c>
      <c r="L504" s="40">
        <f t="shared" si="49"/>
        <v>1.1887075236612814E-3</v>
      </c>
      <c r="M504" s="40">
        <f t="shared" si="50"/>
        <v>2.4077772709611856E-3</v>
      </c>
      <c r="O504" s="40">
        <f t="shared" si="52"/>
        <v>1.1887075236612814E-3</v>
      </c>
      <c r="P504" s="207">
        <f t="shared" si="53"/>
        <v>9.0015933029263806E-5</v>
      </c>
      <c r="Q504" s="208">
        <f t="shared" si="54"/>
        <v>1.0021992959873915</v>
      </c>
      <c r="R504" s="40">
        <f t="shared" si="55"/>
        <v>1.0962805452278425E-3</v>
      </c>
      <c r="S504" s="209">
        <v>0</v>
      </c>
    </row>
    <row r="505" spans="1:19" x14ac:dyDescent="0.45">
      <c r="A505" s="16">
        <v>44316</v>
      </c>
      <c r="B505" s="42">
        <f>'Part 2 - CAPM 2.1, 2.2 and 2.3'!N505</f>
        <v>-1.3530482299187808E-2</v>
      </c>
      <c r="C505" s="42">
        <f>'Part 2 - CAPM 2.1, 2.2 and 2.3'!O505</f>
        <v>3.7302387284581399E-2</v>
      </c>
      <c r="E505" s="16">
        <v>44316</v>
      </c>
      <c r="F505" s="17">
        <v>3.3300000000000003E-2</v>
      </c>
      <c r="G505" s="41">
        <f t="shared" si="51"/>
        <v>8.975077869766146E-5</v>
      </c>
      <c r="L505" s="40">
        <f t="shared" si="49"/>
        <v>-1.3470489055918224E-2</v>
      </c>
      <c r="M505" s="40">
        <f t="shared" si="50"/>
        <v>3.7474177053954165E-2</v>
      </c>
      <c r="O505" s="40">
        <f t="shared" si="52"/>
        <v>-1.3470489055918224E-2</v>
      </c>
      <c r="P505" s="207">
        <f t="shared" si="53"/>
        <v>8.975077869766146E-5</v>
      </c>
      <c r="Q505" s="208">
        <f t="shared" si="54"/>
        <v>1.0021992959873915</v>
      </c>
      <c r="R505" s="40">
        <f t="shared" si="55"/>
        <v>-1.3530482299187808E-2</v>
      </c>
      <c r="S505" s="209">
        <v>0</v>
      </c>
    </row>
    <row r="506" spans="1:19" x14ac:dyDescent="0.45">
      <c r="A506" s="16">
        <v>44319</v>
      </c>
      <c r="B506" s="42">
        <f>'Part 2 - CAPM 2.1, 2.2 and 2.3'!N506</f>
        <v>2.4091045221503156E-3</v>
      </c>
      <c r="C506" s="42">
        <f>'Part 2 - CAPM 2.1, 2.2 and 2.3'!O506</f>
        <v>-5.6353024394988436E-3</v>
      </c>
      <c r="E506" s="16">
        <v>44319</v>
      </c>
      <c r="F506" s="17">
        <v>3.3399999999999999E-2</v>
      </c>
      <c r="G506" s="41">
        <f t="shared" si="51"/>
        <v>9.0015933029263806E-5</v>
      </c>
      <c r="L506" s="40">
        <f t="shared" si="49"/>
        <v>2.5044187890883515E-3</v>
      </c>
      <c r="M506" s="40">
        <f t="shared" si="50"/>
        <v>-5.5576802045125074E-3</v>
      </c>
      <c r="O506" s="40">
        <f t="shared" si="52"/>
        <v>2.5044187890883515E-3</v>
      </c>
      <c r="P506" s="207">
        <f t="shared" si="53"/>
        <v>9.0015933029263806E-5</v>
      </c>
      <c r="Q506" s="208">
        <f t="shared" si="54"/>
        <v>1.0021992959873915</v>
      </c>
      <c r="R506" s="40">
        <f t="shared" si="55"/>
        <v>2.4091045221503156E-3</v>
      </c>
      <c r="S506" s="209">
        <v>0</v>
      </c>
    </row>
    <row r="507" spans="1:19" x14ac:dyDescent="0.45">
      <c r="A507" s="16">
        <v>44320</v>
      </c>
      <c r="B507" s="42">
        <f>'Part 2 - CAPM 2.1, 2.2 and 2.3'!N507</f>
        <v>-7.7378417812994059E-3</v>
      </c>
      <c r="C507" s="42">
        <f>'Part 2 - CAPM 2.1, 2.2 and 2.3'!O507</f>
        <v>1.5244821712008711E-2</v>
      </c>
      <c r="E507" s="16">
        <v>44320</v>
      </c>
      <c r="F507" s="17">
        <v>3.3300000000000003E-2</v>
      </c>
      <c r="G507" s="41">
        <f t="shared" si="51"/>
        <v>8.975077869766146E-5</v>
      </c>
      <c r="L507" s="40">
        <f t="shared" si="49"/>
        <v>-7.6651088069824265E-3</v>
      </c>
      <c r="M507" s="40">
        <f t="shared" si="50"/>
        <v>1.5368100365926092E-2</v>
      </c>
      <c r="O507" s="40">
        <f t="shared" si="52"/>
        <v>-7.6651088069824265E-3</v>
      </c>
      <c r="P507" s="207">
        <f t="shared" si="53"/>
        <v>8.975077869766146E-5</v>
      </c>
      <c r="Q507" s="208">
        <f t="shared" si="54"/>
        <v>1.0021992959873915</v>
      </c>
      <c r="R507" s="40">
        <f t="shared" si="55"/>
        <v>-7.7378417812994059E-3</v>
      </c>
      <c r="S507" s="209">
        <v>0</v>
      </c>
    </row>
    <row r="508" spans="1:19" x14ac:dyDescent="0.45">
      <c r="A508" s="16">
        <v>44321</v>
      </c>
      <c r="B508" s="42">
        <f>'Part 2 - CAPM 2.1, 2.2 and 2.3'!N508</f>
        <v>9.0600558123133269E-3</v>
      </c>
      <c r="C508" s="42">
        <f>'Part 2 - CAPM 2.1, 2.2 and 2.3'!O508</f>
        <v>1.8674286126467279E-2</v>
      </c>
      <c r="E508" s="16">
        <v>44321</v>
      </c>
      <c r="F508" s="17">
        <v>3.3399999999999999E-2</v>
      </c>
      <c r="G508" s="41">
        <f t="shared" si="51"/>
        <v>9.0015933029263806E-5</v>
      </c>
      <c r="L508" s="40">
        <f t="shared" si="49"/>
        <v>9.1699974897361553E-3</v>
      </c>
      <c r="M508" s="40">
        <f t="shared" si="50"/>
        <v>1.8805372342041885E-2</v>
      </c>
      <c r="O508" s="40">
        <f t="shared" si="52"/>
        <v>9.1699974897361553E-3</v>
      </c>
      <c r="P508" s="207">
        <f t="shared" si="53"/>
        <v>9.0015933029263806E-5</v>
      </c>
      <c r="Q508" s="208">
        <f t="shared" si="54"/>
        <v>1.0021992959873915</v>
      </c>
      <c r="R508" s="40">
        <f t="shared" si="55"/>
        <v>9.0600558123133269E-3</v>
      </c>
      <c r="S508" s="209">
        <v>0</v>
      </c>
    </row>
    <row r="509" spans="1:19" x14ac:dyDescent="0.45">
      <c r="A509" s="16">
        <v>44322</v>
      </c>
      <c r="B509" s="42">
        <f>'Part 2 - CAPM 2.1, 2.2 and 2.3'!N509</f>
        <v>7.0710352087788335E-3</v>
      </c>
      <c r="C509" s="42">
        <f>'Part 2 - CAPM 2.1, 2.2 and 2.3'!O509</f>
        <v>-9.5247735066731117E-3</v>
      </c>
      <c r="E509" s="16">
        <v>44322</v>
      </c>
      <c r="F509" s="17">
        <v>3.3700000000000001E-2</v>
      </c>
      <c r="G509" s="41">
        <f t="shared" si="51"/>
        <v>9.081124252219297E-5</v>
      </c>
      <c r="L509" s="40">
        <f t="shared" si="49"/>
        <v>7.177397750662398E-3</v>
      </c>
      <c r="M509" s="40">
        <f t="shared" si="50"/>
        <v>-9.4549100603049576E-3</v>
      </c>
      <c r="O509" s="40">
        <f t="shared" si="52"/>
        <v>7.177397750662398E-3</v>
      </c>
      <c r="P509" s="207">
        <f t="shared" si="53"/>
        <v>9.081124252219297E-5</v>
      </c>
      <c r="Q509" s="208">
        <f t="shared" si="54"/>
        <v>1.0021992959873915</v>
      </c>
      <c r="R509" s="40">
        <f t="shared" si="55"/>
        <v>7.0710352087788335E-3</v>
      </c>
      <c r="S509" s="209">
        <v>0</v>
      </c>
    </row>
    <row r="510" spans="1:19" x14ac:dyDescent="0.45">
      <c r="A510" s="16">
        <v>44323</v>
      </c>
      <c r="B510" s="42">
        <f>'Part 2 - CAPM 2.1, 2.2 and 2.3'!N510</f>
        <v>4.804709756163518E-3</v>
      </c>
      <c r="C510" s="42">
        <f>'Part 2 - CAPM 2.1, 2.2 and 2.3'!O510</f>
        <v>1.1700837055018089E-2</v>
      </c>
      <c r="E510" s="16">
        <v>44323</v>
      </c>
      <c r="F510" s="17">
        <v>3.3599999999999998E-2</v>
      </c>
      <c r="G510" s="41">
        <f t="shared" si="51"/>
        <v>9.0546164936533557E-5</v>
      </c>
      <c r="L510" s="40">
        <f t="shared" si="49"/>
        <v>4.9058228999873631E-3</v>
      </c>
      <c r="M510" s="40">
        <f t="shared" si="50"/>
        <v>1.1817116823938847E-2</v>
      </c>
      <c r="O510" s="40">
        <f t="shared" si="52"/>
        <v>4.9058228999873631E-3</v>
      </c>
      <c r="P510" s="207">
        <f t="shared" si="53"/>
        <v>9.0546164936533557E-5</v>
      </c>
      <c r="Q510" s="208">
        <f t="shared" si="54"/>
        <v>1.0021992959873915</v>
      </c>
      <c r="R510" s="40">
        <f t="shared" si="55"/>
        <v>4.804709756163518E-3</v>
      </c>
      <c r="S510" s="209">
        <v>0</v>
      </c>
    </row>
    <row r="511" spans="1:19" x14ac:dyDescent="0.45">
      <c r="A511" s="16">
        <v>44326</v>
      </c>
      <c r="B511" s="42">
        <f>'Part 2 - CAPM 2.1, 2.2 and 2.3'!N511</f>
        <v>8.4100102207349901E-3</v>
      </c>
      <c r="C511" s="42">
        <f>'Part 2 - CAPM 2.1, 2.2 and 2.3'!O511</f>
        <v>2.1872168886997109E-2</v>
      </c>
      <c r="E511" s="16">
        <v>44326</v>
      </c>
      <c r="F511" s="17">
        <v>3.3799999999999997E-2</v>
      </c>
      <c r="G511" s="41">
        <f t="shared" si="51"/>
        <v>9.1076294535863411E-5</v>
      </c>
      <c r="L511" s="40">
        <f t="shared" si="49"/>
        <v>8.5195826170032379E-3</v>
      </c>
      <c r="M511" s="40">
        <f t="shared" si="50"/>
        <v>2.2011348554801694E-2</v>
      </c>
      <c r="O511" s="40">
        <f t="shared" si="52"/>
        <v>8.5195826170032379E-3</v>
      </c>
      <c r="P511" s="207">
        <f t="shared" si="53"/>
        <v>9.1076294535863411E-5</v>
      </c>
      <c r="Q511" s="208">
        <f t="shared" si="54"/>
        <v>1.0021992959873915</v>
      </c>
      <c r="R511" s="40">
        <f t="shared" si="55"/>
        <v>8.4100102207349901E-3</v>
      </c>
      <c r="S511" s="209">
        <v>0</v>
      </c>
    </row>
    <row r="512" spans="1:19" x14ac:dyDescent="0.45">
      <c r="A512" s="16">
        <v>44327</v>
      </c>
      <c r="B512" s="42">
        <f>'Part 2 - CAPM 2.1, 2.2 and 2.3'!N512</f>
        <v>-2.2734139609736125E-3</v>
      </c>
      <c r="C512" s="42">
        <f>'Part 2 - CAPM 2.1, 2.2 and 2.3'!O512</f>
        <v>3.4996643003709749E-2</v>
      </c>
      <c r="E512" s="16">
        <v>44327</v>
      </c>
      <c r="F512" s="17">
        <v>3.3799999999999997E-2</v>
      </c>
      <c r="G512" s="41">
        <f t="shared" si="51"/>
        <v>9.1076294535863411E-5</v>
      </c>
      <c r="L512" s="40">
        <f t="shared" si="49"/>
        <v>-2.1873375766397981E-3</v>
      </c>
      <c r="M512" s="40">
        <f t="shared" si="50"/>
        <v>3.5164687274775848E-2</v>
      </c>
      <c r="O512" s="40">
        <f t="shared" si="52"/>
        <v>-2.1873375766397981E-3</v>
      </c>
      <c r="P512" s="207">
        <f t="shared" si="53"/>
        <v>9.1076294535863411E-5</v>
      </c>
      <c r="Q512" s="208">
        <f t="shared" si="54"/>
        <v>1.0021992959873915</v>
      </c>
      <c r="R512" s="40">
        <f t="shared" si="55"/>
        <v>-2.2734139609736125E-3</v>
      </c>
      <c r="S512" s="209">
        <v>0</v>
      </c>
    </row>
    <row r="513" spans="1:19" x14ac:dyDescent="0.45">
      <c r="A513" s="16">
        <v>44328</v>
      </c>
      <c r="B513" s="42">
        <f>'Part 2 - CAPM 2.1, 2.2 and 2.3'!N513</f>
        <v>-8.3414550270075813E-3</v>
      </c>
      <c r="C513" s="42">
        <f>'Part 2 - CAPM 2.1, 2.2 and 2.3'!O513</f>
        <v>-2.4243883693863516E-2</v>
      </c>
      <c r="E513" s="16">
        <v>44328</v>
      </c>
      <c r="F513" s="17">
        <v>3.39E-2</v>
      </c>
      <c r="G513" s="41">
        <f t="shared" si="51"/>
        <v>9.1341320982207819E-5</v>
      </c>
      <c r="L513" s="40">
        <f t="shared" si="49"/>
        <v>-8.2684590345952786E-3</v>
      </c>
      <c r="M513" s="40">
        <f t="shared" si="50"/>
        <v>-2.4205861849008008E-2</v>
      </c>
      <c r="O513" s="40">
        <f t="shared" si="52"/>
        <v>-8.2684590345952786E-3</v>
      </c>
      <c r="P513" s="207">
        <f t="shared" si="53"/>
        <v>9.1341320982207819E-5</v>
      </c>
      <c r="Q513" s="208">
        <f t="shared" si="54"/>
        <v>1.0021992959873915</v>
      </c>
      <c r="R513" s="40">
        <f t="shared" si="55"/>
        <v>-8.3414550270075813E-3</v>
      </c>
      <c r="S513" s="209">
        <v>0</v>
      </c>
    </row>
    <row r="514" spans="1:19" x14ac:dyDescent="0.45">
      <c r="A514" s="16">
        <v>44330</v>
      </c>
      <c r="B514" s="42">
        <f>'Part 2 - CAPM 2.1, 2.2 and 2.3'!N514</f>
        <v>-5.3394081899680538E-3</v>
      </c>
      <c r="C514" s="42">
        <f>'Part 2 - CAPM 2.1, 2.2 and 2.3'!O514</f>
        <v>-1.8762639627538921E-2</v>
      </c>
      <c r="E514" s="16">
        <v>44330</v>
      </c>
      <c r="F514" s="17">
        <v>3.39E-2</v>
      </c>
      <c r="G514" s="41">
        <f t="shared" si="51"/>
        <v>9.1341320982207819E-5</v>
      </c>
      <c r="L514" s="40">
        <f t="shared" si="49"/>
        <v>-5.2598098079930881E-3</v>
      </c>
      <c r="M514" s="40">
        <f t="shared" si="50"/>
        <v>-1.8712562904602433E-2</v>
      </c>
      <c r="O514" s="40">
        <f t="shared" si="52"/>
        <v>-5.2598098079930881E-3</v>
      </c>
      <c r="P514" s="207">
        <f t="shared" si="53"/>
        <v>9.1341320982207819E-5</v>
      </c>
      <c r="Q514" s="208">
        <f t="shared" si="54"/>
        <v>1.0021992959873915</v>
      </c>
      <c r="R514" s="40">
        <f t="shared" si="55"/>
        <v>-5.3394081899680538E-3</v>
      </c>
      <c r="S514" s="209">
        <v>0</v>
      </c>
    </row>
    <row r="515" spans="1:19" x14ac:dyDescent="0.45">
      <c r="A515" s="16">
        <v>44333</v>
      </c>
      <c r="B515" s="42">
        <f>'Part 2 - CAPM 2.1, 2.2 and 2.3'!N515</f>
        <v>1.5940112347328471E-2</v>
      </c>
      <c r="C515" s="42">
        <f>'Part 2 - CAPM 2.1, 2.2 and 2.3'!O515</f>
        <v>1.3182729961319285E-2</v>
      </c>
      <c r="E515" s="16">
        <v>44333</v>
      </c>
      <c r="F515" s="17">
        <v>3.4000000000000002E-2</v>
      </c>
      <c r="G515" s="41">
        <f t="shared" si="51"/>
        <v>9.1606321866555263E-5</v>
      </c>
      <c r="L515" s="40">
        <f t="shared" ref="L515:L578" si="56">G515+($J$1*(B515))</f>
        <v>1.6066775694319076E-2</v>
      </c>
      <c r="M515" s="40">
        <f t="shared" ref="M515:M578" si="57">G515+($J$1*(C515))</f>
        <v>1.3303329008292637E-2</v>
      </c>
      <c r="O515" s="40">
        <f t="shared" si="52"/>
        <v>1.6066775694319076E-2</v>
      </c>
      <c r="P515" s="207">
        <f t="shared" si="53"/>
        <v>9.1606321866555263E-5</v>
      </c>
      <c r="Q515" s="208">
        <f t="shared" si="54"/>
        <v>1.0021992959873915</v>
      </c>
      <c r="R515" s="40">
        <f t="shared" si="55"/>
        <v>1.5940112347328471E-2</v>
      </c>
      <c r="S515" s="209">
        <v>0</v>
      </c>
    </row>
    <row r="516" spans="1:19" x14ac:dyDescent="0.45">
      <c r="A516" s="16">
        <v>44334</v>
      </c>
      <c r="B516" s="42">
        <f>'Part 2 - CAPM 2.1, 2.2 and 2.3'!N516</f>
        <v>1.3087481324169797E-2</v>
      </c>
      <c r="C516" s="42">
        <f>'Part 2 - CAPM 2.1, 2.2 and 2.3'!O516</f>
        <v>1.3009360386686843E-2</v>
      </c>
      <c r="E516" s="16">
        <v>44334</v>
      </c>
      <c r="F516" s="17">
        <v>3.3799999999999997E-2</v>
      </c>
      <c r="G516" s="41">
        <f t="shared" ref="G516:G579" si="58">((1+F516)^(1/365))-1</f>
        <v>9.1076294535863411E-5</v>
      </c>
      <c r="L516" s="40">
        <f t="shared" si="56"/>
        <v>1.3207340863866969E-2</v>
      </c>
      <c r="M516" s="40">
        <f t="shared" si="57"/>
        <v>1.3129048115319678E-2</v>
      </c>
      <c r="O516" s="40">
        <f t="shared" ref="O516:O579" si="59">P516+(Q516*(R516))+S516</f>
        <v>1.3207340863866969E-2</v>
      </c>
      <c r="P516" s="207">
        <f t="shared" ref="P516:P579" si="60">G516</f>
        <v>9.1076294535863411E-5</v>
      </c>
      <c r="Q516" s="208">
        <f t="shared" ref="Q516:Q579" si="61">$J$1</f>
        <v>1.0021992959873915</v>
      </c>
      <c r="R516" s="40">
        <f t="shared" ref="R516:R579" si="62">B516</f>
        <v>1.3087481324169797E-2</v>
      </c>
      <c r="S516" s="209">
        <v>0</v>
      </c>
    </row>
    <row r="517" spans="1:19" x14ac:dyDescent="0.45">
      <c r="A517" s="16">
        <v>44335</v>
      </c>
      <c r="B517" s="42">
        <f>'Part 2 - CAPM 2.1, 2.2 and 2.3'!N517</f>
        <v>-2.4357424082858633E-3</v>
      </c>
      <c r="C517" s="42">
        <f>'Part 2 - CAPM 2.1, 2.2 and 2.3'!O517</f>
        <v>-9.143065458913217E-3</v>
      </c>
      <c r="E517" s="16">
        <v>44335</v>
      </c>
      <c r="F517" s="17">
        <v>3.39E-2</v>
      </c>
      <c r="G517" s="41">
        <f t="shared" si="58"/>
        <v>9.1341320982207819E-5</v>
      </c>
      <c r="L517" s="40">
        <f t="shared" si="56"/>
        <v>-2.3497580058085181E-3</v>
      </c>
      <c r="M517" s="40">
        <f t="shared" si="57"/>
        <v>-9.071832445107255E-3</v>
      </c>
      <c r="O517" s="40">
        <f t="shared" si="59"/>
        <v>-2.3497580058085181E-3</v>
      </c>
      <c r="P517" s="207">
        <f t="shared" si="60"/>
        <v>9.1341320982207819E-5</v>
      </c>
      <c r="Q517" s="208">
        <f t="shared" si="61"/>
        <v>1.0021992959873915</v>
      </c>
      <c r="R517" s="40">
        <f t="shared" si="62"/>
        <v>-2.4357424082858633E-3</v>
      </c>
      <c r="S517" s="209">
        <v>0</v>
      </c>
    </row>
    <row r="518" spans="1:19" x14ac:dyDescent="0.45">
      <c r="A518" s="16">
        <v>44336</v>
      </c>
      <c r="B518" s="42">
        <f>'Part 2 - CAPM 2.1, 2.2 and 2.3'!N518</f>
        <v>-5.7555925815276745E-3</v>
      </c>
      <c r="C518" s="42">
        <f>'Part 2 - CAPM 2.1, 2.2 and 2.3'!O518</f>
        <v>-2.9234712019996251E-2</v>
      </c>
      <c r="E518" s="16">
        <v>44336</v>
      </c>
      <c r="F518" s="17">
        <v>3.4000000000000002E-2</v>
      </c>
      <c r="G518" s="41">
        <f t="shared" si="58"/>
        <v>9.1606321866555263E-5</v>
      </c>
      <c r="L518" s="40">
        <f t="shared" si="56"/>
        <v>-5.6766445113307336E-3</v>
      </c>
      <c r="M518" s="40">
        <f t="shared" si="57"/>
        <v>-2.9207401482967819E-2</v>
      </c>
      <c r="O518" s="40">
        <f t="shared" si="59"/>
        <v>-5.6766445113307336E-3</v>
      </c>
      <c r="P518" s="207">
        <f t="shared" si="60"/>
        <v>9.1606321866555263E-5</v>
      </c>
      <c r="Q518" s="208">
        <f t="shared" si="61"/>
        <v>1.0021992959873915</v>
      </c>
      <c r="R518" s="40">
        <f t="shared" si="62"/>
        <v>-5.7555925815276745E-3</v>
      </c>
      <c r="S518" s="209">
        <v>0</v>
      </c>
    </row>
    <row r="519" spans="1:19" x14ac:dyDescent="0.45">
      <c r="A519" s="16">
        <v>44337</v>
      </c>
      <c r="B519" s="42">
        <f>'Part 2 - CAPM 2.1, 2.2 and 2.3'!N519</f>
        <v>1.4151245899161523E-2</v>
      </c>
      <c r="C519" s="42">
        <f>'Part 2 - CAPM 2.1, 2.2 and 2.3'!O519</f>
        <v>1.021331817722573E-2</v>
      </c>
      <c r="E519" s="16">
        <v>44337</v>
      </c>
      <c r="F519" s="17">
        <v>3.39E-2</v>
      </c>
      <c r="G519" s="41">
        <f t="shared" si="58"/>
        <v>9.1341320982207819E-5</v>
      </c>
      <c r="L519" s="40">
        <f t="shared" si="56"/>
        <v>1.4273709998466347E-2</v>
      </c>
      <c r="M519" s="40">
        <f t="shared" si="57"/>
        <v>1.0327121607893064E-2</v>
      </c>
      <c r="O519" s="40">
        <f t="shared" si="59"/>
        <v>1.4273709998466347E-2</v>
      </c>
      <c r="P519" s="207">
        <f t="shared" si="60"/>
        <v>9.1341320982207819E-5</v>
      </c>
      <c r="Q519" s="208">
        <f t="shared" si="61"/>
        <v>1.0021992959873915</v>
      </c>
      <c r="R519" s="40">
        <f t="shared" si="62"/>
        <v>1.4151245899161523E-2</v>
      </c>
      <c r="S519" s="209">
        <v>0</v>
      </c>
    </row>
    <row r="520" spans="1:19" x14ac:dyDescent="0.45">
      <c r="A520" s="16">
        <v>44340</v>
      </c>
      <c r="B520" s="42">
        <f>'Part 2 - CAPM 2.1, 2.2 and 2.3'!N520</f>
        <v>3.3615106297588421E-3</v>
      </c>
      <c r="C520" s="42">
        <f>'Part 2 - CAPM 2.1, 2.2 and 2.3'!O520</f>
        <v>1.6827596256415453E-3</v>
      </c>
      <c r="E520" s="16">
        <v>44340</v>
      </c>
      <c r="F520" s="17">
        <v>3.3799999999999997E-2</v>
      </c>
      <c r="G520" s="41">
        <f t="shared" si="58"/>
        <v>9.1076294535863411E-5</v>
      </c>
      <c r="L520" s="40">
        <f t="shared" si="56"/>
        <v>3.4599798811343081E-3</v>
      </c>
      <c r="M520" s="40">
        <f t="shared" si="57"/>
        <v>1.7775368066698268E-3</v>
      </c>
      <c r="O520" s="40">
        <f t="shared" si="59"/>
        <v>3.4599798811343081E-3</v>
      </c>
      <c r="P520" s="207">
        <f t="shared" si="60"/>
        <v>9.1076294535863411E-5</v>
      </c>
      <c r="Q520" s="208">
        <f t="shared" si="61"/>
        <v>1.0021992959873915</v>
      </c>
      <c r="R520" s="40">
        <f t="shared" si="62"/>
        <v>3.3615106297588421E-3</v>
      </c>
      <c r="S520" s="209">
        <v>0</v>
      </c>
    </row>
    <row r="521" spans="1:19" x14ac:dyDescent="0.45">
      <c r="A521" s="16">
        <v>44341</v>
      </c>
      <c r="B521" s="42">
        <f>'Part 2 - CAPM 2.1, 2.2 and 2.3'!N521</f>
        <v>-4.9441046739428269E-5</v>
      </c>
      <c r="C521" s="42">
        <f>'Part 2 - CAPM 2.1, 2.2 and 2.3'!O521</f>
        <v>1.4516362434546064E-2</v>
      </c>
      <c r="E521" s="16">
        <v>44341</v>
      </c>
      <c r="F521" s="17">
        <v>3.4099999999999998E-2</v>
      </c>
      <c r="G521" s="41">
        <f t="shared" si="58"/>
        <v>9.187129719356868E-5</v>
      </c>
      <c r="L521" s="40">
        <f t="shared" si="56"/>
        <v>4.2321514958433951E-5</v>
      </c>
      <c r="M521" s="40">
        <f t="shared" si="57"/>
        <v>1.4640159509393451E-2</v>
      </c>
      <c r="O521" s="40">
        <f t="shared" si="59"/>
        <v>4.2321514958433951E-5</v>
      </c>
      <c r="P521" s="207">
        <f t="shared" si="60"/>
        <v>9.187129719356868E-5</v>
      </c>
      <c r="Q521" s="208">
        <f t="shared" si="61"/>
        <v>1.0021992959873915</v>
      </c>
      <c r="R521" s="40">
        <f t="shared" si="62"/>
        <v>-4.9441046739428269E-5</v>
      </c>
      <c r="S521" s="209">
        <v>0</v>
      </c>
    </row>
    <row r="522" spans="1:19" x14ac:dyDescent="0.45">
      <c r="A522" s="16">
        <v>44343</v>
      </c>
      <c r="B522" s="42">
        <f>'Part 2 - CAPM 2.1, 2.2 and 2.3'!N522</f>
        <v>7.8731059457285944E-3</v>
      </c>
      <c r="C522" s="42">
        <f>'Part 2 - CAPM 2.1, 2.2 and 2.3'!O522</f>
        <v>-2.4088380895797408E-2</v>
      </c>
      <c r="E522" s="16">
        <v>44343</v>
      </c>
      <c r="F522" s="17">
        <v>3.4099999999999998E-2</v>
      </c>
      <c r="G522" s="41">
        <f t="shared" si="58"/>
        <v>9.187129719356868E-5</v>
      </c>
      <c r="L522" s="40">
        <f t="shared" si="56"/>
        <v>7.9822925332369132E-3</v>
      </c>
      <c r="M522" s="40">
        <f t="shared" si="57"/>
        <v>-2.4049487078050727E-2</v>
      </c>
      <c r="O522" s="40">
        <f t="shared" si="59"/>
        <v>7.9822925332369132E-3</v>
      </c>
      <c r="P522" s="207">
        <f t="shared" si="60"/>
        <v>9.187129719356868E-5</v>
      </c>
      <c r="Q522" s="208">
        <f t="shared" si="61"/>
        <v>1.0021992959873915</v>
      </c>
      <c r="R522" s="40">
        <f t="shared" si="62"/>
        <v>7.8731059457285944E-3</v>
      </c>
      <c r="S522" s="209">
        <v>0</v>
      </c>
    </row>
    <row r="523" spans="1:19" x14ac:dyDescent="0.45">
      <c r="A523" s="16">
        <v>44344</v>
      </c>
      <c r="B523" s="42">
        <f>'Part 2 - CAPM 2.1, 2.2 and 2.3'!N523</f>
        <v>3.7960077805830905E-3</v>
      </c>
      <c r="C523" s="42">
        <f>'Part 2 - CAPM 2.1, 2.2 and 2.3'!O523</f>
        <v>7.954619538747475E-3</v>
      </c>
      <c r="E523" s="16">
        <v>44344</v>
      </c>
      <c r="F523" s="17">
        <v>3.4099999999999998E-2</v>
      </c>
      <c r="G523" s="41">
        <f t="shared" si="58"/>
        <v>9.187129719356868E-5</v>
      </c>
      <c r="L523" s="40">
        <f t="shared" si="56"/>
        <v>3.8962276224566027E-3</v>
      </c>
      <c r="M523" s="40">
        <f t="shared" si="57"/>
        <v>8.0639853987738378E-3</v>
      </c>
      <c r="O523" s="40">
        <f t="shared" si="59"/>
        <v>3.8962276224566027E-3</v>
      </c>
      <c r="P523" s="207">
        <f t="shared" si="60"/>
        <v>9.187129719356868E-5</v>
      </c>
      <c r="Q523" s="208">
        <f t="shared" si="61"/>
        <v>1.0021992959873915</v>
      </c>
      <c r="R523" s="40">
        <f t="shared" si="62"/>
        <v>3.7960077805830905E-3</v>
      </c>
      <c r="S523" s="209">
        <v>0</v>
      </c>
    </row>
    <row r="524" spans="1:19" x14ac:dyDescent="0.45">
      <c r="A524" s="16">
        <v>44347</v>
      </c>
      <c r="B524" s="42">
        <f>'Part 2 - CAPM 2.1, 2.2 and 2.3'!N524</f>
        <v>8.2407949654189159E-3</v>
      </c>
      <c r="C524" s="42">
        <f>'Part 2 - CAPM 2.1, 2.2 and 2.3'!O524</f>
        <v>6.5600134034716198E-3</v>
      </c>
      <c r="E524" s="16">
        <v>44347</v>
      </c>
      <c r="F524" s="17">
        <v>3.4099999999999998E-2</v>
      </c>
      <c r="G524" s="41">
        <f t="shared" si="58"/>
        <v>9.187129719356868E-5</v>
      </c>
      <c r="L524" s="40">
        <f t="shared" si="56"/>
        <v>8.3507902099128461E-3</v>
      </c>
      <c r="M524" s="40">
        <f t="shared" si="57"/>
        <v>6.6663121118206783E-3</v>
      </c>
      <c r="O524" s="40">
        <f t="shared" si="59"/>
        <v>8.3507902099128461E-3</v>
      </c>
      <c r="P524" s="207">
        <f t="shared" si="60"/>
        <v>9.187129719356868E-5</v>
      </c>
      <c r="Q524" s="208">
        <f t="shared" si="61"/>
        <v>1.0021992959873915</v>
      </c>
      <c r="R524" s="40">
        <f t="shared" si="62"/>
        <v>8.2407949654189159E-3</v>
      </c>
      <c r="S524" s="209">
        <v>0</v>
      </c>
    </row>
    <row r="525" spans="1:19" x14ac:dyDescent="0.45">
      <c r="A525" s="16">
        <v>44348</v>
      </c>
      <c r="B525" s="42">
        <f>'Part 2 - CAPM 2.1, 2.2 and 2.3'!N525</f>
        <v>-1.2980622961049492E-3</v>
      </c>
      <c r="C525" s="42">
        <f>'Part 2 - CAPM 2.1, 2.2 and 2.3'!O525</f>
        <v>3.5590683136291754E-2</v>
      </c>
      <c r="E525" s="16">
        <v>44348</v>
      </c>
      <c r="F525" s="17">
        <v>3.4200000000000001E-2</v>
      </c>
      <c r="G525" s="41">
        <f t="shared" si="58"/>
        <v>9.2136246968133051E-5</v>
      </c>
      <c r="L525" s="40">
        <f t="shared" si="56"/>
        <v>-1.208780872336024E-3</v>
      </c>
      <c r="M525" s="40">
        <f t="shared" si="57"/>
        <v>3.5761093829870055E-2</v>
      </c>
      <c r="O525" s="40">
        <f t="shared" si="59"/>
        <v>-1.208780872336024E-3</v>
      </c>
      <c r="P525" s="207">
        <f t="shared" si="60"/>
        <v>9.2136246968133051E-5</v>
      </c>
      <c r="Q525" s="208">
        <f t="shared" si="61"/>
        <v>1.0021992959873915</v>
      </c>
      <c r="R525" s="40">
        <f t="shared" si="62"/>
        <v>-1.2980622961049492E-3</v>
      </c>
      <c r="S525" s="209">
        <v>0</v>
      </c>
    </row>
    <row r="526" spans="1:19" x14ac:dyDescent="0.45">
      <c r="A526" s="16">
        <v>44349</v>
      </c>
      <c r="B526" s="42">
        <f>'Part 2 - CAPM 2.1, 2.2 and 2.3'!N526</f>
        <v>4.7411769002492386E-3</v>
      </c>
      <c r="C526" s="42">
        <f>'Part 2 - CAPM 2.1, 2.2 and 2.3'!O526</f>
        <v>-9.2136246968133051E-5</v>
      </c>
      <c r="E526" s="16">
        <v>44349</v>
      </c>
      <c r="F526" s="17">
        <v>3.4200000000000001E-2</v>
      </c>
      <c r="G526" s="41">
        <f t="shared" si="58"/>
        <v>9.2136246968133051E-5</v>
      </c>
      <c r="L526" s="40">
        <f t="shared" si="56"/>
        <v>4.8437403985496031E-3</v>
      </c>
      <c r="M526" s="40">
        <f t="shared" si="57"/>
        <v>-2.0263487825033643E-7</v>
      </c>
      <c r="O526" s="40">
        <f t="shared" si="59"/>
        <v>4.8437403985496031E-3</v>
      </c>
      <c r="P526" s="207">
        <f t="shared" si="60"/>
        <v>9.2136246968133051E-5</v>
      </c>
      <c r="Q526" s="208">
        <f t="shared" si="61"/>
        <v>1.0021992959873915</v>
      </c>
      <c r="R526" s="40">
        <f t="shared" si="62"/>
        <v>4.7411769002492386E-3</v>
      </c>
      <c r="S526" s="209">
        <v>0</v>
      </c>
    </row>
    <row r="527" spans="1:19" x14ac:dyDescent="0.45">
      <c r="A527" s="16">
        <v>44350</v>
      </c>
      <c r="B527" s="42">
        <f>'Part 2 - CAPM 2.1, 2.2 and 2.3'!N527</f>
        <v>7.9115526242078352E-3</v>
      </c>
      <c r="C527" s="42">
        <f>'Part 2 - CAPM 2.1, 2.2 and 2.3'!O527</f>
        <v>5.1800145499664607E-2</v>
      </c>
      <c r="E527" s="16">
        <v>44350</v>
      </c>
      <c r="F527" s="17">
        <v>3.44E-2</v>
      </c>
      <c r="G527" s="41">
        <f t="shared" si="58"/>
        <v>9.2666069880342761E-5</v>
      </c>
      <c r="L527" s="40">
        <f t="shared" si="56"/>
        <v>8.0216185400286358E-3</v>
      </c>
      <c r="M527" s="40">
        <f t="shared" si="57"/>
        <v>5.2006735421688662E-2</v>
      </c>
      <c r="O527" s="40">
        <f t="shared" si="59"/>
        <v>8.0216185400286358E-3</v>
      </c>
      <c r="P527" s="207">
        <f t="shared" si="60"/>
        <v>9.2666069880342761E-5</v>
      </c>
      <c r="Q527" s="208">
        <f t="shared" si="61"/>
        <v>1.0021992959873915</v>
      </c>
      <c r="R527" s="40">
        <f t="shared" si="62"/>
        <v>7.9115526242078352E-3</v>
      </c>
      <c r="S527" s="209">
        <v>0</v>
      </c>
    </row>
    <row r="528" spans="1:19" x14ac:dyDescent="0.45">
      <c r="A528" s="16">
        <v>44351</v>
      </c>
      <c r="B528" s="42">
        <f>'Part 2 - CAPM 2.1, 2.2 and 2.3'!N528</f>
        <v>9.0905617344794166E-4</v>
      </c>
      <c r="C528" s="42">
        <f>'Part 2 - CAPM 2.1, 2.2 and 2.3'!O528</f>
        <v>1.2038613790389764E-2</v>
      </c>
      <c r="E528" s="16">
        <v>44351</v>
      </c>
      <c r="F528" s="17">
        <v>3.4300000000000004E-2</v>
      </c>
      <c r="G528" s="41">
        <f t="shared" si="58"/>
        <v>9.2401171195355403E-5</v>
      </c>
      <c r="L528" s="40">
        <f t="shared" si="56"/>
        <v>1.0034566282378747E-3</v>
      </c>
      <c r="M528" s="40">
        <f t="shared" si="57"/>
        <v>1.2157491436588081E-2</v>
      </c>
      <c r="O528" s="40">
        <f t="shared" si="59"/>
        <v>1.0034566282378747E-3</v>
      </c>
      <c r="P528" s="207">
        <f t="shared" si="60"/>
        <v>9.2401171195355403E-5</v>
      </c>
      <c r="Q528" s="208">
        <f t="shared" si="61"/>
        <v>1.0021992959873915</v>
      </c>
      <c r="R528" s="40">
        <f t="shared" si="62"/>
        <v>9.0905617344794166E-4</v>
      </c>
      <c r="S528" s="209">
        <v>0</v>
      </c>
    </row>
    <row r="529" spans="1:19" x14ac:dyDescent="0.45">
      <c r="A529" s="16">
        <v>44354</v>
      </c>
      <c r="B529" s="42">
        <f>'Part 2 - CAPM 2.1, 2.2 and 2.3'!N529</f>
        <v>6.3100319042051628E-3</v>
      </c>
      <c r="C529" s="42">
        <f>'Part 2 - CAPM 2.1, 2.2 and 2.3'!O529</f>
        <v>2.7045077801992204E-3</v>
      </c>
      <c r="E529" s="16">
        <v>44354</v>
      </c>
      <c r="F529" s="17">
        <v>3.4200000000000001E-2</v>
      </c>
      <c r="G529" s="41">
        <f t="shared" si="58"/>
        <v>9.2136246968133051E-5</v>
      </c>
      <c r="L529" s="40">
        <f t="shared" si="56"/>
        <v>6.4160457790205273E-3</v>
      </c>
      <c r="M529" s="40">
        <f t="shared" si="57"/>
        <v>2.8025920402762147E-3</v>
      </c>
      <c r="O529" s="40">
        <f t="shared" si="59"/>
        <v>6.4160457790205273E-3</v>
      </c>
      <c r="P529" s="207">
        <f t="shared" si="60"/>
        <v>9.2136246968133051E-5</v>
      </c>
      <c r="Q529" s="208">
        <f t="shared" si="61"/>
        <v>1.0021992959873915</v>
      </c>
      <c r="R529" s="40">
        <f t="shared" si="62"/>
        <v>6.3100319042051628E-3</v>
      </c>
      <c r="S529" s="209">
        <v>0</v>
      </c>
    </row>
    <row r="530" spans="1:19" x14ac:dyDescent="0.45">
      <c r="A530" s="16">
        <v>44355</v>
      </c>
      <c r="B530" s="42">
        <f>'Part 2 - CAPM 2.1, 2.2 and 2.3'!N530</f>
        <v>1.1613405802595887E-3</v>
      </c>
      <c r="C530" s="42">
        <f>'Part 2 - CAPM 2.1, 2.2 and 2.3'!O530</f>
        <v>-4.0764649162152757E-3</v>
      </c>
      <c r="E530" s="16">
        <v>44355</v>
      </c>
      <c r="F530" s="17">
        <v>3.4300000000000004E-2</v>
      </c>
      <c r="G530" s="41">
        <f t="shared" si="58"/>
        <v>9.2401171195355403E-5</v>
      </c>
      <c r="L530" s="40">
        <f t="shared" si="56"/>
        <v>1.2562958831331039E-3</v>
      </c>
      <c r="M530" s="40">
        <f t="shared" si="57"/>
        <v>-3.9930290979528953E-3</v>
      </c>
      <c r="O530" s="40">
        <f t="shared" si="59"/>
        <v>1.2562958831331039E-3</v>
      </c>
      <c r="P530" s="207">
        <f t="shared" si="60"/>
        <v>9.2401171195355403E-5</v>
      </c>
      <c r="Q530" s="208">
        <f t="shared" si="61"/>
        <v>1.0021992959873915</v>
      </c>
      <c r="R530" s="40">
        <f t="shared" si="62"/>
        <v>1.1613405802595887E-3</v>
      </c>
      <c r="S530" s="209">
        <v>0</v>
      </c>
    </row>
    <row r="531" spans="1:19" x14ac:dyDescent="0.45">
      <c r="A531" s="16">
        <v>44356</v>
      </c>
      <c r="B531" s="42">
        <f>'Part 2 - CAPM 2.1, 2.2 and 2.3'!N531</f>
        <v>-7.512286143950676E-3</v>
      </c>
      <c r="C531" s="42">
        <f>'Part 2 - CAPM 2.1, 2.2 and 2.3'!O531</f>
        <v>-4.4918712971935455E-3</v>
      </c>
      <c r="E531" s="16">
        <v>44356</v>
      </c>
      <c r="F531" s="17">
        <v>3.4099999999999998E-2</v>
      </c>
      <c r="G531" s="41">
        <f t="shared" si="58"/>
        <v>9.187129719356868E-5</v>
      </c>
      <c r="L531" s="40">
        <f t="shared" si="56"/>
        <v>-7.4369365875296351E-3</v>
      </c>
      <c r="M531" s="40">
        <f t="shared" si="57"/>
        <v>-4.4098789545197739E-3</v>
      </c>
      <c r="O531" s="40">
        <f t="shared" si="59"/>
        <v>-7.4369365875296351E-3</v>
      </c>
      <c r="P531" s="207">
        <f t="shared" si="60"/>
        <v>9.187129719356868E-5</v>
      </c>
      <c r="Q531" s="208">
        <f t="shared" si="61"/>
        <v>1.0021992959873915</v>
      </c>
      <c r="R531" s="40">
        <f t="shared" si="62"/>
        <v>-7.512286143950676E-3</v>
      </c>
      <c r="S531" s="209">
        <v>0</v>
      </c>
    </row>
    <row r="532" spans="1:19" x14ac:dyDescent="0.45">
      <c r="A532" s="16">
        <v>44357</v>
      </c>
      <c r="B532" s="42">
        <f>'Part 2 - CAPM 2.1, 2.2 and 2.3'!N532</f>
        <v>8.9254766470303337E-3</v>
      </c>
      <c r="C532" s="42">
        <f>'Part 2 - CAPM 2.1, 2.2 and 2.3'!O532</f>
        <v>-3.3060135229871055E-3</v>
      </c>
      <c r="E532" s="16">
        <v>44357</v>
      </c>
      <c r="F532" s="17">
        <v>3.4099999999999998E-2</v>
      </c>
      <c r="G532" s="41">
        <f t="shared" si="58"/>
        <v>9.187129719356868E-5</v>
      </c>
      <c r="L532" s="40">
        <f t="shared" si="56"/>
        <v>9.0369777091992738E-3</v>
      </c>
      <c r="M532" s="40">
        <f t="shared" si="57"/>
        <v>-3.2214131280689047E-3</v>
      </c>
      <c r="O532" s="40">
        <f t="shared" si="59"/>
        <v>9.0369777091992738E-3</v>
      </c>
      <c r="P532" s="207">
        <f t="shared" si="60"/>
        <v>9.187129719356868E-5</v>
      </c>
      <c r="Q532" s="208">
        <f t="shared" si="61"/>
        <v>1.0021992959873915</v>
      </c>
      <c r="R532" s="40">
        <f t="shared" si="62"/>
        <v>8.9254766470303337E-3</v>
      </c>
      <c r="S532" s="209">
        <v>0</v>
      </c>
    </row>
    <row r="533" spans="1:19" x14ac:dyDescent="0.45">
      <c r="A533" s="16">
        <v>44358</v>
      </c>
      <c r="B533" s="42">
        <f>'Part 2 - CAPM 2.1, 2.2 and 2.3'!N533</f>
        <v>3.3592872267610694E-3</v>
      </c>
      <c r="C533" s="42">
        <f>'Part 2 - CAPM 2.1, 2.2 and 2.3'!O533</f>
        <v>-3.719440825609553E-3</v>
      </c>
      <c r="E533" s="16">
        <v>44358</v>
      </c>
      <c r="F533" s="17">
        <v>3.4099999999999998E-2</v>
      </c>
      <c r="G533" s="41">
        <f t="shared" si="58"/>
        <v>9.187129719356868E-5</v>
      </c>
      <c r="L533" s="40">
        <f t="shared" si="56"/>
        <v>3.4585465908729494E-3</v>
      </c>
      <c r="M533" s="40">
        <f t="shared" si="57"/>
        <v>-3.6357496796990876E-3</v>
      </c>
      <c r="O533" s="40">
        <f t="shared" si="59"/>
        <v>3.4585465908729494E-3</v>
      </c>
      <c r="P533" s="207">
        <f t="shared" si="60"/>
        <v>9.187129719356868E-5</v>
      </c>
      <c r="Q533" s="208">
        <f t="shared" si="61"/>
        <v>1.0021992959873915</v>
      </c>
      <c r="R533" s="40">
        <f t="shared" si="62"/>
        <v>3.3592872267610694E-3</v>
      </c>
      <c r="S533" s="209">
        <v>0</v>
      </c>
    </row>
    <row r="534" spans="1:19" x14ac:dyDescent="0.45">
      <c r="A534" s="16">
        <v>44361</v>
      </c>
      <c r="B534" s="42">
        <f>'Part 2 - CAPM 2.1, 2.2 and 2.3'!N534</f>
        <v>-8.0727243617700277E-4</v>
      </c>
      <c r="C534" s="42">
        <f>'Part 2 - CAPM 2.1, 2.2 and 2.3'!O534</f>
        <v>1.1234724594455861E-2</v>
      </c>
      <c r="E534" s="16">
        <v>44361</v>
      </c>
      <c r="F534" s="17">
        <v>3.4200000000000001E-2</v>
      </c>
      <c r="G534" s="41">
        <f t="shared" si="58"/>
        <v>9.2136246968133051E-5</v>
      </c>
      <c r="L534" s="40">
        <f t="shared" si="56"/>
        <v>-7.1691162023848555E-4</v>
      </c>
      <c r="M534" s="40">
        <f t="shared" si="57"/>
        <v>1.1351569326144031E-2</v>
      </c>
      <c r="O534" s="40">
        <f t="shared" si="59"/>
        <v>-7.1691162023848555E-4</v>
      </c>
      <c r="P534" s="207">
        <f t="shared" si="60"/>
        <v>9.2136246968133051E-5</v>
      </c>
      <c r="Q534" s="208">
        <f t="shared" si="61"/>
        <v>1.0021992959873915</v>
      </c>
      <c r="R534" s="40">
        <f t="shared" si="62"/>
        <v>-8.0727243617700277E-4</v>
      </c>
      <c r="S534" s="209">
        <v>0</v>
      </c>
    </row>
    <row r="535" spans="1:19" x14ac:dyDescent="0.45">
      <c r="A535" s="16">
        <v>44362</v>
      </c>
      <c r="B535" s="42">
        <f>'Part 2 - CAPM 2.1, 2.2 and 2.3'!N535</f>
        <v>3.8663260076908868E-3</v>
      </c>
      <c r="C535" s="42">
        <f>'Part 2 - CAPM 2.1, 2.2 and 2.3'!O535</f>
        <v>5.9081287028064314E-3</v>
      </c>
      <c r="E535" s="16">
        <v>44362</v>
      </c>
      <c r="F535" s="17">
        <v>3.4099999999999998E-2</v>
      </c>
      <c r="G535" s="41">
        <f t="shared" si="58"/>
        <v>9.187129719356868E-5</v>
      </c>
      <c r="L535" s="40">
        <f t="shared" si="56"/>
        <v>3.9667005001591173E-3</v>
      </c>
      <c r="M535" s="40">
        <f t="shared" si="57"/>
        <v>6.0129937237490749E-3</v>
      </c>
      <c r="O535" s="40">
        <f t="shared" si="59"/>
        <v>3.9667005001591173E-3</v>
      </c>
      <c r="P535" s="207">
        <f t="shared" si="60"/>
        <v>9.187129719356868E-5</v>
      </c>
      <c r="Q535" s="208">
        <f t="shared" si="61"/>
        <v>1.0021992959873915</v>
      </c>
      <c r="R535" s="40">
        <f t="shared" si="62"/>
        <v>3.8663260076908868E-3</v>
      </c>
      <c r="S535" s="209">
        <v>0</v>
      </c>
    </row>
    <row r="536" spans="1:19" x14ac:dyDescent="0.45">
      <c r="A536" s="16">
        <v>44363</v>
      </c>
      <c r="B536" s="42">
        <f>'Part 2 - CAPM 2.1, 2.2 and 2.3'!N536</f>
        <v>-7.2356281945440588E-3</v>
      </c>
      <c r="C536" s="42">
        <f>'Part 2 - CAPM 2.1, 2.2 and 2.3'!O536</f>
        <v>7.4620058983105343E-3</v>
      </c>
      <c r="E536" s="16">
        <v>44363</v>
      </c>
      <c r="F536" s="17">
        <v>3.44E-2</v>
      </c>
      <c r="G536" s="41">
        <f t="shared" si="58"/>
        <v>9.2666069880342761E-5</v>
      </c>
      <c r="L536" s="40">
        <f t="shared" si="56"/>
        <v>-7.158875412718234E-3</v>
      </c>
      <c r="M536" s="40">
        <f t="shared" si="57"/>
        <v>7.5710831278209233E-3</v>
      </c>
      <c r="O536" s="40">
        <f t="shared" si="59"/>
        <v>-7.158875412718234E-3</v>
      </c>
      <c r="P536" s="207">
        <f t="shared" si="60"/>
        <v>9.2666069880342761E-5</v>
      </c>
      <c r="Q536" s="208">
        <f t="shared" si="61"/>
        <v>1.0021992959873915</v>
      </c>
      <c r="R536" s="40">
        <f t="shared" si="62"/>
        <v>-7.2356281945440588E-3</v>
      </c>
      <c r="S536" s="209">
        <v>0</v>
      </c>
    </row>
    <row r="537" spans="1:19" x14ac:dyDescent="0.45">
      <c r="A537" s="16">
        <v>44364</v>
      </c>
      <c r="B537" s="42">
        <f>'Part 2 - CAPM 2.1, 2.2 and 2.3'!N537</f>
        <v>-6.4181242102008592E-3</v>
      </c>
      <c r="C537" s="42">
        <f>'Part 2 - CAPM 2.1, 2.2 and 2.3'!O537</f>
        <v>-1.074855137831726E-2</v>
      </c>
      <c r="E537" s="16">
        <v>44364</v>
      </c>
      <c r="F537" s="17">
        <v>3.4700000000000002E-2</v>
      </c>
      <c r="G537" s="41">
        <f t="shared" si="58"/>
        <v>9.3460612729190373E-5</v>
      </c>
      <c r="L537" s="40">
        <f t="shared" si="56"/>
        <v>-6.3387789522937445E-3</v>
      </c>
      <c r="M537" s="40">
        <f t="shared" si="57"/>
        <v>-1.0678730011504675E-2</v>
      </c>
      <c r="O537" s="40">
        <f t="shared" si="59"/>
        <v>-6.3387789522937445E-3</v>
      </c>
      <c r="P537" s="207">
        <f t="shared" si="60"/>
        <v>9.3460612729190373E-5</v>
      </c>
      <c r="Q537" s="208">
        <f t="shared" si="61"/>
        <v>1.0021992959873915</v>
      </c>
      <c r="R537" s="40">
        <f t="shared" si="62"/>
        <v>-6.4181242102008592E-3</v>
      </c>
      <c r="S537" s="209">
        <v>0</v>
      </c>
    </row>
    <row r="538" spans="1:19" x14ac:dyDescent="0.45">
      <c r="A538" s="16">
        <v>44365</v>
      </c>
      <c r="B538" s="42">
        <f>'Part 2 - CAPM 2.1, 2.2 and 2.3'!N538</f>
        <v>-2.9689260588206421E-3</v>
      </c>
      <c r="C538" s="42">
        <f>'Part 2 - CAPM 2.1, 2.2 and 2.3'!O538</f>
        <v>-3.6790973115715393E-2</v>
      </c>
      <c r="E538" s="16">
        <v>44365</v>
      </c>
      <c r="F538" s="17">
        <v>3.4799999999999998E-2</v>
      </c>
      <c r="G538" s="41">
        <f t="shared" si="58"/>
        <v>9.3725409293421436E-5</v>
      </c>
      <c r="L538" s="40">
        <f t="shared" si="56"/>
        <v>-2.8817301966952472E-3</v>
      </c>
      <c r="M538" s="40">
        <f t="shared" si="57"/>
        <v>-3.6778161945967593E-2</v>
      </c>
      <c r="O538" s="40">
        <f t="shared" si="59"/>
        <v>-2.8817301966952472E-3</v>
      </c>
      <c r="P538" s="207">
        <f t="shared" si="60"/>
        <v>9.3725409293421436E-5</v>
      </c>
      <c r="Q538" s="208">
        <f t="shared" si="61"/>
        <v>1.0021992959873915</v>
      </c>
      <c r="R538" s="40">
        <f t="shared" si="62"/>
        <v>-2.9689260588206421E-3</v>
      </c>
      <c r="S538" s="209">
        <v>0</v>
      </c>
    </row>
    <row r="539" spans="1:19" x14ac:dyDescent="0.45">
      <c r="A539" s="16">
        <v>44368</v>
      </c>
      <c r="B539" s="42">
        <f>'Part 2 - CAPM 2.1, 2.2 and 2.3'!N539</f>
        <v>5.1025824640864026E-3</v>
      </c>
      <c r="C539" s="42">
        <f>'Part 2 - CAPM 2.1, 2.2 and 2.3'!O539</f>
        <v>2.8056197816100979E-3</v>
      </c>
      <c r="E539" s="16">
        <v>44368</v>
      </c>
      <c r="F539" s="17">
        <v>3.4500000000000003E-2</v>
      </c>
      <c r="G539" s="41">
        <f t="shared" si="58"/>
        <v>9.2930943027536017E-5</v>
      </c>
      <c r="L539" s="40">
        <f t="shared" si="56"/>
        <v>5.2067354962525387E-3</v>
      </c>
      <c r="M539" s="40">
        <f t="shared" si="57"/>
        <v>2.9047211129654754E-3</v>
      </c>
      <c r="O539" s="40">
        <f t="shared" si="59"/>
        <v>5.2067354962525387E-3</v>
      </c>
      <c r="P539" s="207">
        <f t="shared" si="60"/>
        <v>9.2930943027536017E-5</v>
      </c>
      <c r="Q539" s="208">
        <f t="shared" si="61"/>
        <v>1.0021992959873915</v>
      </c>
      <c r="R539" s="40">
        <f t="shared" si="62"/>
        <v>5.1025824640864026E-3</v>
      </c>
      <c r="S539" s="209">
        <v>0</v>
      </c>
    </row>
    <row r="540" spans="1:19" x14ac:dyDescent="0.45">
      <c r="A540" s="16">
        <v>44369</v>
      </c>
      <c r="B540" s="42">
        <f>'Part 2 - CAPM 2.1, 2.2 and 2.3'!N540</f>
        <v>2.5075902118039208E-3</v>
      </c>
      <c r="C540" s="42">
        <f>'Part 2 - CAPM 2.1, 2.2 and 2.3'!O540</f>
        <v>7.3384138711684622E-3</v>
      </c>
      <c r="E540" s="16">
        <v>44369</v>
      </c>
      <c r="F540" s="17">
        <v>3.4700000000000002E-2</v>
      </c>
      <c r="G540" s="41">
        <f t="shared" si="58"/>
        <v>9.3460612729190373E-5</v>
      </c>
      <c r="L540" s="40">
        <f t="shared" si="56"/>
        <v>2.6065657576239539E-3</v>
      </c>
      <c r="M540" s="40">
        <f t="shared" si="57"/>
        <v>7.4480138280783323E-3</v>
      </c>
      <c r="O540" s="40">
        <f t="shared" si="59"/>
        <v>2.6065657576239539E-3</v>
      </c>
      <c r="P540" s="207">
        <f t="shared" si="60"/>
        <v>9.3460612729190373E-5</v>
      </c>
      <c r="Q540" s="208">
        <f t="shared" si="61"/>
        <v>1.0021992959873915</v>
      </c>
      <c r="R540" s="40">
        <f t="shared" si="62"/>
        <v>2.5075902118039208E-3</v>
      </c>
      <c r="S540" s="209">
        <v>0</v>
      </c>
    </row>
    <row r="541" spans="1:19" x14ac:dyDescent="0.45">
      <c r="A541" s="16">
        <v>44370</v>
      </c>
      <c r="B541" s="42">
        <f>'Part 2 - CAPM 2.1, 2.2 and 2.3'!N541</f>
        <v>-5.1150249965632045E-3</v>
      </c>
      <c r="C541" s="42">
        <f>'Part 2 - CAPM 2.1, 2.2 and 2.3'!O541</f>
        <v>1.0152705848701997E-2</v>
      </c>
      <c r="E541" s="16">
        <v>44370</v>
      </c>
      <c r="F541" s="17">
        <v>3.4599999999999999E-2</v>
      </c>
      <c r="G541" s="41">
        <f t="shared" si="58"/>
        <v>9.3195790642264242E-5</v>
      </c>
      <c r="L541" s="40">
        <f t="shared" si="56"/>
        <v>-5.0330786598712894E-3</v>
      </c>
      <c r="M541" s="40">
        <f t="shared" si="57"/>
        <v>1.0268230444578478E-2</v>
      </c>
      <c r="O541" s="40">
        <f t="shared" si="59"/>
        <v>-5.0330786598712894E-3</v>
      </c>
      <c r="P541" s="207">
        <f t="shared" si="60"/>
        <v>9.3195790642264242E-5</v>
      </c>
      <c r="Q541" s="208">
        <f t="shared" si="61"/>
        <v>1.0021992959873915</v>
      </c>
      <c r="R541" s="40">
        <f t="shared" si="62"/>
        <v>-5.1150249965632045E-3</v>
      </c>
      <c r="S541" s="209">
        <v>0</v>
      </c>
    </row>
    <row r="542" spans="1:19" x14ac:dyDescent="0.45">
      <c r="A542" s="16">
        <v>44371</v>
      </c>
      <c r="B542" s="42">
        <f>'Part 2 - CAPM 2.1, 2.2 and 2.3'!N542</f>
        <v>3.2525164536896128E-3</v>
      </c>
      <c r="C542" s="42">
        <f>'Part 2 - CAPM 2.1, 2.2 and 2.3'!O542</f>
        <v>-6.5832733821486796E-3</v>
      </c>
      <c r="E542" s="16">
        <v>44371</v>
      </c>
      <c r="F542" s="17">
        <v>3.4300000000000004E-2</v>
      </c>
      <c r="G542" s="41">
        <f t="shared" si="58"/>
        <v>9.2401171195355403E-5</v>
      </c>
      <c r="L542" s="40">
        <f t="shared" si="56"/>
        <v>3.3520708712704928E-3</v>
      </c>
      <c r="M542" s="40">
        <f t="shared" si="57"/>
        <v>-6.5053507776865853E-3</v>
      </c>
      <c r="O542" s="40">
        <f t="shared" si="59"/>
        <v>3.3520708712704928E-3</v>
      </c>
      <c r="P542" s="207">
        <f t="shared" si="60"/>
        <v>9.2401171195355403E-5</v>
      </c>
      <c r="Q542" s="208">
        <f t="shared" si="61"/>
        <v>1.0021992959873915</v>
      </c>
      <c r="R542" s="40">
        <f t="shared" si="62"/>
        <v>3.2525164536896128E-3</v>
      </c>
      <c r="S542" s="209">
        <v>0</v>
      </c>
    </row>
    <row r="543" spans="1:19" x14ac:dyDescent="0.45">
      <c r="A543" s="16">
        <v>44372</v>
      </c>
      <c r="B543" s="42">
        <f>'Part 2 - CAPM 2.1, 2.2 and 2.3'!N543</f>
        <v>5.190658473949554E-3</v>
      </c>
      <c r="C543" s="42">
        <f>'Part 2 - CAPM 2.1, 2.2 and 2.3'!O543</f>
        <v>-1.1117044372733821E-2</v>
      </c>
      <c r="E543" s="16">
        <v>44372</v>
      </c>
      <c r="F543" s="17">
        <v>3.4200000000000001E-2</v>
      </c>
      <c r="G543" s="41">
        <f t="shared" si="58"/>
        <v>9.2136246968133051E-5</v>
      </c>
      <c r="L543" s="40">
        <f t="shared" si="56"/>
        <v>5.2942105152713644E-3</v>
      </c>
      <c r="M543" s="40">
        <f t="shared" si="57"/>
        <v>-1.1049357796846295E-2</v>
      </c>
      <c r="O543" s="40">
        <f t="shared" si="59"/>
        <v>5.2942105152713644E-3</v>
      </c>
      <c r="P543" s="207">
        <f t="shared" si="60"/>
        <v>9.2136246968133051E-5</v>
      </c>
      <c r="Q543" s="208">
        <f t="shared" si="61"/>
        <v>1.0021992959873915</v>
      </c>
      <c r="R543" s="40">
        <f t="shared" si="62"/>
        <v>5.190658473949554E-3</v>
      </c>
      <c r="S543" s="209">
        <v>0</v>
      </c>
    </row>
    <row r="544" spans="1:19" x14ac:dyDescent="0.45">
      <c r="A544" s="16">
        <v>44375</v>
      </c>
      <c r="B544" s="42">
        <f>'Part 2 - CAPM 2.1, 2.2 and 2.3'!N544</f>
        <v>-5.6166765045262542E-4</v>
      </c>
      <c r="C544" s="42">
        <f>'Part 2 - CAPM 2.1, 2.2 and 2.3'!O544</f>
        <v>1.1880909487510267E-2</v>
      </c>
      <c r="E544" s="16">
        <v>44375</v>
      </c>
      <c r="F544" s="17">
        <v>3.44E-2</v>
      </c>
      <c r="G544" s="41">
        <f t="shared" si="58"/>
        <v>9.2666069880342761E-5</v>
      </c>
      <c r="L544" s="40">
        <f t="shared" si="56"/>
        <v>-4.7023685398217075E-4</v>
      </c>
      <c r="M544" s="40">
        <f t="shared" si="57"/>
        <v>1.1999705193953053E-2</v>
      </c>
      <c r="O544" s="40">
        <f t="shared" si="59"/>
        <v>-4.7023685398217075E-4</v>
      </c>
      <c r="P544" s="207">
        <f t="shared" si="60"/>
        <v>9.2666069880342761E-5</v>
      </c>
      <c r="Q544" s="208">
        <f t="shared" si="61"/>
        <v>1.0021992959873915</v>
      </c>
      <c r="R544" s="40">
        <f t="shared" si="62"/>
        <v>-5.6166765045262542E-4</v>
      </c>
      <c r="S544" s="209">
        <v>0</v>
      </c>
    </row>
    <row r="545" spans="1:19" x14ac:dyDescent="0.45">
      <c r="A545" s="16">
        <v>44376</v>
      </c>
      <c r="B545" s="42">
        <f>'Part 2 - CAPM 2.1, 2.2 and 2.3'!N545</f>
        <v>-3.8678124191135017E-3</v>
      </c>
      <c r="C545" s="42">
        <f>'Part 2 - CAPM 2.1, 2.2 and 2.3'!O545</f>
        <v>-2.2939688514655807E-2</v>
      </c>
      <c r="E545" s="16">
        <v>44376</v>
      </c>
      <c r="F545" s="17">
        <v>3.4099999999999998E-2</v>
      </c>
      <c r="G545" s="41">
        <f t="shared" si="58"/>
        <v>9.187129719356868E-5</v>
      </c>
      <c r="L545" s="40">
        <f t="shared" si="56"/>
        <v>-3.7844475862532727E-3</v>
      </c>
      <c r="M545" s="40">
        <f t="shared" si="57"/>
        <v>-2.2898268382364532E-2</v>
      </c>
      <c r="O545" s="40">
        <f t="shared" si="59"/>
        <v>-3.7844475862532727E-3</v>
      </c>
      <c r="P545" s="207">
        <f t="shared" si="60"/>
        <v>9.187129719356868E-5</v>
      </c>
      <c r="Q545" s="208">
        <f t="shared" si="61"/>
        <v>1.0021992959873915</v>
      </c>
      <c r="R545" s="40">
        <f t="shared" si="62"/>
        <v>-3.8678124191135017E-3</v>
      </c>
      <c r="S545" s="209">
        <v>0</v>
      </c>
    </row>
    <row r="546" spans="1:19" x14ac:dyDescent="0.45">
      <c r="A546" s="16">
        <v>44377</v>
      </c>
      <c r="B546" s="42">
        <f>'Part 2 - CAPM 2.1, 2.2 and 2.3'!N546</f>
        <v>-7.1466159206125669E-4</v>
      </c>
      <c r="C546" s="42">
        <f>'Part 2 - CAPM 2.1, 2.2 and 2.3'!O546</f>
        <v>-1.5957994630843637E-2</v>
      </c>
      <c r="E546" s="16">
        <v>44377</v>
      </c>
      <c r="F546" s="17">
        <v>3.4000000000000002E-2</v>
      </c>
      <c r="G546" s="41">
        <f t="shared" si="58"/>
        <v>9.1606321866555263E-5</v>
      </c>
      <c r="L546" s="40">
        <f t="shared" si="56"/>
        <v>-6.2462702256646464E-4</v>
      </c>
      <c r="M546" s="40">
        <f t="shared" si="57"/>
        <v>-1.5901484662535513E-2</v>
      </c>
      <c r="O546" s="40">
        <f t="shared" si="59"/>
        <v>-6.2462702256646464E-4</v>
      </c>
      <c r="P546" s="207">
        <f t="shared" si="60"/>
        <v>9.1606321866555263E-5</v>
      </c>
      <c r="Q546" s="208">
        <f t="shared" si="61"/>
        <v>1.0021992959873915</v>
      </c>
      <c r="R546" s="40">
        <f t="shared" si="62"/>
        <v>-7.1466159206125669E-4</v>
      </c>
      <c r="S546" s="209">
        <v>0</v>
      </c>
    </row>
    <row r="547" spans="1:19" x14ac:dyDescent="0.45">
      <c r="A547" s="16">
        <v>44378</v>
      </c>
      <c r="B547" s="42">
        <f>'Part 2 - CAPM 2.1, 2.2 and 2.3'!N547</f>
        <v>-1.5351753886677258E-3</v>
      </c>
      <c r="C547" s="42">
        <f>'Part 2 - CAPM 2.1, 2.2 and 2.3'!O547</f>
        <v>8.818024564853949E-3</v>
      </c>
      <c r="E547" s="16">
        <v>44378</v>
      </c>
      <c r="F547" s="17">
        <v>3.4000000000000002E-2</v>
      </c>
      <c r="G547" s="41">
        <f t="shared" si="58"/>
        <v>9.1606321866555263E-5</v>
      </c>
      <c r="L547" s="40">
        <f t="shared" si="56"/>
        <v>-1.4469453718734097E-3</v>
      </c>
      <c r="M547" s="40">
        <f t="shared" si="57"/>
        <v>8.929024332762707E-3</v>
      </c>
      <c r="O547" s="40">
        <f t="shared" si="59"/>
        <v>-1.4469453718734097E-3</v>
      </c>
      <c r="P547" s="207">
        <f t="shared" si="60"/>
        <v>9.1606321866555263E-5</v>
      </c>
      <c r="Q547" s="208">
        <f t="shared" si="61"/>
        <v>1.0021992959873915</v>
      </c>
      <c r="R547" s="40">
        <f t="shared" si="62"/>
        <v>-1.5351753886677258E-3</v>
      </c>
      <c r="S547" s="209">
        <v>0</v>
      </c>
    </row>
    <row r="548" spans="1:19" x14ac:dyDescent="0.45">
      <c r="A548" s="16">
        <v>44379</v>
      </c>
      <c r="B548" s="42">
        <f>'Part 2 - CAPM 2.1, 2.2 and 2.3'!N548</f>
        <v>2.9072144833491927E-3</v>
      </c>
      <c r="C548" s="42">
        <f>'Part 2 - CAPM 2.1, 2.2 and 2.3'!O548</f>
        <v>-9.187129719356868E-5</v>
      </c>
      <c r="E548" s="16">
        <v>44379</v>
      </c>
      <c r="F548" s="17">
        <v>3.4099999999999998E-2</v>
      </c>
      <c r="G548" s="41">
        <f t="shared" si="58"/>
        <v>9.187129719356868E-5</v>
      </c>
      <c r="L548" s="40">
        <f t="shared" si="56"/>
        <v>3.0054796056904779E-3</v>
      </c>
      <c r="M548" s="40">
        <f t="shared" si="57"/>
        <v>-2.0205217527426926E-7</v>
      </c>
      <c r="O548" s="40">
        <f t="shared" si="59"/>
        <v>3.0054796056904779E-3</v>
      </c>
      <c r="P548" s="207">
        <f t="shared" si="60"/>
        <v>9.187129719356868E-5</v>
      </c>
      <c r="Q548" s="208">
        <f t="shared" si="61"/>
        <v>1.0021992959873915</v>
      </c>
      <c r="R548" s="40">
        <f t="shared" si="62"/>
        <v>2.9072144833491927E-3</v>
      </c>
      <c r="S548" s="209">
        <v>0</v>
      </c>
    </row>
    <row r="549" spans="1:19" x14ac:dyDescent="0.45">
      <c r="A549" s="16">
        <v>44382</v>
      </c>
      <c r="B549" s="42">
        <f>'Part 2 - CAPM 2.1, 2.2 and 2.3'!N549</f>
        <v>6.6738731384817845E-3</v>
      </c>
      <c r="C549" s="42">
        <f>'Part 2 - CAPM 2.1, 2.2 and 2.3'!O549</f>
        <v>1.9672636692713869E-2</v>
      </c>
      <c r="E549" s="16">
        <v>44382</v>
      </c>
      <c r="F549" s="17">
        <v>3.4099999999999998E-2</v>
      </c>
      <c r="G549" s="41">
        <f t="shared" si="58"/>
        <v>9.187129719356868E-5</v>
      </c>
      <c r="L549" s="40">
        <f t="shared" si="56"/>
        <v>6.7804222580891763E-3</v>
      </c>
      <c r="M549" s="40">
        <f t="shared" si="57"/>
        <v>1.9807773940847134E-2</v>
      </c>
      <c r="O549" s="40">
        <f t="shared" si="59"/>
        <v>6.7804222580891763E-3</v>
      </c>
      <c r="P549" s="207">
        <f t="shared" si="60"/>
        <v>9.187129719356868E-5</v>
      </c>
      <c r="Q549" s="208">
        <f t="shared" si="61"/>
        <v>1.0021992959873915</v>
      </c>
      <c r="R549" s="40">
        <f t="shared" si="62"/>
        <v>6.6738731384817845E-3</v>
      </c>
      <c r="S549" s="209">
        <v>0</v>
      </c>
    </row>
    <row r="550" spans="1:19" x14ac:dyDescent="0.45">
      <c r="A550" s="16">
        <v>44383</v>
      </c>
      <c r="B550" s="42">
        <f>'Part 2 - CAPM 2.1, 2.2 and 2.3'!N550</f>
        <v>-9.4597206758903095E-4</v>
      </c>
      <c r="C550" s="42">
        <f>'Part 2 - CAPM 2.1, 2.2 and 2.3'!O550</f>
        <v>2.79446169117615E-3</v>
      </c>
      <c r="E550" s="16">
        <v>44383</v>
      </c>
      <c r="F550" s="17">
        <v>3.4200000000000001E-2</v>
      </c>
      <c r="G550" s="41">
        <f t="shared" si="58"/>
        <v>9.2136246968133051E-5</v>
      </c>
      <c r="L550" s="40">
        <f t="shared" si="56"/>
        <v>-8.5591629319333091E-4</v>
      </c>
      <c r="M550" s="40">
        <f t="shared" si="57"/>
        <v>2.8927437865286063E-3</v>
      </c>
      <c r="O550" s="40">
        <f t="shared" si="59"/>
        <v>-8.5591629319333091E-4</v>
      </c>
      <c r="P550" s="207">
        <f t="shared" si="60"/>
        <v>9.2136246968133051E-5</v>
      </c>
      <c r="Q550" s="208">
        <f t="shared" si="61"/>
        <v>1.0021992959873915</v>
      </c>
      <c r="R550" s="40">
        <f t="shared" si="62"/>
        <v>-9.4597206758903095E-4</v>
      </c>
      <c r="S550" s="209">
        <v>0</v>
      </c>
    </row>
    <row r="551" spans="1:19" x14ac:dyDescent="0.45">
      <c r="A551" s="16">
        <v>44384</v>
      </c>
      <c r="B551" s="42">
        <f>'Part 2 - CAPM 2.1, 2.2 and 2.3'!N551</f>
        <v>4.0959712956772894E-3</v>
      </c>
      <c r="C551" s="42">
        <f>'Part 2 - CAPM 2.1, 2.2 and 2.3'!O551</f>
        <v>-1.2427662562757607E-2</v>
      </c>
      <c r="E551" s="16">
        <v>44384</v>
      </c>
      <c r="F551" s="17">
        <v>3.4200000000000001E-2</v>
      </c>
      <c r="G551" s="41">
        <f t="shared" si="58"/>
        <v>9.2136246968133051E-5</v>
      </c>
      <c r="L551" s="40">
        <f t="shared" si="56"/>
        <v>4.1971157958804765E-3</v>
      </c>
      <c r="M551" s="40">
        <f t="shared" si="57"/>
        <v>-1.2362858424196403E-2</v>
      </c>
      <c r="O551" s="40">
        <f t="shared" si="59"/>
        <v>4.1971157958804765E-3</v>
      </c>
      <c r="P551" s="207">
        <f t="shared" si="60"/>
        <v>9.2136246968133051E-5</v>
      </c>
      <c r="Q551" s="208">
        <f t="shared" si="61"/>
        <v>1.0021992959873915</v>
      </c>
      <c r="R551" s="40">
        <f t="shared" si="62"/>
        <v>4.0959712956772894E-3</v>
      </c>
      <c r="S551" s="209">
        <v>0</v>
      </c>
    </row>
    <row r="552" spans="1:19" x14ac:dyDescent="0.45">
      <c r="A552" s="16">
        <v>44385</v>
      </c>
      <c r="B552" s="42">
        <f>'Part 2 - CAPM 2.1, 2.2 and 2.3'!N552</f>
        <v>-7.3036394382233064E-3</v>
      </c>
      <c r="C552" s="42">
        <f>'Part 2 - CAPM 2.1, 2.2 and 2.3'!O552</f>
        <v>-2.5071320260290367E-2</v>
      </c>
      <c r="E552" s="16">
        <v>44385</v>
      </c>
      <c r="F552" s="17">
        <v>3.4200000000000001E-2</v>
      </c>
      <c r="G552" s="41">
        <f t="shared" si="58"/>
        <v>9.2136246968133051E-5</v>
      </c>
      <c r="L552" s="40">
        <f t="shared" si="56"/>
        <v>-7.2275660561650122E-3</v>
      </c>
      <c r="M552" s="40">
        <f t="shared" si="57"/>
        <v>-2.5034323267369298E-2</v>
      </c>
      <c r="O552" s="40">
        <f t="shared" si="59"/>
        <v>-7.2275660561650122E-3</v>
      </c>
      <c r="P552" s="207">
        <f t="shared" si="60"/>
        <v>9.2136246968133051E-5</v>
      </c>
      <c r="Q552" s="208">
        <f t="shared" si="61"/>
        <v>1.0021992959873915</v>
      </c>
      <c r="R552" s="40">
        <f t="shared" si="62"/>
        <v>-7.3036394382233064E-3</v>
      </c>
      <c r="S552" s="209">
        <v>0</v>
      </c>
    </row>
    <row r="553" spans="1:19" x14ac:dyDescent="0.45">
      <c r="A553" s="16">
        <v>44386</v>
      </c>
      <c r="B553" s="42">
        <f>'Part 2 - CAPM 2.1, 2.2 and 2.3'!N553</f>
        <v>-4.4419743850263206E-4</v>
      </c>
      <c r="C553" s="42">
        <f>'Part 2 - CAPM 2.1, 2.2 and 2.3'!O553</f>
        <v>8.4465138592296398E-3</v>
      </c>
      <c r="E553" s="16">
        <v>44386</v>
      </c>
      <c r="F553" s="17">
        <v>3.4599999999999999E-2</v>
      </c>
      <c r="G553" s="41">
        <f t="shared" si="58"/>
        <v>9.3195790642264242E-5</v>
      </c>
      <c r="L553" s="40">
        <f t="shared" si="56"/>
        <v>-3.5197856950447626E-4</v>
      </c>
      <c r="M553" s="40">
        <f t="shared" si="57"/>
        <v>8.5582860339099547E-3</v>
      </c>
      <c r="O553" s="40">
        <f t="shared" si="59"/>
        <v>-3.5197856950447626E-4</v>
      </c>
      <c r="P553" s="207">
        <f t="shared" si="60"/>
        <v>9.3195790642264242E-5</v>
      </c>
      <c r="Q553" s="208">
        <f t="shared" si="61"/>
        <v>1.0021992959873915</v>
      </c>
      <c r="R553" s="40">
        <f t="shared" si="62"/>
        <v>-4.4419743850263206E-4</v>
      </c>
      <c r="S553" s="209">
        <v>0</v>
      </c>
    </row>
    <row r="554" spans="1:19" x14ac:dyDescent="0.45">
      <c r="A554" s="16">
        <v>44389</v>
      </c>
      <c r="B554" s="42">
        <f>'Part 2 - CAPM 2.1, 2.2 and 2.3'!N554</f>
        <v>1.4636365137457681E-3</v>
      </c>
      <c r="C554" s="42">
        <f>'Part 2 - CAPM 2.1, 2.2 and 2.3'!O554</f>
        <v>2.8711890066201277E-3</v>
      </c>
      <c r="E554" s="16">
        <v>44389</v>
      </c>
      <c r="F554" s="17">
        <v>3.4300000000000004E-2</v>
      </c>
      <c r="G554" s="41">
        <f t="shared" si="58"/>
        <v>9.2401171195355403E-5</v>
      </c>
      <c r="L554" s="40">
        <f t="shared" si="56"/>
        <v>1.5592566548528043E-3</v>
      </c>
      <c r="M554" s="40">
        <f t="shared" si="57"/>
        <v>2.9699047722767857E-3</v>
      </c>
      <c r="O554" s="40">
        <f t="shared" si="59"/>
        <v>1.5592566548528043E-3</v>
      </c>
      <c r="P554" s="207">
        <f t="shared" si="60"/>
        <v>9.2401171195355403E-5</v>
      </c>
      <c r="Q554" s="208">
        <f t="shared" si="61"/>
        <v>1.0021992959873915</v>
      </c>
      <c r="R554" s="40">
        <f t="shared" si="62"/>
        <v>1.4636365137457681E-3</v>
      </c>
      <c r="S554" s="209">
        <v>0</v>
      </c>
    </row>
    <row r="555" spans="1:19" x14ac:dyDescent="0.45">
      <c r="A555" s="16">
        <v>44390</v>
      </c>
      <c r="B555" s="42">
        <f>'Part 2 - CAPM 2.1, 2.2 and 2.3'!N555</f>
        <v>5.8007577990398995E-3</v>
      </c>
      <c r="C555" s="42">
        <f>'Part 2 - CAPM 2.1, 2.2 and 2.3'!O555</f>
        <v>1.8902690620706403E-2</v>
      </c>
      <c r="E555" s="16">
        <v>44390</v>
      </c>
      <c r="F555" s="17">
        <v>3.44E-2</v>
      </c>
      <c r="G555" s="41">
        <f t="shared" si="58"/>
        <v>9.2666069880342761E-5</v>
      </c>
      <c r="L555" s="40">
        <f t="shared" si="56"/>
        <v>5.9061814522715006E-3</v>
      </c>
      <c r="M555" s="40">
        <f t="shared" si="57"/>
        <v>1.9036929302219768E-2</v>
      </c>
      <c r="O555" s="40">
        <f t="shared" si="59"/>
        <v>5.9061814522715006E-3</v>
      </c>
      <c r="P555" s="207">
        <f t="shared" si="60"/>
        <v>9.2666069880342761E-5</v>
      </c>
      <c r="Q555" s="208">
        <f t="shared" si="61"/>
        <v>1.0021992959873915</v>
      </c>
      <c r="R555" s="40">
        <f t="shared" si="62"/>
        <v>5.8007577990398995E-3</v>
      </c>
      <c r="S555" s="209">
        <v>0</v>
      </c>
    </row>
    <row r="556" spans="1:19" x14ac:dyDescent="0.45">
      <c r="A556" s="16">
        <v>44391</v>
      </c>
      <c r="B556" s="42">
        <f>'Part 2 - CAPM 2.1, 2.2 and 2.3'!N556</f>
        <v>2.2736377635318673E-3</v>
      </c>
      <c r="C556" s="42">
        <f>'Part 2 - CAPM 2.1, 2.2 and 2.3'!O556</f>
        <v>-2.1639171055058606E-3</v>
      </c>
      <c r="E556" s="16">
        <v>44391</v>
      </c>
      <c r="F556" s="17">
        <v>3.44E-2</v>
      </c>
      <c r="G556" s="41">
        <f t="shared" si="58"/>
        <v>9.2666069880342761E-5</v>
      </c>
      <c r="L556" s="40">
        <f t="shared" si="56"/>
        <v>2.3713042358223277E-3</v>
      </c>
      <c r="M556" s="40">
        <f t="shared" si="57"/>
        <v>-2.0760101298327046E-3</v>
      </c>
      <c r="O556" s="40">
        <f t="shared" si="59"/>
        <v>2.3713042358223277E-3</v>
      </c>
      <c r="P556" s="207">
        <f t="shared" si="60"/>
        <v>9.2666069880342761E-5</v>
      </c>
      <c r="Q556" s="208">
        <f t="shared" si="61"/>
        <v>1.0021992959873915</v>
      </c>
      <c r="R556" s="40">
        <f t="shared" si="62"/>
        <v>2.2736377635318673E-3</v>
      </c>
      <c r="S556" s="209">
        <v>0</v>
      </c>
    </row>
    <row r="557" spans="1:19" x14ac:dyDescent="0.45">
      <c r="A557" s="16">
        <v>44392</v>
      </c>
      <c r="B557" s="42">
        <f>'Part 2 - CAPM 2.1, 2.2 and 2.3'!N557</f>
        <v>4.2447312705553089E-3</v>
      </c>
      <c r="C557" s="42">
        <f>'Part 2 - CAPM 2.1, 2.2 and 2.3'!O557</f>
        <v>-2.7904771449319129E-2</v>
      </c>
      <c r="E557" s="16">
        <v>44392</v>
      </c>
      <c r="F557" s="17">
        <v>3.4300000000000004E-2</v>
      </c>
      <c r="G557" s="41">
        <f t="shared" si="58"/>
        <v>9.2401171195355403E-5</v>
      </c>
      <c r="L557" s="40">
        <f t="shared" si="56"/>
        <v>4.346467862201552E-3</v>
      </c>
      <c r="M557" s="40">
        <f t="shared" si="57"/>
        <v>-2.787374113000134E-2</v>
      </c>
      <c r="O557" s="40">
        <f t="shared" si="59"/>
        <v>4.346467862201552E-3</v>
      </c>
      <c r="P557" s="207">
        <f t="shared" si="60"/>
        <v>9.2401171195355403E-5</v>
      </c>
      <c r="Q557" s="208">
        <f t="shared" si="61"/>
        <v>1.0021992959873915</v>
      </c>
      <c r="R557" s="40">
        <f t="shared" si="62"/>
        <v>4.2447312705553089E-3</v>
      </c>
      <c r="S557" s="209">
        <v>0</v>
      </c>
    </row>
    <row r="558" spans="1:19" x14ac:dyDescent="0.45">
      <c r="A558" s="16">
        <v>44393</v>
      </c>
      <c r="B558" s="42">
        <f>'Part 2 - CAPM 2.1, 2.2 and 2.3'!N558</f>
        <v>1.5107915678621345E-3</v>
      </c>
      <c r="C558" s="42">
        <f>'Part 2 - CAPM 2.1, 2.2 and 2.3'!O558</f>
        <v>-4.7895063773098663E-3</v>
      </c>
      <c r="E558" s="16">
        <v>44393</v>
      </c>
      <c r="F558" s="17">
        <v>3.44E-2</v>
      </c>
      <c r="G558" s="41">
        <f t="shared" si="58"/>
        <v>9.2666069880342761E-5</v>
      </c>
      <c r="L558" s="40">
        <f t="shared" si="56"/>
        <v>1.6067803155754615E-3</v>
      </c>
      <c r="M558" s="40">
        <f t="shared" si="57"/>
        <v>-4.7073738495867273E-3</v>
      </c>
      <c r="O558" s="40">
        <f t="shared" si="59"/>
        <v>1.6067803155754615E-3</v>
      </c>
      <c r="P558" s="207">
        <f t="shared" si="60"/>
        <v>9.2666069880342761E-5</v>
      </c>
      <c r="Q558" s="208">
        <f t="shared" si="61"/>
        <v>1.0021992959873915</v>
      </c>
      <c r="R558" s="40">
        <f t="shared" si="62"/>
        <v>1.5107915678621345E-3</v>
      </c>
      <c r="S558" s="209">
        <v>0</v>
      </c>
    </row>
    <row r="559" spans="1:19" x14ac:dyDescent="0.45">
      <c r="A559" s="16">
        <v>44396</v>
      </c>
      <c r="B559" s="42">
        <f>'Part 2 - CAPM 2.1, 2.2 and 2.3'!N559</f>
        <v>-9.006716432445697E-3</v>
      </c>
      <c r="C559" s="42">
        <f>'Part 2 - CAPM 2.1, 2.2 and 2.3'!O559</f>
        <v>-1.5965681942896166E-2</v>
      </c>
      <c r="E559" s="16">
        <v>44396</v>
      </c>
      <c r="F559" s="17">
        <v>3.44E-2</v>
      </c>
      <c r="G559" s="41">
        <f t="shared" si="58"/>
        <v>9.2666069880342761E-5</v>
      </c>
      <c r="L559" s="40">
        <f t="shared" si="56"/>
        <v>-8.9338587978748055E-3</v>
      </c>
      <c r="M559" s="40">
        <f t="shared" si="57"/>
        <v>-1.5908129133248804E-2</v>
      </c>
      <c r="O559" s="40">
        <f t="shared" si="59"/>
        <v>-8.9338587978748055E-3</v>
      </c>
      <c r="P559" s="207">
        <f t="shared" si="60"/>
        <v>9.2666069880342761E-5</v>
      </c>
      <c r="Q559" s="208">
        <f t="shared" si="61"/>
        <v>1.0021992959873915</v>
      </c>
      <c r="R559" s="40">
        <f t="shared" si="62"/>
        <v>-9.006716432445697E-3</v>
      </c>
      <c r="S559" s="209">
        <v>0</v>
      </c>
    </row>
    <row r="560" spans="1:19" x14ac:dyDescent="0.45">
      <c r="A560" s="16">
        <v>44397</v>
      </c>
      <c r="B560" s="42">
        <f>'Part 2 - CAPM 2.1, 2.2 and 2.3'!N560</f>
        <v>-9.2151154448474153E-3</v>
      </c>
      <c r="C560" s="42">
        <f>'Part 2 - CAPM 2.1, 2.2 and 2.3'!O560</f>
        <v>-1.7965112592293848E-2</v>
      </c>
      <c r="E560" s="16">
        <v>44397</v>
      </c>
      <c r="F560" s="17">
        <v>3.4300000000000004E-2</v>
      </c>
      <c r="G560" s="41">
        <f t="shared" si="58"/>
        <v>9.2401171195355403E-5</v>
      </c>
      <c r="L560" s="40">
        <f t="shared" si="56"/>
        <v>-9.1429810400732621E-3</v>
      </c>
      <c r="M560" s="40">
        <f t="shared" si="57"/>
        <v>-1.7912222021135762E-2</v>
      </c>
      <c r="O560" s="40">
        <f t="shared" si="59"/>
        <v>-9.1429810400732621E-3</v>
      </c>
      <c r="P560" s="207">
        <f t="shared" si="60"/>
        <v>9.2401171195355403E-5</v>
      </c>
      <c r="Q560" s="208">
        <f t="shared" si="61"/>
        <v>1.0021992959873915</v>
      </c>
      <c r="R560" s="40">
        <f t="shared" si="62"/>
        <v>-9.2151154448474153E-3</v>
      </c>
      <c r="S560" s="209">
        <v>0</v>
      </c>
    </row>
    <row r="561" spans="1:19" x14ac:dyDescent="0.45">
      <c r="A561" s="16">
        <v>44399</v>
      </c>
      <c r="B561" s="42">
        <f>'Part 2 - CAPM 2.1, 2.2 and 2.3'!N561</f>
        <v>1.2844883946421293E-2</v>
      </c>
      <c r="C561" s="42">
        <f>'Part 2 - CAPM 2.1, 2.2 and 2.3'!O561</f>
        <v>2.43192291808964E-2</v>
      </c>
      <c r="E561" s="16">
        <v>44399</v>
      </c>
      <c r="F561" s="17">
        <v>3.44E-2</v>
      </c>
      <c r="G561" s="41">
        <f t="shared" si="58"/>
        <v>9.2666069880342761E-5</v>
      </c>
      <c r="L561" s="40">
        <f t="shared" si="56"/>
        <v>1.2965799718023511E-2</v>
      </c>
      <c r="M561" s="40">
        <f t="shared" si="57"/>
        <v>2.4465380433930744E-2</v>
      </c>
      <c r="O561" s="40">
        <f t="shared" si="59"/>
        <v>1.2965799718023511E-2</v>
      </c>
      <c r="P561" s="207">
        <f t="shared" si="60"/>
        <v>9.2666069880342761E-5</v>
      </c>
      <c r="Q561" s="208">
        <f t="shared" si="61"/>
        <v>1.0021992959873915</v>
      </c>
      <c r="R561" s="40">
        <f t="shared" si="62"/>
        <v>1.2844883946421293E-2</v>
      </c>
      <c r="S561" s="209">
        <v>0</v>
      </c>
    </row>
    <row r="562" spans="1:19" x14ac:dyDescent="0.45">
      <c r="A562" s="16">
        <v>44400</v>
      </c>
      <c r="B562" s="42">
        <f>'Part 2 - CAPM 2.1, 2.2 and 2.3'!N562</f>
        <v>1.1368143170323404E-3</v>
      </c>
      <c r="C562" s="42">
        <f>'Part 2 - CAPM 2.1, 2.2 and 2.3'!O562</f>
        <v>-2.2585140632592942E-3</v>
      </c>
      <c r="E562" s="16">
        <v>44400</v>
      </c>
      <c r="F562" s="17">
        <v>3.4200000000000001E-2</v>
      </c>
      <c r="G562" s="41">
        <f t="shared" si="58"/>
        <v>9.2136246968133051E-5</v>
      </c>
      <c r="L562" s="40">
        <f t="shared" si="56"/>
        <v>1.2314507551663318E-3</v>
      </c>
      <c r="M562" s="40">
        <f t="shared" si="57"/>
        <v>-2.1713449572079548E-3</v>
      </c>
      <c r="O562" s="40">
        <f t="shared" si="59"/>
        <v>1.2314507551663318E-3</v>
      </c>
      <c r="P562" s="207">
        <f t="shared" si="60"/>
        <v>9.2136246968133051E-5</v>
      </c>
      <c r="Q562" s="208">
        <f t="shared" si="61"/>
        <v>1.0021992959873915</v>
      </c>
      <c r="R562" s="40">
        <f t="shared" si="62"/>
        <v>1.1368143170323404E-3</v>
      </c>
      <c r="S562" s="209">
        <v>0</v>
      </c>
    </row>
    <row r="563" spans="1:19" x14ac:dyDescent="0.45">
      <c r="A563" s="16">
        <v>44403</v>
      </c>
      <c r="B563" s="42">
        <f>'Part 2 - CAPM 2.1, 2.2 and 2.3'!N563</f>
        <v>-9.6130945018543226E-4</v>
      </c>
      <c r="C563" s="42">
        <f>'Part 2 - CAPM 2.1, 2.2 and 2.3'!O563</f>
        <v>-2.26295249563039E-3</v>
      </c>
      <c r="E563" s="16">
        <v>44403</v>
      </c>
      <c r="F563" s="17">
        <v>3.4099999999999998E-2</v>
      </c>
      <c r="G563" s="41">
        <f t="shared" si="58"/>
        <v>9.187129719356868E-5</v>
      </c>
      <c r="L563" s="40">
        <f t="shared" si="56"/>
        <v>-8.7155235700829797E-4</v>
      </c>
      <c r="M563" s="40">
        <f t="shared" si="57"/>
        <v>-2.1760581007801189E-3</v>
      </c>
      <c r="O563" s="40">
        <f t="shared" si="59"/>
        <v>-8.7155235700829797E-4</v>
      </c>
      <c r="P563" s="207">
        <f t="shared" si="60"/>
        <v>9.187129719356868E-5</v>
      </c>
      <c r="Q563" s="208">
        <f t="shared" si="61"/>
        <v>1.0021992959873915</v>
      </c>
      <c r="R563" s="40">
        <f t="shared" si="62"/>
        <v>-9.6130945018543226E-4</v>
      </c>
      <c r="S563" s="209">
        <v>0</v>
      </c>
    </row>
    <row r="564" spans="1:19" x14ac:dyDescent="0.45">
      <c r="A564" s="16">
        <v>44404</v>
      </c>
      <c r="B564" s="42">
        <f>'Part 2 - CAPM 2.1, 2.2 and 2.3'!N564</f>
        <v>-4.8304106863023199E-3</v>
      </c>
      <c r="C564" s="42">
        <f>'Part 2 - CAPM 2.1, 2.2 and 2.3'!O564</f>
        <v>-1.8325153354877622E-3</v>
      </c>
      <c r="E564" s="16">
        <v>44404</v>
      </c>
      <c r="F564" s="17">
        <v>3.4099999999999998E-2</v>
      </c>
      <c r="G564" s="41">
        <f t="shared" si="58"/>
        <v>9.187129719356868E-5</v>
      </c>
      <c r="L564" s="40">
        <f t="shared" si="56"/>
        <v>-4.7491628919485891E-3</v>
      </c>
      <c r="M564" s="40">
        <f t="shared" si="57"/>
        <v>-1.7446742819183653E-3</v>
      </c>
      <c r="O564" s="40">
        <f t="shared" si="59"/>
        <v>-4.7491628919485891E-3</v>
      </c>
      <c r="P564" s="207">
        <f t="shared" si="60"/>
        <v>9.187129719356868E-5</v>
      </c>
      <c r="Q564" s="208">
        <f t="shared" si="61"/>
        <v>1.0021992959873915</v>
      </c>
      <c r="R564" s="40">
        <f t="shared" si="62"/>
        <v>-4.8304106863023199E-3</v>
      </c>
      <c r="S564" s="209">
        <v>0</v>
      </c>
    </row>
    <row r="565" spans="1:19" x14ac:dyDescent="0.45">
      <c r="A565" s="16">
        <v>44405</v>
      </c>
      <c r="B565" s="42">
        <f>'Part 2 - CAPM 2.1, 2.2 and 2.3'!N565</f>
        <v>-2.3800491378561666E-3</v>
      </c>
      <c r="C565" s="42">
        <f>'Part 2 - CAPM 2.1, 2.2 and 2.3'!O565</f>
        <v>-3.5786996470502609E-3</v>
      </c>
      <c r="E565" s="16">
        <v>44405</v>
      </c>
      <c r="F565" s="17">
        <v>3.39E-2</v>
      </c>
      <c r="G565" s="41">
        <f t="shared" si="58"/>
        <v>9.1341320982207819E-5</v>
      </c>
      <c r="L565" s="40">
        <f t="shared" si="56"/>
        <v>-2.2939422493926404E-3</v>
      </c>
      <c r="M565" s="40">
        <f t="shared" si="57"/>
        <v>-3.4952289458418904E-3</v>
      </c>
      <c r="O565" s="40">
        <f t="shared" si="59"/>
        <v>-2.2939422493926404E-3</v>
      </c>
      <c r="P565" s="207">
        <f t="shared" si="60"/>
        <v>9.1341320982207819E-5</v>
      </c>
      <c r="Q565" s="208">
        <f t="shared" si="61"/>
        <v>1.0021992959873915</v>
      </c>
      <c r="R565" s="40">
        <f t="shared" si="62"/>
        <v>-2.3800491378561666E-3</v>
      </c>
      <c r="S565" s="209">
        <v>0</v>
      </c>
    </row>
    <row r="566" spans="1:19" x14ac:dyDescent="0.45">
      <c r="A566" s="16">
        <v>44406</v>
      </c>
      <c r="B566" s="42">
        <f>'Part 2 - CAPM 2.1, 2.2 and 2.3'!N566</f>
        <v>4.6656870286009159E-3</v>
      </c>
      <c r="C566" s="42">
        <f>'Part 2 - CAPM 2.1, 2.2 and 2.3'!O566</f>
        <v>3.8454015521492179E-3</v>
      </c>
      <c r="E566" s="16">
        <v>44406</v>
      </c>
      <c r="F566" s="17">
        <v>3.4000000000000002E-2</v>
      </c>
      <c r="G566" s="41">
        <f t="shared" si="58"/>
        <v>9.1606321866555263E-5</v>
      </c>
      <c r="L566" s="40">
        <f t="shared" si="56"/>
        <v>4.7675545772278977E-3</v>
      </c>
      <c r="M566" s="40">
        <f t="shared" si="57"/>
        <v>3.9454650502193239E-3</v>
      </c>
      <c r="O566" s="40">
        <f t="shared" si="59"/>
        <v>4.7675545772278977E-3</v>
      </c>
      <c r="P566" s="207">
        <f t="shared" si="60"/>
        <v>9.1606321866555263E-5</v>
      </c>
      <c r="Q566" s="208">
        <f t="shared" si="61"/>
        <v>1.0021992959873915</v>
      </c>
      <c r="R566" s="40">
        <f t="shared" si="62"/>
        <v>4.6656870286009159E-3</v>
      </c>
      <c r="S566" s="209">
        <v>0</v>
      </c>
    </row>
    <row r="567" spans="1:19" x14ac:dyDescent="0.45">
      <c r="A567" s="16">
        <v>44407</v>
      </c>
      <c r="B567" s="42">
        <f>'Part 2 - CAPM 2.1, 2.2 and 2.3'!N567</f>
        <v>1.4106481714275948E-3</v>
      </c>
      <c r="C567" s="42">
        <f>'Part 2 - CAPM 2.1, 2.2 and 2.3'!O567</f>
        <v>9.0584555001920267E-3</v>
      </c>
      <c r="E567" s="16">
        <v>44407</v>
      </c>
      <c r="F567" s="17">
        <v>3.4099999999999998E-2</v>
      </c>
      <c r="G567" s="41">
        <f t="shared" si="58"/>
        <v>9.187129719356868E-5</v>
      </c>
      <c r="L567" s="40">
        <f t="shared" si="56"/>
        <v>1.5056219014842054E-3</v>
      </c>
      <c r="M567" s="40">
        <f t="shared" si="57"/>
        <v>9.1702490222191329E-3</v>
      </c>
      <c r="O567" s="40">
        <f t="shared" si="59"/>
        <v>1.5056219014842054E-3</v>
      </c>
      <c r="P567" s="207">
        <f t="shared" si="60"/>
        <v>9.187129719356868E-5</v>
      </c>
      <c r="Q567" s="208">
        <f t="shared" si="61"/>
        <v>1.0021992959873915</v>
      </c>
      <c r="R567" s="40">
        <f t="shared" si="62"/>
        <v>1.4106481714275948E-3</v>
      </c>
      <c r="S567" s="209">
        <v>0</v>
      </c>
    </row>
    <row r="568" spans="1:19" x14ac:dyDescent="0.45">
      <c r="A568" s="16">
        <v>44410</v>
      </c>
      <c r="B568" s="42">
        <f>'Part 2 - CAPM 2.1, 2.2 and 2.3'!N568</f>
        <v>8.6499184095229168E-3</v>
      </c>
      <c r="C568" s="42">
        <f>'Part 2 - CAPM 2.1, 2.2 and 2.3'!O568</f>
        <v>1.4156833366018915E-2</v>
      </c>
      <c r="E568" s="16">
        <v>44410</v>
      </c>
      <c r="F568" s="17">
        <v>3.4099999999999998E-2</v>
      </c>
      <c r="G568" s="41">
        <f t="shared" si="58"/>
        <v>9.187129719356868E-5</v>
      </c>
      <c r="L568" s="40">
        <f t="shared" si="56"/>
        <v>8.7608134375658127E-3</v>
      </c>
      <c r="M568" s="40">
        <f t="shared" si="57"/>
        <v>1.427983973002854E-2</v>
      </c>
      <c r="O568" s="40">
        <f t="shared" si="59"/>
        <v>8.7608134375658127E-3</v>
      </c>
      <c r="P568" s="207">
        <f t="shared" si="60"/>
        <v>9.187129719356868E-5</v>
      </c>
      <c r="Q568" s="208">
        <f t="shared" si="61"/>
        <v>1.0021992959873915</v>
      </c>
      <c r="R568" s="40">
        <f t="shared" si="62"/>
        <v>8.6499184095229168E-3</v>
      </c>
      <c r="S568" s="209">
        <v>0</v>
      </c>
    </row>
    <row r="569" spans="1:19" x14ac:dyDescent="0.45">
      <c r="A569" s="16">
        <v>44411</v>
      </c>
      <c r="B569" s="42">
        <f>'Part 2 - CAPM 2.1, 2.2 and 2.3'!N569</f>
        <v>1.1190364827949391E-2</v>
      </c>
      <c r="C569" s="42">
        <f>'Part 2 - CAPM 2.1, 2.2 and 2.3'!O569</f>
        <v>1.186062913637755E-3</v>
      </c>
      <c r="E569" s="16">
        <v>44411</v>
      </c>
      <c r="F569" s="17">
        <v>3.3799999999999997E-2</v>
      </c>
      <c r="G569" s="41">
        <f t="shared" si="58"/>
        <v>9.1076294535863411E-5</v>
      </c>
      <c r="L569" s="40">
        <f t="shared" si="56"/>
        <v>1.1306052046948812E-2</v>
      </c>
      <c r="M569" s="40">
        <f t="shared" si="57"/>
        <v>1.2797477115803759E-3</v>
      </c>
      <c r="O569" s="40">
        <f t="shared" si="59"/>
        <v>1.1306052046948812E-2</v>
      </c>
      <c r="P569" s="207">
        <f t="shared" si="60"/>
        <v>9.1076294535863411E-5</v>
      </c>
      <c r="Q569" s="208">
        <f t="shared" si="61"/>
        <v>1.0021992959873915</v>
      </c>
      <c r="R569" s="40">
        <f t="shared" si="62"/>
        <v>1.1190364827949391E-2</v>
      </c>
      <c r="S569" s="209">
        <v>0</v>
      </c>
    </row>
    <row r="570" spans="1:19" x14ac:dyDescent="0.45">
      <c r="A570" s="16">
        <v>44412</v>
      </c>
      <c r="B570" s="42">
        <f>'Part 2 - CAPM 2.1, 2.2 and 2.3'!N570</f>
        <v>2.0710935788394629E-3</v>
      </c>
      <c r="C570" s="42">
        <f>'Part 2 - CAPM 2.1, 2.2 and 2.3'!O570</f>
        <v>-1.7925515693023157E-3</v>
      </c>
      <c r="E570" s="16">
        <v>44412</v>
      </c>
      <c r="F570" s="17">
        <v>3.4099999999999998E-2</v>
      </c>
      <c r="G570" s="41">
        <f t="shared" si="58"/>
        <v>9.187129719356868E-5</v>
      </c>
      <c r="L570" s="40">
        <f t="shared" si="56"/>
        <v>2.1675198238304857E-3</v>
      </c>
      <c r="M570" s="40">
        <f t="shared" si="57"/>
        <v>-1.7046226235823061E-3</v>
      </c>
      <c r="O570" s="40">
        <f t="shared" si="59"/>
        <v>2.1675198238304857E-3</v>
      </c>
      <c r="P570" s="207">
        <f t="shared" si="60"/>
        <v>9.187129719356868E-5</v>
      </c>
      <c r="Q570" s="208">
        <f t="shared" si="61"/>
        <v>1.0021992959873915</v>
      </c>
      <c r="R570" s="40">
        <f t="shared" si="62"/>
        <v>2.0710935788394629E-3</v>
      </c>
      <c r="S570" s="209">
        <v>0</v>
      </c>
    </row>
    <row r="571" spans="1:19" x14ac:dyDescent="0.45">
      <c r="A571" s="16">
        <v>44413</v>
      </c>
      <c r="B571" s="42">
        <f>'Part 2 - CAPM 2.1, 2.2 and 2.3'!N571</f>
        <v>7.8173424158120065E-4</v>
      </c>
      <c r="C571" s="42">
        <f>'Part 2 - CAPM 2.1, 2.2 and 2.3'!O571</f>
        <v>-6.905916372973977E-3</v>
      </c>
      <c r="E571" s="16">
        <v>44413</v>
      </c>
      <c r="F571" s="17">
        <v>3.4000000000000002E-2</v>
      </c>
      <c r="G571" s="41">
        <f t="shared" si="58"/>
        <v>9.1606321866555263E-5</v>
      </c>
      <c r="L571" s="40">
        <f t="shared" si="56"/>
        <v>8.7505982842847206E-4</v>
      </c>
      <c r="M571" s="40">
        <f t="shared" si="57"/>
        <v>-6.829498205275765E-3</v>
      </c>
      <c r="O571" s="40">
        <f t="shared" si="59"/>
        <v>8.7505982842847206E-4</v>
      </c>
      <c r="P571" s="207">
        <f t="shared" si="60"/>
        <v>9.1606321866555263E-5</v>
      </c>
      <c r="Q571" s="208">
        <f t="shared" si="61"/>
        <v>1.0021992959873915</v>
      </c>
      <c r="R571" s="40">
        <f t="shared" si="62"/>
        <v>7.8173424158120065E-4</v>
      </c>
      <c r="S571" s="209">
        <v>0</v>
      </c>
    </row>
    <row r="572" spans="1:19" x14ac:dyDescent="0.45">
      <c r="A572" s="16">
        <v>44414</v>
      </c>
      <c r="B572" s="42">
        <f>'Part 2 - CAPM 2.1, 2.2 and 2.3'!N572</f>
        <v>-2.0153054022178105E-3</v>
      </c>
      <c r="C572" s="42">
        <f>'Part 2 - CAPM 2.1, 2.2 and 2.3'!O572</f>
        <v>3.3747514557020531E-4</v>
      </c>
      <c r="E572" s="16">
        <v>44414</v>
      </c>
      <c r="F572" s="17">
        <v>3.39E-2</v>
      </c>
      <c r="G572" s="41">
        <f t="shared" si="58"/>
        <v>9.1341320982207819E-5</v>
      </c>
      <c r="L572" s="40">
        <f t="shared" si="56"/>
        <v>-1.9283963343200688E-3</v>
      </c>
      <c r="M572" s="40">
        <f t="shared" si="57"/>
        <v>4.2955867428591006E-4</v>
      </c>
      <c r="O572" s="40">
        <f t="shared" si="59"/>
        <v>-1.9283963343200688E-3</v>
      </c>
      <c r="P572" s="207">
        <f t="shared" si="60"/>
        <v>9.1341320982207819E-5</v>
      </c>
      <c r="Q572" s="208">
        <f t="shared" si="61"/>
        <v>1.0021992959873915</v>
      </c>
      <c r="R572" s="40">
        <f t="shared" si="62"/>
        <v>-2.0153054022178105E-3</v>
      </c>
      <c r="S572" s="209">
        <v>0</v>
      </c>
    </row>
    <row r="573" spans="1:19" x14ac:dyDescent="0.45">
      <c r="A573" s="16">
        <v>44417</v>
      </c>
      <c r="B573" s="42">
        <f>'Part 2 - CAPM 2.1, 2.2 and 2.3'!N573</f>
        <v>-1.495626032436876E-3</v>
      </c>
      <c r="C573" s="42">
        <f>'Part 2 - CAPM 2.1, 2.2 and 2.3'!O573</f>
        <v>-1.4235954134227296E-2</v>
      </c>
      <c r="E573" s="16">
        <v>44417</v>
      </c>
      <c r="F573" s="17">
        <v>3.3799999999999997E-2</v>
      </c>
      <c r="G573" s="41">
        <f t="shared" si="58"/>
        <v>9.1076294535863411E-5</v>
      </c>
      <c r="L573" s="40">
        <f t="shared" si="56"/>
        <v>-1.4078390622327894E-3</v>
      </c>
      <c r="M573" s="40">
        <f t="shared" si="57"/>
        <v>-1.4176186916495529E-2</v>
      </c>
      <c r="O573" s="40">
        <f t="shared" si="59"/>
        <v>-1.4078390622327894E-3</v>
      </c>
      <c r="P573" s="207">
        <f t="shared" si="60"/>
        <v>9.1076294535863411E-5</v>
      </c>
      <c r="Q573" s="208">
        <f t="shared" si="61"/>
        <v>1.0021992959873915</v>
      </c>
      <c r="R573" s="40">
        <f t="shared" si="62"/>
        <v>-1.495626032436876E-3</v>
      </c>
      <c r="S573" s="209">
        <v>0</v>
      </c>
    </row>
    <row r="574" spans="1:19" x14ac:dyDescent="0.45">
      <c r="A574" s="16">
        <v>44418</v>
      </c>
      <c r="B574" s="42">
        <f>'Part 2 - CAPM 2.1, 2.2 and 2.3'!N574</f>
        <v>-3.1271174969250783E-3</v>
      </c>
      <c r="C574" s="42">
        <f>'Part 2 - CAPM 2.1, 2.2 and 2.3'!O574</f>
        <v>-9.1606321866555263E-5</v>
      </c>
      <c r="E574" s="16">
        <v>44418</v>
      </c>
      <c r="F574" s="17">
        <v>3.4000000000000002E-2</v>
      </c>
      <c r="G574" s="41">
        <f t="shared" si="58"/>
        <v>9.1606321866555263E-5</v>
      </c>
      <c r="L574" s="40">
        <f t="shared" si="56"/>
        <v>-3.0423886320216122E-3</v>
      </c>
      <c r="M574" s="40">
        <f t="shared" si="57"/>
        <v>-2.0146941610081864E-7</v>
      </c>
      <c r="O574" s="40">
        <f t="shared" si="59"/>
        <v>-3.0423886320216122E-3</v>
      </c>
      <c r="P574" s="207">
        <f t="shared" si="60"/>
        <v>9.1606321866555263E-5</v>
      </c>
      <c r="Q574" s="208">
        <f t="shared" si="61"/>
        <v>1.0021992959873915</v>
      </c>
      <c r="R574" s="40">
        <f t="shared" si="62"/>
        <v>-3.1271174969250783E-3</v>
      </c>
      <c r="S574" s="209">
        <v>0</v>
      </c>
    </row>
    <row r="575" spans="1:19" x14ac:dyDescent="0.45">
      <c r="A575" s="16">
        <v>44419</v>
      </c>
      <c r="B575" s="42">
        <f>'Part 2 - CAPM 2.1, 2.2 and 2.3'!N575</f>
        <v>-1.2576821527856121E-3</v>
      </c>
      <c r="C575" s="42">
        <f>'Part 2 - CAPM 2.1, 2.2 and 2.3'!O575</f>
        <v>1.8604045852046537E-2</v>
      </c>
      <c r="E575" s="16">
        <v>44419</v>
      </c>
      <c r="F575" s="17">
        <v>3.4000000000000002E-2</v>
      </c>
      <c r="G575" s="41">
        <f t="shared" si="58"/>
        <v>9.1606321866555263E-5</v>
      </c>
      <c r="L575" s="40">
        <f t="shared" si="56"/>
        <v>-1.1688418462310923E-3</v>
      </c>
      <c r="M575" s="40">
        <f t="shared" si="57"/>
        <v>1.8736567977304747E-2</v>
      </c>
      <c r="O575" s="40">
        <f t="shared" si="59"/>
        <v>-1.1688418462310923E-3</v>
      </c>
      <c r="P575" s="207">
        <f t="shared" si="60"/>
        <v>9.1606321866555263E-5</v>
      </c>
      <c r="Q575" s="208">
        <f t="shared" si="61"/>
        <v>1.0021992959873915</v>
      </c>
      <c r="R575" s="40">
        <f t="shared" si="62"/>
        <v>-1.2576821527856121E-3</v>
      </c>
      <c r="S575" s="209">
        <v>0</v>
      </c>
    </row>
    <row r="576" spans="1:19" x14ac:dyDescent="0.45">
      <c r="A576" s="16">
        <v>44420</v>
      </c>
      <c r="B576" s="42">
        <f>'Part 2 - CAPM 2.1, 2.2 and 2.3'!N576</f>
        <v>6.7838313734364681E-3</v>
      </c>
      <c r="C576" s="42">
        <f>'Part 2 - CAPM 2.1, 2.2 and 2.3'!O576</f>
        <v>-6.4931249501056455E-3</v>
      </c>
      <c r="E576" s="16">
        <v>44420</v>
      </c>
      <c r="F576" s="17">
        <v>3.3799999999999997E-2</v>
      </c>
      <c r="G576" s="41">
        <f t="shared" si="58"/>
        <v>9.1076294535863411E-5</v>
      </c>
      <c r="L576" s="40">
        <f t="shared" si="56"/>
        <v>6.8898273210910715E-3</v>
      </c>
      <c r="M576" s="40">
        <f t="shared" si="57"/>
        <v>-6.4163289592181812E-3</v>
      </c>
      <c r="O576" s="40">
        <f t="shared" si="59"/>
        <v>6.8898273210910715E-3</v>
      </c>
      <c r="P576" s="207">
        <f t="shared" si="60"/>
        <v>9.1076294535863411E-5</v>
      </c>
      <c r="Q576" s="208">
        <f t="shared" si="61"/>
        <v>1.0021992959873915</v>
      </c>
      <c r="R576" s="40">
        <f t="shared" si="62"/>
        <v>6.7838313734364681E-3</v>
      </c>
      <c r="S576" s="209">
        <v>0</v>
      </c>
    </row>
    <row r="577" spans="1:19" x14ac:dyDescent="0.45">
      <c r="A577" s="16">
        <v>44421</v>
      </c>
      <c r="B577" s="42">
        <f>'Part 2 - CAPM 2.1, 2.2 and 2.3'!N577</f>
        <v>6.5906973264872508E-3</v>
      </c>
      <c r="C577" s="42">
        <f>'Part 2 - CAPM 2.1, 2.2 and 2.3'!O577</f>
        <v>-1.8087592233558018E-3</v>
      </c>
      <c r="E577" s="16">
        <v>44421</v>
      </c>
      <c r="F577" s="17">
        <v>3.3599999999999998E-2</v>
      </c>
      <c r="G577" s="41">
        <f t="shared" si="58"/>
        <v>9.0546164936533557E-5</v>
      </c>
      <c r="L577" s="40">
        <f t="shared" si="56"/>
        <v>6.69573838560804E-3</v>
      </c>
      <c r="M577" s="40">
        <f t="shared" si="57"/>
        <v>-1.7221910553213522E-3</v>
      </c>
      <c r="O577" s="40">
        <f t="shared" si="59"/>
        <v>6.69573838560804E-3</v>
      </c>
      <c r="P577" s="207">
        <f t="shared" si="60"/>
        <v>9.0546164936533557E-5</v>
      </c>
      <c r="Q577" s="208">
        <f t="shared" si="61"/>
        <v>1.0021992959873915</v>
      </c>
      <c r="R577" s="40">
        <f t="shared" si="62"/>
        <v>6.5906973264872508E-3</v>
      </c>
      <c r="S577" s="209">
        <v>0</v>
      </c>
    </row>
    <row r="578" spans="1:19" x14ac:dyDescent="0.45">
      <c r="A578" s="16">
        <v>44425</v>
      </c>
      <c r="B578" s="42">
        <f>'Part 2 - CAPM 2.1, 2.2 and 2.3'!N578</f>
        <v>3.3073581505169329E-3</v>
      </c>
      <c r="C578" s="42">
        <f>'Part 2 - CAPM 2.1, 2.2 and 2.3'!O578</f>
        <v>-1.8163365451162441E-2</v>
      </c>
      <c r="E578" s="16">
        <v>44425</v>
      </c>
      <c r="F578" s="17">
        <v>3.3799999999999997E-2</v>
      </c>
      <c r="G578" s="41">
        <f t="shared" si="58"/>
        <v>9.1076294535863411E-5</v>
      </c>
      <c r="L578" s="40">
        <f t="shared" si="56"/>
        <v>3.4057083045620951E-3</v>
      </c>
      <c r="M578" s="40">
        <f t="shared" si="57"/>
        <v>-1.8112235773380846E-2</v>
      </c>
      <c r="O578" s="40">
        <f t="shared" si="59"/>
        <v>3.4057083045620951E-3</v>
      </c>
      <c r="P578" s="207">
        <f t="shared" si="60"/>
        <v>9.1076294535863411E-5</v>
      </c>
      <c r="Q578" s="208">
        <f t="shared" si="61"/>
        <v>1.0021992959873915</v>
      </c>
      <c r="R578" s="40">
        <f t="shared" si="62"/>
        <v>3.3073581505169329E-3</v>
      </c>
      <c r="S578" s="209">
        <v>0</v>
      </c>
    </row>
    <row r="579" spans="1:19" x14ac:dyDescent="0.45">
      <c r="A579" s="16">
        <v>44426</v>
      </c>
      <c r="B579" s="42">
        <f>'Part 2 - CAPM 2.1, 2.2 and 2.3'!N579</f>
        <v>-1.3340716837808052E-3</v>
      </c>
      <c r="C579" s="42">
        <f>'Part 2 - CAPM 2.1, 2.2 and 2.3'!O579</f>
        <v>-8.4165759633588709E-3</v>
      </c>
      <c r="E579" s="16">
        <v>44426</v>
      </c>
      <c r="F579" s="17">
        <v>3.3599999999999998E-2</v>
      </c>
      <c r="G579" s="41">
        <f t="shared" si="58"/>
        <v>9.0546164936533557E-5</v>
      </c>
      <c r="L579" s="40">
        <f t="shared" ref="L579:L642" si="63">G579+($J$1*(B579))</f>
        <v>-1.2464595373453036E-3</v>
      </c>
      <c r="M579" s="40">
        <f t="shared" ref="M579:M642" si="64">G579+($J$1*(C579))</f>
        <v>-8.3445403401661289E-3</v>
      </c>
      <c r="O579" s="40">
        <f t="shared" si="59"/>
        <v>-1.2464595373453036E-3</v>
      </c>
      <c r="P579" s="207">
        <f t="shared" si="60"/>
        <v>9.0546164936533557E-5</v>
      </c>
      <c r="Q579" s="208">
        <f t="shared" si="61"/>
        <v>1.0021992959873915</v>
      </c>
      <c r="R579" s="40">
        <f t="shared" si="62"/>
        <v>-1.3340716837808052E-3</v>
      </c>
      <c r="S579" s="209">
        <v>0</v>
      </c>
    </row>
    <row r="580" spans="1:19" x14ac:dyDescent="0.45">
      <c r="A580" s="16">
        <v>44428</v>
      </c>
      <c r="B580" s="42">
        <f>'Part 2 - CAPM 2.1, 2.2 and 2.3'!N580</f>
        <v>-1.0845448472765088E-2</v>
      </c>
      <c r="C580" s="42">
        <f>'Part 2 - CAPM 2.1, 2.2 and 2.3'!O580</f>
        <v>-3.0580780398936861E-2</v>
      </c>
      <c r="E580" s="16">
        <v>44428</v>
      </c>
      <c r="F580" s="17">
        <v>3.3500000000000002E-2</v>
      </c>
      <c r="G580" s="41">
        <f t="shared" ref="G580:G643" si="65">((1+F580)^(1/365))-1</f>
        <v>9.0281061773778148E-5</v>
      </c>
      <c r="L580" s="40">
        <f t="shared" si="63"/>
        <v>-1.0779019762298924E-2</v>
      </c>
      <c r="M580" s="40">
        <f t="shared" si="64"/>
        <v>-3.0557755524785766E-2</v>
      </c>
      <c r="O580" s="40">
        <f t="shared" ref="O580:O643" si="66">P580+(Q580*(R580))+S580</f>
        <v>-1.0779019762298924E-2</v>
      </c>
      <c r="P580" s="207">
        <f t="shared" ref="P580:P643" si="67">G580</f>
        <v>9.0281061773778148E-5</v>
      </c>
      <c r="Q580" s="208">
        <f t="shared" ref="Q580:Q643" si="68">$J$1</f>
        <v>1.0021992959873915</v>
      </c>
      <c r="R580" s="40">
        <f t="shared" ref="R580:R643" si="69">B580</f>
        <v>-1.0845448472765088E-2</v>
      </c>
      <c r="S580" s="209">
        <v>0</v>
      </c>
    </row>
    <row r="581" spans="1:19" x14ac:dyDescent="0.45">
      <c r="A581" s="16">
        <v>44431</v>
      </c>
      <c r="B581" s="42">
        <f>'Part 2 - CAPM 2.1, 2.2 and 2.3'!N581</f>
        <v>-1.0510061832812694E-3</v>
      </c>
      <c r="C581" s="42">
        <f>'Part 2 - CAPM 2.1, 2.2 and 2.3'!O581</f>
        <v>2.0420467202795712E-2</v>
      </c>
      <c r="E581" s="16">
        <v>44431</v>
      </c>
      <c r="F581" s="17">
        <v>3.3399999999999999E-2</v>
      </c>
      <c r="G581" s="41">
        <f t="shared" si="65"/>
        <v>9.0015933029263806E-5</v>
      </c>
      <c r="L581" s="40">
        <f t="shared" si="63"/>
        <v>-9.6330172393361982E-4</v>
      </c>
      <c r="M581" s="40">
        <f t="shared" si="64"/>
        <v>2.0555393787404744E-2</v>
      </c>
      <c r="O581" s="40">
        <f t="shared" si="66"/>
        <v>-9.6330172393361982E-4</v>
      </c>
      <c r="P581" s="207">
        <f t="shared" si="67"/>
        <v>9.0015933029263806E-5</v>
      </c>
      <c r="Q581" s="208">
        <f t="shared" si="68"/>
        <v>1.0021992959873915</v>
      </c>
      <c r="R581" s="40">
        <f t="shared" si="69"/>
        <v>-1.0510061832812694E-3</v>
      </c>
      <c r="S581" s="209">
        <v>0</v>
      </c>
    </row>
    <row r="582" spans="1:19" x14ac:dyDescent="0.45">
      <c r="A582" s="16">
        <v>44432</v>
      </c>
      <c r="B582" s="42">
        <f>'Part 2 - CAPM 2.1, 2.2 and 2.3'!N582</f>
        <v>9.4360755526389142E-3</v>
      </c>
      <c r="C582" s="42">
        <f>'Part 2 - CAPM 2.1, 2.2 and 2.3'!O582</f>
        <v>1.1522576152968235E-2</v>
      </c>
      <c r="E582" s="16">
        <v>44432</v>
      </c>
      <c r="F582" s="17">
        <v>3.3300000000000003E-2</v>
      </c>
      <c r="G582" s="41">
        <f t="shared" si="65"/>
        <v>8.975077869766146E-5</v>
      </c>
      <c r="L582" s="40">
        <f t="shared" si="63"/>
        <v>9.5465790544362172E-3</v>
      </c>
      <c r="M582" s="40">
        <f t="shared" si="64"/>
        <v>1.1637668487163534E-2</v>
      </c>
      <c r="O582" s="40">
        <f t="shared" si="66"/>
        <v>9.5465790544362172E-3</v>
      </c>
      <c r="P582" s="207">
        <f t="shared" si="67"/>
        <v>8.975077869766146E-5</v>
      </c>
      <c r="Q582" s="208">
        <f t="shared" si="68"/>
        <v>1.0021992959873915</v>
      </c>
      <c r="R582" s="40">
        <f t="shared" si="69"/>
        <v>9.4360755526389142E-3</v>
      </c>
      <c r="S582" s="209">
        <v>0</v>
      </c>
    </row>
    <row r="583" spans="1:19" x14ac:dyDescent="0.45">
      <c r="A583" s="16">
        <v>44433</v>
      </c>
      <c r="B583" s="42">
        <f>'Part 2 - CAPM 2.1, 2.2 and 2.3'!N583</f>
        <v>2.0688867299218038E-3</v>
      </c>
      <c r="C583" s="42">
        <f>'Part 2 - CAPM 2.1, 2.2 and 2.3'!O583</f>
        <v>2.3310338105642422E-2</v>
      </c>
      <c r="E583" s="16">
        <v>44433</v>
      </c>
      <c r="F583" s="17">
        <v>3.3099999999999997E-2</v>
      </c>
      <c r="G583" s="41">
        <f t="shared" si="65"/>
        <v>8.9220393253874875E-5</v>
      </c>
      <c r="L583" s="40">
        <f t="shared" si="63"/>
        <v>2.1626572174591632E-3</v>
      </c>
      <c r="M583" s="40">
        <f t="shared" si="64"/>
        <v>2.3450824831956776E-2</v>
      </c>
      <c r="O583" s="40">
        <f t="shared" si="66"/>
        <v>2.1626572174591632E-3</v>
      </c>
      <c r="P583" s="207">
        <f t="shared" si="67"/>
        <v>8.9220393253874875E-5</v>
      </c>
      <c r="Q583" s="208">
        <f t="shared" si="68"/>
        <v>1.0021992959873915</v>
      </c>
      <c r="R583" s="40">
        <f t="shared" si="69"/>
        <v>2.0688867299218038E-3</v>
      </c>
      <c r="S583" s="209">
        <v>0</v>
      </c>
    </row>
    <row r="584" spans="1:19" x14ac:dyDescent="0.45">
      <c r="A584" s="16">
        <v>44434</v>
      </c>
      <c r="B584" s="42">
        <f>'Part 2 - CAPM 2.1, 2.2 and 2.3'!N584</f>
        <v>8.5801806959453597E-4</v>
      </c>
      <c r="C584" s="42">
        <f>'Part 2 - CAPM 2.1, 2.2 and 2.3'!O584</f>
        <v>-4.4032842413988275E-3</v>
      </c>
      <c r="E584" s="16">
        <v>44434</v>
      </c>
      <c r="F584" s="17">
        <v>3.3099999999999997E-2</v>
      </c>
      <c r="G584" s="41">
        <f t="shared" si="65"/>
        <v>8.9220393253874875E-5</v>
      </c>
      <c r="L584" s="40">
        <f t="shared" si="63"/>
        <v>9.4912549854597955E-4</v>
      </c>
      <c r="M584" s="40">
        <f t="shared" si="64"/>
        <v>-4.3237479735084051E-3</v>
      </c>
      <c r="O584" s="40">
        <f t="shared" si="66"/>
        <v>9.4912549854597955E-4</v>
      </c>
      <c r="P584" s="207">
        <f t="shared" si="67"/>
        <v>8.9220393253874875E-5</v>
      </c>
      <c r="Q584" s="208">
        <f t="shared" si="68"/>
        <v>1.0021992959873915</v>
      </c>
      <c r="R584" s="40">
        <f t="shared" si="69"/>
        <v>8.5801806959453597E-4</v>
      </c>
      <c r="S584" s="209">
        <v>0</v>
      </c>
    </row>
    <row r="585" spans="1:19" x14ac:dyDescent="0.45">
      <c r="A585" s="16">
        <v>44435</v>
      </c>
      <c r="B585" s="42">
        <f>'Part 2 - CAPM 2.1, 2.2 and 2.3'!N585</f>
        <v>5.9751663097541647E-3</v>
      </c>
      <c r="C585" s="42">
        <f>'Part 2 - CAPM 2.1, 2.2 and 2.3'!O585</f>
        <v>1.0309393124943599E-2</v>
      </c>
      <c r="E585" s="16">
        <v>44435</v>
      </c>
      <c r="F585" s="17">
        <v>3.3099999999999997E-2</v>
      </c>
      <c r="G585" s="41">
        <f t="shared" si="65"/>
        <v>8.9220393253874875E-5</v>
      </c>
      <c r="L585" s="40">
        <f t="shared" si="63"/>
        <v>6.0775278622970793E-3</v>
      </c>
      <c r="M585" s="40">
        <f t="shared" si="64"/>
        <v>1.0421286925129605E-2</v>
      </c>
      <c r="O585" s="40">
        <f t="shared" si="66"/>
        <v>6.0775278622970793E-3</v>
      </c>
      <c r="P585" s="207">
        <f t="shared" si="67"/>
        <v>8.9220393253874875E-5</v>
      </c>
      <c r="Q585" s="208">
        <f t="shared" si="68"/>
        <v>1.0021992959873915</v>
      </c>
      <c r="R585" s="40">
        <f t="shared" si="69"/>
        <v>5.9751663097541647E-3</v>
      </c>
      <c r="S585" s="209">
        <v>0</v>
      </c>
    </row>
    <row r="586" spans="1:19" x14ac:dyDescent="0.45">
      <c r="A586" s="16">
        <v>44438</v>
      </c>
      <c r="B586" s="42">
        <f>'Part 2 - CAPM 2.1, 2.2 and 2.3'!N586</f>
        <v>1.4383212229610289E-2</v>
      </c>
      <c r="C586" s="42">
        <f>'Part 2 - CAPM 2.1, 2.2 and 2.3'!O586</f>
        <v>2.9927932265408221E-2</v>
      </c>
      <c r="E586" s="16">
        <v>44438</v>
      </c>
      <c r="F586" s="17">
        <v>3.3099999999999997E-2</v>
      </c>
      <c r="G586" s="41">
        <f t="shared" si="65"/>
        <v>8.9220393253874875E-5</v>
      </c>
      <c r="L586" s="40">
        <f t="shared" si="63"/>
        <v>1.4504065563806547E-2</v>
      </c>
      <c r="M586" s="40">
        <f t="shared" si="64"/>
        <v>3.0082973040004332E-2</v>
      </c>
      <c r="O586" s="40">
        <f t="shared" si="66"/>
        <v>1.4504065563806547E-2</v>
      </c>
      <c r="P586" s="207">
        <f t="shared" si="67"/>
        <v>8.9220393253874875E-5</v>
      </c>
      <c r="Q586" s="208">
        <f t="shared" si="68"/>
        <v>1.0021992959873915</v>
      </c>
      <c r="R586" s="40">
        <f t="shared" si="69"/>
        <v>1.4383212229610289E-2</v>
      </c>
      <c r="S586" s="209">
        <v>0</v>
      </c>
    </row>
    <row r="587" spans="1:19" x14ac:dyDescent="0.45">
      <c r="A587" s="16">
        <v>44439</v>
      </c>
      <c r="B587" s="42">
        <f>'Part 2 - CAPM 2.1, 2.2 and 2.3'!N587</f>
        <v>1.0884602178093335E-2</v>
      </c>
      <c r="C587" s="42">
        <f>'Part 2 - CAPM 2.1, 2.2 and 2.3'!O587</f>
        <v>1.9923782745229776E-3</v>
      </c>
      <c r="E587" s="16">
        <v>44439</v>
      </c>
      <c r="F587" s="17">
        <v>3.3099999999999997E-2</v>
      </c>
      <c r="G587" s="41">
        <f t="shared" si="65"/>
        <v>8.9220393253874875E-5</v>
      </c>
      <c r="L587" s="40">
        <f t="shared" si="63"/>
        <v>1.0997761033241845E-2</v>
      </c>
      <c r="M587" s="40">
        <f t="shared" si="64"/>
        <v>2.0859804973213771E-3</v>
      </c>
      <c r="O587" s="40">
        <f t="shared" si="66"/>
        <v>1.0997761033241845E-2</v>
      </c>
      <c r="P587" s="207">
        <f t="shared" si="67"/>
        <v>8.9220393253874875E-5</v>
      </c>
      <c r="Q587" s="208">
        <f t="shared" si="68"/>
        <v>1.0021992959873915</v>
      </c>
      <c r="R587" s="40">
        <f t="shared" si="69"/>
        <v>1.0884602178093335E-2</v>
      </c>
      <c r="S587" s="209">
        <v>0</v>
      </c>
    </row>
    <row r="588" spans="1:19" x14ac:dyDescent="0.45">
      <c r="A588" s="16">
        <v>44440</v>
      </c>
      <c r="B588" s="42">
        <f>'Part 2 - CAPM 2.1, 2.2 and 2.3'!N588</f>
        <v>-4.0154318485805044E-4</v>
      </c>
      <c r="C588" s="42">
        <f>'Part 2 - CAPM 2.1, 2.2 and 2.3'!O588</f>
        <v>-5.9053240861035756E-3</v>
      </c>
      <c r="E588" s="16">
        <v>44440</v>
      </c>
      <c r="F588" s="17">
        <v>3.3000000000000002E-2</v>
      </c>
      <c r="G588" s="41">
        <f t="shared" si="65"/>
        <v>8.8955162131920673E-5</v>
      </c>
      <c r="L588" s="40">
        <f t="shared" si="63"/>
        <v>-3.1347113504135251E-4</v>
      </c>
      <c r="M588" s="40">
        <f t="shared" si="64"/>
        <v>-5.8293564795384696E-3</v>
      </c>
      <c r="O588" s="40">
        <f t="shared" si="66"/>
        <v>-3.1347113504135251E-4</v>
      </c>
      <c r="P588" s="207">
        <f t="shared" si="67"/>
        <v>8.8955162131920673E-5</v>
      </c>
      <c r="Q588" s="208">
        <f t="shared" si="68"/>
        <v>1.0021992959873915</v>
      </c>
      <c r="R588" s="40">
        <f t="shared" si="69"/>
        <v>-4.0154318485805044E-4</v>
      </c>
      <c r="S588" s="209">
        <v>0</v>
      </c>
    </row>
    <row r="589" spans="1:19" x14ac:dyDescent="0.45">
      <c r="A589" s="16">
        <v>44441</v>
      </c>
      <c r="B589" s="42">
        <f>'Part 2 - CAPM 2.1, 2.2 and 2.3'!N589</f>
        <v>9.0510902632066209E-3</v>
      </c>
      <c r="C589" s="42">
        <f>'Part 2 - CAPM 2.1, 2.2 and 2.3'!O589</f>
        <v>-8.8645506489686225E-3</v>
      </c>
      <c r="E589" s="16">
        <v>44441</v>
      </c>
      <c r="F589" s="17">
        <v>3.3000000000000002E-2</v>
      </c>
      <c r="G589" s="41">
        <f t="shared" si="65"/>
        <v>8.8955162131920673E-5</v>
      </c>
      <c r="L589" s="40">
        <f t="shared" si="63"/>
        <v>9.159951451835931E-3</v>
      </c>
      <c r="M589" s="40">
        <f t="shared" si="64"/>
        <v>-8.7950912575090068E-3</v>
      </c>
      <c r="O589" s="40">
        <f t="shared" si="66"/>
        <v>9.159951451835931E-3</v>
      </c>
      <c r="P589" s="207">
        <f t="shared" si="67"/>
        <v>8.8955162131920673E-5</v>
      </c>
      <c r="Q589" s="208">
        <f t="shared" si="68"/>
        <v>1.0021992959873915</v>
      </c>
      <c r="R589" s="40">
        <f t="shared" si="69"/>
        <v>9.0510902632066209E-3</v>
      </c>
      <c r="S589" s="209">
        <v>0</v>
      </c>
    </row>
    <row r="590" spans="1:19" x14ac:dyDescent="0.45">
      <c r="A590" s="16">
        <v>44442</v>
      </c>
      <c r="B590" s="42">
        <f>'Part 2 - CAPM 2.1, 2.2 and 2.3'!N590</f>
        <v>5.0148529909952687E-3</v>
      </c>
      <c r="C590" s="42">
        <f>'Part 2 - CAPM 2.1, 2.2 and 2.3'!O590</f>
        <v>4.0382954986172864E-2</v>
      </c>
      <c r="E590" s="16">
        <v>44442</v>
      </c>
      <c r="F590" s="17">
        <v>3.3099999999999997E-2</v>
      </c>
      <c r="G590" s="41">
        <f t="shared" si="65"/>
        <v>8.9220393253874875E-5</v>
      </c>
      <c r="L590" s="40">
        <f t="shared" si="63"/>
        <v>5.1151025303095982E-3</v>
      </c>
      <c r="M590" s="40">
        <f t="shared" si="64"/>
        <v>4.0560989450286841E-2</v>
      </c>
      <c r="O590" s="40">
        <f t="shared" si="66"/>
        <v>5.1151025303095982E-3</v>
      </c>
      <c r="P590" s="207">
        <f t="shared" si="67"/>
        <v>8.9220393253874875E-5</v>
      </c>
      <c r="Q590" s="208">
        <f t="shared" si="68"/>
        <v>1.0021992959873915</v>
      </c>
      <c r="R590" s="40">
        <f t="shared" si="69"/>
        <v>5.0148529909952687E-3</v>
      </c>
      <c r="S590" s="209">
        <v>0</v>
      </c>
    </row>
    <row r="591" spans="1:19" x14ac:dyDescent="0.45">
      <c r="A591" s="16">
        <v>44445</v>
      </c>
      <c r="B591" s="42">
        <f>'Part 2 - CAPM 2.1, 2.2 and 2.3'!N591</f>
        <v>3.0649884530802572E-3</v>
      </c>
      <c r="C591" s="42">
        <f>'Part 2 - CAPM 2.1, 2.2 and 2.3'!O591</f>
        <v>-1.4270478662942293E-2</v>
      </c>
      <c r="E591" s="16">
        <v>44445</v>
      </c>
      <c r="F591" s="17">
        <v>3.3000000000000002E-2</v>
      </c>
      <c r="G591" s="41">
        <f t="shared" si="65"/>
        <v>8.8955162131920673E-5</v>
      </c>
      <c r="L591" s="40">
        <f t="shared" si="63"/>
        <v>3.1606844320184388E-3</v>
      </c>
      <c r="M591" s="40">
        <f t="shared" si="64"/>
        <v>-1.4212908507271938E-2</v>
      </c>
      <c r="O591" s="40">
        <f t="shared" si="66"/>
        <v>3.1606844320184388E-3</v>
      </c>
      <c r="P591" s="207">
        <f t="shared" si="67"/>
        <v>8.8955162131920673E-5</v>
      </c>
      <c r="Q591" s="208">
        <f t="shared" si="68"/>
        <v>1.0021992959873915</v>
      </c>
      <c r="R591" s="40">
        <f t="shared" si="69"/>
        <v>3.0649884530802572E-3</v>
      </c>
      <c r="S591" s="209">
        <v>0</v>
      </c>
    </row>
    <row r="592" spans="1:19" x14ac:dyDescent="0.45">
      <c r="A592" s="16">
        <v>44446</v>
      </c>
      <c r="B592" s="42">
        <f>'Part 2 - CAPM 2.1, 2.2 and 2.3'!N592</f>
        <v>-1.5475727118616212E-3</v>
      </c>
      <c r="C592" s="42">
        <f>'Part 2 - CAPM 2.1, 2.2 and 2.3'!O592</f>
        <v>-1.1186100509595764E-2</v>
      </c>
      <c r="E592" s="16">
        <v>44446</v>
      </c>
      <c r="F592" s="17">
        <v>3.2899999999999999E-2</v>
      </c>
      <c r="G592" s="41">
        <f t="shared" si="65"/>
        <v>8.8689905403338543E-5</v>
      </c>
      <c r="L592" s="40">
        <f t="shared" si="63"/>
        <v>-1.4622863769136766E-3</v>
      </c>
      <c r="M592" s="40">
        <f t="shared" si="64"/>
        <v>-1.1122012150157738E-2</v>
      </c>
      <c r="O592" s="40">
        <f t="shared" si="66"/>
        <v>-1.4622863769136766E-3</v>
      </c>
      <c r="P592" s="207">
        <f t="shared" si="67"/>
        <v>8.8689905403338543E-5</v>
      </c>
      <c r="Q592" s="208">
        <f t="shared" si="68"/>
        <v>1.0021992959873915</v>
      </c>
      <c r="R592" s="40">
        <f t="shared" si="69"/>
        <v>-1.5475727118616212E-3</v>
      </c>
      <c r="S592" s="209">
        <v>0</v>
      </c>
    </row>
    <row r="593" spans="1:19" x14ac:dyDescent="0.45">
      <c r="A593" s="16">
        <v>44447</v>
      </c>
      <c r="B593" s="42">
        <f>'Part 2 - CAPM 2.1, 2.2 and 2.3'!N593</f>
        <v>1.2198701080035521E-3</v>
      </c>
      <c r="C593" s="42">
        <f>'Part 2 - CAPM 2.1, 2.2 and 2.3'!O593</f>
        <v>-1.0895272701616519E-2</v>
      </c>
      <c r="E593" s="16">
        <v>44447</v>
      </c>
      <c r="F593" s="17">
        <v>3.3000000000000002E-2</v>
      </c>
      <c r="G593" s="41">
        <f t="shared" si="65"/>
        <v>8.8955162131920673E-5</v>
      </c>
      <c r="L593" s="40">
        <f t="shared" si="63"/>
        <v>1.3115081255691439E-3</v>
      </c>
      <c r="M593" s="40">
        <f t="shared" si="64"/>
        <v>-1.0830279469018801E-2</v>
      </c>
      <c r="O593" s="40">
        <f t="shared" si="66"/>
        <v>1.3115081255691439E-3</v>
      </c>
      <c r="P593" s="207">
        <f t="shared" si="67"/>
        <v>8.8955162131920673E-5</v>
      </c>
      <c r="Q593" s="208">
        <f t="shared" si="68"/>
        <v>1.0021992959873915</v>
      </c>
      <c r="R593" s="40">
        <f t="shared" si="69"/>
        <v>1.2198701080035521E-3</v>
      </c>
      <c r="S593" s="209">
        <v>0</v>
      </c>
    </row>
    <row r="594" spans="1:19" x14ac:dyDescent="0.45">
      <c r="A594" s="16">
        <v>44448</v>
      </c>
      <c r="B594" s="42">
        <f>'Part 2 - CAPM 2.1, 2.2 and 2.3'!N594</f>
        <v>2.1298344312482976E-3</v>
      </c>
      <c r="C594" s="42">
        <f>'Part 2 - CAPM 2.1, 2.2 and 2.3'!O594</f>
        <v>2.6381367842040291E-2</v>
      </c>
      <c r="E594" s="16">
        <v>44448</v>
      </c>
      <c r="F594" s="17">
        <v>3.3099999999999997E-2</v>
      </c>
      <c r="G594" s="41">
        <f t="shared" si="65"/>
        <v>8.9220393253874875E-5</v>
      </c>
      <c r="L594" s="40">
        <f t="shared" si="63"/>
        <v>2.2237389608206252E-3</v>
      </c>
      <c r="M594" s="40">
        <f t="shared" si="64"/>
        <v>2.6528608671731065E-2</v>
      </c>
      <c r="O594" s="40">
        <f t="shared" si="66"/>
        <v>2.2237389608206252E-3</v>
      </c>
      <c r="P594" s="207">
        <f t="shared" si="67"/>
        <v>8.9220393253874875E-5</v>
      </c>
      <c r="Q594" s="208">
        <f t="shared" si="68"/>
        <v>1.0021992959873915</v>
      </c>
      <c r="R594" s="40">
        <f t="shared" si="69"/>
        <v>2.1298344312482976E-3</v>
      </c>
      <c r="S594" s="209">
        <v>0</v>
      </c>
    </row>
    <row r="595" spans="1:19" x14ac:dyDescent="0.45">
      <c r="A595" s="16">
        <v>44452</v>
      </c>
      <c r="B595" s="42">
        <f>'Part 2 - CAPM 2.1, 2.2 and 2.3'!N595</f>
        <v>9.7235430958946033E-4</v>
      </c>
      <c r="C595" s="42">
        <f>'Part 2 - CAPM 2.1, 2.2 and 2.3'!O595</f>
        <v>6.4601042076466338E-3</v>
      </c>
      <c r="E595" s="16">
        <v>44452</v>
      </c>
      <c r="F595" s="17">
        <v>3.3099999999999997E-2</v>
      </c>
      <c r="G595" s="41">
        <f t="shared" si="65"/>
        <v>8.9220393253874875E-5</v>
      </c>
      <c r="L595" s="40">
        <f t="shared" si="63"/>
        <v>1.0637131977747382E-3</v>
      </c>
      <c r="M595" s="40">
        <f t="shared" si="64"/>
        <v>6.5635322821625168E-3</v>
      </c>
      <c r="O595" s="40">
        <f t="shared" si="66"/>
        <v>1.0637131977747382E-3</v>
      </c>
      <c r="P595" s="207">
        <f t="shared" si="67"/>
        <v>8.9220393253874875E-5</v>
      </c>
      <c r="Q595" s="208">
        <f t="shared" si="68"/>
        <v>1.0021992959873915</v>
      </c>
      <c r="R595" s="40">
        <f t="shared" si="69"/>
        <v>9.7235430958946033E-4</v>
      </c>
      <c r="S595" s="209">
        <v>0</v>
      </c>
    </row>
    <row r="596" spans="1:19" x14ac:dyDescent="0.45">
      <c r="A596" s="16">
        <v>44453</v>
      </c>
      <c r="B596" s="42">
        <f>'Part 2 - CAPM 2.1, 2.2 and 2.3'!N596</f>
        <v>3.4220439312232821E-3</v>
      </c>
      <c r="C596" s="42">
        <f>'Part 2 - CAPM 2.1, 2.2 and 2.3'!O596</f>
        <v>7.2308284070713913E-3</v>
      </c>
      <c r="E596" s="16">
        <v>44453</v>
      </c>
      <c r="F596" s="17">
        <v>3.3099999999999997E-2</v>
      </c>
      <c r="G596" s="41">
        <f t="shared" si="65"/>
        <v>8.9220393253874875E-5</v>
      </c>
      <c r="L596" s="40">
        <f t="shared" si="63"/>
        <v>3.5187904119637738E-3</v>
      </c>
      <c r="M596" s="40">
        <f t="shared" si="64"/>
        <v>7.335951532226455E-3</v>
      </c>
      <c r="O596" s="40">
        <f t="shared" si="66"/>
        <v>3.5187904119637738E-3</v>
      </c>
      <c r="P596" s="207">
        <f t="shared" si="67"/>
        <v>8.9220393253874875E-5</v>
      </c>
      <c r="Q596" s="208">
        <f t="shared" si="68"/>
        <v>1.0021992959873915</v>
      </c>
      <c r="R596" s="40">
        <f t="shared" si="69"/>
        <v>3.4220439312232821E-3</v>
      </c>
      <c r="S596" s="209">
        <v>0</v>
      </c>
    </row>
    <row r="597" spans="1:19" x14ac:dyDescent="0.45">
      <c r="A597" s="16">
        <v>44454</v>
      </c>
      <c r="B597" s="42">
        <f>'Part 2 - CAPM 2.1, 2.2 and 2.3'!N597</f>
        <v>7.7076916878898215E-3</v>
      </c>
      <c r="C597" s="42">
        <f>'Part 2 - CAPM 2.1, 2.2 and 2.3'!O597</f>
        <v>3.9475298790599939E-2</v>
      </c>
      <c r="E597" s="16">
        <v>44454</v>
      </c>
      <c r="F597" s="17">
        <v>3.2899999999999999E-2</v>
      </c>
      <c r="G597" s="41">
        <f t="shared" si="65"/>
        <v>8.8689905403338543E-5</v>
      </c>
      <c r="L597" s="40">
        <f t="shared" si="63"/>
        <v>7.8133330886943873E-3</v>
      </c>
      <c r="M597" s="40">
        <f t="shared" si="64"/>
        <v>3.9650806562234527E-2</v>
      </c>
      <c r="O597" s="40">
        <f t="shared" si="66"/>
        <v>7.8133330886943873E-3</v>
      </c>
      <c r="P597" s="207">
        <f t="shared" si="67"/>
        <v>8.8689905403338543E-5</v>
      </c>
      <c r="Q597" s="208">
        <f t="shared" si="68"/>
        <v>1.0021992959873915</v>
      </c>
      <c r="R597" s="40">
        <f t="shared" si="69"/>
        <v>7.7076916878898215E-3</v>
      </c>
      <c r="S597" s="209">
        <v>0</v>
      </c>
    </row>
    <row r="598" spans="1:19" x14ac:dyDescent="0.45">
      <c r="A598" s="16">
        <v>44455</v>
      </c>
      <c r="B598" s="42">
        <f>'Part 2 - CAPM 2.1, 2.2 and 2.3'!N598</f>
        <v>5.5258891279635703E-3</v>
      </c>
      <c r="C598" s="42">
        <f>'Part 2 - CAPM 2.1, 2.2 and 2.3'!O598</f>
        <v>1.075297764991703E-3</v>
      </c>
      <c r="E598" s="16">
        <v>44455</v>
      </c>
      <c r="F598" s="17">
        <v>3.3300000000000003E-2</v>
      </c>
      <c r="G598" s="41">
        <f t="shared" si="65"/>
        <v>8.975077869766146E-5</v>
      </c>
      <c r="L598" s="40">
        <f t="shared" si="63"/>
        <v>5.6277929724471328E-3</v>
      </c>
      <c r="M598" s="40">
        <f t="shared" si="64"/>
        <v>1.1674134417491619E-3</v>
      </c>
      <c r="O598" s="40">
        <f t="shared" si="66"/>
        <v>5.6277929724471328E-3</v>
      </c>
      <c r="P598" s="207">
        <f t="shared" si="67"/>
        <v>8.975077869766146E-5</v>
      </c>
      <c r="Q598" s="208">
        <f t="shared" si="68"/>
        <v>1.0021992959873915</v>
      </c>
      <c r="R598" s="40">
        <f t="shared" si="69"/>
        <v>5.5258891279635703E-3</v>
      </c>
      <c r="S598" s="209">
        <v>0</v>
      </c>
    </row>
    <row r="599" spans="1:19" x14ac:dyDescent="0.45">
      <c r="A599" s="16">
        <v>44456</v>
      </c>
      <c r="B599" s="42">
        <f>'Part 2 - CAPM 2.1, 2.2 and 2.3'!N599</f>
        <v>-5.2296710887517351E-3</v>
      </c>
      <c r="C599" s="42">
        <f>'Part 2 - CAPM 2.1, 2.2 and 2.3'!O599</f>
        <v>-8.2348046578651357E-3</v>
      </c>
      <c r="E599" s="16">
        <v>44456</v>
      </c>
      <c r="F599" s="17">
        <v>3.3000000000000002E-2</v>
      </c>
      <c r="G599" s="41">
        <f t="shared" si="65"/>
        <v>8.8955162131920673E-5</v>
      </c>
      <c r="L599" s="40">
        <f t="shared" si="63"/>
        <v>-5.1522175212606837E-3</v>
      </c>
      <c r="M599" s="40">
        <f t="shared" si="64"/>
        <v>-8.1639602685742111E-3</v>
      </c>
      <c r="O599" s="40">
        <f t="shared" si="66"/>
        <v>-5.1522175212606837E-3</v>
      </c>
      <c r="P599" s="207">
        <f t="shared" si="67"/>
        <v>8.8955162131920673E-5</v>
      </c>
      <c r="Q599" s="208">
        <f t="shared" si="68"/>
        <v>1.0021992959873915</v>
      </c>
      <c r="R599" s="40">
        <f t="shared" si="69"/>
        <v>-5.2296710887517351E-3</v>
      </c>
      <c r="S599" s="209">
        <v>0</v>
      </c>
    </row>
    <row r="600" spans="1:19" x14ac:dyDescent="0.45">
      <c r="A600" s="16">
        <v>44459</v>
      </c>
      <c r="B600" s="42">
        <f>'Part 2 - CAPM 2.1, 2.2 and 2.3'!N600</f>
        <v>-1.3431383084739184E-2</v>
      </c>
      <c r="C600" s="42">
        <f>'Part 2 - CAPM 2.1, 2.2 and 2.3'!O600</f>
        <v>-1.2622050643610288E-3</v>
      </c>
      <c r="E600" s="16">
        <v>44459</v>
      </c>
      <c r="F600" s="17">
        <v>3.3000000000000002E-2</v>
      </c>
      <c r="G600" s="41">
        <f t="shared" si="65"/>
        <v>8.8955162131920673E-5</v>
      </c>
      <c r="L600" s="40">
        <f t="shared" si="63"/>
        <v>-1.3371967509530649E-2</v>
      </c>
      <c r="M600" s="40">
        <f t="shared" si="64"/>
        <v>-1.1760258647624227E-3</v>
      </c>
      <c r="O600" s="40">
        <f t="shared" si="66"/>
        <v>-1.3371967509530649E-2</v>
      </c>
      <c r="P600" s="207">
        <f t="shared" si="67"/>
        <v>8.8955162131920673E-5</v>
      </c>
      <c r="Q600" s="208">
        <f t="shared" si="68"/>
        <v>1.0021992959873915</v>
      </c>
      <c r="R600" s="40">
        <f t="shared" si="69"/>
        <v>-1.3431383084739184E-2</v>
      </c>
      <c r="S600" s="209">
        <v>0</v>
      </c>
    </row>
    <row r="601" spans="1:19" x14ac:dyDescent="0.45">
      <c r="A601" s="16">
        <v>44460</v>
      </c>
      <c r="B601" s="42">
        <f>'Part 2 - CAPM 2.1, 2.2 and 2.3'!N601</f>
        <v>7.9739087483313865E-3</v>
      </c>
      <c r="C601" s="42">
        <f>'Part 2 - CAPM 2.1, 2.2 and 2.3'!O601</f>
        <v>5.8250638651382011E-2</v>
      </c>
      <c r="E601" s="16">
        <v>44460</v>
      </c>
      <c r="F601" s="17">
        <v>3.3099999999999997E-2</v>
      </c>
      <c r="G601" s="41">
        <f t="shared" si="65"/>
        <v>8.9220393253874875E-5</v>
      </c>
      <c r="L601" s="40">
        <f t="shared" si="63"/>
        <v>8.0806661270992931E-3</v>
      </c>
      <c r="M601" s="40">
        <f t="shared" si="64"/>
        <v>5.8467969440484865E-2</v>
      </c>
      <c r="O601" s="40">
        <f t="shared" si="66"/>
        <v>8.0806661270992931E-3</v>
      </c>
      <c r="P601" s="207">
        <f t="shared" si="67"/>
        <v>8.9220393253874875E-5</v>
      </c>
      <c r="Q601" s="208">
        <f t="shared" si="68"/>
        <v>1.0021992959873915</v>
      </c>
      <c r="R601" s="40">
        <f t="shared" si="69"/>
        <v>7.9739087483313865E-3</v>
      </c>
      <c r="S601" s="209">
        <v>0</v>
      </c>
    </row>
    <row r="602" spans="1:19" x14ac:dyDescent="0.45">
      <c r="A602" s="16">
        <v>44461</v>
      </c>
      <c r="B602" s="42">
        <f>'Part 2 - CAPM 2.1, 2.2 and 2.3'!N602</f>
        <v>2.8703178824465306E-3</v>
      </c>
      <c r="C602" s="42">
        <f>'Part 2 - CAPM 2.1, 2.2 and 2.3'!O602</f>
        <v>-1.1189060196069005E-2</v>
      </c>
      <c r="E602" s="16">
        <v>44461</v>
      </c>
      <c r="F602" s="17">
        <v>3.3500000000000002E-2</v>
      </c>
      <c r="G602" s="41">
        <f t="shared" si="65"/>
        <v>9.0281061773778148E-5</v>
      </c>
      <c r="L602" s="40">
        <f t="shared" si="63"/>
        <v>2.9669116228217118E-3</v>
      </c>
      <c r="M602" s="40">
        <f t="shared" si="64"/>
        <v>-1.1123387189487124E-2</v>
      </c>
      <c r="O602" s="40">
        <f t="shared" si="66"/>
        <v>2.9669116228217118E-3</v>
      </c>
      <c r="P602" s="207">
        <f t="shared" si="67"/>
        <v>9.0281061773778148E-5</v>
      </c>
      <c r="Q602" s="208">
        <f t="shared" si="68"/>
        <v>1.0021992959873915</v>
      </c>
      <c r="R602" s="40">
        <f t="shared" si="69"/>
        <v>2.8703178824465306E-3</v>
      </c>
      <c r="S602" s="209">
        <v>0</v>
      </c>
    </row>
    <row r="603" spans="1:19" x14ac:dyDescent="0.45">
      <c r="A603" s="16">
        <v>44462</v>
      </c>
      <c r="B603" s="42">
        <f>'Part 2 - CAPM 2.1, 2.2 and 2.3'!N603</f>
        <v>1.424515199156883E-2</v>
      </c>
      <c r="C603" s="42">
        <f>'Part 2 - CAPM 2.1, 2.2 and 2.3'!O603</f>
        <v>3.0586595623316323E-2</v>
      </c>
      <c r="E603" s="16">
        <v>44462</v>
      </c>
      <c r="F603" s="17">
        <v>3.3599999999999998E-2</v>
      </c>
      <c r="G603" s="41">
        <f t="shared" si="65"/>
        <v>9.0546164936533557E-5</v>
      </c>
      <c r="L603" s="40">
        <f t="shared" si="63"/>
        <v>1.4367027462120204E-2</v>
      </c>
      <c r="M603" s="40">
        <f t="shared" si="64"/>
        <v>3.0744410765275183E-2</v>
      </c>
      <c r="O603" s="40">
        <f t="shared" si="66"/>
        <v>1.4367027462120204E-2</v>
      </c>
      <c r="P603" s="207">
        <f t="shared" si="67"/>
        <v>9.0546164936533557E-5</v>
      </c>
      <c r="Q603" s="208">
        <f t="shared" si="68"/>
        <v>1.0021992959873915</v>
      </c>
      <c r="R603" s="40">
        <f t="shared" si="69"/>
        <v>1.424515199156883E-2</v>
      </c>
      <c r="S603" s="209">
        <v>0</v>
      </c>
    </row>
    <row r="604" spans="1:19" x14ac:dyDescent="0.45">
      <c r="A604" s="16">
        <v>44463</v>
      </c>
      <c r="B604" s="42">
        <f>'Part 2 - CAPM 2.1, 2.2 and 2.3'!N604</f>
        <v>-9.7865080004926378E-4</v>
      </c>
      <c r="C604" s="42">
        <f>'Part 2 - CAPM 2.1, 2.2 and 2.3'!O604</f>
        <v>-1.6424749536533081E-2</v>
      </c>
      <c r="E604" s="16">
        <v>44463</v>
      </c>
      <c r="F604" s="17">
        <v>3.3700000000000001E-2</v>
      </c>
      <c r="G604" s="41">
        <f t="shared" si="65"/>
        <v>9.081124252219297E-5</v>
      </c>
      <c r="L604" s="40">
        <f t="shared" si="63"/>
        <v>-8.8999190030467665E-4</v>
      </c>
      <c r="M604" s="40">
        <f t="shared" si="64"/>
        <v>-1.6370061179760496E-2</v>
      </c>
      <c r="O604" s="40">
        <f t="shared" si="66"/>
        <v>-8.8999190030467665E-4</v>
      </c>
      <c r="P604" s="207">
        <f t="shared" si="67"/>
        <v>9.081124252219297E-5</v>
      </c>
      <c r="Q604" s="208">
        <f t="shared" si="68"/>
        <v>1.0021992959873915</v>
      </c>
      <c r="R604" s="40">
        <f t="shared" si="69"/>
        <v>-9.7865080004926378E-4</v>
      </c>
      <c r="S604" s="209">
        <v>0</v>
      </c>
    </row>
    <row r="605" spans="1:19" x14ac:dyDescent="0.45">
      <c r="A605" s="16">
        <v>44466</v>
      </c>
      <c r="B605" s="42">
        <f>'Part 2 - CAPM 2.1, 2.2 and 2.3'!N605</f>
        <v>-2.8196686487090631E-4</v>
      </c>
      <c r="C605" s="42">
        <f>'Part 2 - CAPM 2.1, 2.2 and 2.3'!O605</f>
        <v>3.2750252118748185E-2</v>
      </c>
      <c r="E605" s="16">
        <v>44466</v>
      </c>
      <c r="F605" s="17">
        <v>3.3799999999999997E-2</v>
      </c>
      <c r="G605" s="41">
        <f t="shared" si="65"/>
        <v>9.1076294535863411E-5</v>
      </c>
      <c r="L605" s="40">
        <f t="shared" si="63"/>
        <v>-1.9151069892953088E-4</v>
      </c>
      <c r="M605" s="40">
        <f t="shared" si="64"/>
        <v>3.2913355911354872E-2</v>
      </c>
      <c r="O605" s="40">
        <f t="shared" si="66"/>
        <v>-1.9151069892953088E-4</v>
      </c>
      <c r="P605" s="207">
        <f t="shared" si="67"/>
        <v>9.1076294535863411E-5</v>
      </c>
      <c r="Q605" s="208">
        <f t="shared" si="68"/>
        <v>1.0021992959873915</v>
      </c>
      <c r="R605" s="40">
        <f t="shared" si="69"/>
        <v>-2.8196686487090631E-4</v>
      </c>
      <c r="S605" s="209">
        <v>0</v>
      </c>
    </row>
    <row r="606" spans="1:19" x14ac:dyDescent="0.45">
      <c r="A606" s="16">
        <v>44467</v>
      </c>
      <c r="B606" s="42">
        <f>'Part 2 - CAPM 2.1, 2.2 and 2.3'!N606</f>
        <v>-6.2432697570440959E-3</v>
      </c>
      <c r="C606" s="42">
        <f>'Part 2 - CAPM 2.1, 2.2 and 2.3'!O606</f>
        <v>1.4557277360550415E-2</v>
      </c>
      <c r="E606" s="16">
        <v>44467</v>
      </c>
      <c r="F606" s="17">
        <v>3.3700000000000001E-2</v>
      </c>
      <c r="G606" s="41">
        <f t="shared" si="65"/>
        <v>9.081124252219297E-5</v>
      </c>
      <c r="L606" s="40">
        <f t="shared" si="63"/>
        <v>-6.1661893126467729E-3</v>
      </c>
      <c r="M606" s="40">
        <f t="shared" si="64"/>
        <v>1.4680104364759012E-2</v>
      </c>
      <c r="O606" s="40">
        <f t="shared" si="66"/>
        <v>-6.1661893126467729E-3</v>
      </c>
      <c r="P606" s="207">
        <f t="shared" si="67"/>
        <v>9.081124252219297E-5</v>
      </c>
      <c r="Q606" s="208">
        <f t="shared" si="68"/>
        <v>1.0021992959873915</v>
      </c>
      <c r="R606" s="40">
        <f t="shared" si="69"/>
        <v>-6.2432697570440959E-3</v>
      </c>
      <c r="S606" s="209">
        <v>0</v>
      </c>
    </row>
    <row r="607" spans="1:19" x14ac:dyDescent="0.45">
      <c r="A607" s="16">
        <v>44468</v>
      </c>
      <c r="B607" s="42">
        <f>'Part 2 - CAPM 2.1, 2.2 and 2.3'!N607</f>
        <v>-6.6515090024456031E-4</v>
      </c>
      <c r="C607" s="42">
        <f>'Part 2 - CAPM 2.1, 2.2 and 2.3'!O607</f>
        <v>2.5964201781200801E-2</v>
      </c>
      <c r="E607" s="16">
        <v>44468</v>
      </c>
      <c r="F607" s="17">
        <v>3.4200000000000001E-2</v>
      </c>
      <c r="G607" s="41">
        <f t="shared" si="65"/>
        <v>9.2136246968133051E-5</v>
      </c>
      <c r="L607" s="40">
        <f t="shared" si="63"/>
        <v>-5.7447751698234495E-4</v>
      </c>
      <c r="M607" s="40">
        <f t="shared" si="64"/>
        <v>2.6113440992962155E-2</v>
      </c>
      <c r="O607" s="40">
        <f t="shared" si="66"/>
        <v>-5.7447751698234495E-4</v>
      </c>
      <c r="P607" s="207">
        <f t="shared" si="67"/>
        <v>9.2136246968133051E-5</v>
      </c>
      <c r="Q607" s="208">
        <f t="shared" si="68"/>
        <v>1.0021992959873915</v>
      </c>
      <c r="R607" s="40">
        <f t="shared" si="69"/>
        <v>-6.6515090024456031E-4</v>
      </c>
      <c r="S607" s="209">
        <v>0</v>
      </c>
    </row>
    <row r="608" spans="1:19" x14ac:dyDescent="0.45">
      <c r="A608" s="16">
        <v>44469</v>
      </c>
      <c r="B608" s="42">
        <f>'Part 2 - CAPM 2.1, 2.2 and 2.3'!N608</f>
        <v>-2.3664189575036952E-3</v>
      </c>
      <c r="C608" s="42">
        <f>'Part 2 - CAPM 2.1, 2.2 and 2.3'!O608</f>
        <v>-1.0731228815367845E-2</v>
      </c>
      <c r="E608" s="16">
        <v>44469</v>
      </c>
      <c r="F608" s="17">
        <v>3.4500000000000003E-2</v>
      </c>
      <c r="G608" s="41">
        <f t="shared" si="65"/>
        <v>9.2930943027536017E-5</v>
      </c>
      <c r="L608" s="40">
        <f t="shared" si="63"/>
        <v>-2.2786924701938844E-3</v>
      </c>
      <c r="M608" s="40">
        <f t="shared" si="64"/>
        <v>-1.0661899020813728E-2</v>
      </c>
      <c r="O608" s="40">
        <f t="shared" si="66"/>
        <v>-2.2786924701938844E-3</v>
      </c>
      <c r="P608" s="207">
        <f t="shared" si="67"/>
        <v>9.2930943027536017E-5</v>
      </c>
      <c r="Q608" s="208">
        <f t="shared" si="68"/>
        <v>1.0021992959873915</v>
      </c>
      <c r="R608" s="40">
        <f t="shared" si="69"/>
        <v>-2.3664189575036952E-3</v>
      </c>
      <c r="S608" s="209">
        <v>0</v>
      </c>
    </row>
    <row r="609" spans="1:19" x14ac:dyDescent="0.45">
      <c r="A609" s="16">
        <v>44470</v>
      </c>
      <c r="B609" s="42">
        <f>'Part 2 - CAPM 2.1, 2.2 and 2.3'!N609</f>
        <v>-2.6644364874089917E-3</v>
      </c>
      <c r="C609" s="42">
        <f>'Part 2 - CAPM 2.1, 2.2 and 2.3'!O609</f>
        <v>1.3780975738294048E-2</v>
      </c>
      <c r="E609" s="16">
        <v>44470</v>
      </c>
      <c r="F609" s="17">
        <v>3.4700000000000002E-2</v>
      </c>
      <c r="G609" s="41">
        <f t="shared" si="65"/>
        <v>9.3460612729190373E-5</v>
      </c>
      <c r="L609" s="40">
        <f t="shared" si="63"/>
        <v>-2.5768357591552196E-3</v>
      </c>
      <c r="M609" s="40">
        <f t="shared" si="64"/>
        <v>1.3904744795666809E-2</v>
      </c>
      <c r="O609" s="40">
        <f t="shared" si="66"/>
        <v>-2.5768357591552196E-3</v>
      </c>
      <c r="P609" s="207">
        <f t="shared" si="67"/>
        <v>9.3460612729190373E-5</v>
      </c>
      <c r="Q609" s="208">
        <f t="shared" si="68"/>
        <v>1.0021992959873915</v>
      </c>
      <c r="R609" s="40">
        <f t="shared" si="69"/>
        <v>-2.6644364874089917E-3</v>
      </c>
      <c r="S609" s="209">
        <v>0</v>
      </c>
    </row>
    <row r="610" spans="1:19" x14ac:dyDescent="0.45">
      <c r="A610" s="16">
        <v>44473</v>
      </c>
      <c r="B610" s="42">
        <f>'Part 2 - CAPM 2.1, 2.2 and 2.3'!N610</f>
        <v>1.1043114107818761E-2</v>
      </c>
      <c r="C610" s="42">
        <f>'Part 2 - CAPM 2.1, 2.2 and 2.3'!O610</f>
        <v>1.1880803525129203E-2</v>
      </c>
      <c r="E610" s="16">
        <v>44473</v>
      </c>
      <c r="F610" s="17">
        <v>3.4599999999999999E-2</v>
      </c>
      <c r="G610" s="41">
        <f t="shared" si="65"/>
        <v>9.3195790642264242E-5</v>
      </c>
      <c r="L610" s="40">
        <f t="shared" si="63"/>
        <v>1.1160596975006657E-2</v>
      </c>
      <c r="M610" s="40">
        <f t="shared" si="64"/>
        <v>1.2000128719291271E-2</v>
      </c>
      <c r="O610" s="40">
        <f t="shared" si="66"/>
        <v>1.1160596975006657E-2</v>
      </c>
      <c r="P610" s="207">
        <f t="shared" si="67"/>
        <v>9.3195790642264242E-5</v>
      </c>
      <c r="Q610" s="208">
        <f t="shared" si="68"/>
        <v>1.0021992959873915</v>
      </c>
      <c r="R610" s="40">
        <f t="shared" si="69"/>
        <v>1.1043114107818761E-2</v>
      </c>
      <c r="S610" s="209">
        <v>0</v>
      </c>
    </row>
    <row r="611" spans="1:19" x14ac:dyDescent="0.45">
      <c r="A611" s="16">
        <v>44474</v>
      </c>
      <c r="B611" s="42">
        <f>'Part 2 - CAPM 2.1, 2.2 and 2.3'!N611</f>
        <v>6.4252854687053855E-3</v>
      </c>
      <c r="C611" s="42">
        <f>'Part 2 - CAPM 2.1, 2.2 and 2.3'!O611</f>
        <v>0.1053840073581115</v>
      </c>
      <c r="E611" s="16">
        <v>44474</v>
      </c>
      <c r="F611" s="17">
        <v>3.44E-2</v>
      </c>
      <c r="G611" s="41">
        <f t="shared" si="65"/>
        <v>9.2666069880342761E-5</v>
      </c>
      <c r="L611" s="40">
        <f t="shared" si="63"/>
        <v>6.5320826431348976E-3</v>
      </c>
      <c r="M611" s="40">
        <f t="shared" si="64"/>
        <v>0.10570844405250977</v>
      </c>
      <c r="O611" s="40">
        <f t="shared" si="66"/>
        <v>6.5320826431348976E-3</v>
      </c>
      <c r="P611" s="207">
        <f t="shared" si="67"/>
        <v>9.2666069880342761E-5</v>
      </c>
      <c r="Q611" s="208">
        <f t="shared" si="68"/>
        <v>1.0021992959873915</v>
      </c>
      <c r="R611" s="40">
        <f t="shared" si="69"/>
        <v>6.4252854687053855E-3</v>
      </c>
      <c r="S611" s="209">
        <v>0</v>
      </c>
    </row>
    <row r="612" spans="1:19" x14ac:dyDescent="0.45">
      <c r="A612" s="16">
        <v>44475</v>
      </c>
      <c r="B612" s="42">
        <f>'Part 2 - CAPM 2.1, 2.2 and 2.3'!N612</f>
        <v>-9.6191866300970215E-3</v>
      </c>
      <c r="C612" s="42">
        <f>'Part 2 - CAPM 2.1, 2.2 and 2.3'!O612</f>
        <v>2.3147864804773925E-2</v>
      </c>
      <c r="E612" s="16">
        <v>44475</v>
      </c>
      <c r="F612" s="17">
        <v>3.4799999999999998E-2</v>
      </c>
      <c r="G612" s="41">
        <f t="shared" si="65"/>
        <v>9.3725409293421436E-5</v>
      </c>
      <c r="L612" s="40">
        <f t="shared" si="63"/>
        <v>-9.5466166593611429E-3</v>
      </c>
      <c r="M612" s="40">
        <f t="shared" si="64"/>
        <v>2.3292499220249167E-2</v>
      </c>
      <c r="O612" s="40">
        <f t="shared" si="66"/>
        <v>-9.5466166593611429E-3</v>
      </c>
      <c r="P612" s="207">
        <f t="shared" si="67"/>
        <v>9.3725409293421436E-5</v>
      </c>
      <c r="Q612" s="208">
        <f t="shared" si="68"/>
        <v>1.0021992959873915</v>
      </c>
      <c r="R612" s="40">
        <f t="shared" si="69"/>
        <v>-9.6191866300970215E-3</v>
      </c>
      <c r="S612" s="209">
        <v>0</v>
      </c>
    </row>
    <row r="613" spans="1:19" x14ac:dyDescent="0.45">
      <c r="A613" s="16">
        <v>44476</v>
      </c>
      <c r="B613" s="42">
        <f>'Part 2 - CAPM 2.1, 2.2 and 2.3'!N613</f>
        <v>1.0187121580498794E-2</v>
      </c>
      <c r="C613" s="42">
        <f>'Part 2 - CAPM 2.1, 2.2 and 2.3'!O613</f>
        <v>-4.0141808470836059E-2</v>
      </c>
      <c r="E613" s="16">
        <v>44476</v>
      </c>
      <c r="F613" s="17">
        <v>3.49E-2</v>
      </c>
      <c r="G613" s="41">
        <f t="shared" si="65"/>
        <v>9.3990180339842411E-5</v>
      </c>
      <c r="L613" s="40">
        <f t="shared" si="63"/>
        <v>1.0303516256453697E-2</v>
      </c>
      <c r="M613" s="40">
        <f t="shared" si="64"/>
        <v>-4.0136102008792765E-2</v>
      </c>
      <c r="O613" s="40">
        <f t="shared" si="66"/>
        <v>1.0303516256453697E-2</v>
      </c>
      <c r="P613" s="207">
        <f t="shared" si="67"/>
        <v>9.3990180339842411E-5</v>
      </c>
      <c r="Q613" s="208">
        <f t="shared" si="68"/>
        <v>1.0021992959873915</v>
      </c>
      <c r="R613" s="40">
        <f t="shared" si="69"/>
        <v>1.0187121580498794E-2</v>
      </c>
      <c r="S613" s="209">
        <v>0</v>
      </c>
    </row>
    <row r="614" spans="1:19" x14ac:dyDescent="0.45">
      <c r="A614" s="16">
        <v>44477</v>
      </c>
      <c r="B614" s="42">
        <f>'Part 2 - CAPM 2.1, 2.2 and 2.3'!N614</f>
        <v>4.8151929432812806E-3</v>
      </c>
      <c r="C614" s="42">
        <f>'Part 2 - CAPM 2.1, 2.2 and 2.3'!O614</f>
        <v>3.331461743604382E-3</v>
      </c>
      <c r="E614" s="16">
        <v>44477</v>
      </c>
      <c r="F614" s="17">
        <v>3.4599999999999999E-2</v>
      </c>
      <c r="G614" s="41">
        <f t="shared" si="65"/>
        <v>9.3195790642264242E-5</v>
      </c>
      <c r="L614" s="40">
        <f t="shared" si="63"/>
        <v>4.9189787684422196E-3</v>
      </c>
      <c r="M614" s="40">
        <f t="shared" si="64"/>
        <v>3.4319844046915037E-3</v>
      </c>
      <c r="O614" s="40">
        <f t="shared" si="66"/>
        <v>4.9189787684422196E-3</v>
      </c>
      <c r="P614" s="207">
        <f t="shared" si="67"/>
        <v>9.3195790642264242E-5</v>
      </c>
      <c r="Q614" s="208">
        <f t="shared" si="68"/>
        <v>1.0021992959873915</v>
      </c>
      <c r="R614" s="40">
        <f t="shared" si="69"/>
        <v>4.8151929432812806E-3</v>
      </c>
      <c r="S614" s="209">
        <v>0</v>
      </c>
    </row>
    <row r="615" spans="1:19" x14ac:dyDescent="0.45">
      <c r="A615" s="16">
        <v>44480</v>
      </c>
      <c r="B615" s="42">
        <f>'Part 2 - CAPM 2.1, 2.2 and 2.3'!N615</f>
        <v>3.9947568221922521E-3</v>
      </c>
      <c r="C615" s="42">
        <f>'Part 2 - CAPM 2.1, 2.2 and 2.3'!O615</f>
        <v>2.7831892964702874E-2</v>
      </c>
      <c r="E615" s="16">
        <v>44480</v>
      </c>
      <c r="F615" s="17">
        <v>3.4300000000000004E-2</v>
      </c>
      <c r="G615" s="41">
        <f t="shared" si="65"/>
        <v>9.2401171195355403E-5</v>
      </c>
      <c r="L615" s="40">
        <f t="shared" si="63"/>
        <v>4.0959436460372596E-3</v>
      </c>
      <c r="M615" s="40">
        <f t="shared" si="64"/>
        <v>2.798550470641701E-2</v>
      </c>
      <c r="O615" s="40">
        <f t="shared" si="66"/>
        <v>4.0959436460372596E-3</v>
      </c>
      <c r="P615" s="207">
        <f t="shared" si="67"/>
        <v>9.2401171195355403E-5</v>
      </c>
      <c r="Q615" s="208">
        <f t="shared" si="68"/>
        <v>1.0021992959873915</v>
      </c>
      <c r="R615" s="40">
        <f t="shared" si="69"/>
        <v>3.9947568221922521E-3</v>
      </c>
      <c r="S615" s="209">
        <v>0</v>
      </c>
    </row>
    <row r="616" spans="1:19" x14ac:dyDescent="0.45">
      <c r="A616" s="16">
        <v>44481</v>
      </c>
      <c r="B616" s="42">
        <f>'Part 2 - CAPM 2.1, 2.2 and 2.3'!N616</f>
        <v>3.4017766156920703E-3</v>
      </c>
      <c r="C616" s="42">
        <f>'Part 2 - CAPM 2.1, 2.2 and 2.3'!O616</f>
        <v>-1.216552055768255E-2</v>
      </c>
      <c r="E616" s="16">
        <v>44481</v>
      </c>
      <c r="F616" s="17">
        <v>3.4099999999999998E-2</v>
      </c>
      <c r="G616" s="41">
        <f t="shared" si="65"/>
        <v>9.187129719356868E-5</v>
      </c>
      <c r="L616" s="40">
        <f t="shared" si="63"/>
        <v>3.5011294265465329E-3</v>
      </c>
      <c r="M616" s="40">
        <f t="shared" si="64"/>
        <v>-1.2100404841036022E-2</v>
      </c>
      <c r="O616" s="40">
        <f t="shared" si="66"/>
        <v>3.5011294265465329E-3</v>
      </c>
      <c r="P616" s="207">
        <f t="shared" si="67"/>
        <v>9.187129719356868E-5</v>
      </c>
      <c r="Q616" s="208">
        <f t="shared" si="68"/>
        <v>1.0021992959873915</v>
      </c>
      <c r="R616" s="40">
        <f t="shared" si="69"/>
        <v>3.4017766156920703E-3</v>
      </c>
      <c r="S616" s="209">
        <v>0</v>
      </c>
    </row>
    <row r="617" spans="1:19" x14ac:dyDescent="0.45">
      <c r="A617" s="16">
        <v>44482</v>
      </c>
      <c r="B617" s="42">
        <f>'Part 2 - CAPM 2.1, 2.2 and 2.3'!N617</f>
        <v>9.564566220165412E-3</v>
      </c>
      <c r="C617" s="42">
        <f>'Part 2 - CAPM 2.1, 2.2 and 2.3'!O617</f>
        <v>-2.2395568211339645E-2</v>
      </c>
      <c r="E617" s="16">
        <v>44482</v>
      </c>
      <c r="F617" s="17">
        <v>3.4099999999999998E-2</v>
      </c>
      <c r="G617" s="41">
        <f t="shared" si="65"/>
        <v>9.187129719356868E-5</v>
      </c>
      <c r="L617" s="40">
        <f t="shared" si="63"/>
        <v>9.6774728294681308E-3</v>
      </c>
      <c r="M617" s="40">
        <f t="shared" si="64"/>
        <v>-2.2352951397448629E-2</v>
      </c>
      <c r="O617" s="40">
        <f t="shared" si="66"/>
        <v>9.6774728294681308E-3</v>
      </c>
      <c r="P617" s="207">
        <f t="shared" si="67"/>
        <v>9.187129719356868E-5</v>
      </c>
      <c r="Q617" s="208">
        <f t="shared" si="68"/>
        <v>1.0021992959873915</v>
      </c>
      <c r="R617" s="40">
        <f t="shared" si="69"/>
        <v>9.564566220165412E-3</v>
      </c>
      <c r="S617" s="209">
        <v>0</v>
      </c>
    </row>
    <row r="618" spans="1:19" x14ac:dyDescent="0.45">
      <c r="A618" s="16">
        <v>44483</v>
      </c>
      <c r="B618" s="42">
        <f>'Part 2 - CAPM 2.1, 2.2 and 2.3'!N618</f>
        <v>8.7269165273135361E-3</v>
      </c>
      <c r="C618" s="42">
        <f>'Part 2 - CAPM 2.1, 2.2 and 2.3'!O618</f>
        <v>-7.9043712971935687E-3</v>
      </c>
      <c r="E618" s="16">
        <v>44483</v>
      </c>
      <c r="F618" s="17">
        <v>3.4099999999999998E-2</v>
      </c>
      <c r="G618" s="41">
        <f t="shared" si="65"/>
        <v>9.187129719356868E-5</v>
      </c>
      <c r="L618" s="40">
        <f t="shared" si="63"/>
        <v>8.8379808970079268E-3</v>
      </c>
      <c r="M618" s="40">
        <f t="shared" si="64"/>
        <v>-7.8298840520767705E-3</v>
      </c>
      <c r="O618" s="40">
        <f t="shared" si="66"/>
        <v>8.8379808970079268E-3</v>
      </c>
      <c r="P618" s="207">
        <f t="shared" si="67"/>
        <v>9.187129719356868E-5</v>
      </c>
      <c r="Q618" s="208">
        <f t="shared" si="68"/>
        <v>1.0021992959873915</v>
      </c>
      <c r="R618" s="40">
        <f t="shared" si="69"/>
        <v>8.7269165273135361E-3</v>
      </c>
      <c r="S618" s="209">
        <v>0</v>
      </c>
    </row>
    <row r="619" spans="1:19" x14ac:dyDescent="0.45">
      <c r="A619" s="16">
        <v>44487</v>
      </c>
      <c r="B619" s="42">
        <f>'Part 2 - CAPM 2.1, 2.2 and 2.3'!N619</f>
        <v>7.3212903940726385E-3</v>
      </c>
      <c r="C619" s="42">
        <f>'Part 2 - CAPM 2.1, 2.2 and 2.3'!O619</f>
        <v>2.2270333427215953E-2</v>
      </c>
      <c r="E619" s="16">
        <v>44487</v>
      </c>
      <c r="F619" s="17">
        <v>3.4099999999999998E-2</v>
      </c>
      <c r="G619" s="41">
        <f t="shared" si="65"/>
        <v>9.187129719356868E-5</v>
      </c>
      <c r="L619" s="40">
        <f t="shared" si="63"/>
        <v>7.4292633758524197E-3</v>
      </c>
      <c r="M619" s="40">
        <f t="shared" si="64"/>
        <v>2.2411183779353871E-2</v>
      </c>
      <c r="O619" s="40">
        <f t="shared" si="66"/>
        <v>7.4292633758524197E-3</v>
      </c>
      <c r="P619" s="207">
        <f t="shared" si="67"/>
        <v>9.187129719356868E-5</v>
      </c>
      <c r="Q619" s="208">
        <f t="shared" si="68"/>
        <v>1.0021992959873915</v>
      </c>
      <c r="R619" s="40">
        <f t="shared" si="69"/>
        <v>7.3212903940726385E-3</v>
      </c>
      <c r="S619" s="209">
        <v>0</v>
      </c>
    </row>
    <row r="620" spans="1:19" x14ac:dyDescent="0.45">
      <c r="A620" s="16">
        <v>44489</v>
      </c>
      <c r="B620" s="42">
        <f>'Part 2 - CAPM 2.1, 2.2 and 2.3'!N620</f>
        <v>-2.0079158405876291E-2</v>
      </c>
      <c r="C620" s="42">
        <f>'Part 2 - CAPM 2.1, 2.2 and 2.3'!O620</f>
        <v>-4.4763559314979905E-2</v>
      </c>
      <c r="E620" s="16">
        <v>44489</v>
      </c>
      <c r="F620" s="17">
        <v>3.4599999999999999E-2</v>
      </c>
      <c r="G620" s="41">
        <f t="shared" si="65"/>
        <v>9.3195790642264242E-5</v>
      </c>
      <c r="L620" s="40">
        <f t="shared" si="63"/>
        <v>-2.0030122627746269E-2</v>
      </c>
      <c r="M620" s="40">
        <f t="shared" si="64"/>
        <v>-4.4768811840720436E-2</v>
      </c>
      <c r="O620" s="40">
        <f t="shared" si="66"/>
        <v>-2.0030122627746269E-2</v>
      </c>
      <c r="P620" s="207">
        <f t="shared" si="67"/>
        <v>9.3195790642264242E-5</v>
      </c>
      <c r="Q620" s="208">
        <f t="shared" si="68"/>
        <v>1.0021992959873915</v>
      </c>
      <c r="R620" s="40">
        <f t="shared" si="69"/>
        <v>-2.0079158405876291E-2</v>
      </c>
      <c r="S620" s="209">
        <v>0</v>
      </c>
    </row>
    <row r="621" spans="1:19" x14ac:dyDescent="0.45">
      <c r="A621" s="16">
        <v>44490</v>
      </c>
      <c r="B621" s="42">
        <f>'Part 2 - CAPM 2.1, 2.2 and 2.3'!N621</f>
        <v>-5.2964886546615171E-3</v>
      </c>
      <c r="C621" s="42">
        <f>'Part 2 - CAPM 2.1, 2.2 and 2.3'!O621</f>
        <v>7.6457134813869305E-3</v>
      </c>
      <c r="E621" s="16">
        <v>44490</v>
      </c>
      <c r="F621" s="17">
        <v>3.4799999999999998E-2</v>
      </c>
      <c r="G621" s="41">
        <f t="shared" si="65"/>
        <v>9.3725409293421436E-5</v>
      </c>
      <c r="L621" s="40">
        <f t="shared" si="63"/>
        <v>-5.2144117916135572E-3</v>
      </c>
      <c r="M621" s="40">
        <f t="shared" si="64"/>
        <v>7.7562540776607118E-3</v>
      </c>
      <c r="O621" s="40">
        <f t="shared" si="66"/>
        <v>-5.2144117916135572E-3</v>
      </c>
      <c r="P621" s="207">
        <f t="shared" si="67"/>
        <v>9.3725409293421436E-5</v>
      </c>
      <c r="Q621" s="208">
        <f t="shared" si="68"/>
        <v>1.0021992959873915</v>
      </c>
      <c r="R621" s="40">
        <f t="shared" si="69"/>
        <v>-5.2964886546615171E-3</v>
      </c>
      <c r="S621" s="209">
        <v>0</v>
      </c>
    </row>
    <row r="622" spans="1:19" x14ac:dyDescent="0.45">
      <c r="A622" s="16">
        <v>44491</v>
      </c>
      <c r="B622" s="42">
        <f>'Part 2 - CAPM 2.1, 2.2 and 2.3'!N622</f>
        <v>-5.7724436137982305E-3</v>
      </c>
      <c r="C622" s="42">
        <f>'Part 2 - CAPM 2.1, 2.2 and 2.3'!O622</f>
        <v>1.5062745907065786E-3</v>
      </c>
      <c r="E622" s="16">
        <v>44491</v>
      </c>
      <c r="F622" s="17">
        <v>3.4799999999999998E-2</v>
      </c>
      <c r="G622" s="41">
        <f t="shared" si="65"/>
        <v>9.3725409293421436E-5</v>
      </c>
      <c r="L622" s="40">
        <f t="shared" si="63"/>
        <v>-5.6914135165820794E-3</v>
      </c>
      <c r="M622" s="40">
        <f t="shared" si="64"/>
        <v>1.603312743663251E-3</v>
      </c>
      <c r="O622" s="40">
        <f t="shared" si="66"/>
        <v>-5.6914135165820794E-3</v>
      </c>
      <c r="P622" s="207">
        <f t="shared" si="67"/>
        <v>9.3725409293421436E-5</v>
      </c>
      <c r="Q622" s="208">
        <f t="shared" si="68"/>
        <v>1.0021992959873915</v>
      </c>
      <c r="R622" s="40">
        <f t="shared" si="69"/>
        <v>-5.7724436137982305E-3</v>
      </c>
      <c r="S622" s="209">
        <v>0</v>
      </c>
    </row>
    <row r="623" spans="1:19" x14ac:dyDescent="0.45">
      <c r="A623" s="16">
        <v>44494</v>
      </c>
      <c r="B623" s="42">
        <f>'Part 2 - CAPM 2.1, 2.2 and 2.3'!N623</f>
        <v>-4.3378440867013921E-3</v>
      </c>
      <c r="C623" s="42">
        <f>'Part 2 - CAPM 2.1, 2.2 and 2.3'!O623</f>
        <v>3.0576671591698398E-2</v>
      </c>
      <c r="E623" s="16">
        <v>44494</v>
      </c>
      <c r="F623" s="17">
        <v>3.5000000000000003E-2</v>
      </c>
      <c r="G623" s="41">
        <f t="shared" si="65"/>
        <v>9.4254925873560325E-5</v>
      </c>
      <c r="L623" s="40">
        <f t="shared" si="63"/>
        <v>-4.2531293639216441E-3</v>
      </c>
      <c r="M623" s="40">
        <f t="shared" si="64"/>
        <v>3.0738173668711372E-2</v>
      </c>
      <c r="O623" s="40">
        <f t="shared" si="66"/>
        <v>-4.2531293639216441E-3</v>
      </c>
      <c r="P623" s="207">
        <f t="shared" si="67"/>
        <v>9.4254925873560325E-5</v>
      </c>
      <c r="Q623" s="208">
        <f t="shared" si="68"/>
        <v>1.0021992959873915</v>
      </c>
      <c r="R623" s="40">
        <f t="shared" si="69"/>
        <v>-4.3378440867013921E-3</v>
      </c>
      <c r="S623" s="209">
        <v>0</v>
      </c>
    </row>
    <row r="624" spans="1:19" x14ac:dyDescent="0.45">
      <c r="A624" s="16">
        <v>44495</v>
      </c>
      <c r="B624" s="42">
        <f>'Part 2 - CAPM 2.1, 2.2 and 2.3'!N624</f>
        <v>1.0685200394402612E-2</v>
      </c>
      <c r="C624" s="42">
        <f>'Part 2 - CAPM 2.1, 2.2 and 2.3'!O624</f>
        <v>1.1994754997622301E-2</v>
      </c>
      <c r="E624" s="16">
        <v>44495</v>
      </c>
      <c r="F624" s="17">
        <v>3.5099999999999999E-2</v>
      </c>
      <c r="G624" s="41">
        <f t="shared" si="65"/>
        <v>9.4519645899016069E-5</v>
      </c>
      <c r="L624" s="40">
        <f t="shared" si="63"/>
        <v>1.0803219958653512E-2</v>
      </c>
      <c r="M624" s="40">
        <f t="shared" si="64"/>
        <v>1.2115654660057332E-2</v>
      </c>
      <c r="O624" s="40">
        <f t="shared" si="66"/>
        <v>1.0803219958653512E-2</v>
      </c>
      <c r="P624" s="207">
        <f t="shared" si="67"/>
        <v>9.4519645899016069E-5</v>
      </c>
      <c r="Q624" s="208">
        <f t="shared" si="68"/>
        <v>1.0021992959873915</v>
      </c>
      <c r="R624" s="40">
        <f t="shared" si="69"/>
        <v>1.0685200394402612E-2</v>
      </c>
      <c r="S624" s="209">
        <v>0</v>
      </c>
    </row>
    <row r="625" spans="1:19" x14ac:dyDescent="0.45">
      <c r="A625" s="16">
        <v>44496</v>
      </c>
      <c r="B625" s="42">
        <f>'Part 2 - CAPM 2.1, 2.2 and 2.3'!N625</f>
        <v>-1.0816387098778332E-3</v>
      </c>
      <c r="C625" s="42">
        <f>'Part 2 - CAPM 2.1, 2.2 and 2.3'!O625</f>
        <v>-3.5622850426909804E-2</v>
      </c>
      <c r="E625" s="16">
        <v>44496</v>
      </c>
      <c r="F625" s="17">
        <v>3.5099999999999999E-2</v>
      </c>
      <c r="G625" s="41">
        <f t="shared" si="65"/>
        <v>9.4519645899016069E-5</v>
      </c>
      <c r="L625" s="40">
        <f t="shared" si="63"/>
        <v>-9.8949790765325875E-4</v>
      </c>
      <c r="M625" s="40">
        <f t="shared" si="64"/>
        <v>-3.5606675973014139E-2</v>
      </c>
      <c r="O625" s="40">
        <f t="shared" si="66"/>
        <v>-9.8949790765325875E-4</v>
      </c>
      <c r="P625" s="207">
        <f t="shared" si="67"/>
        <v>9.4519645899016069E-5</v>
      </c>
      <c r="Q625" s="208">
        <f t="shared" si="68"/>
        <v>1.0021992959873915</v>
      </c>
      <c r="R625" s="40">
        <f t="shared" si="69"/>
        <v>-1.0816387098778332E-3</v>
      </c>
      <c r="S625" s="209">
        <v>0</v>
      </c>
    </row>
    <row r="626" spans="1:19" x14ac:dyDescent="0.45">
      <c r="A626" s="16">
        <v>44497</v>
      </c>
      <c r="B626" s="42">
        <f>'Part 2 - CAPM 2.1, 2.2 and 2.3'!N626</f>
        <v>-1.9051258413124723E-2</v>
      </c>
      <c r="C626" s="42">
        <f>'Part 2 - CAPM 2.1, 2.2 and 2.3'!O626</f>
        <v>-4.1697144586215908E-2</v>
      </c>
      <c r="E626" s="16">
        <v>44497</v>
      </c>
      <c r="F626" s="17">
        <v>3.5900000000000001E-2</v>
      </c>
      <c r="G626" s="41">
        <f t="shared" si="65"/>
        <v>9.663648840718686E-5</v>
      </c>
      <c r="L626" s="40">
        <f t="shared" si="63"/>
        <v>-1.8996521280900281E-2</v>
      </c>
      <c r="M626" s="40">
        <f t="shared" si="64"/>
        <v>-4.169221246058287E-2</v>
      </c>
      <c r="O626" s="40">
        <f t="shared" si="66"/>
        <v>-1.8996521280900281E-2</v>
      </c>
      <c r="P626" s="207">
        <f t="shared" si="67"/>
        <v>9.663648840718686E-5</v>
      </c>
      <c r="Q626" s="208">
        <f t="shared" si="68"/>
        <v>1.0021992959873915</v>
      </c>
      <c r="R626" s="40">
        <f t="shared" si="69"/>
        <v>-1.9051258413124723E-2</v>
      </c>
      <c r="S626" s="209">
        <v>0</v>
      </c>
    </row>
    <row r="627" spans="1:19" x14ac:dyDescent="0.45">
      <c r="A627" s="16">
        <v>44498</v>
      </c>
      <c r="B627" s="42">
        <f>'Part 2 - CAPM 2.1, 2.2 and 2.3'!N627</f>
        <v>-6.9395715447075736E-3</v>
      </c>
      <c r="C627" s="42">
        <f>'Part 2 - CAPM 2.1, 2.2 and 2.3'!O627</f>
        <v>-6.0608512001368462E-3</v>
      </c>
      <c r="E627" s="16">
        <v>44498</v>
      </c>
      <c r="F627" s="17">
        <v>3.5900000000000001E-2</v>
      </c>
      <c r="G627" s="41">
        <f t="shared" si="65"/>
        <v>9.663648840718686E-5</v>
      </c>
      <c r="L627" s="40">
        <f t="shared" si="63"/>
        <v>-6.8581972281528784E-3</v>
      </c>
      <c r="M627" s="40">
        <f t="shared" si="64"/>
        <v>-5.9775443174542977E-3</v>
      </c>
      <c r="O627" s="40">
        <f t="shared" si="66"/>
        <v>-6.8581972281528784E-3</v>
      </c>
      <c r="P627" s="207">
        <f t="shared" si="67"/>
        <v>9.663648840718686E-5</v>
      </c>
      <c r="Q627" s="208">
        <f t="shared" si="68"/>
        <v>1.0021992959873915</v>
      </c>
      <c r="R627" s="40">
        <f t="shared" si="69"/>
        <v>-6.9395715447075736E-3</v>
      </c>
      <c r="S627" s="209">
        <v>0</v>
      </c>
    </row>
    <row r="628" spans="1:19" x14ac:dyDescent="0.45">
      <c r="A628" s="16">
        <v>44501</v>
      </c>
      <c r="B628" s="42">
        <f>'Part 2 - CAPM 2.1, 2.2 and 2.3'!N628</f>
        <v>1.4206634541119166E-2</v>
      </c>
      <c r="C628" s="42">
        <f>'Part 2 - CAPM 2.1, 2.2 and 2.3'!O628</f>
        <v>2.0236167889034689E-2</v>
      </c>
      <c r="E628" s="16">
        <v>44501</v>
      </c>
      <c r="F628" s="17">
        <v>3.61E-2</v>
      </c>
      <c r="G628" s="41">
        <f t="shared" si="65"/>
        <v>9.7165444298719095E-5</v>
      </c>
      <c r="L628" s="40">
        <f t="shared" si="63"/>
        <v>1.4335044579758507E-2</v>
      </c>
      <c r="M628" s="40">
        <f t="shared" si="64"/>
        <v>2.0377838656171945E-2</v>
      </c>
      <c r="O628" s="40">
        <f t="shared" si="66"/>
        <v>1.4335044579758507E-2</v>
      </c>
      <c r="P628" s="207">
        <f t="shared" si="67"/>
        <v>9.7165444298719095E-5</v>
      </c>
      <c r="Q628" s="208">
        <f t="shared" si="68"/>
        <v>1.0021992959873915</v>
      </c>
      <c r="R628" s="40">
        <f t="shared" si="69"/>
        <v>1.4206634541119166E-2</v>
      </c>
      <c r="S628" s="209">
        <v>0</v>
      </c>
    </row>
    <row r="629" spans="1:19" x14ac:dyDescent="0.45">
      <c r="A629" s="16">
        <v>44502</v>
      </c>
      <c r="B629" s="42">
        <f>'Part 2 - CAPM 2.1, 2.2 and 2.3'!N629</f>
        <v>6.8374250005089944E-4</v>
      </c>
      <c r="C629" s="42">
        <f>'Part 2 - CAPM 2.1, 2.2 and 2.3'!O629</f>
        <v>-3.0373810601106565E-3</v>
      </c>
      <c r="E629" s="16">
        <v>44502</v>
      </c>
      <c r="F629" s="17">
        <v>3.61E-2</v>
      </c>
      <c r="G629" s="41">
        <f t="shared" si="65"/>
        <v>9.7165444298719095E-5</v>
      </c>
      <c r="L629" s="40">
        <f t="shared" si="63"/>
        <v>7.824116964863895E-4</v>
      </c>
      <c r="M629" s="40">
        <f t="shared" si="64"/>
        <v>-2.9468957157896178E-3</v>
      </c>
      <c r="O629" s="40">
        <f t="shared" si="66"/>
        <v>7.824116964863895E-4</v>
      </c>
      <c r="P629" s="207">
        <f t="shared" si="67"/>
        <v>9.7165444298719095E-5</v>
      </c>
      <c r="Q629" s="208">
        <f t="shared" si="68"/>
        <v>1.0021992959873915</v>
      </c>
      <c r="R629" s="40">
        <f t="shared" si="69"/>
        <v>6.8374250005089944E-4</v>
      </c>
      <c r="S629" s="209">
        <v>0</v>
      </c>
    </row>
    <row r="630" spans="1:19" x14ac:dyDescent="0.45">
      <c r="A630" s="16">
        <v>44503</v>
      </c>
      <c r="B630" s="42">
        <f>'Part 2 - CAPM 2.1, 2.2 and 2.3'!N630</f>
        <v>-2.1817245409681664E-3</v>
      </c>
      <c r="C630" s="42">
        <f>'Part 2 - CAPM 2.1, 2.2 and 2.3'!O630</f>
        <v>-4.0305996697814787E-3</v>
      </c>
      <c r="E630" s="16">
        <v>44503</v>
      </c>
      <c r="F630" s="17">
        <v>3.6699999999999997E-2</v>
      </c>
      <c r="G630" s="41">
        <f t="shared" si="65"/>
        <v>9.8751701236299283E-5</v>
      </c>
      <c r="L630" s="40">
        <f t="shared" si="63"/>
        <v>-2.0877710977604122E-3</v>
      </c>
      <c r="M630" s="40">
        <f t="shared" si="64"/>
        <v>-3.9407124502257116E-3</v>
      </c>
      <c r="O630" s="40">
        <f t="shared" si="66"/>
        <v>-2.0877710977604122E-3</v>
      </c>
      <c r="P630" s="207">
        <f t="shared" si="67"/>
        <v>9.8751701236299283E-5</v>
      </c>
      <c r="Q630" s="208">
        <f t="shared" si="68"/>
        <v>1.0021992959873915</v>
      </c>
      <c r="R630" s="40">
        <f t="shared" si="69"/>
        <v>-2.1817245409681664E-3</v>
      </c>
      <c r="S630" s="209">
        <v>0</v>
      </c>
    </row>
    <row r="631" spans="1:19" x14ac:dyDescent="0.45">
      <c r="A631" s="16">
        <v>44508</v>
      </c>
      <c r="B631" s="42">
        <f>'Part 2 - CAPM 2.1, 2.2 and 2.3'!N631</f>
        <v>1.5436159229295478E-2</v>
      </c>
      <c r="C631" s="42">
        <f>'Part 2 - CAPM 2.1, 2.2 and 2.3'!O631</f>
        <v>2.0954937280572711E-2</v>
      </c>
      <c r="E631" s="16">
        <v>44508</v>
      </c>
      <c r="F631" s="17">
        <v>3.6299999999999999E-2</v>
      </c>
      <c r="G631" s="41">
        <f t="shared" si="65"/>
        <v>9.7694298374584321E-5</v>
      </c>
      <c r="L631" s="40">
        <f t="shared" si="63"/>
        <v>1.5567802210723789E-2</v>
      </c>
      <c r="M631" s="40">
        <f t="shared" si="64"/>
        <v>2.1098717688424501E-2</v>
      </c>
      <c r="O631" s="40">
        <f t="shared" si="66"/>
        <v>1.5567802210723789E-2</v>
      </c>
      <c r="P631" s="207">
        <f t="shared" si="67"/>
        <v>9.7694298374584321E-5</v>
      </c>
      <c r="Q631" s="208">
        <f t="shared" si="68"/>
        <v>1.0021992959873915</v>
      </c>
      <c r="R631" s="40">
        <f t="shared" si="69"/>
        <v>1.5436159229295478E-2</v>
      </c>
      <c r="S631" s="209">
        <v>0</v>
      </c>
    </row>
    <row r="632" spans="1:19" x14ac:dyDescent="0.45">
      <c r="A632" s="16">
        <v>44509</v>
      </c>
      <c r="B632" s="42">
        <f>'Part 2 - CAPM 2.1, 2.2 and 2.3'!N632</f>
        <v>1.3090473286036495E-3</v>
      </c>
      <c r="C632" s="42">
        <f>'Part 2 - CAPM 2.1, 2.2 and 2.3'!O632</f>
        <v>8.6028753372274346E-3</v>
      </c>
      <c r="E632" s="16">
        <v>44509</v>
      </c>
      <c r="F632" s="17">
        <v>3.5499999999999997E-2</v>
      </c>
      <c r="G632" s="41">
        <f t="shared" si="65"/>
        <v>9.557827102013583E-5</v>
      </c>
      <c r="L632" s="40">
        <f t="shared" si="63"/>
        <v>1.4075045821608889E-3</v>
      </c>
      <c r="M632" s="40">
        <f t="shared" si="64"/>
        <v>8.717373877456764E-3</v>
      </c>
      <c r="O632" s="40">
        <f t="shared" si="66"/>
        <v>1.4075045821608889E-3</v>
      </c>
      <c r="P632" s="207">
        <f t="shared" si="67"/>
        <v>9.557827102013583E-5</v>
      </c>
      <c r="Q632" s="208">
        <f t="shared" si="68"/>
        <v>1.0021992959873915</v>
      </c>
      <c r="R632" s="40">
        <f t="shared" si="69"/>
        <v>1.3090473286036495E-3</v>
      </c>
      <c r="S632" s="209">
        <v>0</v>
      </c>
    </row>
    <row r="633" spans="1:19" x14ac:dyDescent="0.45">
      <c r="A633" s="16">
        <v>44510</v>
      </c>
      <c r="B633" s="42">
        <f>'Part 2 - CAPM 2.1, 2.2 and 2.3'!N633</f>
        <v>-1.4365795123752057E-3</v>
      </c>
      <c r="C633" s="42">
        <f>'Part 2 - CAPM 2.1, 2.2 and 2.3'!O633</f>
        <v>8.2090072026266975E-3</v>
      </c>
      <c r="E633" s="16">
        <v>44510</v>
      </c>
      <c r="F633" s="17">
        <v>3.5299999999999998E-2</v>
      </c>
      <c r="G633" s="41">
        <f t="shared" si="65"/>
        <v>9.5049009446013244E-5</v>
      </c>
      <c r="L633" s="40">
        <f t="shared" si="63"/>
        <v>-1.3446899664863283E-3</v>
      </c>
      <c r="M633" s="40">
        <f t="shared" si="64"/>
        <v>8.3221102486739154E-3</v>
      </c>
      <c r="O633" s="40">
        <f t="shared" si="66"/>
        <v>-1.3446899664863283E-3</v>
      </c>
      <c r="P633" s="207">
        <f t="shared" si="67"/>
        <v>9.5049009446013244E-5</v>
      </c>
      <c r="Q633" s="208">
        <f t="shared" si="68"/>
        <v>1.0021992959873915</v>
      </c>
      <c r="R633" s="40">
        <f t="shared" si="69"/>
        <v>-1.4365795123752057E-3</v>
      </c>
      <c r="S633" s="209">
        <v>0</v>
      </c>
    </row>
    <row r="634" spans="1:19" x14ac:dyDescent="0.45">
      <c r="A634" s="16">
        <v>44511</v>
      </c>
      <c r="B634" s="42">
        <f>'Part 2 - CAPM 2.1, 2.2 and 2.3'!N634</f>
        <v>-7.1832339874124624E-3</v>
      </c>
      <c r="C634" s="42">
        <f>'Part 2 - CAPM 2.1, 2.2 and 2.3'!O634</f>
        <v>-2.670364623332137E-2</v>
      </c>
      <c r="E634" s="16">
        <v>44511</v>
      </c>
      <c r="F634" s="17">
        <v>3.5699999999999996E-2</v>
      </c>
      <c r="G634" s="41">
        <f t="shared" si="65"/>
        <v>9.6107430660685722E-5</v>
      </c>
      <c r="L634" s="40">
        <f t="shared" si="63"/>
        <v>-7.1029246144367871E-3</v>
      </c>
      <c r="M634" s="40">
        <f t="shared" si="64"/>
        <v>-2.6666268024670352E-2</v>
      </c>
      <c r="O634" s="40">
        <f t="shared" si="66"/>
        <v>-7.1029246144367871E-3</v>
      </c>
      <c r="P634" s="207">
        <f t="shared" si="67"/>
        <v>9.6107430660685722E-5</v>
      </c>
      <c r="Q634" s="208">
        <f t="shared" si="68"/>
        <v>1.0021992959873915</v>
      </c>
      <c r="R634" s="40">
        <f t="shared" si="69"/>
        <v>-7.1832339874124624E-3</v>
      </c>
      <c r="S634" s="209">
        <v>0</v>
      </c>
    </row>
    <row r="635" spans="1:19" x14ac:dyDescent="0.45">
      <c r="A635" s="16">
        <v>44512</v>
      </c>
      <c r="B635" s="42">
        <f>'Part 2 - CAPM 2.1, 2.2 and 2.3'!N635</f>
        <v>1.0799695687558071E-2</v>
      </c>
      <c r="C635" s="42">
        <f>'Part 2 - CAPM 2.1, 2.2 and 2.3'!O635</f>
        <v>7.3894937826138995E-3</v>
      </c>
      <c r="E635" s="16">
        <v>44512</v>
      </c>
      <c r="F635" s="17">
        <v>3.5299999999999998E-2</v>
      </c>
      <c r="G635" s="41">
        <f t="shared" si="65"/>
        <v>9.5049009446013244E-5</v>
      </c>
      <c r="L635" s="40">
        <f t="shared" si="63"/>
        <v>1.0918496424394781E-2</v>
      </c>
      <c r="M635" s="40">
        <f t="shared" si="64"/>
        <v>7.5007944760848702E-3</v>
      </c>
      <c r="O635" s="40">
        <f t="shared" si="66"/>
        <v>1.0918496424394781E-2</v>
      </c>
      <c r="P635" s="207">
        <f t="shared" si="67"/>
        <v>9.5049009446013244E-5</v>
      </c>
      <c r="Q635" s="208">
        <f t="shared" si="68"/>
        <v>1.0021992959873915</v>
      </c>
      <c r="R635" s="40">
        <f t="shared" si="69"/>
        <v>1.0799695687558071E-2</v>
      </c>
      <c r="S635" s="209">
        <v>0</v>
      </c>
    </row>
    <row r="636" spans="1:19" x14ac:dyDescent="0.45">
      <c r="A636" s="16">
        <v>44515</v>
      </c>
      <c r="B636" s="42">
        <f>'Part 2 - CAPM 2.1, 2.2 and 2.3'!N636</f>
        <v>7.773917527298073E-4</v>
      </c>
      <c r="C636" s="42">
        <f>'Part 2 - CAPM 2.1, 2.2 and 2.3'!O636</f>
        <v>2.3483233098488758E-2</v>
      </c>
      <c r="E636" s="16">
        <v>44515</v>
      </c>
      <c r="F636" s="17">
        <v>3.5499999999999997E-2</v>
      </c>
      <c r="G636" s="41">
        <f t="shared" si="65"/>
        <v>9.557827102013583E-5</v>
      </c>
      <c r="L636" s="40">
        <f t="shared" si="63"/>
        <v>8.7467973831235305E-4</v>
      </c>
      <c r="M636" s="40">
        <f t="shared" si="64"/>
        <v>2.3630457949833379E-2</v>
      </c>
      <c r="O636" s="40">
        <f t="shared" si="66"/>
        <v>8.7467973831235305E-4</v>
      </c>
      <c r="P636" s="207">
        <f t="shared" si="67"/>
        <v>9.557827102013583E-5</v>
      </c>
      <c r="Q636" s="208">
        <f t="shared" si="68"/>
        <v>1.0021992959873915</v>
      </c>
      <c r="R636" s="40">
        <f t="shared" si="69"/>
        <v>7.773917527298073E-4</v>
      </c>
      <c r="S636" s="209">
        <v>0</v>
      </c>
    </row>
    <row r="637" spans="1:19" x14ac:dyDescent="0.45">
      <c r="A637" s="16">
        <v>44516</v>
      </c>
      <c r="B637" s="42">
        <f>'Part 2 - CAPM 2.1, 2.2 and 2.3'!N637</f>
        <v>-4.4053149409790087E-3</v>
      </c>
      <c r="C637" s="42">
        <f>'Part 2 - CAPM 2.1, 2.2 and 2.3'!O637</f>
        <v>-5.4600465575458182E-3</v>
      </c>
      <c r="E637" s="16">
        <v>44516</v>
      </c>
      <c r="F637" s="17">
        <v>3.5499999999999997E-2</v>
      </c>
      <c r="G637" s="41">
        <f t="shared" si="65"/>
        <v>9.557827102013583E-5</v>
      </c>
      <c r="L637" s="40">
        <f t="shared" si="63"/>
        <v>-4.3194252614317643E-3</v>
      </c>
      <c r="M637" s="40">
        <f t="shared" si="64"/>
        <v>-5.376476545010664E-3</v>
      </c>
      <c r="O637" s="40">
        <f t="shared" si="66"/>
        <v>-4.3194252614317643E-3</v>
      </c>
      <c r="P637" s="207">
        <f t="shared" si="67"/>
        <v>9.557827102013583E-5</v>
      </c>
      <c r="Q637" s="208">
        <f t="shared" si="68"/>
        <v>1.0021992959873915</v>
      </c>
      <c r="R637" s="40">
        <f t="shared" si="69"/>
        <v>-4.4053149409790087E-3</v>
      </c>
      <c r="S637" s="209">
        <v>0</v>
      </c>
    </row>
    <row r="638" spans="1:19" x14ac:dyDescent="0.45">
      <c r="A638" s="16">
        <v>44517</v>
      </c>
      <c r="B638" s="42">
        <f>'Part 2 - CAPM 2.1, 2.2 and 2.3'!N638</f>
        <v>-4.6335681395790361E-3</v>
      </c>
      <c r="C638" s="42">
        <f>'Part 2 - CAPM 2.1, 2.2 and 2.3'!O638</f>
        <v>-9.5842863579775894E-5</v>
      </c>
      <c r="E638" s="16">
        <v>44517</v>
      </c>
      <c r="F638" s="17">
        <v>3.56E-2</v>
      </c>
      <c r="G638" s="41">
        <f t="shared" si="65"/>
        <v>9.5842863579775894E-5</v>
      </c>
      <c r="L638" s="40">
        <f t="shared" si="63"/>
        <v>-4.547915863815942E-3</v>
      </c>
      <c r="M638" s="40">
        <f t="shared" si="64"/>
        <v>-2.10786825291119E-7</v>
      </c>
      <c r="O638" s="40">
        <f t="shared" si="66"/>
        <v>-4.547915863815942E-3</v>
      </c>
      <c r="P638" s="207">
        <f t="shared" si="67"/>
        <v>9.5842863579775894E-5</v>
      </c>
      <c r="Q638" s="208">
        <f t="shared" si="68"/>
        <v>1.0021992959873915</v>
      </c>
      <c r="R638" s="40">
        <f t="shared" si="69"/>
        <v>-4.6335681395790361E-3</v>
      </c>
      <c r="S638" s="209">
        <v>0</v>
      </c>
    </row>
    <row r="639" spans="1:19" x14ac:dyDescent="0.45">
      <c r="A639" s="16">
        <v>44518</v>
      </c>
      <c r="B639" s="42">
        <f>'Part 2 - CAPM 2.1, 2.2 and 2.3'!N639</f>
        <v>-9.9562319995265824E-3</v>
      </c>
      <c r="C639" s="42">
        <f>'Part 2 - CAPM 2.1, 2.2 and 2.3'!O639</f>
        <v>-2.0082623297647411E-2</v>
      </c>
      <c r="E639" s="16">
        <v>44518</v>
      </c>
      <c r="F639" s="17">
        <v>3.5400000000000001E-2</v>
      </c>
      <c r="G639" s="41">
        <f t="shared" si="65"/>
        <v>9.5313652977324637E-5</v>
      </c>
      <c r="L639" s="40">
        <f t="shared" si="63"/>
        <v>-9.8828150476353554E-3</v>
      </c>
      <c r="M639" s="40">
        <f t="shared" si="64"/>
        <v>-2.00314772775049E-2</v>
      </c>
      <c r="O639" s="40">
        <f t="shared" si="66"/>
        <v>-9.8828150476353554E-3</v>
      </c>
      <c r="P639" s="207">
        <f t="shared" si="67"/>
        <v>9.5313652977324637E-5</v>
      </c>
      <c r="Q639" s="208">
        <f t="shared" si="68"/>
        <v>1.0021992959873915</v>
      </c>
      <c r="R639" s="40">
        <f t="shared" si="69"/>
        <v>-9.9562319995265824E-3</v>
      </c>
      <c r="S639" s="209">
        <v>0</v>
      </c>
    </row>
    <row r="640" spans="1:19" x14ac:dyDescent="0.45">
      <c r="A640" s="16">
        <v>44522</v>
      </c>
      <c r="B640" s="42">
        <f>'Part 2 - CAPM 2.1, 2.2 and 2.3'!N640</f>
        <v>-2.1389150301117574E-2</v>
      </c>
      <c r="C640" s="42">
        <f>'Part 2 - CAPM 2.1, 2.2 and 2.3'!O640</f>
        <v>-4.2503860108140702E-2</v>
      </c>
      <c r="E640" s="16">
        <v>44522</v>
      </c>
      <c r="F640" s="17">
        <v>3.5400000000000001E-2</v>
      </c>
      <c r="G640" s="41">
        <f t="shared" si="65"/>
        <v>9.5313652977324637E-5</v>
      </c>
      <c r="L640" s="40">
        <f t="shared" si="63"/>
        <v>-2.1340877720571211E-2</v>
      </c>
      <c r="M640" s="40">
        <f t="shared" si="64"/>
        <v>-4.2502025024147863E-2</v>
      </c>
      <c r="O640" s="40">
        <f t="shared" si="66"/>
        <v>-2.1340877720571211E-2</v>
      </c>
      <c r="P640" s="207">
        <f t="shared" si="67"/>
        <v>9.5313652977324637E-5</v>
      </c>
      <c r="Q640" s="208">
        <f t="shared" si="68"/>
        <v>1.0021992959873915</v>
      </c>
      <c r="R640" s="40">
        <f t="shared" si="69"/>
        <v>-2.1389150301117574E-2</v>
      </c>
      <c r="S640" s="209">
        <v>0</v>
      </c>
    </row>
    <row r="641" spans="1:19" x14ac:dyDescent="0.45">
      <c r="A641" s="16">
        <v>44523</v>
      </c>
      <c r="B641" s="42">
        <f>'Part 2 - CAPM 2.1, 2.2 and 2.3'!N641</f>
        <v>8.6585482449557261E-3</v>
      </c>
      <c r="C641" s="42">
        <f>'Part 2 - CAPM 2.1, 2.2 and 2.3'!O641</f>
        <v>-7.1944404901763126E-3</v>
      </c>
      <c r="E641" s="16">
        <v>44523</v>
      </c>
      <c r="F641" s="17">
        <v>3.5299999999999998E-2</v>
      </c>
      <c r="G641" s="41">
        <f t="shared" si="65"/>
        <v>9.5049009446013244E-5</v>
      </c>
      <c r="L641" s="40">
        <f t="shared" si="63"/>
        <v>8.7726399648135073E-3</v>
      </c>
      <c r="M641" s="40">
        <f t="shared" si="64"/>
        <v>-7.1152141848318711E-3</v>
      </c>
      <c r="O641" s="40">
        <f t="shared" si="66"/>
        <v>8.7726399648135073E-3</v>
      </c>
      <c r="P641" s="207">
        <f t="shared" si="67"/>
        <v>9.5049009446013244E-5</v>
      </c>
      <c r="Q641" s="208">
        <f t="shared" si="68"/>
        <v>1.0021992959873915</v>
      </c>
      <c r="R641" s="40">
        <f t="shared" si="69"/>
        <v>8.6585482449557261E-3</v>
      </c>
      <c r="S641" s="209">
        <v>0</v>
      </c>
    </row>
    <row r="642" spans="1:19" x14ac:dyDescent="0.45">
      <c r="A642" s="16">
        <v>44524</v>
      </c>
      <c r="B642" s="42">
        <f>'Part 2 - CAPM 2.1, 2.2 and 2.3'!N642</f>
        <v>-4.1530849894039689E-3</v>
      </c>
      <c r="C642" s="42">
        <f>'Part 2 - CAPM 2.1, 2.2 and 2.3'!O642</f>
        <v>4.1443407088189908E-2</v>
      </c>
      <c r="E642" s="16">
        <v>44524</v>
      </c>
      <c r="F642" s="17">
        <v>3.5499999999999997E-2</v>
      </c>
      <c r="G642" s="41">
        <f t="shared" si="65"/>
        <v>9.557827102013583E-5</v>
      </c>
      <c r="L642" s="40">
        <f t="shared" si="63"/>
        <v>-4.066640581536325E-3</v>
      </c>
      <c r="M642" s="40">
        <f t="shared" si="64"/>
        <v>4.1630131678122934E-2</v>
      </c>
      <c r="O642" s="40">
        <f t="shared" si="66"/>
        <v>-4.066640581536325E-3</v>
      </c>
      <c r="P642" s="207">
        <f t="shared" si="67"/>
        <v>9.557827102013583E-5</v>
      </c>
      <c r="Q642" s="208">
        <f t="shared" si="68"/>
        <v>1.0021992959873915</v>
      </c>
      <c r="R642" s="40">
        <f t="shared" si="69"/>
        <v>-4.1530849894039689E-3</v>
      </c>
      <c r="S642" s="209">
        <v>0</v>
      </c>
    </row>
    <row r="643" spans="1:19" x14ac:dyDescent="0.45">
      <c r="A643" s="16">
        <v>44525</v>
      </c>
      <c r="B643" s="42">
        <f>'Part 2 - CAPM 2.1, 2.2 and 2.3'!N643</f>
        <v>6.8229742162692914E-3</v>
      </c>
      <c r="C643" s="42">
        <f>'Part 2 - CAPM 2.1, 2.2 and 2.3'!O643</f>
        <v>1.4288207279813583E-2</v>
      </c>
      <c r="E643" s="16">
        <v>44525</v>
      </c>
      <c r="F643" s="17">
        <v>3.5499999999999997E-2</v>
      </c>
      <c r="G643" s="41">
        <f t="shared" si="65"/>
        <v>9.557827102013583E-5</v>
      </c>
      <c r="L643" s="40">
        <f t="shared" ref="L643:L706" si="70">G643+($J$1*(B643))</f>
        <v>6.9335582271053443E-3</v>
      </c>
      <c r="M643" s="40">
        <f t="shared" ref="M643:M706" si="71">G643+($J$1*(C643))</f>
        <v>1.4415209547771231E-2</v>
      </c>
      <c r="O643" s="40">
        <f t="shared" si="66"/>
        <v>6.9335582271053443E-3</v>
      </c>
      <c r="P643" s="207">
        <f t="shared" si="67"/>
        <v>9.557827102013583E-5</v>
      </c>
      <c r="Q643" s="208">
        <f t="shared" si="68"/>
        <v>1.0021992959873915</v>
      </c>
      <c r="R643" s="40">
        <f t="shared" si="69"/>
        <v>6.8229742162692914E-3</v>
      </c>
      <c r="S643" s="209">
        <v>0</v>
      </c>
    </row>
    <row r="644" spans="1:19" x14ac:dyDescent="0.45">
      <c r="A644" s="16">
        <v>44526</v>
      </c>
      <c r="B644" s="42">
        <f>'Part 2 - CAPM 2.1, 2.2 and 2.3'!N644</f>
        <v>-2.9361481329504963E-2</v>
      </c>
      <c r="C644" s="42">
        <f>'Part 2 - CAPM 2.1, 2.2 and 2.3'!O644</f>
        <v>-4.7791091932062116E-2</v>
      </c>
      <c r="E644" s="16">
        <v>44526</v>
      </c>
      <c r="F644" s="17">
        <v>3.5400000000000001E-2</v>
      </c>
      <c r="G644" s="41">
        <f t="shared" ref="G644:G707" si="72">((1+F644)^(1/365))-1</f>
        <v>9.5313652977324637E-5</v>
      </c>
      <c r="L644" s="40">
        <f t="shared" si="70"/>
        <v>-2.9330742264599492E-2</v>
      </c>
      <c r="M644" s="40">
        <f t="shared" si="71"/>
        <v>-4.7800885035804035E-2</v>
      </c>
      <c r="O644" s="40">
        <f t="shared" ref="O644:O707" si="73">P644+(Q644*(R644))+S644</f>
        <v>-2.9330742264599492E-2</v>
      </c>
      <c r="P644" s="207">
        <f t="shared" ref="P644:P707" si="74">G644</f>
        <v>9.5313652977324637E-5</v>
      </c>
      <c r="Q644" s="208">
        <f t="shared" ref="Q644:Q707" si="75">$J$1</f>
        <v>1.0021992959873915</v>
      </c>
      <c r="R644" s="40">
        <f t="shared" ref="R644:R707" si="76">B644</f>
        <v>-2.9361481329504963E-2</v>
      </c>
      <c r="S644" s="209">
        <v>0</v>
      </c>
    </row>
    <row r="645" spans="1:19" x14ac:dyDescent="0.45">
      <c r="A645" s="16">
        <v>44529</v>
      </c>
      <c r="B645" s="42">
        <f>'Part 2 - CAPM 2.1, 2.2 and 2.3'!N645</f>
        <v>-3.5460044710800224E-3</v>
      </c>
      <c r="C645" s="42">
        <f>'Part 2 - CAPM 2.1, 2.2 and 2.3'!O645</f>
        <v>-2.276874850915326E-2</v>
      </c>
      <c r="E645" s="16">
        <v>44529</v>
      </c>
      <c r="F645" s="17">
        <v>3.5400000000000001E-2</v>
      </c>
      <c r="G645" s="41">
        <f t="shared" si="72"/>
        <v>9.5313652977324637E-5</v>
      </c>
      <c r="L645" s="40">
        <f t="shared" si="70"/>
        <v>-3.4584895315072166E-3</v>
      </c>
      <c r="M645" s="40">
        <f t="shared" si="71"/>
        <v>-2.2723510073410044E-2</v>
      </c>
      <c r="O645" s="40">
        <f t="shared" si="73"/>
        <v>-3.4584895315072166E-3</v>
      </c>
      <c r="P645" s="207">
        <f t="shared" si="74"/>
        <v>9.5313652977324637E-5</v>
      </c>
      <c r="Q645" s="208">
        <f t="shared" si="75"/>
        <v>1.0021992959873915</v>
      </c>
      <c r="R645" s="40">
        <f t="shared" si="76"/>
        <v>-3.5460044710800224E-3</v>
      </c>
      <c r="S645" s="209">
        <v>0</v>
      </c>
    </row>
    <row r="646" spans="1:19" x14ac:dyDescent="0.45">
      <c r="A646" s="16">
        <v>44530</v>
      </c>
      <c r="B646" s="42">
        <f>'Part 2 - CAPM 2.1, 2.2 and 2.3'!N646</f>
        <v>-6.4823597462505811E-4</v>
      </c>
      <c r="C646" s="42">
        <f>'Part 2 - CAPM 2.1, 2.2 and 2.3'!O646</f>
        <v>-1.3945993783485509E-2</v>
      </c>
      <c r="E646" s="16">
        <v>44530</v>
      </c>
      <c r="F646" s="17">
        <v>3.5499999999999997E-2</v>
      </c>
      <c r="G646" s="41">
        <f t="shared" si="72"/>
        <v>9.557827102013583E-5</v>
      </c>
      <c r="L646" s="40">
        <f t="shared" si="70"/>
        <v>-5.5408336638279804E-4</v>
      </c>
      <c r="M646" s="40">
        <f t="shared" si="71"/>
        <v>-1.3881086880633581E-2</v>
      </c>
      <c r="O646" s="40">
        <f t="shared" si="73"/>
        <v>-5.5408336638279804E-4</v>
      </c>
      <c r="P646" s="207">
        <f t="shared" si="74"/>
        <v>9.557827102013583E-5</v>
      </c>
      <c r="Q646" s="208">
        <f t="shared" si="75"/>
        <v>1.0021992959873915</v>
      </c>
      <c r="R646" s="40">
        <f t="shared" si="76"/>
        <v>-6.4823597462505811E-4</v>
      </c>
      <c r="S646" s="209">
        <v>0</v>
      </c>
    </row>
    <row r="647" spans="1:19" x14ac:dyDescent="0.45">
      <c r="A647" s="16">
        <v>44531</v>
      </c>
      <c r="B647" s="42">
        <f>'Part 2 - CAPM 2.1, 2.2 and 2.3'!N647</f>
        <v>9.2131665916285344E-3</v>
      </c>
      <c r="C647" s="42">
        <f>'Part 2 - CAPM 2.1, 2.2 and 2.3'!O647</f>
        <v>-7.9729620045720928E-4</v>
      </c>
      <c r="E647" s="16">
        <v>44531</v>
      </c>
      <c r="F647" s="17">
        <v>3.5299999999999998E-2</v>
      </c>
      <c r="G647" s="41">
        <f t="shared" si="72"/>
        <v>9.5049009446013244E-5</v>
      </c>
      <c r="L647" s="40">
        <f t="shared" si="70"/>
        <v>9.328478081390687E-3</v>
      </c>
      <c r="M647" s="40">
        <f t="shared" si="71"/>
        <v>-7.0400068134562411E-4</v>
      </c>
      <c r="O647" s="40">
        <f t="shared" si="73"/>
        <v>9.328478081390687E-3</v>
      </c>
      <c r="P647" s="207">
        <f t="shared" si="74"/>
        <v>9.5049009446013244E-5</v>
      </c>
      <c r="Q647" s="208">
        <f t="shared" si="75"/>
        <v>1.0021992959873915</v>
      </c>
      <c r="R647" s="40">
        <f t="shared" si="76"/>
        <v>9.2131665916285344E-3</v>
      </c>
      <c r="S647" s="209">
        <v>0</v>
      </c>
    </row>
    <row r="648" spans="1:19" x14ac:dyDescent="0.45">
      <c r="A648" s="16">
        <v>44532</v>
      </c>
      <c r="B648" s="42">
        <f>'Part 2 - CAPM 2.1, 2.2 and 2.3'!N648</f>
        <v>1.2705081349964906E-2</v>
      </c>
      <c r="C648" s="42">
        <f>'Part 2 - CAPM 2.1, 2.2 and 2.3'!O648</f>
        <v>1.1851278054682468E-2</v>
      </c>
      <c r="E648" s="16">
        <v>44532</v>
      </c>
      <c r="F648" s="17">
        <v>3.5400000000000001E-2</v>
      </c>
      <c r="G648" s="41">
        <f t="shared" si="72"/>
        <v>9.5313652977324637E-5</v>
      </c>
      <c r="L648" s="40">
        <f t="shared" si="70"/>
        <v>1.2828337237374692E-2</v>
      </c>
      <c r="M648" s="40">
        <f t="shared" si="71"/>
        <v>1.1972656175930917E-2</v>
      </c>
      <c r="O648" s="40">
        <f t="shared" si="73"/>
        <v>1.2828337237374692E-2</v>
      </c>
      <c r="P648" s="207">
        <f t="shared" si="74"/>
        <v>9.5313652977324637E-5</v>
      </c>
      <c r="Q648" s="208">
        <f t="shared" si="75"/>
        <v>1.0021992959873915</v>
      </c>
      <c r="R648" s="40">
        <f t="shared" si="76"/>
        <v>1.2705081349964906E-2</v>
      </c>
      <c r="S648" s="209">
        <v>0</v>
      </c>
    </row>
    <row r="649" spans="1:19" x14ac:dyDescent="0.45">
      <c r="A649" s="16">
        <v>44533</v>
      </c>
      <c r="B649" s="42">
        <f>'Part 2 - CAPM 2.1, 2.2 and 2.3'!N649</f>
        <v>-7.9525565566429309E-3</v>
      </c>
      <c r="C649" s="42">
        <f>'Part 2 - CAPM 2.1, 2.2 and 2.3'!O649</f>
        <v>1.2404421728979943E-2</v>
      </c>
      <c r="E649" s="16">
        <v>44533</v>
      </c>
      <c r="F649" s="17">
        <v>3.5499999999999997E-2</v>
      </c>
      <c r="G649" s="41">
        <f t="shared" si="72"/>
        <v>9.557827102013583E-5</v>
      </c>
      <c r="L649" s="40">
        <f t="shared" si="70"/>
        <v>-7.8744683113473237E-3</v>
      </c>
      <c r="M649" s="40">
        <f t="shared" si="71"/>
        <v>1.2527280994934538E-2</v>
      </c>
      <c r="O649" s="40">
        <f t="shared" si="73"/>
        <v>-7.8744683113473237E-3</v>
      </c>
      <c r="P649" s="207">
        <f t="shared" si="74"/>
        <v>9.557827102013583E-5</v>
      </c>
      <c r="Q649" s="208">
        <f t="shared" si="75"/>
        <v>1.0021992959873915</v>
      </c>
      <c r="R649" s="40">
        <f t="shared" si="76"/>
        <v>-7.9525565566429309E-3</v>
      </c>
      <c r="S649" s="209">
        <v>0</v>
      </c>
    </row>
    <row r="650" spans="1:19" x14ac:dyDescent="0.45">
      <c r="A650" s="16">
        <v>44536</v>
      </c>
      <c r="B650" s="42">
        <f>'Part 2 - CAPM 2.1, 2.2 and 2.3'!N650</f>
        <v>-1.6112616892106323E-2</v>
      </c>
      <c r="C650" s="42">
        <f>'Part 2 - CAPM 2.1, 2.2 and 2.3'!O650</f>
        <v>-1.5185006100891277E-2</v>
      </c>
      <c r="E650" s="16">
        <v>44536</v>
      </c>
      <c r="F650" s="17">
        <v>3.56E-2</v>
      </c>
      <c r="G650" s="41">
        <f t="shared" si="72"/>
        <v>9.5842863579775894E-5</v>
      </c>
      <c r="L650" s="40">
        <f t="shared" si="70"/>
        <v>-1.6052210442203733E-2</v>
      </c>
      <c r="M650" s="40">
        <f t="shared" si="71"/>
        <v>-1.5122559560297708E-2</v>
      </c>
      <c r="O650" s="40">
        <f t="shared" si="73"/>
        <v>-1.6052210442203733E-2</v>
      </c>
      <c r="P650" s="207">
        <f t="shared" si="74"/>
        <v>9.5842863579775894E-5</v>
      </c>
      <c r="Q650" s="208">
        <f t="shared" si="75"/>
        <v>1.0021992959873915</v>
      </c>
      <c r="R650" s="40">
        <f t="shared" si="76"/>
        <v>-1.6112616892106323E-2</v>
      </c>
      <c r="S650" s="209">
        <v>0</v>
      </c>
    </row>
    <row r="651" spans="1:19" x14ac:dyDescent="0.45">
      <c r="A651" s="16">
        <v>44537</v>
      </c>
      <c r="B651" s="42">
        <f>'Part 2 - CAPM 2.1, 2.2 and 2.3'!N651</f>
        <v>1.4690103051370435E-2</v>
      </c>
      <c r="C651" s="42">
        <f>'Part 2 - CAPM 2.1, 2.2 and 2.3'!O651</f>
        <v>1.7661552736470312E-2</v>
      </c>
      <c r="E651" s="16">
        <v>44537</v>
      </c>
      <c r="F651" s="17">
        <v>3.5699999999999996E-2</v>
      </c>
      <c r="G651" s="41">
        <f t="shared" si="72"/>
        <v>9.6107430660685722E-5</v>
      </c>
      <c r="L651" s="40">
        <f t="shared" si="70"/>
        <v>1.4818518366726369E-2</v>
      </c>
      <c r="M651" s="40">
        <f t="shared" si="71"/>
        <v>1.7796503149195422E-2</v>
      </c>
      <c r="O651" s="40">
        <f t="shared" si="73"/>
        <v>1.4818518366726369E-2</v>
      </c>
      <c r="P651" s="207">
        <f t="shared" si="74"/>
        <v>9.6107430660685722E-5</v>
      </c>
      <c r="Q651" s="208">
        <f t="shared" si="75"/>
        <v>1.0021992959873915</v>
      </c>
      <c r="R651" s="40">
        <f t="shared" si="76"/>
        <v>1.4690103051370435E-2</v>
      </c>
      <c r="S651" s="209">
        <v>0</v>
      </c>
    </row>
    <row r="652" spans="1:19" x14ac:dyDescent="0.45">
      <c r="A652" s="16">
        <v>44538</v>
      </c>
      <c r="B652" s="42">
        <f>'Part 2 - CAPM 2.1, 2.2 and 2.3'!N652</f>
        <v>1.599972013299478E-2</v>
      </c>
      <c r="C652" s="42">
        <f>'Part 2 - CAPM 2.1, 2.2 and 2.3'!O652</f>
        <v>1.5984850863851201E-2</v>
      </c>
      <c r="E652" s="16">
        <v>44538</v>
      </c>
      <c r="F652" s="17">
        <v>3.5099999999999999E-2</v>
      </c>
      <c r="G652" s="41">
        <f t="shared" si="72"/>
        <v>9.4519645899016069E-5</v>
      </c>
      <c r="L652" s="40">
        <f t="shared" si="70"/>
        <v>1.6129427899181679E-2</v>
      </c>
      <c r="M652" s="40">
        <f t="shared" si="71"/>
        <v>1.6114525928114139E-2</v>
      </c>
      <c r="O652" s="40">
        <f t="shared" si="73"/>
        <v>1.6129427899181679E-2</v>
      </c>
      <c r="P652" s="207">
        <f t="shared" si="74"/>
        <v>9.4519645899016069E-5</v>
      </c>
      <c r="Q652" s="208">
        <f t="shared" si="75"/>
        <v>1.0021992959873915</v>
      </c>
      <c r="R652" s="40">
        <f t="shared" si="76"/>
        <v>1.599972013299478E-2</v>
      </c>
      <c r="S652" s="209">
        <v>0</v>
      </c>
    </row>
    <row r="653" spans="1:19" x14ac:dyDescent="0.45">
      <c r="A653" s="16">
        <v>44539</v>
      </c>
      <c r="B653" s="42">
        <f>'Part 2 - CAPM 2.1, 2.2 and 2.3'!N653</f>
        <v>3.4445983408184304E-3</v>
      </c>
      <c r="C653" s="42">
        <f>'Part 2 - CAPM 2.1, 2.2 and 2.3'!O653</f>
        <v>-6.8287910744282724E-3</v>
      </c>
      <c r="E653" s="16">
        <v>44539</v>
      </c>
      <c r="F653" s="17">
        <v>3.5200000000000002E-2</v>
      </c>
      <c r="G653" s="41">
        <f t="shared" si="72"/>
        <v>9.4784340421538715E-5</v>
      </c>
      <c r="L653" s="40">
        <f t="shared" si="70"/>
        <v>3.5469583725491068E-3</v>
      </c>
      <c r="M653" s="40">
        <f t="shared" si="71"/>
        <v>-6.7490252668154591E-3</v>
      </c>
      <c r="O653" s="40">
        <f t="shared" si="73"/>
        <v>3.5469583725491068E-3</v>
      </c>
      <c r="P653" s="207">
        <f t="shared" si="74"/>
        <v>9.4784340421538715E-5</v>
      </c>
      <c r="Q653" s="208">
        <f t="shared" si="75"/>
        <v>1.0021992959873915</v>
      </c>
      <c r="R653" s="40">
        <f t="shared" si="76"/>
        <v>3.4445983408184304E-3</v>
      </c>
      <c r="S653" s="209">
        <v>0</v>
      </c>
    </row>
    <row r="654" spans="1:19" x14ac:dyDescent="0.45">
      <c r="A654" s="16">
        <v>44540</v>
      </c>
      <c r="B654" s="42">
        <f>'Part 2 - CAPM 2.1, 2.2 and 2.3'!N654</f>
        <v>1.7832324143086111E-3</v>
      </c>
      <c r="C654" s="42">
        <f>'Part 2 - CAPM 2.1, 2.2 and 2.3'!O654</f>
        <v>1.2616772775161931E-3</v>
      </c>
      <c r="E654" s="16">
        <v>44540</v>
      </c>
      <c r="F654" s="17">
        <v>3.5000000000000003E-2</v>
      </c>
      <c r="G654" s="41">
        <f t="shared" si="72"/>
        <v>9.4254925873560325E-5</v>
      </c>
      <c r="L654" s="40">
        <f t="shared" si="70"/>
        <v>1.881409196075547E-3</v>
      </c>
      <c r="M654" s="40">
        <f t="shared" si="71"/>
        <v>1.3587070051635779E-3</v>
      </c>
      <c r="O654" s="40">
        <f t="shared" si="73"/>
        <v>1.881409196075547E-3</v>
      </c>
      <c r="P654" s="207">
        <f t="shared" si="74"/>
        <v>9.4254925873560325E-5</v>
      </c>
      <c r="Q654" s="208">
        <f t="shared" si="75"/>
        <v>1.0021992959873915</v>
      </c>
      <c r="R654" s="40">
        <f t="shared" si="76"/>
        <v>1.7832324143086111E-3</v>
      </c>
      <c r="S654" s="209">
        <v>0</v>
      </c>
    </row>
    <row r="655" spans="1:19" x14ac:dyDescent="0.45">
      <c r="A655" s="16">
        <v>44543</v>
      </c>
      <c r="B655" s="42">
        <f>'Part 2 - CAPM 2.1, 2.2 and 2.3'!N655</f>
        <v>-6.0826423776707082E-3</v>
      </c>
      <c r="C655" s="42">
        <f>'Part 2 - CAPM 2.1, 2.2 and 2.3'!O655</f>
        <v>-1.0250240702094007E-2</v>
      </c>
      <c r="E655" s="16">
        <v>44543</v>
      </c>
      <c r="F655" s="17">
        <v>3.5099999999999999E-2</v>
      </c>
      <c r="G655" s="41">
        <f t="shared" si="72"/>
        <v>9.4519645899016069E-5</v>
      </c>
      <c r="L655" s="40">
        <f t="shared" si="70"/>
        <v>-6.0015002627456411E-3</v>
      </c>
      <c r="M655" s="40">
        <f t="shared" si="71"/>
        <v>-1.0178264369440904E-2</v>
      </c>
      <c r="O655" s="40">
        <f t="shared" si="73"/>
        <v>-6.0015002627456411E-3</v>
      </c>
      <c r="P655" s="207">
        <f t="shared" si="74"/>
        <v>9.4519645899016069E-5</v>
      </c>
      <c r="Q655" s="208">
        <f t="shared" si="75"/>
        <v>1.0021992959873915</v>
      </c>
      <c r="R655" s="40">
        <f t="shared" si="76"/>
        <v>-6.0826423776707082E-3</v>
      </c>
      <c r="S655" s="209">
        <v>0</v>
      </c>
    </row>
    <row r="656" spans="1:19" x14ac:dyDescent="0.45">
      <c r="A656" s="16">
        <v>44544</v>
      </c>
      <c r="B656" s="42">
        <f>'Part 2 - CAPM 2.1, 2.2 and 2.3'!N656</f>
        <v>-1.4888132499258286E-3</v>
      </c>
      <c r="C656" s="42">
        <f>'Part 2 - CAPM 2.1, 2.2 and 2.3'!O656</f>
        <v>9.3120745164416378E-4</v>
      </c>
      <c r="E656" s="16">
        <v>44544</v>
      </c>
      <c r="F656" s="17">
        <v>3.5200000000000002E-2</v>
      </c>
      <c r="G656" s="41">
        <f t="shared" si="72"/>
        <v>9.4784340421538715E-5</v>
      </c>
      <c r="L656" s="40">
        <f t="shared" si="70"/>
        <v>-1.3973032505108271E-3</v>
      </c>
      <c r="M656" s="40">
        <f t="shared" si="71"/>
        <v>1.0280397928775326E-3</v>
      </c>
      <c r="O656" s="40">
        <f t="shared" si="73"/>
        <v>-1.3973032505108271E-3</v>
      </c>
      <c r="P656" s="207">
        <f t="shared" si="74"/>
        <v>9.4784340421538715E-5</v>
      </c>
      <c r="Q656" s="208">
        <f t="shared" si="75"/>
        <v>1.0021992959873915</v>
      </c>
      <c r="R656" s="40">
        <f t="shared" si="76"/>
        <v>-1.4888132499258286E-3</v>
      </c>
      <c r="S656" s="209">
        <v>0</v>
      </c>
    </row>
    <row r="657" spans="1:19" x14ac:dyDescent="0.45">
      <c r="A657" s="16">
        <v>44545</v>
      </c>
      <c r="B657" s="42">
        <f>'Part 2 - CAPM 2.1, 2.2 and 2.3'!N657</f>
        <v>-6.0877699972644462E-3</v>
      </c>
      <c r="C657" s="42">
        <f>'Part 2 - CAPM 2.1, 2.2 and 2.3'!O657</f>
        <v>-1.5127505449486933E-2</v>
      </c>
      <c r="E657" s="16">
        <v>44545</v>
      </c>
      <c r="F657" s="17">
        <v>3.5299999999999998E-2</v>
      </c>
      <c r="G657" s="41">
        <f t="shared" si="72"/>
        <v>9.5049009446013244E-5</v>
      </c>
      <c r="L657" s="40">
        <f t="shared" si="70"/>
        <v>-6.0061097959455793E-3</v>
      </c>
      <c r="M657" s="40">
        <f t="shared" si="71"/>
        <v>-1.5065726302075221E-2</v>
      </c>
      <c r="O657" s="40">
        <f t="shared" si="73"/>
        <v>-6.0061097959455793E-3</v>
      </c>
      <c r="P657" s="207">
        <f t="shared" si="74"/>
        <v>9.5049009446013244E-5</v>
      </c>
      <c r="Q657" s="208">
        <f t="shared" si="75"/>
        <v>1.0021992959873915</v>
      </c>
      <c r="R657" s="40">
        <f t="shared" si="76"/>
        <v>-6.0877699972644462E-3</v>
      </c>
      <c r="S657" s="209">
        <v>0</v>
      </c>
    </row>
    <row r="658" spans="1:19" x14ac:dyDescent="0.45">
      <c r="A658" s="16">
        <v>44546</v>
      </c>
      <c r="B658" s="42">
        <f>'Part 2 - CAPM 2.1, 2.2 and 2.3'!N658</f>
        <v>-1.2093243490242413E-3</v>
      </c>
      <c r="C658" s="42">
        <f>'Part 2 - CAPM 2.1, 2.2 and 2.3'!O658</f>
        <v>9.2694016733608706E-3</v>
      </c>
      <c r="E658" s="16">
        <v>44546</v>
      </c>
      <c r="F658" s="17">
        <v>3.56E-2</v>
      </c>
      <c r="G658" s="41">
        <f t="shared" si="72"/>
        <v>9.5842863579775894E-5</v>
      </c>
      <c r="L658" s="40">
        <f t="shared" si="70"/>
        <v>-1.1161411476327294E-3</v>
      </c>
      <c r="M658" s="40">
        <f t="shared" si="71"/>
        <v>9.3856306948463895E-3</v>
      </c>
      <c r="O658" s="40">
        <f t="shared" si="73"/>
        <v>-1.1161411476327294E-3</v>
      </c>
      <c r="P658" s="207">
        <f t="shared" si="74"/>
        <v>9.5842863579775894E-5</v>
      </c>
      <c r="Q658" s="208">
        <f t="shared" si="75"/>
        <v>1.0021992959873915</v>
      </c>
      <c r="R658" s="40">
        <f t="shared" si="76"/>
        <v>-1.2093243490242413E-3</v>
      </c>
      <c r="S658" s="209">
        <v>0</v>
      </c>
    </row>
    <row r="659" spans="1:19" x14ac:dyDescent="0.45">
      <c r="A659" s="16">
        <v>44547</v>
      </c>
      <c r="B659" s="42">
        <f>'Part 2 - CAPM 2.1, 2.2 and 2.3'!N659</f>
        <v>-1.7723860230490995E-2</v>
      </c>
      <c r="C659" s="42">
        <f>'Part 2 - CAPM 2.1, 2.2 and 2.3'!O659</f>
        <v>-3.9958385818906317E-2</v>
      </c>
      <c r="E659" s="16">
        <v>44547</v>
      </c>
      <c r="F659" s="17">
        <v>3.56E-2</v>
      </c>
      <c r="G659" s="41">
        <f t="shared" si="72"/>
        <v>9.5842863579775894E-5</v>
      </c>
      <c r="L659" s="40">
        <f t="shared" si="70"/>
        <v>-1.7666997381597226E-2</v>
      </c>
      <c r="M659" s="40">
        <f t="shared" si="71"/>
        <v>-3.9950423272920706E-2</v>
      </c>
      <c r="O659" s="40">
        <f t="shared" si="73"/>
        <v>-1.7666997381597226E-2</v>
      </c>
      <c r="P659" s="207">
        <f t="shared" si="74"/>
        <v>9.5842863579775894E-5</v>
      </c>
      <c r="Q659" s="208">
        <f t="shared" si="75"/>
        <v>1.0021992959873915</v>
      </c>
      <c r="R659" s="40">
        <f t="shared" si="76"/>
        <v>-1.7723860230490995E-2</v>
      </c>
      <c r="S659" s="209">
        <v>0</v>
      </c>
    </row>
    <row r="660" spans="1:19" x14ac:dyDescent="0.45">
      <c r="A660" s="16">
        <v>44550</v>
      </c>
      <c r="B660" s="42">
        <f>'Part 2 - CAPM 2.1, 2.2 and 2.3'!N660</f>
        <v>-2.5479998677940371E-2</v>
      </c>
      <c r="C660" s="42">
        <f>'Part 2 - CAPM 2.1, 2.2 and 2.3'!O660</f>
        <v>-3.8035340492324869E-2</v>
      </c>
      <c r="E660" s="16">
        <v>44550</v>
      </c>
      <c r="F660" s="17">
        <v>3.6000000000000004E-2</v>
      </c>
      <c r="G660" s="41">
        <f t="shared" si="72"/>
        <v>9.6900979082326089E-5</v>
      </c>
      <c r="L660" s="40">
        <f t="shared" si="70"/>
        <v>-2.5439135757709182E-2</v>
      </c>
      <c r="M660" s="40">
        <f t="shared" si="71"/>
        <v>-3.8022090484966381E-2</v>
      </c>
      <c r="O660" s="40">
        <f t="shared" si="73"/>
        <v>-2.5439135757709182E-2</v>
      </c>
      <c r="P660" s="207">
        <f t="shared" si="74"/>
        <v>9.6900979082326089E-5</v>
      </c>
      <c r="Q660" s="208">
        <f t="shared" si="75"/>
        <v>1.0021992959873915</v>
      </c>
      <c r="R660" s="40">
        <f t="shared" si="76"/>
        <v>-2.5479998677940371E-2</v>
      </c>
      <c r="S660" s="209">
        <v>0</v>
      </c>
    </row>
    <row r="661" spans="1:19" x14ac:dyDescent="0.45">
      <c r="A661" s="16">
        <v>44551</v>
      </c>
      <c r="B661" s="42">
        <f>'Part 2 - CAPM 2.1, 2.2 and 2.3'!N661</f>
        <v>1.1138460463203126E-2</v>
      </c>
      <c r="C661" s="42">
        <f>'Part 2 - CAPM 2.1, 2.2 and 2.3'!O661</f>
        <v>6.5976768701923143E-3</v>
      </c>
      <c r="E661" s="16">
        <v>44551</v>
      </c>
      <c r="F661" s="17">
        <v>3.6699999999999997E-2</v>
      </c>
      <c r="G661" s="41">
        <f t="shared" si="72"/>
        <v>9.8751701236299283E-5</v>
      </c>
      <c r="L661" s="40">
        <f t="shared" si="70"/>
        <v>1.1261708935841868E-2</v>
      </c>
      <c r="M661" s="40">
        <f t="shared" si="71"/>
        <v>6.7109388156953338E-3</v>
      </c>
      <c r="O661" s="40">
        <f t="shared" si="73"/>
        <v>1.1261708935841868E-2</v>
      </c>
      <c r="P661" s="207">
        <f t="shared" si="74"/>
        <v>9.8751701236299283E-5</v>
      </c>
      <c r="Q661" s="208">
        <f t="shared" si="75"/>
        <v>1.0021992959873915</v>
      </c>
      <c r="R661" s="40">
        <f t="shared" si="76"/>
        <v>1.1138460463203126E-2</v>
      </c>
      <c r="S661" s="209">
        <v>0</v>
      </c>
    </row>
    <row r="662" spans="1:19" x14ac:dyDescent="0.45">
      <c r="A662" s="16">
        <v>44552</v>
      </c>
      <c r="B662" s="42">
        <f>'Part 2 - CAPM 2.1, 2.2 and 2.3'!N662</f>
        <v>1.223381485787456E-2</v>
      </c>
      <c r="C662" s="42">
        <f>'Part 2 - CAPM 2.1, 2.2 and 2.3'!O662</f>
        <v>1.2465655112878133E-2</v>
      </c>
      <c r="E662" s="16">
        <v>44552</v>
      </c>
      <c r="F662" s="17">
        <v>3.6799999999999999E-2</v>
      </c>
      <c r="G662" s="41">
        <f t="shared" si="72"/>
        <v>9.901598837824821E-5</v>
      </c>
      <c r="L662" s="40">
        <f t="shared" si="70"/>
        <v>1.2359736626180224E-2</v>
      </c>
      <c r="M662" s="40">
        <f t="shared" si="71"/>
        <v>1.2592086766526341E-2</v>
      </c>
      <c r="O662" s="40">
        <f t="shared" si="73"/>
        <v>1.2359736626180224E-2</v>
      </c>
      <c r="P662" s="207">
        <f t="shared" si="74"/>
        <v>9.901598837824821E-5</v>
      </c>
      <c r="Q662" s="208">
        <f t="shared" si="75"/>
        <v>1.0021992959873915</v>
      </c>
      <c r="R662" s="40">
        <f t="shared" si="76"/>
        <v>1.223381485787456E-2</v>
      </c>
      <c r="S662" s="209">
        <v>0</v>
      </c>
    </row>
    <row r="663" spans="1:19" x14ac:dyDescent="0.45">
      <c r="A663" s="16">
        <v>44553</v>
      </c>
      <c r="B663" s="42">
        <f>'Part 2 - CAPM 2.1, 2.2 and 2.3'!N663</f>
        <v>7.5314243243034913E-3</v>
      </c>
      <c r="C663" s="42">
        <f>'Part 2 - CAPM 2.1, 2.2 and 2.3'!O663</f>
        <v>2.5448957866804654E-2</v>
      </c>
      <c r="E663" s="16">
        <v>44553</v>
      </c>
      <c r="F663" s="17">
        <v>3.6600000000000001E-2</v>
      </c>
      <c r="G663" s="41">
        <f t="shared" si="72"/>
        <v>9.8487388669799003E-5</v>
      </c>
      <c r="L663" s="40">
        <f t="shared" si="70"/>
        <v>7.6464755442690741E-3</v>
      </c>
      <c r="M663" s="40">
        <f t="shared" si="71"/>
        <v>2.5603415046394212E-2</v>
      </c>
      <c r="O663" s="40">
        <f t="shared" si="73"/>
        <v>7.6464755442690741E-3</v>
      </c>
      <c r="P663" s="207">
        <f t="shared" si="74"/>
        <v>9.8487388669799003E-5</v>
      </c>
      <c r="Q663" s="208">
        <f t="shared" si="75"/>
        <v>1.0021992959873915</v>
      </c>
      <c r="R663" s="40">
        <f t="shared" si="76"/>
        <v>7.5314243243034913E-3</v>
      </c>
      <c r="S663" s="209">
        <v>0</v>
      </c>
    </row>
    <row r="664" spans="1:19" x14ac:dyDescent="0.45">
      <c r="A664" s="16">
        <v>44554</v>
      </c>
      <c r="B664" s="42">
        <f>'Part 2 - CAPM 2.1, 2.2 and 2.3'!N664</f>
        <v>-5.9716931256086157E-3</v>
      </c>
      <c r="C664" s="42">
        <f>'Part 2 - CAPM 2.1, 2.2 and 2.3'!O664</f>
        <v>-1.6823672946061376E-2</v>
      </c>
      <c r="E664" s="16">
        <v>44554</v>
      </c>
      <c r="F664" s="17">
        <v>3.6299999999999999E-2</v>
      </c>
      <c r="G664" s="41">
        <f t="shared" si="72"/>
        <v>9.7694298374584321E-5</v>
      </c>
      <c r="L664" s="40">
        <f t="shared" si="70"/>
        <v>-5.8871323479631164E-3</v>
      </c>
      <c r="M664" s="40">
        <f t="shared" si="71"/>
        <v>-1.6762978884090254E-2</v>
      </c>
      <c r="O664" s="40">
        <f t="shared" si="73"/>
        <v>-5.8871323479631164E-3</v>
      </c>
      <c r="P664" s="207">
        <f t="shared" si="74"/>
        <v>9.7694298374584321E-5</v>
      </c>
      <c r="Q664" s="208">
        <f t="shared" si="75"/>
        <v>1.0021992959873915</v>
      </c>
      <c r="R664" s="40">
        <f t="shared" si="76"/>
        <v>-5.9716931256086157E-3</v>
      </c>
      <c r="S664" s="209">
        <v>0</v>
      </c>
    </row>
    <row r="665" spans="1:19" x14ac:dyDescent="0.45">
      <c r="A665" s="16">
        <v>44557</v>
      </c>
      <c r="B665" s="42">
        <f>'Part 2 - CAPM 2.1, 2.2 and 2.3'!N665</f>
        <v>4.184404522619322E-3</v>
      </c>
      <c r="C665" s="42">
        <f>'Part 2 - CAPM 2.1, 2.2 and 2.3'!O665</f>
        <v>-5.8887657809825987E-3</v>
      </c>
      <c r="E665" s="16">
        <v>44557</v>
      </c>
      <c r="F665" s="17">
        <v>3.6400000000000002E-2</v>
      </c>
      <c r="G665" s="41">
        <f t="shared" si="72"/>
        <v>9.7958687243826503E-5</v>
      </c>
      <c r="L665" s="40">
        <f t="shared" si="70"/>
        <v>4.2915659539393683E-3</v>
      </c>
      <c r="M665" s="40">
        <f t="shared" si="71"/>
        <v>-5.8037582326915761E-3</v>
      </c>
      <c r="O665" s="40">
        <f t="shared" si="73"/>
        <v>4.2915659539393683E-3</v>
      </c>
      <c r="P665" s="207">
        <f t="shared" si="74"/>
        <v>9.7958687243826503E-5</v>
      </c>
      <c r="Q665" s="208">
        <f t="shared" si="75"/>
        <v>1.0021992959873915</v>
      </c>
      <c r="R665" s="40">
        <f t="shared" si="76"/>
        <v>4.184404522619322E-3</v>
      </c>
      <c r="S665" s="209">
        <v>0</v>
      </c>
    </row>
    <row r="666" spans="1:19" x14ac:dyDescent="0.45">
      <c r="A666" s="16">
        <v>44558</v>
      </c>
      <c r="B666" s="42">
        <f>'Part 2 - CAPM 2.1, 2.2 and 2.3'!N666</f>
        <v>9.4249778400926024E-3</v>
      </c>
      <c r="C666" s="42">
        <f>'Part 2 - CAPM 2.1, 2.2 and 2.3'!O666</f>
        <v>1.6283548411409249E-2</v>
      </c>
      <c r="E666" s="16">
        <v>44558</v>
      </c>
      <c r="F666" s="17">
        <v>3.6400000000000002E-2</v>
      </c>
      <c r="G666" s="41">
        <f t="shared" si="72"/>
        <v>9.7958687243826503E-5</v>
      </c>
      <c r="L666" s="40">
        <f t="shared" si="70"/>
        <v>9.5436648432813981E-3</v>
      </c>
      <c r="M666" s="40">
        <f t="shared" si="71"/>
        <v>1.6417319441334784E-2</v>
      </c>
      <c r="O666" s="40">
        <f t="shared" si="73"/>
        <v>9.5436648432813981E-3</v>
      </c>
      <c r="P666" s="207">
        <f t="shared" si="74"/>
        <v>9.7958687243826503E-5</v>
      </c>
      <c r="Q666" s="208">
        <f t="shared" si="75"/>
        <v>1.0021992959873915</v>
      </c>
      <c r="R666" s="40">
        <f t="shared" si="76"/>
        <v>9.4249778400926024E-3</v>
      </c>
      <c r="S666" s="209">
        <v>0</v>
      </c>
    </row>
    <row r="667" spans="1:19" x14ac:dyDescent="0.45">
      <c r="A667" s="16">
        <v>44559</v>
      </c>
      <c r="B667" s="42">
        <f>'Part 2 - CAPM 2.1, 2.2 and 2.3'!N667</f>
        <v>-3.9699782914740807E-4</v>
      </c>
      <c r="C667" s="42">
        <f>'Part 2 - CAPM 2.1, 2.2 and 2.3'!O667</f>
        <v>-7.977350458832997E-3</v>
      </c>
      <c r="E667" s="16">
        <v>44559</v>
      </c>
      <c r="F667" s="17">
        <v>3.6299999999999999E-2</v>
      </c>
      <c r="G667" s="41">
        <f t="shared" si="72"/>
        <v>9.7694298374584321E-5</v>
      </c>
      <c r="L667" s="40">
        <f t="shared" si="70"/>
        <v>-3.0017664650547083E-4</v>
      </c>
      <c r="M667" s="40">
        <f t="shared" si="71"/>
        <v>-7.8972007153125402E-3</v>
      </c>
      <c r="O667" s="40">
        <f t="shared" si="73"/>
        <v>-3.0017664650547083E-4</v>
      </c>
      <c r="P667" s="207">
        <f t="shared" si="74"/>
        <v>9.7694298374584321E-5</v>
      </c>
      <c r="Q667" s="208">
        <f t="shared" si="75"/>
        <v>1.0021992959873915</v>
      </c>
      <c r="R667" s="40">
        <f t="shared" si="76"/>
        <v>-3.9699782914740807E-4</v>
      </c>
      <c r="S667" s="209">
        <v>0</v>
      </c>
    </row>
    <row r="668" spans="1:19" x14ac:dyDescent="0.45">
      <c r="A668" s="16">
        <v>44560</v>
      </c>
      <c r="B668" s="42">
        <f>'Part 2 - CAPM 2.1, 2.2 and 2.3'!N668</f>
        <v>-1.5346373300449123E-3</v>
      </c>
      <c r="C668" s="42">
        <f>'Part 2 - CAPM 2.1, 2.2 and 2.3'!O668</f>
        <v>1.7230296804921625E-2</v>
      </c>
      <c r="E668" s="16">
        <v>44560</v>
      </c>
      <c r="F668" s="17">
        <v>3.6499999999999998E-2</v>
      </c>
      <c r="G668" s="41">
        <f t="shared" si="72"/>
        <v>9.8223050674084433E-5</v>
      </c>
      <c r="L668" s="40">
        <f t="shared" si="70"/>
        <v>-1.4397894010928969E-3</v>
      </c>
      <c r="M668" s="40">
        <f t="shared" si="71"/>
        <v>1.7366414378220341E-2</v>
      </c>
      <c r="O668" s="40">
        <f t="shared" si="73"/>
        <v>-1.4397894010928969E-3</v>
      </c>
      <c r="P668" s="207">
        <f t="shared" si="74"/>
        <v>9.8223050674084433E-5</v>
      </c>
      <c r="Q668" s="208">
        <f t="shared" si="75"/>
        <v>1.0021992959873915</v>
      </c>
      <c r="R668" s="40">
        <f t="shared" si="76"/>
        <v>-1.5346373300449123E-3</v>
      </c>
      <c r="S668" s="209">
        <v>0</v>
      </c>
    </row>
    <row r="669" spans="1:19" x14ac:dyDescent="0.45">
      <c r="A669" s="16">
        <v>44561</v>
      </c>
      <c r="B669" s="42">
        <f>'Part 2 - CAPM 2.1, 2.2 and 2.3'!N669</f>
        <v>1.0288072891951869E-2</v>
      </c>
      <c r="C669" s="42">
        <f>'Part 2 - CAPM 2.1, 2.2 and 2.3'!O669</f>
        <v>8.418719808142891E-3</v>
      </c>
      <c r="E669" s="16">
        <v>44561</v>
      </c>
      <c r="F669" s="17">
        <v>3.6400000000000002E-2</v>
      </c>
      <c r="G669" s="41">
        <f t="shared" si="72"/>
        <v>9.7958687243826503E-5</v>
      </c>
      <c r="L669" s="40">
        <f t="shared" si="70"/>
        <v>1.0408658096624957E-2</v>
      </c>
      <c r="M669" s="40">
        <f t="shared" si="71"/>
        <v>8.5351937520797404E-3</v>
      </c>
      <c r="O669" s="40">
        <f t="shared" si="73"/>
        <v>1.0408658096624957E-2</v>
      </c>
      <c r="P669" s="207">
        <f t="shared" si="74"/>
        <v>9.7958687243826503E-5</v>
      </c>
      <c r="Q669" s="208">
        <f t="shared" si="75"/>
        <v>1.0021992959873915</v>
      </c>
      <c r="R669" s="40">
        <f t="shared" si="76"/>
        <v>1.0288072891951869E-2</v>
      </c>
      <c r="S669" s="209">
        <v>0</v>
      </c>
    </row>
    <row r="670" spans="1:19" x14ac:dyDescent="0.45">
      <c r="A670" s="16">
        <v>44564</v>
      </c>
      <c r="B670" s="42">
        <f>'Part 2 - CAPM 2.1, 2.2 and 2.3'!N670</f>
        <v>1.3800217381239765E-2</v>
      </c>
      <c r="C670" s="42">
        <f>'Part 2 - CAPM 2.1, 2.2 and 2.3'!O670</f>
        <v>6.2369314215154435E-3</v>
      </c>
      <c r="E670" s="16">
        <v>44564</v>
      </c>
      <c r="F670" s="17">
        <v>3.5900000000000001E-2</v>
      </c>
      <c r="G670" s="41">
        <f t="shared" si="72"/>
        <v>9.663648840718686E-5</v>
      </c>
      <c r="L670" s="40">
        <f t="shared" si="70"/>
        <v>1.3927204632358643E-2</v>
      </c>
      <c r="M670" s="40">
        <f t="shared" si="71"/>
        <v>6.3472847681716052E-3</v>
      </c>
      <c r="O670" s="40">
        <f t="shared" si="73"/>
        <v>1.3927204632358643E-2</v>
      </c>
      <c r="P670" s="207">
        <f t="shared" si="74"/>
        <v>9.663648840718686E-5</v>
      </c>
      <c r="Q670" s="208">
        <f t="shared" si="75"/>
        <v>1.0021992959873915</v>
      </c>
      <c r="R670" s="40">
        <f t="shared" si="76"/>
        <v>1.3800217381239765E-2</v>
      </c>
      <c r="S670" s="209">
        <v>0</v>
      </c>
    </row>
    <row r="671" spans="1:19" x14ac:dyDescent="0.45">
      <c r="A671" s="16">
        <v>44565</v>
      </c>
      <c r="B671" s="42">
        <f>'Part 2 - CAPM 2.1, 2.2 and 2.3'!N671</f>
        <v>7.4106954062220969E-3</v>
      </c>
      <c r="C671" s="42">
        <f>'Part 2 - CAPM 2.1, 2.2 and 2.3'!O671</f>
        <v>3.696603608385482E-2</v>
      </c>
      <c r="E671" s="16">
        <v>44565</v>
      </c>
      <c r="F671" s="17">
        <v>3.6000000000000004E-2</v>
      </c>
      <c r="G671" s="41">
        <f t="shared" si="72"/>
        <v>9.6900979082326089E-5</v>
      </c>
      <c r="L671" s="40">
        <f t="shared" si="70"/>
        <v>7.523894697975108E-3</v>
      </c>
      <c r="M671" s="40">
        <f t="shared" si="71"/>
        <v>3.7144236317766137E-2</v>
      </c>
      <c r="O671" s="40">
        <f t="shared" si="73"/>
        <v>7.523894697975108E-3</v>
      </c>
      <c r="P671" s="207">
        <f t="shared" si="74"/>
        <v>9.6900979082326089E-5</v>
      </c>
      <c r="Q671" s="208">
        <f t="shared" si="75"/>
        <v>1.0021992959873915</v>
      </c>
      <c r="R671" s="40">
        <f t="shared" si="76"/>
        <v>7.4106954062220969E-3</v>
      </c>
      <c r="S671" s="209">
        <v>0</v>
      </c>
    </row>
    <row r="672" spans="1:19" x14ac:dyDescent="0.45">
      <c r="A672" s="16">
        <v>44566</v>
      </c>
      <c r="B672" s="42">
        <f>'Part 2 - CAPM 2.1, 2.2 and 2.3'!N672</f>
        <v>4.9725794761201949E-3</v>
      </c>
      <c r="C672" s="42">
        <f>'Part 2 - CAPM 2.1, 2.2 and 2.3'!O672</f>
        <v>1.1366878196308937E-2</v>
      </c>
      <c r="E672" s="16">
        <v>44566</v>
      </c>
      <c r="F672" s="17">
        <v>3.5799999999999998E-2</v>
      </c>
      <c r="G672" s="41">
        <f t="shared" si="72"/>
        <v>9.6371972268194384E-5</v>
      </c>
      <c r="L672" s="40">
        <f t="shared" si="70"/>
        <v>5.079887622477206E-3</v>
      </c>
      <c r="M672" s="40">
        <f t="shared" si="71"/>
        <v>1.1488249298183442E-2</v>
      </c>
      <c r="O672" s="40">
        <f t="shared" si="73"/>
        <v>5.079887622477206E-3</v>
      </c>
      <c r="P672" s="207">
        <f t="shared" si="74"/>
        <v>9.6371972268194384E-5</v>
      </c>
      <c r="Q672" s="208">
        <f t="shared" si="75"/>
        <v>1.0021992959873915</v>
      </c>
      <c r="R672" s="40">
        <f t="shared" si="76"/>
        <v>4.9725794761201949E-3</v>
      </c>
      <c r="S672" s="209">
        <v>0</v>
      </c>
    </row>
    <row r="673" spans="1:19" x14ac:dyDescent="0.45">
      <c r="A673" s="16">
        <v>44567</v>
      </c>
      <c r="B673" s="42">
        <f>'Part 2 - CAPM 2.1, 2.2 and 2.3'!N673</f>
        <v>-7.0003188047480878E-3</v>
      </c>
      <c r="C673" s="42">
        <f>'Part 2 - CAPM 2.1, 2.2 and 2.3'!O673</f>
        <v>3.5705592360060568E-3</v>
      </c>
      <c r="E673" s="16">
        <v>44567</v>
      </c>
      <c r="F673" s="17">
        <v>3.5699999999999996E-2</v>
      </c>
      <c r="G673" s="41">
        <f t="shared" si="72"/>
        <v>9.6107430660685722E-5</v>
      </c>
      <c r="L673" s="40">
        <f t="shared" si="70"/>
        <v>-6.9196071471451463E-3</v>
      </c>
      <c r="M673" s="40">
        <f t="shared" si="71"/>
        <v>3.6745193832672346E-3</v>
      </c>
      <c r="O673" s="40">
        <f t="shared" si="73"/>
        <v>-6.9196071471451463E-3</v>
      </c>
      <c r="P673" s="207">
        <f t="shared" si="74"/>
        <v>9.6107430660685722E-5</v>
      </c>
      <c r="Q673" s="208">
        <f t="shared" si="75"/>
        <v>1.0021992959873915</v>
      </c>
      <c r="R673" s="40">
        <f t="shared" si="76"/>
        <v>-7.0003188047480878E-3</v>
      </c>
      <c r="S673" s="209">
        <v>0</v>
      </c>
    </row>
    <row r="674" spans="1:19" x14ac:dyDescent="0.45">
      <c r="A674" s="16">
        <v>44568</v>
      </c>
      <c r="B674" s="42">
        <f>'Part 2 - CAPM 2.1, 2.2 and 2.3'!N674</f>
        <v>3.7258339932199421E-3</v>
      </c>
      <c r="C674" s="42">
        <f>'Part 2 - CAPM 2.1, 2.2 and 2.3'!O674</f>
        <v>4.3410239505806296E-2</v>
      </c>
      <c r="E674" s="16">
        <v>44568</v>
      </c>
      <c r="F674" s="17">
        <v>3.6000000000000004E-2</v>
      </c>
      <c r="G674" s="41">
        <f t="shared" si="72"/>
        <v>9.6900979082326089E-5</v>
      </c>
      <c r="L674" s="40">
        <f t="shared" si="70"/>
        <v>3.8309291840532438E-3</v>
      </c>
      <c r="M674" s="40">
        <f t="shared" si="71"/>
        <v>4.3602612450445451E-2</v>
      </c>
      <c r="O674" s="40">
        <f t="shared" si="73"/>
        <v>3.8309291840532438E-3</v>
      </c>
      <c r="P674" s="207">
        <f t="shared" si="74"/>
        <v>9.6900979082326089E-5</v>
      </c>
      <c r="Q674" s="208">
        <f t="shared" si="75"/>
        <v>1.0021992959873915</v>
      </c>
      <c r="R674" s="40">
        <f t="shared" si="76"/>
        <v>3.7258339932199421E-3</v>
      </c>
      <c r="S674" s="209">
        <v>0</v>
      </c>
    </row>
    <row r="675" spans="1:19" x14ac:dyDescent="0.45">
      <c r="A675" s="16">
        <v>44571</v>
      </c>
      <c r="B675" s="42">
        <f>'Part 2 - CAPM 2.1, 2.2 and 2.3'!N675</f>
        <v>9.4808154533071783E-3</v>
      </c>
      <c r="C675" s="42">
        <f>'Part 2 - CAPM 2.1, 2.2 and 2.3'!O675</f>
        <v>1.2634108260160605E-2</v>
      </c>
      <c r="E675" s="16">
        <v>44571</v>
      </c>
      <c r="F675" s="17">
        <v>3.5900000000000001E-2</v>
      </c>
      <c r="G675" s="41">
        <f t="shared" si="72"/>
        <v>9.663648840718686E-5</v>
      </c>
      <c r="L675" s="40">
        <f t="shared" si="70"/>
        <v>9.5983030610980232E-3</v>
      </c>
      <c r="M675" s="40">
        <f t="shared" si="71"/>
        <v>1.2758530892168633E-2</v>
      </c>
      <c r="O675" s="40">
        <f t="shared" si="73"/>
        <v>9.5983030610980232E-3</v>
      </c>
      <c r="P675" s="207">
        <f t="shared" si="74"/>
        <v>9.663648840718686E-5</v>
      </c>
      <c r="Q675" s="208">
        <f t="shared" si="75"/>
        <v>1.0021992959873915</v>
      </c>
      <c r="R675" s="40">
        <f t="shared" si="76"/>
        <v>9.4808154533071783E-3</v>
      </c>
      <c r="S675" s="209">
        <v>0</v>
      </c>
    </row>
    <row r="676" spans="1:19" x14ac:dyDescent="0.45">
      <c r="A676" s="16">
        <v>44572</v>
      </c>
      <c r="B676" s="42">
        <f>'Part 2 - CAPM 2.1, 2.2 and 2.3'!N676</f>
        <v>2.1623410130727585E-3</v>
      </c>
      <c r="C676" s="42">
        <f>'Part 2 - CAPM 2.1, 2.2 and 2.3'!O676</f>
        <v>1.090299949221955E-2</v>
      </c>
      <c r="E676" s="16">
        <v>44572</v>
      </c>
      <c r="F676" s="17">
        <v>3.5799999999999998E-2</v>
      </c>
      <c r="G676" s="41">
        <f t="shared" si="72"/>
        <v>9.6371972268194384E-5</v>
      </c>
      <c r="L676" s="40">
        <f t="shared" si="70"/>
        <v>2.2634686132543759E-3</v>
      </c>
      <c r="M676" s="40">
        <f t="shared" si="71"/>
        <v>1.1023350387521514E-2</v>
      </c>
      <c r="O676" s="40">
        <f t="shared" si="73"/>
        <v>2.2634686132543759E-3</v>
      </c>
      <c r="P676" s="207">
        <f t="shared" si="74"/>
        <v>9.6371972268194384E-5</v>
      </c>
      <c r="Q676" s="208">
        <f t="shared" si="75"/>
        <v>1.0021992959873915</v>
      </c>
      <c r="R676" s="40">
        <f t="shared" si="76"/>
        <v>2.1623410130727585E-3</v>
      </c>
      <c r="S676" s="209">
        <v>0</v>
      </c>
    </row>
    <row r="677" spans="1:19" x14ac:dyDescent="0.45">
      <c r="A677" s="16">
        <v>44573</v>
      </c>
      <c r="B677" s="42">
        <f>'Part 2 - CAPM 2.1, 2.2 and 2.3'!N677</f>
        <v>8.7477519304051087E-3</v>
      </c>
      <c r="C677" s="42">
        <f>'Part 2 - CAPM 2.1, 2.2 and 2.3'!O677</f>
        <v>2.0730749889824204E-2</v>
      </c>
      <c r="E677" s="16">
        <v>44573</v>
      </c>
      <c r="F677" s="17">
        <v>3.5699999999999996E-2</v>
      </c>
      <c r="G677" s="41">
        <f t="shared" si="72"/>
        <v>9.6107430660685722E-5</v>
      </c>
      <c r="L677" s="40">
        <f t="shared" si="70"/>
        <v>8.8630982567850305E-3</v>
      </c>
      <c r="M677" s="40">
        <f t="shared" si="71"/>
        <v>2.0872450375533199E-2</v>
      </c>
      <c r="O677" s="40">
        <f t="shared" si="73"/>
        <v>8.8630982567850305E-3</v>
      </c>
      <c r="P677" s="207">
        <f t="shared" si="74"/>
        <v>9.6107430660685722E-5</v>
      </c>
      <c r="Q677" s="208">
        <f t="shared" si="75"/>
        <v>1.0021992959873915</v>
      </c>
      <c r="R677" s="40">
        <f t="shared" si="76"/>
        <v>8.7477519304051087E-3</v>
      </c>
      <c r="S677" s="209">
        <v>0</v>
      </c>
    </row>
    <row r="678" spans="1:19" x14ac:dyDescent="0.45">
      <c r="A678" s="16">
        <v>44574</v>
      </c>
      <c r="B678" s="42">
        <f>'Part 2 - CAPM 2.1, 2.2 and 2.3'!N678</f>
        <v>3.2959141669080599E-3</v>
      </c>
      <c r="C678" s="42">
        <f>'Part 2 - CAPM 2.1, 2.2 and 2.3'!O678</f>
        <v>-4.9684791586261908E-3</v>
      </c>
      <c r="E678" s="16">
        <v>44574</v>
      </c>
      <c r="F678" s="17">
        <v>3.5799999999999998E-2</v>
      </c>
      <c r="G678" s="41">
        <f t="shared" si="72"/>
        <v>9.6371972268194384E-5</v>
      </c>
      <c r="L678" s="40">
        <f t="shared" si="70"/>
        <v>3.3995348299783222E-3</v>
      </c>
      <c r="M678" s="40">
        <f t="shared" si="71"/>
        <v>-4.8830343426350016E-3</v>
      </c>
      <c r="O678" s="40">
        <f t="shared" si="73"/>
        <v>3.3995348299783222E-3</v>
      </c>
      <c r="P678" s="207">
        <f t="shared" si="74"/>
        <v>9.6371972268194384E-5</v>
      </c>
      <c r="Q678" s="208">
        <f t="shared" si="75"/>
        <v>1.0021992959873915</v>
      </c>
      <c r="R678" s="40">
        <f t="shared" si="76"/>
        <v>3.2959141669080599E-3</v>
      </c>
      <c r="S678" s="209">
        <v>0</v>
      </c>
    </row>
    <row r="679" spans="1:19" x14ac:dyDescent="0.45">
      <c r="A679" s="16">
        <v>44575</v>
      </c>
      <c r="B679" s="42">
        <f>'Part 2 - CAPM 2.1, 2.2 and 2.3'!N679</f>
        <v>4.9810750133906826E-4</v>
      </c>
      <c r="C679" s="42">
        <f>'Part 2 - CAPM 2.1, 2.2 and 2.3'!O679</f>
        <v>-1.5396514089386379E-2</v>
      </c>
      <c r="E679" s="16">
        <v>44575</v>
      </c>
      <c r="F679" s="17">
        <v>3.5900000000000001E-2</v>
      </c>
      <c r="G679" s="41">
        <f t="shared" si="72"/>
        <v>9.663648840718686E-5</v>
      </c>
      <c r="L679" s="40">
        <f t="shared" si="70"/>
        <v>5.958394755752398E-4</v>
      </c>
      <c r="M679" s="40">
        <f t="shared" si="71"/>
        <v>-1.5333739092635797E-2</v>
      </c>
      <c r="O679" s="40">
        <f t="shared" si="73"/>
        <v>5.958394755752398E-4</v>
      </c>
      <c r="P679" s="207">
        <f t="shared" si="74"/>
        <v>9.663648840718686E-5</v>
      </c>
      <c r="Q679" s="208">
        <f t="shared" si="75"/>
        <v>1.0021992959873915</v>
      </c>
      <c r="R679" s="40">
        <f t="shared" si="76"/>
        <v>4.9810750133906826E-4</v>
      </c>
      <c r="S679" s="209">
        <v>0</v>
      </c>
    </row>
    <row r="680" spans="1:19" x14ac:dyDescent="0.45">
      <c r="A680" s="16">
        <v>44578</v>
      </c>
      <c r="B680" s="42">
        <f>'Part 2 - CAPM 2.1, 2.2 and 2.3'!N680</f>
        <v>3.1356932333979899E-3</v>
      </c>
      <c r="C680" s="42">
        <f>'Part 2 - CAPM 2.1, 2.2 and 2.3'!O680</f>
        <v>3.3153565148947468E-2</v>
      </c>
      <c r="E680" s="16">
        <v>44578</v>
      </c>
      <c r="F680" s="17">
        <v>3.6000000000000004E-2</v>
      </c>
      <c r="G680" s="41">
        <f t="shared" si="72"/>
        <v>9.6900979082326089E-5</v>
      </c>
      <c r="L680" s="40">
        <f t="shared" si="70"/>
        <v>3.2394905300262189E-3</v>
      </c>
      <c r="M680" s="40">
        <f t="shared" si="71"/>
        <v>3.3323380630829597E-2</v>
      </c>
      <c r="O680" s="40">
        <f t="shared" si="73"/>
        <v>3.2394905300262189E-3</v>
      </c>
      <c r="P680" s="207">
        <f t="shared" si="74"/>
        <v>9.6900979082326089E-5</v>
      </c>
      <c r="Q680" s="208">
        <f t="shared" si="75"/>
        <v>1.0021992959873915</v>
      </c>
      <c r="R680" s="40">
        <f t="shared" si="76"/>
        <v>3.1356932333979899E-3</v>
      </c>
      <c r="S680" s="209">
        <v>0</v>
      </c>
    </row>
    <row r="681" spans="1:19" x14ac:dyDescent="0.45">
      <c r="A681" s="16">
        <v>44579</v>
      </c>
      <c r="B681" s="42">
        <f>'Part 2 - CAPM 2.1, 2.2 and 2.3'!N681</f>
        <v>-1.3286603949379333E-2</v>
      </c>
      <c r="C681" s="42">
        <f>'Part 2 - CAPM 2.1, 2.2 and 2.3'!O681</f>
        <v>-1.2126976167052252E-2</v>
      </c>
      <c r="E681" s="16">
        <v>44579</v>
      </c>
      <c r="F681" s="17">
        <v>3.6000000000000004E-2</v>
      </c>
      <c r="G681" s="41">
        <f t="shared" si="72"/>
        <v>9.6900979082326089E-5</v>
      </c>
      <c r="L681" s="40">
        <f t="shared" si="70"/>
        <v>-1.3218924145048938E-2</v>
      </c>
      <c r="M681" s="40">
        <f t="shared" si="71"/>
        <v>-1.2056745997993317E-2</v>
      </c>
      <c r="O681" s="40">
        <f t="shared" si="73"/>
        <v>-1.3218924145048938E-2</v>
      </c>
      <c r="P681" s="207">
        <f t="shared" si="74"/>
        <v>9.6900979082326089E-5</v>
      </c>
      <c r="Q681" s="208">
        <f t="shared" si="75"/>
        <v>1.0021992959873915</v>
      </c>
      <c r="R681" s="40">
        <f t="shared" si="76"/>
        <v>-1.3286603949379333E-2</v>
      </c>
      <c r="S681" s="209">
        <v>0</v>
      </c>
    </row>
    <row r="682" spans="1:19" x14ac:dyDescent="0.45">
      <c r="A682" s="16">
        <v>44580</v>
      </c>
      <c r="B682" s="42">
        <f>'Part 2 - CAPM 2.1, 2.2 and 2.3'!N682</f>
        <v>-6.5588730495928019E-3</v>
      </c>
      <c r="C682" s="42">
        <f>'Part 2 - CAPM 2.1, 2.2 and 2.3'!O682</f>
        <v>3.1864454331256453E-2</v>
      </c>
      <c r="E682" s="16">
        <v>44580</v>
      </c>
      <c r="F682" s="17">
        <v>3.6799999999999999E-2</v>
      </c>
      <c r="G682" s="41">
        <f t="shared" si="72"/>
        <v>9.901598837824821E-5</v>
      </c>
      <c r="L682" s="40">
        <f t="shared" si="70"/>
        <v>-6.4742819643943336E-3</v>
      </c>
      <c r="M682" s="40">
        <f t="shared" si="71"/>
        <v>3.2033549686185853E-2</v>
      </c>
      <c r="O682" s="40">
        <f t="shared" si="73"/>
        <v>-6.4742819643943336E-3</v>
      </c>
      <c r="P682" s="207">
        <f t="shared" si="74"/>
        <v>9.901598837824821E-5</v>
      </c>
      <c r="Q682" s="208">
        <f t="shared" si="75"/>
        <v>1.0021992959873915</v>
      </c>
      <c r="R682" s="40">
        <f t="shared" si="76"/>
        <v>-6.5588730495928019E-3</v>
      </c>
      <c r="S682" s="209">
        <v>0</v>
      </c>
    </row>
    <row r="683" spans="1:19" x14ac:dyDescent="0.45">
      <c r="A683" s="16">
        <v>44581</v>
      </c>
      <c r="B683" s="42">
        <f>'Part 2 - CAPM 2.1, 2.2 and 2.3'!N683</f>
        <v>-7.3002077812988567E-3</v>
      </c>
      <c r="C683" s="42">
        <f>'Part 2 - CAPM 2.1, 2.2 and 2.3'!O683</f>
        <v>-1.5439570081240079E-2</v>
      </c>
      <c r="E683" s="16">
        <v>44581</v>
      </c>
      <c r="F683" s="17">
        <v>3.73E-2</v>
      </c>
      <c r="G683" s="41">
        <f t="shared" si="72"/>
        <v>1.0033704289202916E-4</v>
      </c>
      <c r="L683" s="40">
        <f t="shared" si="70"/>
        <v>-7.2159260560873623E-3</v>
      </c>
      <c r="M683" s="40">
        <f t="shared" si="71"/>
        <v>-1.5373189222874771E-2</v>
      </c>
      <c r="O683" s="40">
        <f t="shared" si="73"/>
        <v>-7.2159260560873623E-3</v>
      </c>
      <c r="P683" s="207">
        <f t="shared" si="74"/>
        <v>1.0033704289202916E-4</v>
      </c>
      <c r="Q683" s="208">
        <f t="shared" si="75"/>
        <v>1.0021992959873915</v>
      </c>
      <c r="R683" s="40">
        <f t="shared" si="76"/>
        <v>-7.3002077812988567E-3</v>
      </c>
      <c r="S683" s="209">
        <v>0</v>
      </c>
    </row>
    <row r="684" spans="1:19" x14ac:dyDescent="0.45">
      <c r="A684" s="16">
        <v>44582</v>
      </c>
      <c r="B684" s="42">
        <f>'Part 2 - CAPM 2.1, 2.2 and 2.3'!N684</f>
        <v>-1.1837777720968539E-2</v>
      </c>
      <c r="C684" s="42">
        <f>'Part 2 - CAPM 2.1, 2.2 and 2.3'!O684</f>
        <v>-1.7476011099213214E-2</v>
      </c>
      <c r="E684" s="16">
        <v>44582</v>
      </c>
      <c r="F684" s="17">
        <v>3.73E-2</v>
      </c>
      <c r="G684" s="41">
        <f t="shared" si="72"/>
        <v>1.0033704289202916E-4</v>
      </c>
      <c r="L684" s="40">
        <f t="shared" si="70"/>
        <v>-1.1763475455117869E-2</v>
      </c>
      <c r="M684" s="40">
        <f t="shared" si="71"/>
        <v>-1.7414108977407295E-2</v>
      </c>
      <c r="O684" s="40">
        <f t="shared" si="73"/>
        <v>-1.1763475455117869E-2</v>
      </c>
      <c r="P684" s="207">
        <f t="shared" si="74"/>
        <v>1.0033704289202916E-4</v>
      </c>
      <c r="Q684" s="208">
        <f t="shared" si="75"/>
        <v>1.0021992959873915</v>
      </c>
      <c r="R684" s="40">
        <f t="shared" si="76"/>
        <v>-1.1837777720968539E-2</v>
      </c>
      <c r="S684" s="209">
        <v>0</v>
      </c>
    </row>
    <row r="685" spans="1:19" x14ac:dyDescent="0.45">
      <c r="A685" s="16">
        <v>44585</v>
      </c>
      <c r="B685" s="42">
        <f>'Part 2 - CAPM 2.1, 2.2 and 2.3'!N685</f>
        <v>-3.0978156393650882E-2</v>
      </c>
      <c r="C685" s="42">
        <f>'Part 2 - CAPM 2.1, 2.2 and 2.3'!O685</f>
        <v>5.9972239327177271E-3</v>
      </c>
      <c r="E685" s="16">
        <v>44585</v>
      </c>
      <c r="F685" s="17">
        <v>3.73E-2</v>
      </c>
      <c r="G685" s="41">
        <f t="shared" si="72"/>
        <v>1.0033704289202916E-4</v>
      </c>
      <c r="L685" s="40">
        <f t="shared" si="70"/>
        <v>-3.0945949485812196E-2</v>
      </c>
      <c r="M685" s="40">
        <f t="shared" si="71"/>
        <v>6.1107506461404709E-3</v>
      </c>
      <c r="O685" s="40">
        <f t="shared" si="73"/>
        <v>-3.0945949485812196E-2</v>
      </c>
      <c r="P685" s="207">
        <f t="shared" si="74"/>
        <v>1.0033704289202916E-4</v>
      </c>
      <c r="Q685" s="208">
        <f t="shared" si="75"/>
        <v>1.0021992959873915</v>
      </c>
      <c r="R685" s="40">
        <f t="shared" si="76"/>
        <v>-3.0978156393650882E-2</v>
      </c>
      <c r="S685" s="209">
        <v>0</v>
      </c>
    </row>
    <row r="686" spans="1:19" x14ac:dyDescent="0.45">
      <c r="A686" s="16">
        <v>44586</v>
      </c>
      <c r="B686" s="42">
        <f>'Part 2 - CAPM 2.1, 2.2 and 2.3'!N686</f>
        <v>8.0669661573199887E-3</v>
      </c>
      <c r="C686" s="42">
        <f>'Part 2 - CAPM 2.1, 2.2 and 2.3'!O686</f>
        <v>-1.6149602124575959E-3</v>
      </c>
      <c r="E686" s="16">
        <v>44586</v>
      </c>
      <c r="F686" s="17">
        <v>3.7100000000000001E-2</v>
      </c>
      <c r="G686" s="41">
        <f t="shared" si="72"/>
        <v>9.9808697306080774E-5</v>
      </c>
      <c r="L686" s="40">
        <f t="shared" si="70"/>
        <v>8.1845165009262859E-3</v>
      </c>
      <c r="M686" s="40">
        <f t="shared" si="71"/>
        <v>-1.5187032906665702E-3</v>
      </c>
      <c r="O686" s="40">
        <f t="shared" si="73"/>
        <v>8.1845165009262859E-3</v>
      </c>
      <c r="P686" s="207">
        <f t="shared" si="74"/>
        <v>9.9808697306080774E-5</v>
      </c>
      <c r="Q686" s="208">
        <f t="shared" si="75"/>
        <v>1.0021992959873915</v>
      </c>
      <c r="R686" s="40">
        <f t="shared" si="76"/>
        <v>8.0669661573199887E-3</v>
      </c>
      <c r="S686" s="209">
        <v>0</v>
      </c>
    </row>
    <row r="687" spans="1:19" x14ac:dyDescent="0.45">
      <c r="A687" s="16">
        <v>44588</v>
      </c>
      <c r="B687" s="42">
        <f>'Part 2 - CAPM 2.1, 2.2 and 2.3'!N687</f>
        <v>-1.0382813814125078E-2</v>
      </c>
      <c r="C687" s="42">
        <f>'Part 2 - CAPM 2.1, 2.2 and 2.3'!O687</f>
        <v>4.4512226777391247E-3</v>
      </c>
      <c r="E687" s="16">
        <v>44588</v>
      </c>
      <c r="F687" s="17">
        <v>3.7599999999999995E-2</v>
      </c>
      <c r="G687" s="41">
        <f t="shared" si="72"/>
        <v>1.0112937081929729E-4</v>
      </c>
      <c r="L687" s="40">
        <f t="shared" si="70"/>
        <v>-1.0304519324065019E-2</v>
      </c>
      <c r="M687" s="40">
        <f t="shared" si="71"/>
        <v>4.5621416047325596E-3</v>
      </c>
      <c r="O687" s="40">
        <f t="shared" si="73"/>
        <v>-1.0304519324065019E-2</v>
      </c>
      <c r="P687" s="207">
        <f t="shared" si="74"/>
        <v>1.0112937081929729E-4</v>
      </c>
      <c r="Q687" s="208">
        <f t="shared" si="75"/>
        <v>1.0021992959873915</v>
      </c>
      <c r="R687" s="40">
        <f t="shared" si="76"/>
        <v>-1.0382813814125078E-2</v>
      </c>
      <c r="S687" s="209">
        <v>0</v>
      </c>
    </row>
    <row r="688" spans="1:19" x14ac:dyDescent="0.45">
      <c r="A688" s="16">
        <v>44589</v>
      </c>
      <c r="B688" s="42">
        <f>'Part 2 - CAPM 2.1, 2.2 and 2.3'!N688</f>
        <v>2.8655525096005527E-3</v>
      </c>
      <c r="C688" s="42">
        <f>'Part 2 - CAPM 2.1, 2.2 and 2.3'!O688</f>
        <v>1.8025758846703363E-2</v>
      </c>
      <c r="E688" s="16">
        <v>44589</v>
      </c>
      <c r="F688" s="17">
        <v>3.7599999999999995E-2</v>
      </c>
      <c r="G688" s="41">
        <f t="shared" si="72"/>
        <v>1.0112937081929729E-4</v>
      </c>
      <c r="L688" s="40">
        <f t="shared" si="70"/>
        <v>2.9729840785558742E-3</v>
      </c>
      <c r="M688" s="40">
        <f t="shared" si="71"/>
        <v>1.8166532196623904E-2</v>
      </c>
      <c r="O688" s="40">
        <f t="shared" si="73"/>
        <v>2.9729840785558742E-3</v>
      </c>
      <c r="P688" s="207">
        <f t="shared" si="74"/>
        <v>1.0112937081929729E-4</v>
      </c>
      <c r="Q688" s="208">
        <f t="shared" si="75"/>
        <v>1.0021992959873915</v>
      </c>
      <c r="R688" s="40">
        <f t="shared" si="76"/>
        <v>2.8655525096005527E-3</v>
      </c>
      <c r="S688" s="209">
        <v>0</v>
      </c>
    </row>
    <row r="689" spans="1:19" x14ac:dyDescent="0.45">
      <c r="A689" s="16">
        <v>44592</v>
      </c>
      <c r="B689" s="42">
        <f>'Part 2 - CAPM 2.1, 2.2 and 2.3'!N689</f>
        <v>1.336057235943732E-2</v>
      </c>
      <c r="C689" s="42">
        <f>'Part 2 - CAPM 2.1, 2.2 and 2.3'!O689</f>
        <v>2.3637743032741534E-2</v>
      </c>
      <c r="E689" s="16">
        <v>44592</v>
      </c>
      <c r="F689" s="17">
        <v>3.7599999999999995E-2</v>
      </c>
      <c r="G689" s="41">
        <f t="shared" si="72"/>
        <v>1.0112937081929729E-4</v>
      </c>
      <c r="L689" s="40">
        <f t="shared" si="70"/>
        <v>1.3491085583435982E-2</v>
      </c>
      <c r="M689" s="40">
        <f t="shared" si="71"/>
        <v>2.3790858796963733E-2</v>
      </c>
      <c r="O689" s="40">
        <f t="shared" si="73"/>
        <v>1.3491085583435982E-2</v>
      </c>
      <c r="P689" s="207">
        <f t="shared" si="74"/>
        <v>1.0112937081929729E-4</v>
      </c>
      <c r="Q689" s="208">
        <f t="shared" si="75"/>
        <v>1.0021992959873915</v>
      </c>
      <c r="R689" s="40">
        <f t="shared" si="76"/>
        <v>1.336057235943732E-2</v>
      </c>
      <c r="S689" s="209">
        <v>0</v>
      </c>
    </row>
    <row r="690" spans="1:19" x14ac:dyDescent="0.45">
      <c r="A690" s="16">
        <v>44593</v>
      </c>
      <c r="B690" s="42">
        <f>'Part 2 - CAPM 2.1, 2.2 and 2.3'!N690</f>
        <v>1.2950287204893716E-2</v>
      </c>
      <c r="C690" s="42">
        <f>'Part 2 - CAPM 2.1, 2.2 and 2.3'!O690</f>
        <v>-1.2855016617766727E-2</v>
      </c>
      <c r="E690" s="16">
        <v>44593</v>
      </c>
      <c r="F690" s="17">
        <v>3.7699999999999997E-2</v>
      </c>
      <c r="G690" s="41">
        <f t="shared" si="72"/>
        <v>1.0139342936099638E-4</v>
      </c>
      <c r="L690" s="40">
        <f t="shared" si="70"/>
        <v>1.3080162148940004E-2</v>
      </c>
      <c r="M690" s="40">
        <f t="shared" si="71"/>
        <v>-1.2781895174871038E-2</v>
      </c>
      <c r="O690" s="40">
        <f t="shared" si="73"/>
        <v>1.3080162148940004E-2</v>
      </c>
      <c r="P690" s="207">
        <f t="shared" si="74"/>
        <v>1.0139342936099638E-4</v>
      </c>
      <c r="Q690" s="208">
        <f t="shared" si="75"/>
        <v>1.0021992959873915</v>
      </c>
      <c r="R690" s="40">
        <f t="shared" si="76"/>
        <v>1.2950287204893716E-2</v>
      </c>
      <c r="S690" s="209">
        <v>0</v>
      </c>
    </row>
    <row r="691" spans="1:19" x14ac:dyDescent="0.45">
      <c r="A691" s="16">
        <v>44594</v>
      </c>
      <c r="B691" s="42">
        <f>'Part 2 - CAPM 2.1, 2.2 and 2.3'!N691</f>
        <v>1.1615974017753683E-2</v>
      </c>
      <c r="C691" s="42">
        <f>'Part 2 - CAPM 2.1, 2.2 and 2.3'!O691</f>
        <v>4.0071522944603189E-3</v>
      </c>
      <c r="E691" s="16">
        <v>44594</v>
      </c>
      <c r="F691" s="17">
        <v>3.8399999999999997E-2</v>
      </c>
      <c r="G691" s="41">
        <f t="shared" si="72"/>
        <v>1.0324112891013648E-4</v>
      </c>
      <c r="L691" s="40">
        <f t="shared" si="70"/>
        <v>1.1744762111710711E-2</v>
      </c>
      <c r="M691" s="40">
        <f t="shared" si="71"/>
        <v>4.1192063373325285E-3</v>
      </c>
      <c r="O691" s="40">
        <f t="shared" si="73"/>
        <v>1.1744762111710711E-2</v>
      </c>
      <c r="P691" s="207">
        <f t="shared" si="74"/>
        <v>1.0324112891013648E-4</v>
      </c>
      <c r="Q691" s="208">
        <f t="shared" si="75"/>
        <v>1.0021992959873915</v>
      </c>
      <c r="R691" s="40">
        <f t="shared" si="76"/>
        <v>1.1615974017753683E-2</v>
      </c>
      <c r="S691" s="209">
        <v>0</v>
      </c>
    </row>
    <row r="692" spans="1:19" x14ac:dyDescent="0.45">
      <c r="A692" s="16">
        <v>44595</v>
      </c>
      <c r="B692" s="42">
        <f>'Part 2 - CAPM 2.1, 2.2 and 2.3'!N692</f>
        <v>-1.0398301686294619E-2</v>
      </c>
      <c r="C692" s="42">
        <f>'Part 2 - CAPM 2.1, 2.2 and 2.3'!O692</f>
        <v>-2.8173152686491433E-2</v>
      </c>
      <c r="E692" s="16">
        <v>44595</v>
      </c>
      <c r="F692" s="17">
        <v>3.8300000000000001E-2</v>
      </c>
      <c r="G692" s="41">
        <f t="shared" si="72"/>
        <v>1.0297724789487539E-4</v>
      </c>
      <c r="L692" s="40">
        <f t="shared" si="70"/>
        <v>-1.0318193381574099E-2</v>
      </c>
      <c r="M692" s="40">
        <f t="shared" si="71"/>
        <v>-2.8132136540252126E-2</v>
      </c>
      <c r="O692" s="40">
        <f t="shared" si="73"/>
        <v>-1.0318193381574099E-2</v>
      </c>
      <c r="P692" s="207">
        <f t="shared" si="74"/>
        <v>1.0297724789487539E-4</v>
      </c>
      <c r="Q692" s="208">
        <f t="shared" si="75"/>
        <v>1.0021992959873915</v>
      </c>
      <c r="R692" s="40">
        <f t="shared" si="76"/>
        <v>-1.0398301686294619E-2</v>
      </c>
      <c r="S692" s="209">
        <v>0</v>
      </c>
    </row>
    <row r="693" spans="1:19" x14ac:dyDescent="0.45">
      <c r="A693" s="16">
        <v>44596</v>
      </c>
      <c r="B693" s="42">
        <f>'Part 2 - CAPM 2.1, 2.2 and 2.3'!N693</f>
        <v>-3.4369039439847431E-3</v>
      </c>
      <c r="C693" s="42">
        <f>'Part 2 - CAPM 2.1, 2.2 and 2.3'!O693</f>
        <v>2.0654353928761613E-2</v>
      </c>
      <c r="E693" s="16">
        <v>44596</v>
      </c>
      <c r="F693" s="17">
        <v>3.8599999999999995E-2</v>
      </c>
      <c r="G693" s="41">
        <f t="shared" si="72"/>
        <v>1.0376881492080159E-4</v>
      </c>
      <c r="L693" s="40">
        <f t="shared" si="70"/>
        <v>-3.3406938981169975E-3</v>
      </c>
      <c r="M693" s="40">
        <f t="shared" si="71"/>
        <v>2.0803547781400106E-2</v>
      </c>
      <c r="O693" s="40">
        <f t="shared" si="73"/>
        <v>-3.3406938981169975E-3</v>
      </c>
      <c r="P693" s="207">
        <f t="shared" si="74"/>
        <v>1.0376881492080159E-4</v>
      </c>
      <c r="Q693" s="208">
        <f t="shared" si="75"/>
        <v>1.0021992959873915</v>
      </c>
      <c r="R693" s="40">
        <f t="shared" si="76"/>
        <v>-3.4369039439847431E-3</v>
      </c>
      <c r="S693" s="209">
        <v>0</v>
      </c>
    </row>
    <row r="694" spans="1:19" x14ac:dyDescent="0.45">
      <c r="A694" s="16">
        <v>44600</v>
      </c>
      <c r="B694" s="42">
        <f>'Part 2 - CAPM 2.1, 2.2 and 2.3'!N694</f>
        <v>-1.5245240642196473E-2</v>
      </c>
      <c r="C694" s="42">
        <f>'Part 2 - CAPM 2.1, 2.2 and 2.3'!O694</f>
        <v>-1.4251596650463714E-2</v>
      </c>
      <c r="E694" s="16">
        <v>44600</v>
      </c>
      <c r="F694" s="17">
        <v>3.9E-2</v>
      </c>
      <c r="G694" s="41">
        <f t="shared" si="72"/>
        <v>1.0482388300125933E-4</v>
      </c>
      <c r="L694" s="40">
        <f t="shared" si="70"/>
        <v>-1.5173945555766415E-2</v>
      </c>
      <c r="M694" s="40">
        <f t="shared" si="71"/>
        <v>-1.4178116246789742E-2</v>
      </c>
      <c r="O694" s="40">
        <f t="shared" si="73"/>
        <v>-1.5173945555766415E-2</v>
      </c>
      <c r="P694" s="207">
        <f t="shared" si="74"/>
        <v>1.0482388300125933E-4</v>
      </c>
      <c r="Q694" s="208">
        <f t="shared" si="75"/>
        <v>1.0021992959873915</v>
      </c>
      <c r="R694" s="40">
        <f t="shared" si="76"/>
        <v>-1.5245240642196473E-2</v>
      </c>
      <c r="S694" s="209">
        <v>0</v>
      </c>
    </row>
    <row r="695" spans="1:19" x14ac:dyDescent="0.45">
      <c r="A695" s="16">
        <v>44601</v>
      </c>
      <c r="B695" s="42">
        <f>'Part 2 - CAPM 2.1, 2.2 and 2.3'!N695</f>
        <v>1.0617885998650484E-2</v>
      </c>
      <c r="C695" s="42">
        <f>'Part 2 - CAPM 2.1, 2.2 and 2.3'!O695</f>
        <v>-1.6845701481817289E-2</v>
      </c>
      <c r="E695" s="16">
        <v>44601</v>
      </c>
      <c r="F695" s="17">
        <v>3.8800000000000001E-2</v>
      </c>
      <c r="G695" s="41">
        <f t="shared" si="72"/>
        <v>1.0429639960496395E-4</v>
      </c>
      <c r="L695" s="40">
        <f t="shared" si="70"/>
        <v>1.074553427232686E-2</v>
      </c>
      <c r="M695" s="40">
        <f t="shared" si="71"/>
        <v>-1.6778453765886082E-2</v>
      </c>
      <c r="O695" s="40">
        <f t="shared" si="73"/>
        <v>1.074553427232686E-2</v>
      </c>
      <c r="P695" s="207">
        <f t="shared" si="74"/>
        <v>1.0429639960496395E-4</v>
      </c>
      <c r="Q695" s="208">
        <f t="shared" si="75"/>
        <v>1.0021992959873915</v>
      </c>
      <c r="R695" s="40">
        <f t="shared" si="76"/>
        <v>1.0617885998650484E-2</v>
      </c>
      <c r="S695" s="209">
        <v>0</v>
      </c>
    </row>
    <row r="696" spans="1:19" x14ac:dyDescent="0.45">
      <c r="A696" s="16">
        <v>44602</v>
      </c>
      <c r="B696" s="42">
        <f>'Part 2 - CAPM 2.1, 2.2 and 2.3'!N696</f>
        <v>6.2819131128735014E-3</v>
      </c>
      <c r="C696" s="42">
        <f>'Part 2 - CAPM 2.1, 2.2 and 2.3'!O696</f>
        <v>3.3039642900387863E-2</v>
      </c>
      <c r="E696" s="16">
        <v>44602</v>
      </c>
      <c r="F696" s="17">
        <v>3.7599999999999995E-2</v>
      </c>
      <c r="G696" s="41">
        <f t="shared" si="72"/>
        <v>1.0112937081929729E-4</v>
      </c>
      <c r="L696" s="40">
        <f t="shared" si="70"/>
        <v>6.3968582699950836E-3</v>
      </c>
      <c r="M696" s="40">
        <f t="shared" si="71"/>
        <v>3.3213436225262835E-2</v>
      </c>
      <c r="O696" s="40">
        <f t="shared" si="73"/>
        <v>6.3968582699950836E-3</v>
      </c>
      <c r="P696" s="207">
        <f t="shared" si="74"/>
        <v>1.0112937081929729E-4</v>
      </c>
      <c r="Q696" s="208">
        <f t="shared" si="75"/>
        <v>1.0021992959873915</v>
      </c>
      <c r="R696" s="40">
        <f t="shared" si="76"/>
        <v>6.2819131128735014E-3</v>
      </c>
      <c r="S696" s="209">
        <v>0</v>
      </c>
    </row>
    <row r="697" spans="1:19" x14ac:dyDescent="0.45">
      <c r="A697" s="16">
        <v>44603</v>
      </c>
      <c r="B697" s="42">
        <f>'Part 2 - CAPM 2.1, 2.2 and 2.3'!N697</f>
        <v>-1.4718194332304351E-2</v>
      </c>
      <c r="C697" s="42">
        <f>'Part 2 - CAPM 2.1, 2.2 and 2.3'!O697</f>
        <v>-1.27553679355141E-2</v>
      </c>
      <c r="E697" s="16">
        <v>44603</v>
      </c>
      <c r="F697" s="17">
        <v>3.7499999999999999E-2</v>
      </c>
      <c r="G697" s="41">
        <f t="shared" si="72"/>
        <v>1.0086528689723373E-4</v>
      </c>
      <c r="L697" s="40">
        <f t="shared" si="70"/>
        <v>-1.4649698711143803E-2</v>
      </c>
      <c r="M697" s="40">
        <f t="shared" si="71"/>
        <v>-1.2682555478135146E-2</v>
      </c>
      <c r="O697" s="40">
        <f t="shared" si="73"/>
        <v>-1.4649698711143803E-2</v>
      </c>
      <c r="P697" s="207">
        <f t="shared" si="74"/>
        <v>1.0086528689723373E-4</v>
      </c>
      <c r="Q697" s="208">
        <f t="shared" si="75"/>
        <v>1.0021992959873915</v>
      </c>
      <c r="R697" s="40">
        <f t="shared" si="76"/>
        <v>-1.4718194332304351E-2</v>
      </c>
      <c r="S697" s="209">
        <v>0</v>
      </c>
    </row>
    <row r="698" spans="1:19" x14ac:dyDescent="0.45">
      <c r="A698" s="16">
        <v>44606</v>
      </c>
      <c r="B698" s="42">
        <f>'Part 2 - CAPM 2.1, 2.2 and 2.3'!N698</f>
        <v>-3.3066686441054913E-2</v>
      </c>
      <c r="C698" s="42">
        <f>'Part 2 - CAPM 2.1, 2.2 and 2.3'!O698</f>
        <v>-1.2023633096601712E-2</v>
      </c>
      <c r="E698" s="16">
        <v>44606</v>
      </c>
      <c r="F698" s="17">
        <v>3.7599999999999995E-2</v>
      </c>
      <c r="G698" s="41">
        <f t="shared" si="72"/>
        <v>1.0112937081929729E-4</v>
      </c>
      <c r="L698" s="40">
        <f t="shared" si="70"/>
        <v>-3.303828050104176E-2</v>
      </c>
      <c r="M698" s="40">
        <f t="shared" si="71"/>
        <v>-1.1948947253805639E-2</v>
      </c>
      <c r="O698" s="40">
        <f t="shared" si="73"/>
        <v>-3.303828050104176E-2</v>
      </c>
      <c r="P698" s="207">
        <f t="shared" si="74"/>
        <v>1.0112937081929729E-4</v>
      </c>
      <c r="Q698" s="208">
        <f t="shared" si="75"/>
        <v>1.0021992959873915</v>
      </c>
      <c r="R698" s="40">
        <f t="shared" si="76"/>
        <v>-3.3066686441054913E-2</v>
      </c>
      <c r="S698" s="209">
        <v>0</v>
      </c>
    </row>
    <row r="699" spans="1:19" x14ac:dyDescent="0.45">
      <c r="A699" s="16">
        <v>44607</v>
      </c>
      <c r="B699" s="42">
        <f>'Part 2 - CAPM 2.1, 2.2 and 2.3'!N699</f>
        <v>2.8033241719662618E-2</v>
      </c>
      <c r="C699" s="42">
        <f>'Part 2 - CAPM 2.1, 2.2 and 2.3'!O699</f>
        <v>-7.6428715590744203E-3</v>
      </c>
      <c r="E699" s="16">
        <v>44607</v>
      </c>
      <c r="F699" s="17">
        <v>3.7699999999999997E-2</v>
      </c>
      <c r="G699" s="41">
        <f t="shared" si="72"/>
        <v>1.0139342936099638E-4</v>
      </c>
      <c r="L699" s="40">
        <f t="shared" si="70"/>
        <v>2.8196288545051247E-2</v>
      </c>
      <c r="M699" s="40">
        <f t="shared" si="71"/>
        <v>-7.5582870664654455E-3</v>
      </c>
      <c r="O699" s="40">
        <f t="shared" si="73"/>
        <v>2.8196288545051247E-2</v>
      </c>
      <c r="P699" s="207">
        <f t="shared" si="74"/>
        <v>1.0139342936099638E-4</v>
      </c>
      <c r="Q699" s="208">
        <f t="shared" si="75"/>
        <v>1.0021992959873915</v>
      </c>
      <c r="R699" s="40">
        <f t="shared" si="76"/>
        <v>2.8033241719662618E-2</v>
      </c>
      <c r="S699" s="209">
        <v>0</v>
      </c>
    </row>
    <row r="700" spans="1:19" x14ac:dyDescent="0.45">
      <c r="A700" s="16">
        <v>44608</v>
      </c>
      <c r="B700" s="42">
        <f>'Part 2 - CAPM 2.1, 2.2 and 2.3'!N700</f>
        <v>-1.1573730868079685E-3</v>
      </c>
      <c r="C700" s="42">
        <f>'Part 2 - CAPM 2.1, 2.2 and 2.3'!O700</f>
        <v>2.4215772379600372E-2</v>
      </c>
      <c r="E700" s="16">
        <v>44608</v>
      </c>
      <c r="F700" s="17">
        <v>3.73E-2</v>
      </c>
      <c r="G700" s="41">
        <f t="shared" si="72"/>
        <v>1.0033704289202916E-4</v>
      </c>
      <c r="L700" s="40">
        <f t="shared" si="70"/>
        <v>-1.059581449901671E-3</v>
      </c>
      <c r="M700" s="40">
        <f t="shared" si="71"/>
        <v>2.4369367073518444E-2</v>
      </c>
      <c r="O700" s="40">
        <f t="shared" si="73"/>
        <v>-1.059581449901671E-3</v>
      </c>
      <c r="P700" s="207">
        <f t="shared" si="74"/>
        <v>1.0033704289202916E-4</v>
      </c>
      <c r="Q700" s="208">
        <f t="shared" si="75"/>
        <v>1.0021992959873915</v>
      </c>
      <c r="R700" s="40">
        <f t="shared" si="76"/>
        <v>-1.1573730868079685E-3</v>
      </c>
      <c r="S700" s="209">
        <v>0</v>
      </c>
    </row>
    <row r="701" spans="1:19" x14ac:dyDescent="0.45">
      <c r="A701" s="16">
        <v>44609</v>
      </c>
      <c r="B701" s="42">
        <f>'Part 2 - CAPM 2.1, 2.2 and 2.3'!N701</f>
        <v>-1.3053921006692286E-3</v>
      </c>
      <c r="C701" s="42">
        <f>'Part 2 - CAPM 2.1, 2.2 and 2.3'!O701</f>
        <v>1.6815459198867261E-2</v>
      </c>
      <c r="E701" s="16">
        <v>44609</v>
      </c>
      <c r="F701" s="17">
        <v>3.6600000000000001E-2</v>
      </c>
      <c r="G701" s="41">
        <f t="shared" si="72"/>
        <v>9.8487388669799003E-5</v>
      </c>
      <c r="L701" s="40">
        <f t="shared" si="70"/>
        <v>-1.2097756556084041E-3</v>
      </c>
      <c r="M701" s="40">
        <f t="shared" si="71"/>
        <v>1.6950928759479275E-2</v>
      </c>
      <c r="O701" s="40">
        <f t="shared" si="73"/>
        <v>-1.2097756556084041E-3</v>
      </c>
      <c r="P701" s="207">
        <f t="shared" si="74"/>
        <v>9.8487388669799003E-5</v>
      </c>
      <c r="Q701" s="208">
        <f t="shared" si="75"/>
        <v>1.0021992959873915</v>
      </c>
      <c r="R701" s="40">
        <f t="shared" si="76"/>
        <v>-1.3053921006692286E-3</v>
      </c>
      <c r="S701" s="209">
        <v>0</v>
      </c>
    </row>
    <row r="702" spans="1:19" x14ac:dyDescent="0.45">
      <c r="A702" s="16">
        <v>44610</v>
      </c>
      <c r="B702" s="42">
        <f>'Part 2 - CAPM 2.1, 2.2 and 2.3'!N702</f>
        <v>-4.2531863640016968E-3</v>
      </c>
      <c r="C702" s="42">
        <f>'Part 2 - CAPM 2.1, 2.2 and 2.3'!O702</f>
        <v>-1.9650700253677406E-2</v>
      </c>
      <c r="E702" s="16">
        <v>44610</v>
      </c>
      <c r="F702" s="17">
        <v>3.7200000000000004E-2</v>
      </c>
      <c r="G702" s="41">
        <f t="shared" si="72"/>
        <v>1.0007288279911819E-4</v>
      </c>
      <c r="L702" s="40">
        <f t="shared" si="70"/>
        <v>-4.1624674969065563E-3</v>
      </c>
      <c r="M702" s="40">
        <f t="shared" si="71"/>
        <v>-1.9593845077095634E-2</v>
      </c>
      <c r="O702" s="40">
        <f t="shared" si="73"/>
        <v>-4.1624674969065563E-3</v>
      </c>
      <c r="P702" s="207">
        <f t="shared" si="74"/>
        <v>1.0007288279911819E-4</v>
      </c>
      <c r="Q702" s="208">
        <f t="shared" si="75"/>
        <v>1.0021992959873915</v>
      </c>
      <c r="R702" s="40">
        <f t="shared" si="76"/>
        <v>-4.2531863640016968E-3</v>
      </c>
      <c r="S702" s="209">
        <v>0</v>
      </c>
    </row>
    <row r="703" spans="1:19" x14ac:dyDescent="0.45">
      <c r="A703" s="16">
        <v>44613</v>
      </c>
      <c r="B703" s="42">
        <f>'Part 2 - CAPM 2.1, 2.2 and 2.3'!N703</f>
        <v>-7.8220788815937317E-3</v>
      </c>
      <c r="C703" s="42">
        <f>'Part 2 - CAPM 2.1, 2.2 and 2.3'!O703</f>
        <v>-2.8373618221115605E-2</v>
      </c>
      <c r="E703" s="16">
        <v>44613</v>
      </c>
      <c r="F703" s="17">
        <v>3.7100000000000001E-2</v>
      </c>
      <c r="G703" s="41">
        <f t="shared" si="72"/>
        <v>9.9808697306080774E-5</v>
      </c>
      <c r="L703" s="40">
        <f t="shared" si="70"/>
        <v>-7.7394732509850003E-3</v>
      </c>
      <c r="M703" s="40">
        <f t="shared" si="71"/>
        <v>-2.8336211508511004E-2</v>
      </c>
      <c r="O703" s="40">
        <f t="shared" si="73"/>
        <v>-7.7394732509850003E-3</v>
      </c>
      <c r="P703" s="207">
        <f t="shared" si="74"/>
        <v>9.9808697306080774E-5</v>
      </c>
      <c r="Q703" s="208">
        <f t="shared" si="75"/>
        <v>1.0021992959873915</v>
      </c>
      <c r="R703" s="40">
        <f t="shared" si="76"/>
        <v>-7.8220788815937317E-3</v>
      </c>
      <c r="S703" s="209">
        <v>0</v>
      </c>
    </row>
    <row r="704" spans="1:19" x14ac:dyDescent="0.45">
      <c r="A704" s="16">
        <v>44614</v>
      </c>
      <c r="B704" s="42">
        <f>'Part 2 - CAPM 2.1, 2.2 and 2.3'!N704</f>
        <v>-7.5022281054119037E-3</v>
      </c>
      <c r="C704" s="42">
        <f>'Part 2 - CAPM 2.1, 2.2 and 2.3'!O704</f>
        <v>8.1694523851947223E-3</v>
      </c>
      <c r="E704" s="16">
        <v>44614</v>
      </c>
      <c r="F704" s="17">
        <v>3.7200000000000004E-2</v>
      </c>
      <c r="G704" s="41">
        <f t="shared" si="72"/>
        <v>1.0007288279911819E-4</v>
      </c>
      <c r="L704" s="40">
        <f t="shared" si="70"/>
        <v>-7.4186548427815141E-3</v>
      </c>
      <c r="M704" s="40">
        <f t="shared" si="71"/>
        <v>8.2874923118437856E-3</v>
      </c>
      <c r="O704" s="40">
        <f t="shared" si="73"/>
        <v>-7.4186548427815141E-3</v>
      </c>
      <c r="P704" s="207">
        <f t="shared" si="74"/>
        <v>1.0007288279911819E-4</v>
      </c>
      <c r="Q704" s="208">
        <f t="shared" si="75"/>
        <v>1.0021992959873915</v>
      </c>
      <c r="R704" s="40">
        <f t="shared" si="76"/>
        <v>-7.5022281054119037E-3</v>
      </c>
      <c r="S704" s="209">
        <v>0</v>
      </c>
    </row>
    <row r="705" spans="1:19" x14ac:dyDescent="0.45">
      <c r="A705" s="16">
        <v>44615</v>
      </c>
      <c r="B705" s="42">
        <f>'Part 2 - CAPM 2.1, 2.2 and 2.3'!N705</f>
        <v>1.1356070131788342E-3</v>
      </c>
      <c r="C705" s="42">
        <f>'Part 2 - CAPM 2.1, 2.2 and 2.3'!O705</f>
        <v>-2.1971011613466436E-2</v>
      </c>
      <c r="E705" s="16">
        <v>44615</v>
      </c>
      <c r="F705" s="17">
        <v>3.7100000000000001E-2</v>
      </c>
      <c r="G705" s="41">
        <f t="shared" si="72"/>
        <v>9.9808697306080774E-5</v>
      </c>
      <c r="L705" s="40">
        <f t="shared" si="70"/>
        <v>1.2379132464322528E-3</v>
      </c>
      <c r="M705" s="40">
        <f t="shared" si="71"/>
        <v>-2.1919523673840785E-2</v>
      </c>
      <c r="O705" s="40">
        <f t="shared" si="73"/>
        <v>1.2379132464322528E-3</v>
      </c>
      <c r="P705" s="207">
        <f t="shared" si="74"/>
        <v>9.9808697306080774E-5</v>
      </c>
      <c r="Q705" s="208">
        <f t="shared" si="75"/>
        <v>1.0021992959873915</v>
      </c>
      <c r="R705" s="40">
        <f t="shared" si="76"/>
        <v>1.1356070131788342E-3</v>
      </c>
      <c r="S705" s="209">
        <v>0</v>
      </c>
    </row>
    <row r="706" spans="1:19" x14ac:dyDescent="0.45">
      <c r="A706" s="16">
        <v>44616</v>
      </c>
      <c r="B706" s="42">
        <f>'Part 2 - CAPM 2.1, 2.2 and 2.3'!N706</f>
        <v>-5.050747512421528E-2</v>
      </c>
      <c r="C706" s="42">
        <f>'Part 2 - CAPM 2.1, 2.2 and 2.3'!O706</f>
        <v>-2.9293147761440558E-2</v>
      </c>
      <c r="E706" s="16">
        <v>44616</v>
      </c>
      <c r="F706" s="17">
        <v>3.7400000000000003E-2</v>
      </c>
      <c r="G706" s="41">
        <f t="shared" si="72"/>
        <v>1.0060117758969866E-4</v>
      </c>
      <c r="L706" s="40">
        <f t="shared" si="70"/>
        <v>-5.0517954833999547E-2</v>
      </c>
      <c r="M706" s="40">
        <f t="shared" si="71"/>
        <v>-2.9256970886180664E-2</v>
      </c>
      <c r="O706" s="40">
        <f t="shared" si="73"/>
        <v>-5.0517954833999547E-2</v>
      </c>
      <c r="P706" s="207">
        <f t="shared" si="74"/>
        <v>1.0060117758969866E-4</v>
      </c>
      <c r="Q706" s="208">
        <f t="shared" si="75"/>
        <v>1.0021992959873915</v>
      </c>
      <c r="R706" s="40">
        <f t="shared" si="76"/>
        <v>-5.050747512421528E-2</v>
      </c>
      <c r="S706" s="209">
        <v>0</v>
      </c>
    </row>
    <row r="707" spans="1:19" x14ac:dyDescent="0.45">
      <c r="A707" s="16">
        <v>44617</v>
      </c>
      <c r="B707" s="42">
        <f>'Part 2 - CAPM 2.1, 2.2 and 2.3'!N707</f>
        <v>2.9785357430684209E-2</v>
      </c>
      <c r="C707" s="42">
        <f>'Part 2 - CAPM 2.1, 2.2 and 2.3'!O707</f>
        <v>2.1012642584406351E-2</v>
      </c>
      <c r="E707" s="16">
        <v>44617</v>
      </c>
      <c r="F707" s="17">
        <v>3.7400000000000003E-2</v>
      </c>
      <c r="G707" s="41">
        <f t="shared" si="72"/>
        <v>1.0060117758969866E-4</v>
      </c>
      <c r="L707" s="40">
        <f t="shared" ref="L707:L770" si="77">G707+($J$1*(B707))</f>
        <v>2.9951465425354235E-2</v>
      </c>
      <c r="M707" s="40">
        <f t="shared" ref="M707:M770" si="78">G707+($J$1*(C707))</f>
        <v>2.1159456782516427E-2</v>
      </c>
      <c r="O707" s="40">
        <f t="shared" si="73"/>
        <v>2.9951465425354235E-2</v>
      </c>
      <c r="P707" s="207">
        <f t="shared" si="74"/>
        <v>1.0060117758969866E-4</v>
      </c>
      <c r="Q707" s="208">
        <f t="shared" si="75"/>
        <v>1.0021992959873915</v>
      </c>
      <c r="R707" s="40">
        <f t="shared" si="76"/>
        <v>2.9785357430684209E-2</v>
      </c>
      <c r="S707" s="209">
        <v>0</v>
      </c>
    </row>
    <row r="708" spans="1:19" x14ac:dyDescent="0.45">
      <c r="A708" s="16">
        <v>44620</v>
      </c>
      <c r="B708" s="42">
        <f>'Part 2 - CAPM 2.1, 2.2 and 2.3'!N708</f>
        <v>8.3966391472485944E-3</v>
      </c>
      <c r="C708" s="42">
        <f>'Part 2 - CAPM 2.1, 2.2 and 2.3'!O708</f>
        <v>4.9121942854288446E-3</v>
      </c>
      <c r="E708" s="16">
        <v>44620</v>
      </c>
      <c r="F708" s="17">
        <v>3.73E-2</v>
      </c>
      <c r="G708" s="41">
        <f t="shared" ref="G708:G771" si="79">((1+F708)^(1/365))-1</f>
        <v>1.0033704289202916E-4</v>
      </c>
      <c r="L708" s="40">
        <f t="shared" si="77"/>
        <v>8.5154428849247427E-3</v>
      </c>
      <c r="M708" s="40">
        <f t="shared" si="78"/>
        <v>5.0233346975021046E-3</v>
      </c>
      <c r="O708" s="40">
        <f t="shared" ref="O708:O771" si="80">P708+(Q708*(R708))+S708</f>
        <v>8.5154428849247427E-3</v>
      </c>
      <c r="P708" s="207">
        <f t="shared" ref="P708:P771" si="81">G708</f>
        <v>1.0033704289202916E-4</v>
      </c>
      <c r="Q708" s="208">
        <f t="shared" ref="Q708:Q771" si="82">$J$1</f>
        <v>1.0021992959873915</v>
      </c>
      <c r="R708" s="40">
        <f t="shared" ref="R708:R771" si="83">B708</f>
        <v>8.3966391472485944E-3</v>
      </c>
      <c r="S708" s="209">
        <v>0</v>
      </c>
    </row>
    <row r="709" spans="1:19" x14ac:dyDescent="0.45">
      <c r="A709" s="16">
        <v>44622</v>
      </c>
      <c r="B709" s="42">
        <f>'Part 2 - CAPM 2.1, 2.2 and 2.3'!N709</f>
        <v>-7.6603922917656076E-3</v>
      </c>
      <c r="C709" s="42">
        <f>'Part 2 - CAPM 2.1, 2.2 and 2.3'!O709</f>
        <v>1.6107818846699682E-2</v>
      </c>
      <c r="E709" s="16">
        <v>44622</v>
      </c>
      <c r="F709" s="17">
        <v>3.78E-2</v>
      </c>
      <c r="G709" s="41">
        <f t="shared" si="79"/>
        <v>1.0165746252721597E-4</v>
      </c>
      <c r="L709" s="40">
        <f t="shared" si="77"/>
        <v>-7.575582299267517E-3</v>
      </c>
      <c r="M709" s="40">
        <f t="shared" si="78"/>
        <v>1.6244902170582075E-2</v>
      </c>
      <c r="O709" s="40">
        <f t="shared" si="80"/>
        <v>-7.575582299267517E-3</v>
      </c>
      <c r="P709" s="207">
        <f t="shared" si="81"/>
        <v>1.0165746252721597E-4</v>
      </c>
      <c r="Q709" s="208">
        <f t="shared" si="82"/>
        <v>1.0021992959873915</v>
      </c>
      <c r="R709" s="40">
        <f t="shared" si="83"/>
        <v>-7.6603922917656076E-3</v>
      </c>
      <c r="S709" s="209">
        <v>0</v>
      </c>
    </row>
    <row r="710" spans="1:19" x14ac:dyDescent="0.45">
      <c r="A710" s="16">
        <v>44623</v>
      </c>
      <c r="B710" s="42">
        <f>'Part 2 - CAPM 2.1, 2.2 and 2.3'!N710</f>
        <v>-4.5984636751423029E-3</v>
      </c>
      <c r="C710" s="42">
        <f>'Part 2 - CAPM 2.1, 2.2 and 2.3'!O710</f>
        <v>4.5603600002069949E-2</v>
      </c>
      <c r="E710" s="16">
        <v>44623</v>
      </c>
      <c r="F710" s="17">
        <v>3.7900000000000003E-2</v>
      </c>
      <c r="G710" s="41">
        <f t="shared" si="79"/>
        <v>1.01921470322619E-4</v>
      </c>
      <c r="L710" s="40">
        <f t="shared" si="77"/>
        <v>-4.5066555875285901E-3</v>
      </c>
      <c r="M710" s="40">
        <f t="shared" si="78"/>
        <v>4.5805817286887728E-2</v>
      </c>
      <c r="O710" s="40">
        <f t="shared" si="80"/>
        <v>-4.5066555875285901E-3</v>
      </c>
      <c r="P710" s="207">
        <f t="shared" si="81"/>
        <v>1.01921470322619E-4</v>
      </c>
      <c r="Q710" s="208">
        <f t="shared" si="82"/>
        <v>1.0021992959873915</v>
      </c>
      <c r="R710" s="40">
        <f t="shared" si="83"/>
        <v>-4.5984636751423029E-3</v>
      </c>
      <c r="S710" s="209">
        <v>0</v>
      </c>
    </row>
    <row r="711" spans="1:19" x14ac:dyDescent="0.45">
      <c r="A711" s="16">
        <v>44624</v>
      </c>
      <c r="B711" s="42">
        <f>'Part 2 - CAPM 2.1, 2.2 and 2.3'!N711</f>
        <v>-1.7278250733119112E-2</v>
      </c>
      <c r="C711" s="42">
        <f>'Part 2 - CAPM 2.1, 2.2 and 2.3'!O711</f>
        <v>-2.6796230627290203E-2</v>
      </c>
      <c r="E711" s="16">
        <v>44624</v>
      </c>
      <c r="F711" s="17">
        <v>3.7999999999999999E-2</v>
      </c>
      <c r="G711" s="41">
        <f t="shared" si="79"/>
        <v>1.021854527523125E-4</v>
      </c>
      <c r="L711" s="40">
        <f t="shared" si="77"/>
        <v>-1.7214065267873294E-2</v>
      </c>
      <c r="M711" s="40">
        <f t="shared" si="78"/>
        <v>-2.6752978017033708E-2</v>
      </c>
      <c r="O711" s="40">
        <f t="shared" si="80"/>
        <v>-1.7214065267873294E-2</v>
      </c>
      <c r="P711" s="207">
        <f t="shared" si="81"/>
        <v>1.021854527523125E-4</v>
      </c>
      <c r="Q711" s="208">
        <f t="shared" si="82"/>
        <v>1.0021992959873915</v>
      </c>
      <c r="R711" s="40">
        <f t="shared" si="83"/>
        <v>-1.7278250733119112E-2</v>
      </c>
      <c r="S711" s="209">
        <v>0</v>
      </c>
    </row>
    <row r="712" spans="1:19" x14ac:dyDescent="0.45">
      <c r="A712" s="16">
        <v>44627</v>
      </c>
      <c r="B712" s="42">
        <f>'Part 2 - CAPM 2.1, 2.2 and 2.3'!N712</f>
        <v>-2.3776514206755871E-2</v>
      </c>
      <c r="C712" s="42">
        <f>'Part 2 - CAPM 2.1, 2.2 and 2.3'!O712</f>
        <v>0.12708207398778923</v>
      </c>
      <c r="E712" s="16">
        <v>44627</v>
      </c>
      <c r="F712" s="17">
        <v>3.8300000000000001E-2</v>
      </c>
      <c r="G712" s="41">
        <f t="shared" si="79"/>
        <v>1.0297724789487539E-4</v>
      </c>
      <c r="L712" s="40">
        <f t="shared" si="77"/>
        <v>-2.3725828551150071E-2</v>
      </c>
      <c r="M712" s="40">
        <f t="shared" si="78"/>
        <v>0.12746454233107485</v>
      </c>
      <c r="O712" s="40">
        <f t="shared" si="80"/>
        <v>-2.3725828551150071E-2</v>
      </c>
      <c r="P712" s="207">
        <f t="shared" si="81"/>
        <v>1.0297724789487539E-4</v>
      </c>
      <c r="Q712" s="208">
        <f t="shared" si="82"/>
        <v>1.0021992959873915</v>
      </c>
      <c r="R712" s="40">
        <f t="shared" si="83"/>
        <v>-2.3776514206755871E-2</v>
      </c>
      <c r="S712" s="209">
        <v>0</v>
      </c>
    </row>
    <row r="713" spans="1:19" x14ac:dyDescent="0.45">
      <c r="A713" s="16">
        <v>44628</v>
      </c>
      <c r="B713" s="42">
        <f>'Part 2 - CAPM 2.1, 2.2 and 2.3'!N713</f>
        <v>1.0402315757758865E-2</v>
      </c>
      <c r="C713" s="42">
        <f>'Part 2 - CAPM 2.1, 2.2 and 2.3'!O713</f>
        <v>-4.4488267866878109E-2</v>
      </c>
      <c r="E713" s="16">
        <v>44628</v>
      </c>
      <c r="F713" s="17">
        <v>3.8399999999999997E-2</v>
      </c>
      <c r="G713" s="41">
        <f t="shared" si="79"/>
        <v>1.0324112891013648E-4</v>
      </c>
      <c r="L713" s="40">
        <f t="shared" si="77"/>
        <v>1.0528434657974621E-2</v>
      </c>
      <c r="M713" s="40">
        <f t="shared" si="78"/>
        <v>-4.4482869606973598E-2</v>
      </c>
      <c r="O713" s="40">
        <f t="shared" si="80"/>
        <v>1.0528434657974621E-2</v>
      </c>
      <c r="P713" s="207">
        <f t="shared" si="81"/>
        <v>1.0324112891013648E-4</v>
      </c>
      <c r="Q713" s="208">
        <f t="shared" si="82"/>
        <v>1.0021992959873915</v>
      </c>
      <c r="R713" s="40">
        <f t="shared" si="83"/>
        <v>1.0402315757758865E-2</v>
      </c>
      <c r="S713" s="209">
        <v>0</v>
      </c>
    </row>
    <row r="714" spans="1:19" x14ac:dyDescent="0.45">
      <c r="A714" s="16">
        <v>44629</v>
      </c>
      <c r="B714" s="42">
        <f>'Part 2 - CAPM 2.1, 2.2 and 2.3'!N714</f>
        <v>1.9804593107447459E-2</v>
      </c>
      <c r="C714" s="42">
        <f>'Part 2 - CAPM 2.1, 2.2 and 2.3'!O714</f>
        <v>-2.3045138156427579E-2</v>
      </c>
      <c r="E714" s="16">
        <v>44629</v>
      </c>
      <c r="F714" s="17">
        <v>3.78E-2</v>
      </c>
      <c r="G714" s="41">
        <f t="shared" si="79"/>
        <v>1.0165746252721597E-4</v>
      </c>
      <c r="L714" s="40">
        <f t="shared" si="77"/>
        <v>1.9949806732127807E-2</v>
      </c>
      <c r="M714" s="40">
        <f t="shared" si="78"/>
        <v>-2.299416377377668E-2</v>
      </c>
      <c r="O714" s="40">
        <f t="shared" si="80"/>
        <v>1.9949806732127807E-2</v>
      </c>
      <c r="P714" s="207">
        <f t="shared" si="81"/>
        <v>1.0165746252721597E-4</v>
      </c>
      <c r="Q714" s="208">
        <f t="shared" si="82"/>
        <v>1.0021992959873915</v>
      </c>
      <c r="R714" s="40">
        <f t="shared" si="83"/>
        <v>1.9804593107447459E-2</v>
      </c>
      <c r="S714" s="209">
        <v>0</v>
      </c>
    </row>
    <row r="715" spans="1:19" x14ac:dyDescent="0.45">
      <c r="A715" s="16">
        <v>44630</v>
      </c>
      <c r="B715" s="42">
        <f>'Part 2 - CAPM 2.1, 2.2 and 2.3'!N715</f>
        <v>1.4875728226436199E-2</v>
      </c>
      <c r="C715" s="42">
        <f>'Part 2 - CAPM 2.1, 2.2 and 2.3'!O715</f>
        <v>-1.2487165011895675E-3</v>
      </c>
      <c r="E715" s="16">
        <v>44630</v>
      </c>
      <c r="F715" s="17">
        <v>3.8399999999999997E-2</v>
      </c>
      <c r="G715" s="41">
        <f t="shared" si="79"/>
        <v>1.0324112891013648E-4</v>
      </c>
      <c r="L715" s="40">
        <f t="shared" si="77"/>
        <v>1.5011685484744264E-2</v>
      </c>
      <c r="M715" s="40">
        <f t="shared" si="78"/>
        <v>-1.1482216694698869E-3</v>
      </c>
      <c r="O715" s="40">
        <f t="shared" si="80"/>
        <v>1.5011685484744264E-2</v>
      </c>
      <c r="P715" s="207">
        <f t="shared" si="81"/>
        <v>1.0324112891013648E-4</v>
      </c>
      <c r="Q715" s="208">
        <f t="shared" si="82"/>
        <v>1.0021992959873915</v>
      </c>
      <c r="R715" s="40">
        <f t="shared" si="83"/>
        <v>1.4875728226436199E-2</v>
      </c>
      <c r="S715" s="209">
        <v>0</v>
      </c>
    </row>
    <row r="716" spans="1:19" x14ac:dyDescent="0.45">
      <c r="A716" s="16">
        <v>44631</v>
      </c>
      <c r="B716" s="42">
        <f>'Part 2 - CAPM 2.1, 2.2 and 2.3'!N716</f>
        <v>3.2904965698512404E-3</v>
      </c>
      <c r="C716" s="42">
        <f>'Part 2 - CAPM 2.1, 2.2 and 2.3'!O716</f>
        <v>6.2043622016463764E-3</v>
      </c>
      <c r="E716" s="16">
        <v>44631</v>
      </c>
      <c r="F716" s="17">
        <v>3.8300000000000001E-2</v>
      </c>
      <c r="G716" s="41">
        <f t="shared" si="79"/>
        <v>1.0297724789487539E-4</v>
      </c>
      <c r="L716" s="40">
        <f t="shared" si="77"/>
        <v>3.4007105936487152E-3</v>
      </c>
      <c r="M716" s="40">
        <f t="shared" si="78"/>
        <v>6.3209846784356566E-3</v>
      </c>
      <c r="O716" s="40">
        <f t="shared" si="80"/>
        <v>3.4007105936487152E-3</v>
      </c>
      <c r="P716" s="207">
        <f t="shared" si="81"/>
        <v>1.0297724789487539E-4</v>
      </c>
      <c r="Q716" s="208">
        <f t="shared" si="82"/>
        <v>1.0021992959873915</v>
      </c>
      <c r="R716" s="40">
        <f t="shared" si="83"/>
        <v>3.2904965698512404E-3</v>
      </c>
      <c r="S716" s="209">
        <v>0</v>
      </c>
    </row>
    <row r="717" spans="1:19" x14ac:dyDescent="0.45">
      <c r="A717" s="16">
        <v>44634</v>
      </c>
      <c r="B717" s="42">
        <f>'Part 2 - CAPM 2.1, 2.2 and 2.3'!N717</f>
        <v>9.5513426124704884E-3</v>
      </c>
      <c r="C717" s="42">
        <f>'Part 2 - CAPM 2.1, 2.2 and 2.3'!O717</f>
        <v>-2.232519947011713E-2</v>
      </c>
      <c r="E717" s="16">
        <v>44634</v>
      </c>
      <c r="F717" s="17">
        <v>3.8300000000000001E-2</v>
      </c>
      <c r="G717" s="41">
        <f t="shared" si="79"/>
        <v>1.0297724789487539E-4</v>
      </c>
      <c r="L717" s="40">
        <f t="shared" si="77"/>
        <v>9.6753260898471728E-3</v>
      </c>
      <c r="M717" s="40">
        <f t="shared" si="78"/>
        <v>-2.2271321943834597E-2</v>
      </c>
      <c r="O717" s="40">
        <f t="shared" si="80"/>
        <v>9.6753260898471728E-3</v>
      </c>
      <c r="P717" s="207">
        <f t="shared" si="81"/>
        <v>1.0297724789487539E-4</v>
      </c>
      <c r="Q717" s="208">
        <f t="shared" si="82"/>
        <v>1.0021992959873915</v>
      </c>
      <c r="R717" s="40">
        <f t="shared" si="83"/>
        <v>9.5513426124704884E-3</v>
      </c>
      <c r="S717" s="209">
        <v>0</v>
      </c>
    </row>
    <row r="718" spans="1:19" x14ac:dyDescent="0.45">
      <c r="A718" s="16">
        <v>44635</v>
      </c>
      <c r="B718" s="42">
        <f>'Part 2 - CAPM 2.1, 2.2 and 2.3'!N718</f>
        <v>-1.1145971018959372E-2</v>
      </c>
      <c r="C718" s="42">
        <f>'Part 2 - CAPM 2.1, 2.2 and 2.3'!O718</f>
        <v>-4.7887733238300034E-2</v>
      </c>
      <c r="E718" s="16">
        <v>44635</v>
      </c>
      <c r="F718" s="17">
        <v>3.7999999999999999E-2</v>
      </c>
      <c r="G718" s="41">
        <f t="shared" si="79"/>
        <v>1.021854527523125E-4</v>
      </c>
      <c r="L718" s="40">
        <f t="shared" si="77"/>
        <v>-1.1068298855544639E-2</v>
      </c>
      <c r="M718" s="40">
        <f t="shared" si="78"/>
        <v>-4.789086708510399E-2</v>
      </c>
      <c r="O718" s="40">
        <f t="shared" si="80"/>
        <v>-1.1068298855544639E-2</v>
      </c>
      <c r="P718" s="207">
        <f t="shared" si="81"/>
        <v>1.021854527523125E-4</v>
      </c>
      <c r="Q718" s="208">
        <f t="shared" si="82"/>
        <v>1.0021992959873915</v>
      </c>
      <c r="R718" s="40">
        <f t="shared" si="83"/>
        <v>-1.1145971018959372E-2</v>
      </c>
      <c r="S718" s="209">
        <v>0</v>
      </c>
    </row>
    <row r="719" spans="1:19" x14ac:dyDescent="0.45">
      <c r="A719" s="16">
        <v>44636</v>
      </c>
      <c r="B719" s="42">
        <f>'Part 2 - CAPM 2.1, 2.2 and 2.3'!N719</f>
        <v>1.8606069961775981E-2</v>
      </c>
      <c r="C719" s="42">
        <f>'Part 2 - CAPM 2.1, 2.2 and 2.3'!O719</f>
        <v>2.3153892483165649E-2</v>
      </c>
      <c r="E719" s="16">
        <v>44636</v>
      </c>
      <c r="F719" s="17">
        <v>3.7900000000000003E-2</v>
      </c>
      <c r="G719" s="41">
        <f t="shared" si="79"/>
        <v>1.01921470322619E-4</v>
      </c>
      <c r="L719" s="40">
        <f t="shared" si="77"/>
        <v>1.874891168710666E-2</v>
      </c>
      <c r="M719" s="40">
        <f t="shared" si="78"/>
        <v>2.3306736216318989E-2</v>
      </c>
      <c r="O719" s="40">
        <f t="shared" si="80"/>
        <v>1.874891168710666E-2</v>
      </c>
      <c r="P719" s="207">
        <f t="shared" si="81"/>
        <v>1.01921470322619E-4</v>
      </c>
      <c r="Q719" s="208">
        <f t="shared" si="82"/>
        <v>1.0021992959873915</v>
      </c>
      <c r="R719" s="40">
        <f t="shared" si="83"/>
        <v>1.8606069961775981E-2</v>
      </c>
      <c r="S719" s="209">
        <v>0</v>
      </c>
    </row>
    <row r="720" spans="1:19" x14ac:dyDescent="0.45">
      <c r="A720" s="16">
        <v>44637</v>
      </c>
      <c r="B720" s="42">
        <f>'Part 2 - CAPM 2.1, 2.2 and 2.3'!N720</f>
        <v>1.6464226866458685E-2</v>
      </c>
      <c r="C720" s="42">
        <f>'Part 2 - CAPM 2.1, 2.2 and 2.3'!O720</f>
        <v>1.3654587431883091E-2</v>
      </c>
      <c r="E720" s="16">
        <v>44637</v>
      </c>
      <c r="F720" s="17">
        <v>3.7699999999999997E-2</v>
      </c>
      <c r="G720" s="41">
        <f t="shared" si="79"/>
        <v>1.0139342936099638E-4</v>
      </c>
      <c r="L720" s="40">
        <f t="shared" si="77"/>
        <v>1.6601830003902588E-2</v>
      </c>
      <c r="M720" s="40">
        <f t="shared" si="78"/>
        <v>1.3786011340592515E-2</v>
      </c>
      <c r="O720" s="40">
        <f t="shared" si="80"/>
        <v>1.6601830003902588E-2</v>
      </c>
      <c r="P720" s="207">
        <f t="shared" si="81"/>
        <v>1.0139342936099638E-4</v>
      </c>
      <c r="Q720" s="208">
        <f t="shared" si="82"/>
        <v>1.0021992959873915</v>
      </c>
      <c r="R720" s="40">
        <f t="shared" si="83"/>
        <v>1.6464226866458685E-2</v>
      </c>
      <c r="S720" s="209">
        <v>0</v>
      </c>
    </row>
    <row r="721" spans="1:19" x14ac:dyDescent="0.45">
      <c r="A721" s="16">
        <v>44641</v>
      </c>
      <c r="B721" s="42">
        <f>'Part 2 - CAPM 2.1, 2.2 and 2.3'!N721</f>
        <v>-8.2087374872526452E-3</v>
      </c>
      <c r="C721" s="42">
        <f>'Part 2 - CAPM 2.1, 2.2 and 2.3'!O721</f>
        <v>1.5827546077295727E-2</v>
      </c>
      <c r="E721" s="16">
        <v>44641</v>
      </c>
      <c r="F721" s="17">
        <v>3.78E-2</v>
      </c>
      <c r="G721" s="41">
        <f t="shared" si="79"/>
        <v>1.0165746252721597E-4</v>
      </c>
      <c r="L721" s="40">
        <f t="shared" si="77"/>
        <v>-8.1251334681426944E-3</v>
      </c>
      <c r="M721" s="40">
        <f t="shared" si="78"/>
        <v>1.5964012998400993E-2</v>
      </c>
      <c r="O721" s="40">
        <f t="shared" si="80"/>
        <v>-8.1251334681426944E-3</v>
      </c>
      <c r="P721" s="207">
        <f t="shared" si="81"/>
        <v>1.0165746252721597E-4</v>
      </c>
      <c r="Q721" s="208">
        <f t="shared" si="82"/>
        <v>1.0021992959873915</v>
      </c>
      <c r="R721" s="40">
        <f t="shared" si="83"/>
        <v>-8.2087374872526452E-3</v>
      </c>
      <c r="S721" s="209">
        <v>0</v>
      </c>
    </row>
    <row r="722" spans="1:19" x14ac:dyDescent="0.45">
      <c r="A722" s="16">
        <v>44642</v>
      </c>
      <c r="B722" s="42">
        <f>'Part 2 - CAPM 2.1, 2.2 and 2.3'!N722</f>
        <v>8.2331455917722656E-3</v>
      </c>
      <c r="C722" s="42">
        <f>'Part 2 - CAPM 2.1, 2.2 and 2.3'!O722</f>
        <v>1.9062633695382861E-2</v>
      </c>
      <c r="E722" s="16">
        <v>44642</v>
      </c>
      <c r="F722" s="17">
        <v>3.7599999999999995E-2</v>
      </c>
      <c r="G722" s="41">
        <f t="shared" si="79"/>
        <v>1.0112937081929729E-4</v>
      </c>
      <c r="L722" s="40">
        <f t="shared" si="77"/>
        <v>8.3523820866551572E-3</v>
      </c>
      <c r="M722" s="40">
        <f t="shared" si="78"/>
        <v>1.9205687439997531E-2</v>
      </c>
      <c r="O722" s="40">
        <f t="shared" si="80"/>
        <v>8.3523820866551572E-3</v>
      </c>
      <c r="P722" s="207">
        <f t="shared" si="81"/>
        <v>1.0112937081929729E-4</v>
      </c>
      <c r="Q722" s="208">
        <f t="shared" si="82"/>
        <v>1.0021992959873915</v>
      </c>
      <c r="R722" s="40">
        <f t="shared" si="83"/>
        <v>8.2331455917722656E-3</v>
      </c>
      <c r="S722" s="209">
        <v>0</v>
      </c>
    </row>
    <row r="723" spans="1:19" x14ac:dyDescent="0.45">
      <c r="A723" s="16">
        <v>44643</v>
      </c>
      <c r="B723" s="42">
        <f>'Part 2 - CAPM 2.1, 2.2 and 2.3'!N723</f>
        <v>-2.0649606402856091E-3</v>
      </c>
      <c r="C723" s="42">
        <f>'Part 2 - CAPM 2.1, 2.2 and 2.3'!O723</f>
        <v>1.3223159717491121E-3</v>
      </c>
      <c r="E723" s="16">
        <v>44643</v>
      </c>
      <c r="F723" s="17">
        <v>3.7999999999999999E-2</v>
      </c>
      <c r="G723" s="41">
        <f t="shared" si="79"/>
        <v>1.021854527523125E-4</v>
      </c>
      <c r="L723" s="40">
        <f t="shared" si="77"/>
        <v>-1.9673166471835981E-3</v>
      </c>
      <c r="M723" s="40">
        <f t="shared" si="78"/>
        <v>1.4274095887121562E-3</v>
      </c>
      <c r="O723" s="40">
        <f t="shared" si="80"/>
        <v>-1.9673166471835981E-3</v>
      </c>
      <c r="P723" s="207">
        <f t="shared" si="81"/>
        <v>1.021854527523125E-4</v>
      </c>
      <c r="Q723" s="208">
        <f t="shared" si="82"/>
        <v>1.0021992959873915</v>
      </c>
      <c r="R723" s="40">
        <f t="shared" si="83"/>
        <v>-2.0649606402856091E-3</v>
      </c>
      <c r="S723" s="209">
        <v>0</v>
      </c>
    </row>
    <row r="724" spans="1:19" x14ac:dyDescent="0.45">
      <c r="A724" s="16">
        <v>44644</v>
      </c>
      <c r="B724" s="42">
        <f>'Part 2 - CAPM 2.1, 2.2 and 2.3'!N724</f>
        <v>1.8362313035168626E-4</v>
      </c>
      <c r="C724" s="42">
        <f>'Part 2 - CAPM 2.1, 2.2 and 2.3'!O724</f>
        <v>7.0101900806758526E-3</v>
      </c>
      <c r="E724" s="16">
        <v>44644</v>
      </c>
      <c r="F724" s="17">
        <v>3.7999999999999999E-2</v>
      </c>
      <c r="G724" s="41">
        <f t="shared" si="79"/>
        <v>1.021854527523125E-4</v>
      </c>
      <c r="L724" s="40">
        <f t="shared" si="77"/>
        <v>2.8621242471777353E-4</v>
      </c>
      <c r="M724" s="40">
        <f t="shared" si="78"/>
        <v>7.1277930163434478E-3</v>
      </c>
      <c r="O724" s="40">
        <f t="shared" si="80"/>
        <v>2.8621242471777353E-4</v>
      </c>
      <c r="P724" s="207">
        <f t="shared" si="81"/>
        <v>1.021854527523125E-4</v>
      </c>
      <c r="Q724" s="208">
        <f t="shared" si="82"/>
        <v>1.0021992959873915</v>
      </c>
      <c r="R724" s="40">
        <f t="shared" si="83"/>
        <v>1.8362313035168626E-4</v>
      </c>
      <c r="S724" s="209">
        <v>0</v>
      </c>
    </row>
    <row r="725" spans="1:19" x14ac:dyDescent="0.45">
      <c r="A725" s="16">
        <v>44645</v>
      </c>
      <c r="B725" s="42">
        <f>'Part 2 - CAPM 2.1, 2.2 and 2.3'!N725</f>
        <v>-3.3435614067823696E-3</v>
      </c>
      <c r="C725" s="42">
        <f>'Part 2 - CAPM 2.1, 2.2 and 2.3'!O725</f>
        <v>-8.5764977415090596E-3</v>
      </c>
      <c r="E725" s="16">
        <v>44645</v>
      </c>
      <c r="F725" s="17">
        <v>3.7900000000000003E-2</v>
      </c>
      <c r="G725" s="41">
        <f t="shared" si="79"/>
        <v>1.01921470322619E-4</v>
      </c>
      <c r="L725" s="40">
        <f t="shared" si="77"/>
        <v>-3.2489934176452842E-3</v>
      </c>
      <c r="M725" s="40">
        <f t="shared" si="78"/>
        <v>-8.4934385282552146E-3</v>
      </c>
      <c r="O725" s="40">
        <f t="shared" si="80"/>
        <v>-3.2489934176452842E-3</v>
      </c>
      <c r="P725" s="207">
        <f t="shared" si="81"/>
        <v>1.01921470322619E-4</v>
      </c>
      <c r="Q725" s="208">
        <f t="shared" si="82"/>
        <v>1.0021992959873915</v>
      </c>
      <c r="R725" s="40">
        <f t="shared" si="83"/>
        <v>-3.3435614067823696E-3</v>
      </c>
      <c r="S725" s="209">
        <v>0</v>
      </c>
    </row>
    <row r="726" spans="1:19" x14ac:dyDescent="0.45">
      <c r="A726" s="16">
        <v>44648</v>
      </c>
      <c r="B726" s="42">
        <f>'Part 2 - CAPM 2.1, 2.2 and 2.3'!N726</f>
        <v>1.5466154341332149E-3</v>
      </c>
      <c r="C726" s="42">
        <f>'Part 2 - CAPM 2.1, 2.2 and 2.3'!O726</f>
        <v>-1.0165746252721597E-4</v>
      </c>
      <c r="E726" s="16">
        <v>44648</v>
      </c>
      <c r="F726" s="17">
        <v>3.78E-2</v>
      </c>
      <c r="G726" s="41">
        <f t="shared" si="79"/>
        <v>1.0165746252721597E-4</v>
      </c>
      <c r="L726" s="40">
        <f t="shared" si="77"/>
        <v>1.6516743617787579E-3</v>
      </c>
      <c r="M726" s="40">
        <f t="shared" si="78"/>
        <v>-2.2357484942451893E-7</v>
      </c>
      <c r="O726" s="40">
        <f t="shared" si="80"/>
        <v>1.6516743617787579E-3</v>
      </c>
      <c r="P726" s="207">
        <f t="shared" si="81"/>
        <v>1.0165746252721597E-4</v>
      </c>
      <c r="Q726" s="208">
        <f t="shared" si="82"/>
        <v>1.0021992959873915</v>
      </c>
      <c r="R726" s="40">
        <f t="shared" si="83"/>
        <v>1.5466154341332149E-3</v>
      </c>
      <c r="S726" s="209">
        <v>0</v>
      </c>
    </row>
    <row r="727" spans="1:19" x14ac:dyDescent="0.45">
      <c r="A727" s="16">
        <v>44649</v>
      </c>
      <c r="B727" s="42">
        <f>'Part 2 - CAPM 2.1, 2.2 and 2.3'!N727</f>
        <v>5.7617167202287586E-3</v>
      </c>
      <c r="C727" s="42">
        <f>'Part 2 - CAPM 2.1, 2.2 and 2.3'!O727</f>
        <v>-2.5742683103552856E-2</v>
      </c>
      <c r="E727" s="16">
        <v>44649</v>
      </c>
      <c r="F727" s="17">
        <v>3.78E-2</v>
      </c>
      <c r="G727" s="41">
        <f t="shared" si="79"/>
        <v>1.0165746252721597E-4</v>
      </c>
      <c r="L727" s="40">
        <f t="shared" si="77"/>
        <v>5.8760459032192605E-3</v>
      </c>
      <c r="M727" s="40">
        <f t="shared" si="78"/>
        <v>-2.5697641420679977E-2</v>
      </c>
      <c r="O727" s="40">
        <f t="shared" si="80"/>
        <v>5.8760459032192605E-3</v>
      </c>
      <c r="P727" s="207">
        <f t="shared" si="81"/>
        <v>1.0165746252721597E-4</v>
      </c>
      <c r="Q727" s="208">
        <f t="shared" si="82"/>
        <v>1.0021992959873915</v>
      </c>
      <c r="R727" s="40">
        <f t="shared" si="83"/>
        <v>5.7617167202287586E-3</v>
      </c>
      <c r="S727" s="209">
        <v>0</v>
      </c>
    </row>
    <row r="728" spans="1:19" x14ac:dyDescent="0.45">
      <c r="A728" s="16">
        <v>44650</v>
      </c>
      <c r="B728" s="42">
        <f>'Part 2 - CAPM 2.1, 2.2 and 2.3'!N728</f>
        <v>9.0421869924806868E-3</v>
      </c>
      <c r="C728" s="42">
        <f>'Part 2 - CAPM 2.1, 2.2 and 2.3'!O728</f>
        <v>-5.3904146838538086E-2</v>
      </c>
      <c r="E728" s="16">
        <v>44650</v>
      </c>
      <c r="F728" s="17">
        <v>3.8300000000000001E-2</v>
      </c>
      <c r="G728" s="41">
        <f t="shared" si="79"/>
        <v>1.0297724789487539E-4</v>
      </c>
      <c r="L728" s="40">
        <f t="shared" si="77"/>
        <v>9.1650506859453692E-3</v>
      </c>
      <c r="M728" s="40">
        <f t="shared" si="78"/>
        <v>-5.3919720764488969E-2</v>
      </c>
      <c r="O728" s="40">
        <f t="shared" si="80"/>
        <v>9.1650506859453692E-3</v>
      </c>
      <c r="P728" s="207">
        <f t="shared" si="81"/>
        <v>1.0297724789487539E-4</v>
      </c>
      <c r="Q728" s="208">
        <f t="shared" si="82"/>
        <v>1.0021992959873915</v>
      </c>
      <c r="R728" s="40">
        <f t="shared" si="83"/>
        <v>9.0421869924806868E-3</v>
      </c>
      <c r="S728" s="209">
        <v>0</v>
      </c>
    </row>
    <row r="729" spans="1:19" x14ac:dyDescent="0.45">
      <c r="A729" s="16">
        <v>44651</v>
      </c>
      <c r="B729" s="42">
        <f>'Part 2 - CAPM 2.1, 2.2 and 2.3'!N729</f>
        <v>-2.6408459237591751E-4</v>
      </c>
      <c r="C729" s="42">
        <f>'Part 2 - CAPM 2.1, 2.2 and 2.3'!O729</f>
        <v>1.194893869771692E-2</v>
      </c>
      <c r="E729" s="16">
        <v>44651</v>
      </c>
      <c r="F729" s="17">
        <v>3.8300000000000001E-2</v>
      </c>
      <c r="G729" s="41">
        <f t="shared" si="79"/>
        <v>1.0297724789487539E-4</v>
      </c>
      <c r="L729" s="40">
        <f t="shared" si="77"/>
        <v>-1.6168814466538639E-4</v>
      </c>
      <c r="M729" s="40">
        <f t="shared" si="78"/>
        <v>1.2078195198543272E-2</v>
      </c>
      <c r="O729" s="40">
        <f t="shared" si="80"/>
        <v>-1.6168814466538639E-4</v>
      </c>
      <c r="P729" s="207">
        <f t="shared" si="81"/>
        <v>1.0297724789487539E-4</v>
      </c>
      <c r="Q729" s="208">
        <f t="shared" si="82"/>
        <v>1.0021992959873915</v>
      </c>
      <c r="R729" s="40">
        <f t="shared" si="83"/>
        <v>-2.6408459237591751E-4</v>
      </c>
      <c r="S729" s="209">
        <v>0</v>
      </c>
    </row>
    <row r="730" spans="1:19" x14ac:dyDescent="0.45">
      <c r="A730" s="16">
        <v>44655</v>
      </c>
      <c r="B730" s="42">
        <f>'Part 2 - CAPM 2.1, 2.2 and 2.3'!N730</f>
        <v>3.277704266570277E-2</v>
      </c>
      <c r="C730" s="42">
        <f>'Part 2 - CAPM 2.1, 2.2 and 2.3'!O730</f>
        <v>2.615867669783566E-2</v>
      </c>
      <c r="E730" s="16">
        <v>44655</v>
      </c>
      <c r="F730" s="17">
        <v>3.7499999999999999E-2</v>
      </c>
      <c r="G730" s="41">
        <f t="shared" si="79"/>
        <v>1.0086528689723373E-4</v>
      </c>
      <c r="L730" s="40">
        <f t="shared" si="77"/>
        <v>3.2949994371013244E-2</v>
      </c>
      <c r="M730" s="40">
        <f t="shared" si="78"/>
        <v>2.6317072657429916E-2</v>
      </c>
      <c r="O730" s="40">
        <f t="shared" si="80"/>
        <v>3.2949994371013244E-2</v>
      </c>
      <c r="P730" s="207">
        <f t="shared" si="81"/>
        <v>1.0086528689723373E-4</v>
      </c>
      <c r="Q730" s="208">
        <f t="shared" si="82"/>
        <v>1.0021992959873915</v>
      </c>
      <c r="R730" s="40">
        <f t="shared" si="83"/>
        <v>3.277704266570277E-2</v>
      </c>
      <c r="S730" s="209">
        <v>0</v>
      </c>
    </row>
    <row r="731" spans="1:19" x14ac:dyDescent="0.45">
      <c r="A731" s="16">
        <v>44656</v>
      </c>
      <c r="B731" s="42">
        <f>'Part 2 - CAPM 2.1, 2.2 and 2.3'!N731</f>
        <v>3.091740139064571E-4</v>
      </c>
      <c r="C731" s="42">
        <f>'Part 2 - CAPM 2.1, 2.2 and 2.3'!O731</f>
        <v>2.2511980719678533E-2</v>
      </c>
      <c r="E731" s="16">
        <v>44656</v>
      </c>
      <c r="F731" s="17">
        <v>3.73E-2</v>
      </c>
      <c r="G731" s="41">
        <f t="shared" si="79"/>
        <v>1.0033704289202916E-4</v>
      </c>
      <c r="L731" s="40">
        <f t="shared" si="77"/>
        <v>4.1019102196667649E-4</v>
      </c>
      <c r="M731" s="40">
        <f t="shared" si="78"/>
        <v>2.2661828271435588E-2</v>
      </c>
      <c r="O731" s="40">
        <f t="shared" si="80"/>
        <v>4.1019102196667649E-4</v>
      </c>
      <c r="P731" s="207">
        <f t="shared" si="81"/>
        <v>1.0033704289202916E-4</v>
      </c>
      <c r="Q731" s="208">
        <f t="shared" si="82"/>
        <v>1.0021992959873915</v>
      </c>
      <c r="R731" s="40">
        <f t="shared" si="83"/>
        <v>3.091740139064571E-4</v>
      </c>
      <c r="S731" s="209">
        <v>0</v>
      </c>
    </row>
    <row r="732" spans="1:19" x14ac:dyDescent="0.45">
      <c r="A732" s="16">
        <v>44657</v>
      </c>
      <c r="B732" s="42">
        <f>'Part 2 - CAPM 2.1, 2.2 and 2.3'!N732</f>
        <v>-4.169101665119748E-3</v>
      </c>
      <c r="C732" s="42">
        <f>'Part 2 - CAPM 2.1, 2.2 and 2.3'!O732</f>
        <v>5.4264193486454173E-3</v>
      </c>
      <c r="E732" s="16">
        <v>44657</v>
      </c>
      <c r="F732" s="17">
        <v>3.78E-2</v>
      </c>
      <c r="G732" s="41">
        <f t="shared" si="79"/>
        <v>1.0165746252721597E-4</v>
      </c>
      <c r="L732" s="40">
        <f t="shared" si="77"/>
        <v>-4.0766132911556575E-3</v>
      </c>
      <c r="M732" s="40">
        <f t="shared" si="78"/>
        <v>5.5400111134720131E-3</v>
      </c>
      <c r="O732" s="40">
        <f t="shared" si="80"/>
        <v>-4.0766132911556575E-3</v>
      </c>
      <c r="P732" s="207">
        <f t="shared" si="81"/>
        <v>1.0165746252721597E-4</v>
      </c>
      <c r="Q732" s="208">
        <f t="shared" si="82"/>
        <v>1.0021992959873915</v>
      </c>
      <c r="R732" s="40">
        <f t="shared" si="83"/>
        <v>-4.169101665119748E-3</v>
      </c>
      <c r="S732" s="209">
        <v>0</v>
      </c>
    </row>
    <row r="733" spans="1:19" x14ac:dyDescent="0.45">
      <c r="A733" s="16">
        <v>44658</v>
      </c>
      <c r="B733" s="42">
        <f>'Part 2 - CAPM 2.1, 2.2 and 2.3'!N733</f>
        <v>-8.3667431021187764E-3</v>
      </c>
      <c r="C733" s="42">
        <f>'Part 2 - CAPM 2.1, 2.2 and 2.3'!O733</f>
        <v>-2.2962828916222592E-2</v>
      </c>
      <c r="E733" s="16">
        <v>44658</v>
      </c>
      <c r="F733" s="17">
        <v>3.8699999999999998E-2</v>
      </c>
      <c r="G733" s="41">
        <f t="shared" si="79"/>
        <v>1.0403261992619761E-4</v>
      </c>
      <c r="L733" s="40">
        <f t="shared" si="77"/>
        <v>-8.2811114267246043E-3</v>
      </c>
      <c r="M733" s="40">
        <f t="shared" si="78"/>
        <v>-2.2909298353791002E-2</v>
      </c>
      <c r="O733" s="40">
        <f t="shared" si="80"/>
        <v>-8.2811114267246043E-3</v>
      </c>
      <c r="P733" s="207">
        <f t="shared" si="81"/>
        <v>1.0403261992619761E-4</v>
      </c>
      <c r="Q733" s="208">
        <f t="shared" si="82"/>
        <v>1.0021992959873915</v>
      </c>
      <c r="R733" s="40">
        <f t="shared" si="83"/>
        <v>-8.3667431021187764E-3</v>
      </c>
      <c r="S733" s="209">
        <v>0</v>
      </c>
    </row>
    <row r="734" spans="1:19" x14ac:dyDescent="0.45">
      <c r="A734" s="16">
        <v>44659</v>
      </c>
      <c r="B734" s="42">
        <f>'Part 2 - CAPM 2.1, 2.2 and 2.3'!N734</f>
        <v>9.1784878023710385E-3</v>
      </c>
      <c r="C734" s="42">
        <f>'Part 2 - CAPM 2.1, 2.2 and 2.3'!O734</f>
        <v>1.2034020704544826E-2</v>
      </c>
      <c r="E734" s="16">
        <v>44659</v>
      </c>
      <c r="F734" s="17">
        <v>3.9800000000000002E-2</v>
      </c>
      <c r="G734" s="41">
        <f t="shared" si="79"/>
        <v>1.0693280448692555E-4</v>
      </c>
      <c r="L734" s="40">
        <f t="shared" si="77"/>
        <v>9.3056068182520418E-3</v>
      </c>
      <c r="M734" s="40">
        <f t="shared" si="78"/>
        <v>1.2167419882479444E-2</v>
      </c>
      <c r="O734" s="40">
        <f t="shared" si="80"/>
        <v>9.3056068182520418E-3</v>
      </c>
      <c r="P734" s="207">
        <f t="shared" si="81"/>
        <v>1.0693280448692555E-4</v>
      </c>
      <c r="Q734" s="208">
        <f t="shared" si="82"/>
        <v>1.0021992959873915</v>
      </c>
      <c r="R734" s="40">
        <f t="shared" si="83"/>
        <v>9.1784878023710385E-3</v>
      </c>
      <c r="S734" s="209">
        <v>0</v>
      </c>
    </row>
    <row r="735" spans="1:19" x14ac:dyDescent="0.45">
      <c r="A735" s="16">
        <v>44662</v>
      </c>
      <c r="B735" s="42">
        <f>'Part 2 - CAPM 2.1, 2.2 and 2.3'!N735</f>
        <v>-1.2089823599817451E-3</v>
      </c>
      <c r="C735" s="42">
        <f>'Part 2 - CAPM 2.1, 2.2 and 2.3'!O735</f>
        <v>1.6479527399146934E-3</v>
      </c>
      <c r="E735" s="16">
        <v>44662</v>
      </c>
      <c r="F735" s="17">
        <v>0.04</v>
      </c>
      <c r="G735" s="41">
        <f t="shared" si="79"/>
        <v>1.0745978202786333E-4</v>
      </c>
      <c r="L735" s="40">
        <f t="shared" si="77"/>
        <v>-1.1041814880070168E-3</v>
      </c>
      <c r="M735" s="40">
        <f t="shared" si="78"/>
        <v>1.7590368577908621E-3</v>
      </c>
      <c r="O735" s="40">
        <f t="shared" si="80"/>
        <v>-1.1041814880070168E-3</v>
      </c>
      <c r="P735" s="207">
        <f t="shared" si="81"/>
        <v>1.0745978202786333E-4</v>
      </c>
      <c r="Q735" s="208">
        <f t="shared" si="82"/>
        <v>1.0021992959873915</v>
      </c>
      <c r="R735" s="40">
        <f t="shared" si="83"/>
        <v>-1.2089823599817451E-3</v>
      </c>
      <c r="S735" s="209">
        <v>0</v>
      </c>
    </row>
    <row r="736" spans="1:19" x14ac:dyDescent="0.45">
      <c r="A736" s="16">
        <v>44663</v>
      </c>
      <c r="B736" s="42">
        <f>'Part 2 - CAPM 2.1, 2.2 and 2.3'!N736</f>
        <v>-1.0599249531510466E-2</v>
      </c>
      <c r="C736" s="42">
        <f>'Part 2 - CAPM 2.1, 2.2 and 2.3'!O736</f>
        <v>-1.3541512243739163E-2</v>
      </c>
      <c r="E736" s="16">
        <v>44663</v>
      </c>
      <c r="F736" s="17">
        <v>3.9800000000000002E-2</v>
      </c>
      <c r="G736" s="41">
        <f t="shared" si="79"/>
        <v>1.0693280448692555E-4</v>
      </c>
      <c r="L736" s="40">
        <f t="shared" si="77"/>
        <v>-1.0515627613987553E-2</v>
      </c>
      <c r="M736" s="40">
        <f t="shared" si="78"/>
        <v>-1.3464361232793107E-2</v>
      </c>
      <c r="O736" s="40">
        <f t="shared" si="80"/>
        <v>-1.0515627613987553E-2</v>
      </c>
      <c r="P736" s="207">
        <f t="shared" si="81"/>
        <v>1.0693280448692555E-4</v>
      </c>
      <c r="Q736" s="208">
        <f t="shared" si="82"/>
        <v>1.0021992959873915</v>
      </c>
      <c r="R736" s="40">
        <f t="shared" si="83"/>
        <v>-1.0599249531510466E-2</v>
      </c>
      <c r="S736" s="209">
        <v>0</v>
      </c>
    </row>
    <row r="737" spans="1:19" x14ac:dyDescent="0.45">
      <c r="A737" s="16">
        <v>44664</v>
      </c>
      <c r="B737" s="42">
        <f>'Part 2 - CAPM 2.1, 2.2 and 2.3'!N737</f>
        <v>-1.831595733509804E-3</v>
      </c>
      <c r="C737" s="42">
        <f>'Part 2 - CAPM 2.1, 2.2 and 2.3'!O737</f>
        <v>3.1568351355446417E-2</v>
      </c>
      <c r="E737" s="16">
        <v>44664</v>
      </c>
      <c r="F737" s="17">
        <v>3.9900000000000005E-2</v>
      </c>
      <c r="G737" s="41">
        <f t="shared" si="79"/>
        <v>1.0719630589162144E-4</v>
      </c>
      <c r="L737" s="40">
        <f t="shared" si="77"/>
        <v>-1.728427648765414E-3</v>
      </c>
      <c r="M737" s="40">
        <f t="shared" si="78"/>
        <v>3.1744975809802636E-2</v>
      </c>
      <c r="O737" s="40">
        <f t="shared" si="80"/>
        <v>-1.728427648765414E-3</v>
      </c>
      <c r="P737" s="207">
        <f t="shared" si="81"/>
        <v>1.0719630589162144E-4</v>
      </c>
      <c r="Q737" s="208">
        <f t="shared" si="82"/>
        <v>1.0021992959873915</v>
      </c>
      <c r="R737" s="40">
        <f t="shared" si="83"/>
        <v>-1.831595733509804E-3</v>
      </c>
      <c r="S737" s="209">
        <v>0</v>
      </c>
    </row>
    <row r="738" spans="1:19" x14ac:dyDescent="0.45">
      <c r="A738" s="16">
        <v>44669</v>
      </c>
      <c r="B738" s="42">
        <f>'Part 2 - CAPM 2.1, 2.2 and 2.3'!N738</f>
        <v>-1.4144734703616027E-2</v>
      </c>
      <c r="C738" s="42">
        <f>'Part 2 - CAPM 2.1, 2.2 and 2.3'!O738</f>
        <v>8.7875421903419963E-3</v>
      </c>
      <c r="E738" s="16">
        <v>44669</v>
      </c>
      <c r="F738" s="17">
        <v>4.0099999999999997E-2</v>
      </c>
      <c r="G738" s="41">
        <f t="shared" si="79"/>
        <v>1.077232329005362E-4</v>
      </c>
      <c r="L738" s="40">
        <f t="shared" si="77"/>
        <v>-1.4068119928991872E-2</v>
      </c>
      <c r="M738" s="40">
        <f t="shared" si="78"/>
        <v>8.9145918295207849E-3</v>
      </c>
      <c r="O738" s="40">
        <f t="shared" si="80"/>
        <v>-1.4068119928991872E-2</v>
      </c>
      <c r="P738" s="207">
        <f t="shared" si="81"/>
        <v>1.077232329005362E-4</v>
      </c>
      <c r="Q738" s="208">
        <f t="shared" si="82"/>
        <v>1.0021992959873915</v>
      </c>
      <c r="R738" s="40">
        <f t="shared" si="83"/>
        <v>-1.4144734703616027E-2</v>
      </c>
      <c r="S738" s="209">
        <v>0</v>
      </c>
    </row>
    <row r="739" spans="1:19" x14ac:dyDescent="0.45">
      <c r="A739" s="16">
        <v>44670</v>
      </c>
      <c r="B739" s="42">
        <f>'Part 2 - CAPM 2.1, 2.2 and 2.3'!N739</f>
        <v>-1.3466390466436417E-2</v>
      </c>
      <c r="C739" s="42">
        <f>'Part 2 - CAPM 2.1, 2.2 and 2.3'!O739</f>
        <v>7.571984581480359E-3</v>
      </c>
      <c r="E739" s="16">
        <v>44670</v>
      </c>
      <c r="F739" s="17">
        <v>3.9900000000000005E-2</v>
      </c>
      <c r="G739" s="41">
        <f t="shared" si="79"/>
        <v>1.0719630589162144E-4</v>
      </c>
      <c r="L739" s="40">
        <f t="shared" si="77"/>
        <v>-1.3388810739062278E-2</v>
      </c>
      <c r="M739" s="40">
        <f t="shared" si="78"/>
        <v>7.695833922678621E-3</v>
      </c>
      <c r="O739" s="40">
        <f t="shared" si="80"/>
        <v>-1.3388810739062278E-2</v>
      </c>
      <c r="P739" s="207">
        <f t="shared" si="81"/>
        <v>1.0719630589162144E-4</v>
      </c>
      <c r="Q739" s="208">
        <f t="shared" si="82"/>
        <v>1.0021992959873915</v>
      </c>
      <c r="R739" s="40">
        <f t="shared" si="83"/>
        <v>-1.3466390466436417E-2</v>
      </c>
      <c r="S739" s="209">
        <v>0</v>
      </c>
    </row>
    <row r="740" spans="1:19" x14ac:dyDescent="0.45">
      <c r="A740" s="16">
        <v>44671</v>
      </c>
      <c r="B740" s="42">
        <f>'Part 2 - CAPM 2.1, 2.2 and 2.3'!N740</f>
        <v>8.2896734070515253E-3</v>
      </c>
      <c r="C740" s="42">
        <f>'Part 2 - CAPM 2.1, 2.2 and 2.3'!O740</f>
        <v>-9.4208098366573567E-3</v>
      </c>
      <c r="E740" s="16">
        <v>44671</v>
      </c>
      <c r="F740" s="17">
        <v>3.9699999999999999E-2</v>
      </c>
      <c r="G740" s="41">
        <f t="shared" si="79"/>
        <v>1.0666927780889068E-4</v>
      </c>
      <c r="L740" s="40">
        <f t="shared" si="77"/>
        <v>8.4145741303213312E-3</v>
      </c>
      <c r="M740" s="40">
        <f t="shared" si="78"/>
        <v>-9.3348597081202057E-3</v>
      </c>
      <c r="O740" s="40">
        <f t="shared" si="80"/>
        <v>8.4145741303213312E-3</v>
      </c>
      <c r="P740" s="207">
        <f t="shared" si="81"/>
        <v>1.0666927780889068E-4</v>
      </c>
      <c r="Q740" s="208">
        <f t="shared" si="82"/>
        <v>1.0021992959873915</v>
      </c>
      <c r="R740" s="40">
        <f t="shared" si="83"/>
        <v>8.2896734070515253E-3</v>
      </c>
      <c r="S740" s="209">
        <v>0</v>
      </c>
    </row>
    <row r="741" spans="1:19" x14ac:dyDescent="0.45">
      <c r="A741" s="16">
        <v>44672</v>
      </c>
      <c r="B741" s="42">
        <f>'Part 2 - CAPM 2.1, 2.2 and 2.3'!N741</f>
        <v>1.3606858395032834E-2</v>
      </c>
      <c r="C741" s="42">
        <f>'Part 2 - CAPM 2.1, 2.2 and 2.3'!O741</f>
        <v>-7.7989769701165505E-3</v>
      </c>
      <c r="E741" s="16">
        <v>44672</v>
      </c>
      <c r="F741" s="17">
        <v>3.9699999999999999E-2</v>
      </c>
      <c r="G741" s="41">
        <f t="shared" si="79"/>
        <v>1.0666927780889068E-4</v>
      </c>
      <c r="L741" s="40">
        <f t="shared" si="77"/>
        <v>1.3743453181910925E-2</v>
      </c>
      <c r="M741" s="40">
        <f t="shared" si="78"/>
        <v>-7.7094599510637955E-3</v>
      </c>
      <c r="O741" s="40">
        <f t="shared" si="80"/>
        <v>1.3743453181910925E-2</v>
      </c>
      <c r="P741" s="207">
        <f t="shared" si="81"/>
        <v>1.0666927780889068E-4</v>
      </c>
      <c r="Q741" s="208">
        <f t="shared" si="82"/>
        <v>1.0021992959873915</v>
      </c>
      <c r="R741" s="40">
        <f t="shared" si="83"/>
        <v>1.3606858395032834E-2</v>
      </c>
      <c r="S741" s="209">
        <v>0</v>
      </c>
    </row>
    <row r="742" spans="1:19" x14ac:dyDescent="0.45">
      <c r="A742" s="16">
        <v>44673</v>
      </c>
      <c r="B742" s="42">
        <f>'Part 2 - CAPM 2.1, 2.2 and 2.3'!N742</f>
        <v>-1.0675587542944297E-2</v>
      </c>
      <c r="C742" s="42">
        <f>'Part 2 - CAPM 2.1, 2.2 and 2.3'!O742</f>
        <v>-9.6825924720874974E-4</v>
      </c>
      <c r="E742" s="16">
        <v>44673</v>
      </c>
      <c r="F742" s="17">
        <v>3.9800000000000002E-2</v>
      </c>
      <c r="G742" s="41">
        <f t="shared" si="79"/>
        <v>1.0693280448692555E-4</v>
      </c>
      <c r="L742" s="40">
        <f t="shared" si="77"/>
        <v>-1.0592133515303616E-2</v>
      </c>
      <c r="M742" s="40">
        <f t="shared" si="78"/>
        <v>-8.6345593139896518E-4</v>
      </c>
      <c r="O742" s="40">
        <f t="shared" si="80"/>
        <v>-1.0592133515303616E-2</v>
      </c>
      <c r="P742" s="207">
        <f t="shared" si="81"/>
        <v>1.0693280448692555E-4</v>
      </c>
      <c r="Q742" s="208">
        <f t="shared" si="82"/>
        <v>1.0021992959873915</v>
      </c>
      <c r="R742" s="40">
        <f t="shared" si="83"/>
        <v>-1.0675587542944297E-2</v>
      </c>
      <c r="S742" s="209">
        <v>0</v>
      </c>
    </row>
    <row r="743" spans="1:19" x14ac:dyDescent="0.45">
      <c r="A743" s="16">
        <v>44676</v>
      </c>
      <c r="B743" s="42">
        <f>'Part 2 - CAPM 2.1, 2.2 and 2.3'!N743</f>
        <v>-1.5000815538640298E-2</v>
      </c>
      <c r="C743" s="42">
        <f>'Part 2 - CAPM 2.1, 2.2 and 2.3'!O743</f>
        <v>-2.5106405725852599E-2</v>
      </c>
      <c r="E743" s="16">
        <v>44676</v>
      </c>
      <c r="F743" s="17">
        <v>3.9599999999999996E-2</v>
      </c>
      <c r="G743" s="41">
        <f t="shared" si="79"/>
        <v>1.0640572585263186E-4</v>
      </c>
      <c r="L743" s="40">
        <f t="shared" si="77"/>
        <v>-1.4927401046209399E-2</v>
      </c>
      <c r="M743" s="40">
        <f t="shared" si="78"/>
        <v>-2.5055216417370657E-2</v>
      </c>
      <c r="O743" s="40">
        <f t="shared" si="80"/>
        <v>-1.4927401046209399E-2</v>
      </c>
      <c r="P743" s="207">
        <f t="shared" si="81"/>
        <v>1.0640572585263186E-4</v>
      </c>
      <c r="Q743" s="208">
        <f t="shared" si="82"/>
        <v>1.0021992959873915</v>
      </c>
      <c r="R743" s="40">
        <f t="shared" si="83"/>
        <v>-1.5000815538640298E-2</v>
      </c>
      <c r="S743" s="209">
        <v>0</v>
      </c>
    </row>
    <row r="744" spans="1:19" x14ac:dyDescent="0.45">
      <c r="A744" s="16">
        <v>44677</v>
      </c>
      <c r="B744" s="42">
        <f>'Part 2 - CAPM 2.1, 2.2 and 2.3'!N744</f>
        <v>1.5251207998348238E-2</v>
      </c>
      <c r="C744" s="42">
        <f>'Part 2 - CAPM 2.1, 2.2 and 2.3'!O744</f>
        <v>-1.6022052167882252E-2</v>
      </c>
      <c r="E744" s="16">
        <v>44677</v>
      </c>
      <c r="F744" s="17">
        <v>3.9800000000000002E-2</v>
      </c>
      <c r="G744" s="41">
        <f t="shared" si="79"/>
        <v>1.0693280448692555E-4</v>
      </c>
      <c r="L744" s="40">
        <f t="shared" si="77"/>
        <v>1.5391682723388806E-2</v>
      </c>
      <c r="M744" s="40">
        <f t="shared" si="78"/>
        <v>-1.5950356598437927E-2</v>
      </c>
      <c r="O744" s="40">
        <f t="shared" si="80"/>
        <v>1.5391682723388806E-2</v>
      </c>
      <c r="P744" s="207">
        <f t="shared" si="81"/>
        <v>1.0693280448692555E-4</v>
      </c>
      <c r="Q744" s="208">
        <f t="shared" si="82"/>
        <v>1.0021992959873915</v>
      </c>
      <c r="R744" s="40">
        <f t="shared" si="83"/>
        <v>1.5251207998348238E-2</v>
      </c>
      <c r="S744" s="209">
        <v>0</v>
      </c>
    </row>
    <row r="745" spans="1:19" x14ac:dyDescent="0.45">
      <c r="A745" s="16">
        <v>44678</v>
      </c>
      <c r="B745" s="42">
        <f>'Part 2 - CAPM 2.1, 2.2 and 2.3'!N745</f>
        <v>-9.6622091334661337E-3</v>
      </c>
      <c r="C745" s="42">
        <f>'Part 2 - CAPM 2.1, 2.2 and 2.3'!O745</f>
        <v>-1.2686076134229087E-2</v>
      </c>
      <c r="E745" s="16">
        <v>44678</v>
      </c>
      <c r="F745" s="17">
        <v>0.04</v>
      </c>
      <c r="G745" s="41">
        <f t="shared" si="79"/>
        <v>1.0745978202786333E-4</v>
      </c>
      <c r="L745" s="40">
        <f t="shared" si="77"/>
        <v>-9.5759994092148408E-3</v>
      </c>
      <c r="M745" s="40">
        <f t="shared" si="78"/>
        <v>-1.2606516788538977E-2</v>
      </c>
      <c r="O745" s="40">
        <f t="shared" si="80"/>
        <v>-9.5759994092148408E-3</v>
      </c>
      <c r="P745" s="207">
        <f t="shared" si="81"/>
        <v>1.0745978202786333E-4</v>
      </c>
      <c r="Q745" s="208">
        <f t="shared" si="82"/>
        <v>1.0021992959873915</v>
      </c>
      <c r="R745" s="40">
        <f t="shared" si="83"/>
        <v>-9.6622091334661337E-3</v>
      </c>
      <c r="S745" s="209">
        <v>0</v>
      </c>
    </row>
    <row r="746" spans="1:19" x14ac:dyDescent="0.45">
      <c r="A746" s="16">
        <v>44679</v>
      </c>
      <c r="B746" s="42">
        <f>'Part 2 - CAPM 2.1, 2.2 and 2.3'!N746</f>
        <v>1.0593008672764932E-2</v>
      </c>
      <c r="C746" s="42">
        <f>'Part 2 - CAPM 2.1, 2.2 and 2.3'!O746</f>
        <v>-4.11029268690545E-4</v>
      </c>
      <c r="E746" s="16">
        <v>44679</v>
      </c>
      <c r="F746" s="17">
        <v>4.0099999999999997E-2</v>
      </c>
      <c r="G746" s="41">
        <f t="shared" si="79"/>
        <v>1.077232329005362E-4</v>
      </c>
      <c r="L746" s="40">
        <f t="shared" si="77"/>
        <v>1.0724029067133883E-2</v>
      </c>
      <c r="M746" s="40">
        <f t="shared" si="78"/>
        <v>-3.0421001081134039E-4</v>
      </c>
      <c r="O746" s="40">
        <f t="shared" si="80"/>
        <v>1.0724029067133883E-2</v>
      </c>
      <c r="P746" s="207">
        <f t="shared" si="81"/>
        <v>1.077232329005362E-4</v>
      </c>
      <c r="Q746" s="208">
        <f t="shared" si="82"/>
        <v>1.0021992959873915</v>
      </c>
      <c r="R746" s="40">
        <f t="shared" si="83"/>
        <v>1.0593008672764932E-2</v>
      </c>
      <c r="S746" s="209">
        <v>0</v>
      </c>
    </row>
    <row r="747" spans="1:19" x14ac:dyDescent="0.45">
      <c r="A747" s="16">
        <v>44680</v>
      </c>
      <c r="B747" s="42">
        <f>'Part 2 - CAPM 2.1, 2.2 and 2.3'!N747</f>
        <v>-8.8618289349562656E-3</v>
      </c>
      <c r="C747" s="42">
        <f>'Part 2 - CAPM 2.1, 2.2 and 2.3'!O747</f>
        <v>-2.6503881126835573E-2</v>
      </c>
      <c r="E747" s="16">
        <v>44680</v>
      </c>
      <c r="F747" s="17">
        <v>4.0300000000000002E-2</v>
      </c>
      <c r="G747" s="41">
        <f t="shared" si="79"/>
        <v>1.0825005887427075E-4</v>
      </c>
      <c r="L747" s="40">
        <f t="shared" si="77"/>
        <v>-8.7730686608995939E-3</v>
      </c>
      <c r="M747" s="40">
        <f t="shared" si="78"/>
        <v>-2.6453920947373855E-2</v>
      </c>
      <c r="O747" s="40">
        <f t="shared" si="80"/>
        <v>-8.7730686608995939E-3</v>
      </c>
      <c r="P747" s="207">
        <f t="shared" si="81"/>
        <v>1.0825005887427075E-4</v>
      </c>
      <c r="Q747" s="208">
        <f t="shared" si="82"/>
        <v>1.0021992959873915</v>
      </c>
      <c r="R747" s="40">
        <f t="shared" si="83"/>
        <v>-8.8618289349562656E-3</v>
      </c>
      <c r="S747" s="209">
        <v>0</v>
      </c>
    </row>
    <row r="748" spans="1:19" x14ac:dyDescent="0.45">
      <c r="A748" s="16">
        <v>44683</v>
      </c>
      <c r="B748" s="42">
        <f>'Part 2 - CAPM 2.1, 2.2 and 2.3'!N748</f>
        <v>-3.2908845767610209E-3</v>
      </c>
      <c r="C748" s="42">
        <f>'Part 2 - CAPM 2.1, 2.2 and 2.3'!O748</f>
        <v>-2.5661381875639586E-2</v>
      </c>
      <c r="E748" s="16">
        <v>44683</v>
      </c>
      <c r="F748" s="17">
        <v>4.0300000000000002E-2</v>
      </c>
      <c r="G748" s="41">
        <f t="shared" si="79"/>
        <v>1.0825005887427075E-4</v>
      </c>
      <c r="L748" s="40">
        <f t="shared" si="77"/>
        <v>-3.1898721471313894E-3</v>
      </c>
      <c r="M748" s="40">
        <f t="shared" si="78"/>
        <v>-2.5609568790955332E-2</v>
      </c>
      <c r="O748" s="40">
        <f t="shared" si="80"/>
        <v>-3.1898721471313894E-3</v>
      </c>
      <c r="P748" s="207">
        <f t="shared" si="81"/>
        <v>1.0825005887427075E-4</v>
      </c>
      <c r="Q748" s="208">
        <f t="shared" si="82"/>
        <v>1.0021992959873915</v>
      </c>
      <c r="R748" s="40">
        <f t="shared" si="83"/>
        <v>-3.2908845767610209E-3</v>
      </c>
      <c r="S748" s="209">
        <v>0</v>
      </c>
    </row>
    <row r="749" spans="1:19" x14ac:dyDescent="0.45">
      <c r="A749" s="16">
        <v>44685</v>
      </c>
      <c r="B749" s="42">
        <f>'Part 2 - CAPM 2.1, 2.2 and 2.3'!N749</f>
        <v>-2.3389653916602495E-2</v>
      </c>
      <c r="C749" s="42">
        <f>'Part 2 - CAPM 2.1, 2.2 and 2.3'!O749</f>
        <v>3.7618658377041751E-2</v>
      </c>
      <c r="E749" s="16">
        <v>44685</v>
      </c>
      <c r="F749" s="17">
        <v>4.3700000000000003E-2</v>
      </c>
      <c r="G749" s="41">
        <f t="shared" si="79"/>
        <v>1.1719067956206253E-4</v>
      </c>
      <c r="L749" s="40">
        <f t="shared" si="77"/>
        <v>-2.3323904009045694E-2</v>
      </c>
      <c r="M749" s="40">
        <f t="shared" si="78"/>
        <v>3.7818583621023492E-2</v>
      </c>
      <c r="O749" s="40">
        <f t="shared" si="80"/>
        <v>-2.3323904009045694E-2</v>
      </c>
      <c r="P749" s="207">
        <f t="shared" si="81"/>
        <v>1.1719067956206253E-4</v>
      </c>
      <c r="Q749" s="208">
        <f t="shared" si="82"/>
        <v>1.0021992959873915</v>
      </c>
      <c r="R749" s="40">
        <f t="shared" si="83"/>
        <v>-2.3389653916602495E-2</v>
      </c>
      <c r="S749" s="209">
        <v>0</v>
      </c>
    </row>
    <row r="750" spans="1:19" x14ac:dyDescent="0.45">
      <c r="A750" s="16">
        <v>44686</v>
      </c>
      <c r="B750" s="42">
        <f>'Part 2 - CAPM 2.1, 2.2 and 2.3'!N750</f>
        <v>2.6676208607753115E-5</v>
      </c>
      <c r="C750" s="42">
        <f>'Part 2 - CAPM 2.1, 2.2 and 2.3'!O750</f>
        <v>1.5901954983849796E-2</v>
      </c>
      <c r="E750" s="16">
        <v>44686</v>
      </c>
      <c r="F750" s="17">
        <v>4.58E-2</v>
      </c>
      <c r="G750" s="41">
        <f t="shared" si="79"/>
        <v>1.2269832893907484E-4</v>
      </c>
      <c r="L750" s="40">
        <f t="shared" si="77"/>
        <v>1.494332064253778E-4</v>
      </c>
      <c r="M750" s="40">
        <f t="shared" si="78"/>
        <v>1.6059626418576532E-2</v>
      </c>
      <c r="O750" s="40">
        <f t="shared" si="80"/>
        <v>1.494332064253778E-4</v>
      </c>
      <c r="P750" s="207">
        <f t="shared" si="81"/>
        <v>1.2269832893907484E-4</v>
      </c>
      <c r="Q750" s="208">
        <f t="shared" si="82"/>
        <v>1.0021992959873915</v>
      </c>
      <c r="R750" s="40">
        <f t="shared" si="83"/>
        <v>2.6676208607753115E-5</v>
      </c>
      <c r="S750" s="209">
        <v>0</v>
      </c>
    </row>
    <row r="751" spans="1:19" x14ac:dyDescent="0.45">
      <c r="A751" s="16">
        <v>44687</v>
      </c>
      <c r="B751" s="42">
        <f>'Part 2 - CAPM 2.1, 2.2 and 2.3'!N751</f>
        <v>-1.7471869945069114E-2</v>
      </c>
      <c r="C751" s="42">
        <f>'Part 2 - CAPM 2.1, 2.2 and 2.3'!O751</f>
        <v>1.2616155174245604E-2</v>
      </c>
      <c r="E751" s="16">
        <v>44687</v>
      </c>
      <c r="F751" s="17">
        <v>4.58E-2</v>
      </c>
      <c r="G751" s="41">
        <f t="shared" si="79"/>
        <v>1.2269832893907484E-4</v>
      </c>
      <c r="L751" s="40">
        <f t="shared" si="77"/>
        <v>-1.7387597429592457E-2</v>
      </c>
      <c r="M751" s="40">
        <f t="shared" si="78"/>
        <v>1.2766600162635706E-2</v>
      </c>
      <c r="O751" s="40">
        <f t="shared" si="80"/>
        <v>-1.7387597429592457E-2</v>
      </c>
      <c r="P751" s="207">
        <f t="shared" si="81"/>
        <v>1.2269832893907484E-4</v>
      </c>
      <c r="Q751" s="208">
        <f t="shared" si="82"/>
        <v>1.0021992959873915</v>
      </c>
      <c r="R751" s="40">
        <f t="shared" si="83"/>
        <v>-1.7471869945069114E-2</v>
      </c>
      <c r="S751" s="209">
        <v>0</v>
      </c>
    </row>
    <row r="752" spans="1:19" x14ac:dyDescent="0.45">
      <c r="A752" s="16">
        <v>44690</v>
      </c>
      <c r="B752" s="42">
        <f>'Part 2 - CAPM 2.1, 2.2 and 2.3'!N752</f>
        <v>-1.1010408226075966E-2</v>
      </c>
      <c r="C752" s="42">
        <f>'Part 2 - CAPM 2.1, 2.2 and 2.3'!O752</f>
        <v>-1.3301344237687399E-2</v>
      </c>
      <c r="E752" s="16">
        <v>44690</v>
      </c>
      <c r="F752" s="17">
        <v>4.6199999999999998E-2</v>
      </c>
      <c r="G752" s="41">
        <f t="shared" si="79"/>
        <v>1.2374615442900527E-4</v>
      </c>
      <c r="L752" s="40">
        <f t="shared" si="77"/>
        <v>-1.0910877218278112E-2</v>
      </c>
      <c r="M752" s="40">
        <f t="shared" si="78"/>
        <v>-1.3206851676267253E-2</v>
      </c>
      <c r="O752" s="40">
        <f t="shared" si="80"/>
        <v>-1.0910877218278112E-2</v>
      </c>
      <c r="P752" s="207">
        <f t="shared" si="81"/>
        <v>1.2374615442900527E-4</v>
      </c>
      <c r="Q752" s="208">
        <f t="shared" si="82"/>
        <v>1.0021992959873915</v>
      </c>
      <c r="R752" s="40">
        <f t="shared" si="83"/>
        <v>-1.1010408226075966E-2</v>
      </c>
      <c r="S752" s="209">
        <v>0</v>
      </c>
    </row>
    <row r="753" spans="1:19" x14ac:dyDescent="0.45">
      <c r="A753" s="16">
        <v>44691</v>
      </c>
      <c r="B753" s="42">
        <f>'Part 2 - CAPM 2.1, 2.2 and 2.3'!N753</f>
        <v>-9.8297274901896301E-3</v>
      </c>
      <c r="C753" s="42">
        <f>'Part 2 - CAPM 2.1, 2.2 and 2.3'!O753</f>
        <v>-6.2642976181911489E-2</v>
      </c>
      <c r="E753" s="16">
        <v>44691</v>
      </c>
      <c r="F753" s="17">
        <v>4.6300000000000001E-2</v>
      </c>
      <c r="G753" s="41">
        <f t="shared" si="79"/>
        <v>1.2400804837575663E-4</v>
      </c>
      <c r="L753" s="40">
        <f t="shared" si="77"/>
        <v>-9.7273379220402002E-3</v>
      </c>
      <c r="M753" s="40">
        <f t="shared" si="78"/>
        <v>-6.2656738579690868E-2</v>
      </c>
      <c r="O753" s="40">
        <f t="shared" si="80"/>
        <v>-9.7273379220402002E-3</v>
      </c>
      <c r="P753" s="207">
        <f t="shared" si="81"/>
        <v>1.2400804837575663E-4</v>
      </c>
      <c r="Q753" s="208">
        <f t="shared" si="82"/>
        <v>1.0021992959873915</v>
      </c>
      <c r="R753" s="40">
        <f t="shared" si="83"/>
        <v>-9.8297274901896301E-3</v>
      </c>
      <c r="S753" s="209">
        <v>0</v>
      </c>
    </row>
    <row r="754" spans="1:19" x14ac:dyDescent="0.45">
      <c r="A754" s="16">
        <v>44692</v>
      </c>
      <c r="B754" s="42">
        <f>'Part 2 - CAPM 2.1, 2.2 and 2.3'!N754</f>
        <v>-6.2003520388934433E-3</v>
      </c>
      <c r="C754" s="42">
        <f>'Part 2 - CAPM 2.1, 2.2 and 2.3'!O754</f>
        <v>2.6742388236848501E-2</v>
      </c>
      <c r="E754" s="16">
        <v>44692</v>
      </c>
      <c r="F754" s="17">
        <v>4.7500000000000001E-2</v>
      </c>
      <c r="G754" s="41">
        <f t="shared" si="79"/>
        <v>1.2714883016351486E-4</v>
      </c>
      <c r="L754" s="40">
        <f t="shared" si="77"/>
        <v>-6.0868396180894816E-3</v>
      </c>
      <c r="M754" s="40">
        <f t="shared" si="78"/>
        <v>2.6928351494154585E-2</v>
      </c>
      <c r="O754" s="40">
        <f t="shared" si="80"/>
        <v>-6.0868396180894816E-3</v>
      </c>
      <c r="P754" s="207">
        <f t="shared" si="81"/>
        <v>1.2714883016351486E-4</v>
      </c>
      <c r="Q754" s="208">
        <f t="shared" si="82"/>
        <v>1.0021992959873915</v>
      </c>
      <c r="R754" s="40">
        <f t="shared" si="83"/>
        <v>-6.2003520388934433E-3</v>
      </c>
      <c r="S754" s="209">
        <v>0</v>
      </c>
    </row>
    <row r="755" spans="1:19" x14ac:dyDescent="0.45">
      <c r="A755" s="16">
        <v>44693</v>
      </c>
      <c r="B755" s="42">
        <f>'Part 2 - CAPM 2.1, 2.2 and 2.3'!N755</f>
        <v>-2.2388756481109624E-2</v>
      </c>
      <c r="C755" s="42">
        <f>'Part 2 - CAPM 2.1, 2.2 and 2.3'!O755</f>
        <v>-1.337035956581293E-2</v>
      </c>
      <c r="E755" s="16">
        <v>44693</v>
      </c>
      <c r="F755" s="17">
        <v>4.8399999999999999E-2</v>
      </c>
      <c r="G755" s="41">
        <f t="shared" si="79"/>
        <v>1.2950206266038045E-4</v>
      </c>
      <c r="L755" s="40">
        <f t="shared" si="77"/>
        <v>-2.2308493920740833E-2</v>
      </c>
      <c r="M755" s="40">
        <f t="shared" si="78"/>
        <v>-1.3270262881295623E-2</v>
      </c>
      <c r="O755" s="40">
        <f t="shared" si="80"/>
        <v>-2.2308493920740833E-2</v>
      </c>
      <c r="P755" s="207">
        <f t="shared" si="81"/>
        <v>1.2950206266038045E-4</v>
      </c>
      <c r="Q755" s="208">
        <f t="shared" si="82"/>
        <v>1.0021992959873915</v>
      </c>
      <c r="R755" s="40">
        <f t="shared" si="83"/>
        <v>-2.2388756481109624E-2</v>
      </c>
      <c r="S755" s="209">
        <v>0</v>
      </c>
    </row>
    <row r="756" spans="1:19" x14ac:dyDescent="0.45">
      <c r="A756" s="16">
        <v>44694</v>
      </c>
      <c r="B756" s="42">
        <f>'Part 2 - CAPM 2.1, 2.2 and 2.3'!N756</f>
        <v>3.3308797399789376E-4</v>
      </c>
      <c r="C756" s="42">
        <f>'Part 2 - CAPM 2.1, 2.2 and 2.3'!O756</f>
        <v>-1.8980910020959234E-2</v>
      </c>
      <c r="E756" s="16">
        <v>44694</v>
      </c>
      <c r="F756" s="17">
        <v>4.9000000000000002E-2</v>
      </c>
      <c r="G756" s="41">
        <f t="shared" si="79"/>
        <v>1.3106976536825243E-4</v>
      </c>
      <c r="L756" s="40">
        <f t="shared" si="77"/>
        <v>4.6489029841080814E-4</v>
      </c>
      <c r="M756" s="40">
        <f t="shared" si="78"/>
        <v>-1.8891584894837117E-2</v>
      </c>
      <c r="O756" s="40">
        <f t="shared" si="80"/>
        <v>4.6489029841080814E-4</v>
      </c>
      <c r="P756" s="207">
        <f t="shared" si="81"/>
        <v>1.3106976536825243E-4</v>
      </c>
      <c r="Q756" s="208">
        <f t="shared" si="82"/>
        <v>1.0021992959873915</v>
      </c>
      <c r="R756" s="40">
        <f t="shared" si="83"/>
        <v>3.3308797399789376E-4</v>
      </c>
      <c r="S756" s="209">
        <v>0</v>
      </c>
    </row>
    <row r="757" spans="1:19" x14ac:dyDescent="0.45">
      <c r="A757" s="16">
        <v>44698</v>
      </c>
      <c r="B757" s="42">
        <f>'Part 2 - CAPM 2.1, 2.2 and 2.3'!N757</f>
        <v>3.3611055345436076E-2</v>
      </c>
      <c r="C757" s="42">
        <f>'Part 2 - CAPM 2.1, 2.2 and 2.3'!O757</f>
        <v>6.238980437979838E-2</v>
      </c>
      <c r="E757" s="16">
        <v>44698</v>
      </c>
      <c r="F757" s="17">
        <v>4.8799999999999996E-2</v>
      </c>
      <c r="G757" s="41">
        <f t="shared" si="79"/>
        <v>1.3054729717976166E-4</v>
      </c>
      <c r="L757" s="40">
        <f t="shared" si="77"/>
        <v>3.3815523301769047E-2</v>
      </c>
      <c r="M757" s="40">
        <f t="shared" si="78"/>
        <v>6.2657565323404774E-2</v>
      </c>
      <c r="O757" s="40">
        <f t="shared" si="80"/>
        <v>3.3815523301769047E-2</v>
      </c>
      <c r="P757" s="207">
        <f t="shared" si="81"/>
        <v>1.3054729717976166E-4</v>
      </c>
      <c r="Q757" s="208">
        <f t="shared" si="82"/>
        <v>1.0021992959873915</v>
      </c>
      <c r="R757" s="40">
        <f t="shared" si="83"/>
        <v>3.3611055345436076E-2</v>
      </c>
      <c r="S757" s="209">
        <v>0</v>
      </c>
    </row>
    <row r="758" spans="1:19" x14ac:dyDescent="0.45">
      <c r="A758" s="16">
        <v>44699</v>
      </c>
      <c r="B758" s="42">
        <f>'Part 2 - CAPM 2.1, 2.2 and 2.3'!N758</f>
        <v>-6.9450032994921587E-4</v>
      </c>
      <c r="C758" s="42">
        <f>'Part 2 - CAPM 2.1, 2.2 and 2.3'!O758</f>
        <v>1.7565789823187599E-4</v>
      </c>
      <c r="E758" s="16">
        <v>44699</v>
      </c>
      <c r="F758" s="17">
        <v>4.8899999999999999E-2</v>
      </c>
      <c r="G758" s="41">
        <f t="shared" si="79"/>
        <v>1.3080854369262873E-4</v>
      </c>
      <c r="L758" s="40">
        <f t="shared" si="77"/>
        <v>-5.6521919804548653E-4</v>
      </c>
      <c r="M758" s="40">
        <f t="shared" si="78"/>
        <v>3.0685276563523971E-4</v>
      </c>
      <c r="O758" s="40">
        <f t="shared" si="80"/>
        <v>-5.6521919804548653E-4</v>
      </c>
      <c r="P758" s="207">
        <f t="shared" si="81"/>
        <v>1.3080854369262873E-4</v>
      </c>
      <c r="Q758" s="208">
        <f t="shared" si="82"/>
        <v>1.0021992959873915</v>
      </c>
      <c r="R758" s="40">
        <f t="shared" si="83"/>
        <v>-6.9450032994921587E-4</v>
      </c>
      <c r="S758" s="209">
        <v>0</v>
      </c>
    </row>
    <row r="759" spans="1:19" x14ac:dyDescent="0.45">
      <c r="A759" s="16">
        <v>44700</v>
      </c>
      <c r="B759" s="42">
        <f>'Part 2 - CAPM 2.1, 2.2 and 2.3'!N759</f>
        <v>-2.652123770302578E-2</v>
      </c>
      <c r="C759" s="42">
        <f>'Part 2 - CAPM 2.1, 2.2 and 2.3'!O759</f>
        <v>-1.973917409946635E-2</v>
      </c>
      <c r="E759" s="16">
        <v>44700</v>
      </c>
      <c r="F759" s="17">
        <v>4.9100000000000005E-2</v>
      </c>
      <c r="G759" s="41">
        <f t="shared" si="79"/>
        <v>1.3133096221151774E-4</v>
      </c>
      <c r="L759" s="40">
        <f t="shared" si="77"/>
        <v>-2.6448234792475184E-2</v>
      </c>
      <c r="M759" s="40">
        <f t="shared" si="78"/>
        <v>-1.9651255423646211E-2</v>
      </c>
      <c r="O759" s="40">
        <f t="shared" si="80"/>
        <v>-2.6448234792475184E-2</v>
      </c>
      <c r="P759" s="207">
        <f t="shared" si="81"/>
        <v>1.3133096221151774E-4</v>
      </c>
      <c r="Q759" s="208">
        <f t="shared" si="82"/>
        <v>1.0021992959873915</v>
      </c>
      <c r="R759" s="40">
        <f t="shared" si="83"/>
        <v>-2.652123770302578E-2</v>
      </c>
      <c r="S759" s="209">
        <v>0</v>
      </c>
    </row>
    <row r="760" spans="1:19" x14ac:dyDescent="0.45">
      <c r="A760" s="16">
        <v>44701</v>
      </c>
      <c r="B760" s="42">
        <f>'Part 2 - CAPM 2.1, 2.2 and 2.3'!N760</f>
        <v>2.526524497622356E-2</v>
      </c>
      <c r="C760" s="42">
        <f>'Part 2 - CAPM 2.1, 2.2 and 2.3'!O760</f>
        <v>1.1743407865773391E-2</v>
      </c>
      <c r="E760" s="16">
        <v>44701</v>
      </c>
      <c r="F760" s="17">
        <v>4.9200000000000001E-2</v>
      </c>
      <c r="G760" s="41">
        <f t="shared" si="79"/>
        <v>1.3159213422664351E-4</v>
      </c>
      <c r="L760" s="40">
        <f t="shared" si="77"/>
        <v>2.5452402862346877E-2</v>
      </c>
      <c r="M760" s="40">
        <f t="shared" si="78"/>
        <v>1.1900827229797533E-2</v>
      </c>
      <c r="O760" s="40">
        <f t="shared" si="80"/>
        <v>2.5452402862346877E-2</v>
      </c>
      <c r="P760" s="207">
        <f t="shared" si="81"/>
        <v>1.3159213422664351E-4</v>
      </c>
      <c r="Q760" s="208">
        <f t="shared" si="82"/>
        <v>1.0021992959873915</v>
      </c>
      <c r="R760" s="40">
        <f t="shared" si="83"/>
        <v>2.526524497622356E-2</v>
      </c>
      <c r="S760" s="209">
        <v>0</v>
      </c>
    </row>
    <row r="761" spans="1:19" x14ac:dyDescent="0.45">
      <c r="A761" s="16">
        <v>44704</v>
      </c>
      <c r="B761" s="42">
        <f>'Part 2 - CAPM 2.1, 2.2 and 2.3'!N761</f>
        <v>-4.3943944673201195E-3</v>
      </c>
      <c r="C761" s="42">
        <f>'Part 2 - CAPM 2.1, 2.2 and 2.3'!O761</f>
        <v>-4.2131521356275729E-2</v>
      </c>
      <c r="E761" s="16">
        <v>44704</v>
      </c>
      <c r="F761" s="17">
        <v>4.87E-2</v>
      </c>
      <c r="G761" s="41">
        <f t="shared" si="79"/>
        <v>1.3028602582476623E-4</v>
      </c>
      <c r="L761" s="40">
        <f t="shared" si="77"/>
        <v>-4.2737730156143464E-3</v>
      </c>
      <c r="M761" s="40">
        <f t="shared" si="78"/>
        <v>-4.209389501631252E-2</v>
      </c>
      <c r="O761" s="40">
        <f t="shared" si="80"/>
        <v>-4.2737730156143464E-3</v>
      </c>
      <c r="P761" s="207">
        <f t="shared" si="81"/>
        <v>1.3028602582476623E-4</v>
      </c>
      <c r="Q761" s="208">
        <f t="shared" si="82"/>
        <v>1.0021992959873915</v>
      </c>
      <c r="R761" s="40">
        <f t="shared" si="83"/>
        <v>-4.3943944673201195E-3</v>
      </c>
      <c r="S761" s="209">
        <v>0</v>
      </c>
    </row>
    <row r="762" spans="1:19" x14ac:dyDescent="0.45">
      <c r="A762" s="16">
        <v>44705</v>
      </c>
      <c r="B762" s="42">
        <f>'Part 2 - CAPM 2.1, 2.2 and 2.3'!N762</f>
        <v>-6.5303496289412667E-3</v>
      </c>
      <c r="C762" s="42">
        <f>'Part 2 - CAPM 2.1, 2.2 and 2.3'!O762</f>
        <v>-2.8821453014864024E-2</v>
      </c>
      <c r="E762" s="16">
        <v>44705</v>
      </c>
      <c r="F762" s="17">
        <v>4.87E-2</v>
      </c>
      <c r="G762" s="41">
        <f t="shared" si="79"/>
        <v>1.3028602582476623E-4</v>
      </c>
      <c r="L762" s="40">
        <f t="shared" si="77"/>
        <v>-6.4144257748516946E-3</v>
      </c>
      <c r="M762" s="40">
        <f t="shared" si="78"/>
        <v>-2.8754553895005641E-2</v>
      </c>
      <c r="O762" s="40">
        <f t="shared" si="80"/>
        <v>-6.4144257748516946E-3</v>
      </c>
      <c r="P762" s="207">
        <f t="shared" si="81"/>
        <v>1.3028602582476623E-4</v>
      </c>
      <c r="Q762" s="208">
        <f t="shared" si="82"/>
        <v>1.0021992959873915</v>
      </c>
      <c r="R762" s="40">
        <f t="shared" si="83"/>
        <v>-6.5303496289412667E-3</v>
      </c>
      <c r="S762" s="209">
        <v>0</v>
      </c>
    </row>
    <row r="763" spans="1:19" x14ac:dyDescent="0.45">
      <c r="A763" s="16">
        <v>44706</v>
      </c>
      <c r="B763" s="42">
        <f>'Part 2 - CAPM 2.1, 2.2 and 2.3'!N763</f>
        <v>-1.1732867761272581E-2</v>
      </c>
      <c r="C763" s="42">
        <f>'Part 2 - CAPM 2.1, 2.2 and 2.3'!O763</f>
        <v>1.2813362427347211E-2</v>
      </c>
      <c r="E763" s="16">
        <v>44706</v>
      </c>
      <c r="F763" s="17">
        <v>4.8799999999999996E-2</v>
      </c>
      <c r="G763" s="41">
        <f t="shared" si="79"/>
        <v>1.3054729717976166E-4</v>
      </c>
      <c r="L763" s="40">
        <f t="shared" si="77"/>
        <v>-1.1628124513080781E-2</v>
      </c>
      <c r="M763" s="40">
        <f t="shared" si="78"/>
        <v>1.2972090101098432E-2</v>
      </c>
      <c r="O763" s="40">
        <f t="shared" si="80"/>
        <v>-1.1628124513080781E-2</v>
      </c>
      <c r="P763" s="207">
        <f t="shared" si="81"/>
        <v>1.3054729717976166E-4</v>
      </c>
      <c r="Q763" s="208">
        <f t="shared" si="82"/>
        <v>1.0021992959873915</v>
      </c>
      <c r="R763" s="40">
        <f t="shared" si="83"/>
        <v>-1.1732867761272581E-2</v>
      </c>
      <c r="S763" s="209">
        <v>0</v>
      </c>
    </row>
    <row r="764" spans="1:19" x14ac:dyDescent="0.45">
      <c r="A764" s="16">
        <v>44707</v>
      </c>
      <c r="B764" s="42">
        <f>'Part 2 - CAPM 2.1, 2.2 and 2.3'!N764</f>
        <v>9.7898920873904626E-3</v>
      </c>
      <c r="C764" s="42">
        <f>'Part 2 - CAPM 2.1, 2.2 and 2.3'!O764</f>
        <v>-4.7179645069953067E-3</v>
      </c>
      <c r="E764" s="16">
        <v>44707</v>
      </c>
      <c r="F764" s="17">
        <v>4.8899999999999999E-2</v>
      </c>
      <c r="G764" s="41">
        <f t="shared" si="79"/>
        <v>1.3080854369262873E-4</v>
      </c>
      <c r="L764" s="40">
        <f t="shared" si="77"/>
        <v>9.9422315014678856E-3</v>
      </c>
      <c r="M764" s="40">
        <f t="shared" si="78"/>
        <v>-4.5975321637115683E-3</v>
      </c>
      <c r="O764" s="40">
        <f t="shared" si="80"/>
        <v>9.9422315014678856E-3</v>
      </c>
      <c r="P764" s="207">
        <f t="shared" si="81"/>
        <v>1.3080854369262873E-4</v>
      </c>
      <c r="Q764" s="208">
        <f t="shared" si="82"/>
        <v>1.0021992959873915</v>
      </c>
      <c r="R764" s="40">
        <f t="shared" si="83"/>
        <v>9.7898920873904626E-3</v>
      </c>
      <c r="S764" s="209">
        <v>0</v>
      </c>
    </row>
    <row r="765" spans="1:19" x14ac:dyDescent="0.45">
      <c r="A765" s="16">
        <v>44708</v>
      </c>
      <c r="B765" s="42">
        <f>'Part 2 - CAPM 2.1, 2.2 and 2.3'!N765</f>
        <v>1.0844089341054413E-2</v>
      </c>
      <c r="C765" s="42">
        <f>'Part 2 - CAPM 2.1, 2.2 and 2.3'!O765</f>
        <v>-5.3455102925882819E-2</v>
      </c>
      <c r="E765" s="16">
        <v>44708</v>
      </c>
      <c r="F765" s="17">
        <v>4.8799999999999996E-2</v>
      </c>
      <c r="G765" s="41">
        <f t="shared" si="79"/>
        <v>1.3054729717976166E-4</v>
      </c>
      <c r="L765" s="40">
        <f t="shared" si="77"/>
        <v>1.0998486000408871E-2</v>
      </c>
      <c r="M765" s="40">
        <f t="shared" si="78"/>
        <v>-5.3442119222073557E-2</v>
      </c>
      <c r="O765" s="40">
        <f t="shared" si="80"/>
        <v>1.0998486000408871E-2</v>
      </c>
      <c r="P765" s="207">
        <f t="shared" si="81"/>
        <v>1.3054729717976166E-4</v>
      </c>
      <c r="Q765" s="208">
        <f t="shared" si="82"/>
        <v>1.0021992959873915</v>
      </c>
      <c r="R765" s="40">
        <f t="shared" si="83"/>
        <v>1.0844089341054413E-2</v>
      </c>
      <c r="S765" s="209">
        <v>0</v>
      </c>
    </row>
    <row r="766" spans="1:19" x14ac:dyDescent="0.45">
      <c r="A766" s="16">
        <v>44711</v>
      </c>
      <c r="B766" s="42">
        <f>'Part 2 - CAPM 2.1, 2.2 and 2.3'!N766</f>
        <v>2.0170997462873985E-2</v>
      </c>
      <c r="C766" s="42">
        <f>'Part 2 - CAPM 2.1, 2.2 and 2.3'!O766</f>
        <v>1.6077171864881778E-3</v>
      </c>
      <c r="E766" s="16">
        <v>44711</v>
      </c>
      <c r="F766" s="17">
        <v>4.8899999999999999E-2</v>
      </c>
      <c r="G766" s="41">
        <f t="shared" si="79"/>
        <v>1.3080854369262873E-4</v>
      </c>
      <c r="L766" s="40">
        <f t="shared" si="77"/>
        <v>2.0346168000348396E-2</v>
      </c>
      <c r="M766" s="40">
        <f t="shared" si="78"/>
        <v>1.7420615761379104E-3</v>
      </c>
      <c r="O766" s="40">
        <f t="shared" si="80"/>
        <v>2.0346168000348396E-2</v>
      </c>
      <c r="P766" s="207">
        <f t="shared" si="81"/>
        <v>1.3080854369262873E-4</v>
      </c>
      <c r="Q766" s="208">
        <f t="shared" si="82"/>
        <v>1.0021992959873915</v>
      </c>
      <c r="R766" s="40">
        <f t="shared" si="83"/>
        <v>2.0170997462873985E-2</v>
      </c>
      <c r="S766" s="209">
        <v>0</v>
      </c>
    </row>
    <row r="767" spans="1:19" x14ac:dyDescent="0.45">
      <c r="A767" s="16">
        <v>44712</v>
      </c>
      <c r="B767" s="42">
        <f>'Part 2 - CAPM 2.1, 2.2 and 2.3'!N767</f>
        <v>-2.6181198960006855E-3</v>
      </c>
      <c r="C767" s="42">
        <f>'Part 2 - CAPM 2.1, 2.2 and 2.3'!O767</f>
        <v>4.9851313952748486E-2</v>
      </c>
      <c r="E767" s="16">
        <v>44712</v>
      </c>
      <c r="F767" s="17">
        <v>4.9100000000000005E-2</v>
      </c>
      <c r="G767" s="41">
        <f t="shared" si="79"/>
        <v>1.3133096221151774E-4</v>
      </c>
      <c r="L767" s="40">
        <f t="shared" si="77"/>
        <v>-2.4925469543709521E-3</v>
      </c>
      <c r="M767" s="40">
        <f t="shared" si="78"/>
        <v>5.0092282709702479E-2</v>
      </c>
      <c r="O767" s="40">
        <f t="shared" si="80"/>
        <v>-2.4925469543709521E-3</v>
      </c>
      <c r="P767" s="207">
        <f t="shared" si="81"/>
        <v>1.3133096221151774E-4</v>
      </c>
      <c r="Q767" s="208">
        <f t="shared" si="82"/>
        <v>1.0021992959873915</v>
      </c>
      <c r="R767" s="40">
        <f t="shared" si="83"/>
        <v>-2.6181198960006855E-3</v>
      </c>
      <c r="S767" s="209">
        <v>0</v>
      </c>
    </row>
    <row r="768" spans="1:19" x14ac:dyDescent="0.45">
      <c r="A768" s="16">
        <v>44713</v>
      </c>
      <c r="B768" s="42">
        <f>'Part 2 - CAPM 2.1, 2.2 and 2.3'!N768</f>
        <v>-2.7310770554636009E-3</v>
      </c>
      <c r="C768" s="42">
        <f>'Part 2 - CAPM 2.1, 2.2 and 2.3'!O768</f>
        <v>-1.0049208653319786E-2</v>
      </c>
      <c r="E768" s="16">
        <v>44713</v>
      </c>
      <c r="F768" s="17">
        <v>4.9299999999999997E-2</v>
      </c>
      <c r="G768" s="41">
        <f t="shared" si="79"/>
        <v>1.318532814189588E-4</v>
      </c>
      <c r="L768" s="40">
        <f t="shared" si="77"/>
        <v>-2.6052302208539801E-3</v>
      </c>
      <c r="M768" s="40">
        <f t="shared" si="78"/>
        <v>-9.9394565561685341E-3</v>
      </c>
      <c r="O768" s="40">
        <f t="shared" si="80"/>
        <v>-2.6052302208539801E-3</v>
      </c>
      <c r="P768" s="207">
        <f t="shared" si="81"/>
        <v>1.318532814189588E-4</v>
      </c>
      <c r="Q768" s="208">
        <f t="shared" si="82"/>
        <v>1.0021992959873915</v>
      </c>
      <c r="R768" s="40">
        <f t="shared" si="83"/>
        <v>-2.7310770554636009E-3</v>
      </c>
      <c r="S768" s="209">
        <v>0</v>
      </c>
    </row>
    <row r="769" spans="1:19" x14ac:dyDescent="0.45">
      <c r="A769" s="16">
        <v>44714</v>
      </c>
      <c r="B769" s="42">
        <f>'Part 2 - CAPM 2.1, 2.2 and 2.3'!N769</f>
        <v>5.906341455128074E-3</v>
      </c>
      <c r="C769" s="42">
        <f>'Part 2 - CAPM 2.1, 2.2 and 2.3'!O769</f>
        <v>1.7897152461421668E-2</v>
      </c>
      <c r="E769" s="16">
        <v>44714</v>
      </c>
      <c r="F769" s="17">
        <v>4.9699999999999994E-2</v>
      </c>
      <c r="G769" s="41">
        <f t="shared" si="79"/>
        <v>1.3289762205070943E-4</v>
      </c>
      <c r="L769" s="40">
        <f t="shared" si="77"/>
        <v>6.0522288702412113E-3</v>
      </c>
      <c r="M769" s="40">
        <f t="shared" si="78"/>
        <v>1.8069411219066515E-2</v>
      </c>
      <c r="O769" s="40">
        <f t="shared" si="80"/>
        <v>6.0522288702412113E-3</v>
      </c>
      <c r="P769" s="207">
        <f t="shared" si="81"/>
        <v>1.3289762205070943E-4</v>
      </c>
      <c r="Q769" s="208">
        <f t="shared" si="82"/>
        <v>1.0021992959873915</v>
      </c>
      <c r="R769" s="40">
        <f t="shared" si="83"/>
        <v>5.906341455128074E-3</v>
      </c>
      <c r="S769" s="209">
        <v>0</v>
      </c>
    </row>
    <row r="770" spans="1:19" x14ac:dyDescent="0.45">
      <c r="A770" s="16">
        <v>44715</v>
      </c>
      <c r="B770" s="42">
        <f>'Part 2 - CAPM 2.1, 2.2 and 2.3'!N770</f>
        <v>-6.489053464138258E-3</v>
      </c>
      <c r="C770" s="42">
        <f>'Part 2 - CAPM 2.1, 2.2 and 2.3'!O770</f>
        <v>-5.7087572021021164E-3</v>
      </c>
      <c r="E770" s="16">
        <v>44715</v>
      </c>
      <c r="F770" s="17">
        <v>4.9800000000000004E-2</v>
      </c>
      <c r="G770" s="41">
        <f t="shared" si="79"/>
        <v>1.3315864519825027E-4</v>
      </c>
      <c r="L770" s="40">
        <f t="shared" si="77"/>
        <v>-6.3701661681856564E-3</v>
      </c>
      <c r="M770" s="40">
        <f t="shared" si="78"/>
        <v>-5.5881538037114422E-3</v>
      </c>
      <c r="O770" s="40">
        <f t="shared" si="80"/>
        <v>-6.3701661681856564E-3</v>
      </c>
      <c r="P770" s="207">
        <f t="shared" si="81"/>
        <v>1.3315864519825027E-4</v>
      </c>
      <c r="Q770" s="208">
        <f t="shared" si="82"/>
        <v>1.0021992959873915</v>
      </c>
      <c r="R770" s="40">
        <f t="shared" si="83"/>
        <v>-6.489053464138258E-3</v>
      </c>
      <c r="S770" s="209">
        <v>0</v>
      </c>
    </row>
    <row r="771" spans="1:19" x14ac:dyDescent="0.45">
      <c r="A771" s="16">
        <v>44718</v>
      </c>
      <c r="B771" s="42">
        <f>'Part 2 - CAPM 2.1, 2.2 and 2.3'!N771</f>
        <v>-1.8237517024013326E-3</v>
      </c>
      <c r="C771" s="42">
        <f>'Part 2 - CAPM 2.1, 2.2 and 2.3'!O771</f>
        <v>1.5368160616015434E-2</v>
      </c>
      <c r="E771" s="16">
        <v>44718</v>
      </c>
      <c r="F771" s="17">
        <v>4.9800000000000004E-2</v>
      </c>
      <c r="G771" s="41">
        <f t="shared" si="79"/>
        <v>1.3315864519825027E-4</v>
      </c>
      <c r="L771" s="40">
        <f t="shared" ref="L771:L834" si="84">G771+($J$1*(B771))</f>
        <v>-1.6946040270041721E-3</v>
      </c>
      <c r="M771" s="40">
        <f t="shared" ref="M771:M834" si="85">G771+($J$1*(C771))</f>
        <v>1.5535118395190076E-2</v>
      </c>
      <c r="O771" s="40">
        <f t="shared" si="80"/>
        <v>-1.6946040270041721E-3</v>
      </c>
      <c r="P771" s="207">
        <f t="shared" si="81"/>
        <v>1.3315864519825027E-4</v>
      </c>
      <c r="Q771" s="208">
        <f t="shared" si="82"/>
        <v>1.0021992959873915</v>
      </c>
      <c r="R771" s="40">
        <f t="shared" si="83"/>
        <v>-1.8237517024013326E-3</v>
      </c>
      <c r="S771" s="209">
        <v>0</v>
      </c>
    </row>
    <row r="772" spans="1:19" x14ac:dyDescent="0.45">
      <c r="A772" s="16">
        <v>44719</v>
      </c>
      <c r="B772" s="42">
        <f>'Part 2 - CAPM 2.1, 2.2 and 2.3'!N772</f>
        <v>-8.5659056939343756E-3</v>
      </c>
      <c r="C772" s="42">
        <f>'Part 2 - CAPM 2.1, 2.2 and 2.3'!O772</f>
        <v>5.1181159640674753E-2</v>
      </c>
      <c r="E772" s="16">
        <v>44719</v>
      </c>
      <c r="F772" s="17">
        <v>5.0199999999999995E-2</v>
      </c>
      <c r="G772" s="41">
        <f t="shared" ref="G772:G835" si="86">((1+F772)^(1/365))-1</f>
        <v>1.3420248988715855E-4</v>
      </c>
      <c r="L772" s="40">
        <f t="shared" si="84"/>
        <v>-8.4505421660682617E-3</v>
      </c>
      <c r="M772" s="40">
        <f t="shared" si="85"/>
        <v>5.1427924649589694E-2</v>
      </c>
      <c r="O772" s="40">
        <f t="shared" ref="O772:O835" si="87">P772+(Q772*(R772))+S772</f>
        <v>-8.4505421660682617E-3</v>
      </c>
      <c r="P772" s="207">
        <f t="shared" ref="P772:P835" si="88">G772</f>
        <v>1.3420248988715855E-4</v>
      </c>
      <c r="Q772" s="208">
        <f t="shared" ref="Q772:Q835" si="89">$J$1</f>
        <v>1.0021992959873915</v>
      </c>
      <c r="R772" s="40">
        <f t="shared" ref="R772:R835" si="90">B772</f>
        <v>-8.5659056939343756E-3</v>
      </c>
      <c r="S772" s="209">
        <v>0</v>
      </c>
    </row>
    <row r="773" spans="1:19" x14ac:dyDescent="0.45">
      <c r="A773" s="16">
        <v>44720</v>
      </c>
      <c r="B773" s="42">
        <f>'Part 2 - CAPM 2.1, 2.2 and 2.3'!N773</f>
        <v>-3.6275444259199884E-3</v>
      </c>
      <c r="C773" s="42">
        <f>'Part 2 - CAPM 2.1, 2.2 and 2.3'!O773</f>
        <v>9.4438709908625518E-3</v>
      </c>
      <c r="E773" s="16">
        <v>44720</v>
      </c>
      <c r="F773" s="17">
        <v>4.9699999999999994E-2</v>
      </c>
      <c r="G773" s="41">
        <f t="shared" si="86"/>
        <v>1.3289762205070943E-4</v>
      </c>
      <c r="L773" s="40">
        <f t="shared" si="84"/>
        <v>-3.5026248477692894E-3</v>
      </c>
      <c r="M773" s="40">
        <f t="shared" si="85"/>
        <v>9.5975384804889083E-3</v>
      </c>
      <c r="O773" s="40">
        <f t="shared" si="87"/>
        <v>-3.5026248477692894E-3</v>
      </c>
      <c r="P773" s="207">
        <f t="shared" si="88"/>
        <v>1.3289762205070943E-4</v>
      </c>
      <c r="Q773" s="208">
        <f t="shared" si="89"/>
        <v>1.0021992959873915</v>
      </c>
      <c r="R773" s="40">
        <f t="shared" si="90"/>
        <v>-3.6275444259199884E-3</v>
      </c>
      <c r="S773" s="209">
        <v>0</v>
      </c>
    </row>
    <row r="774" spans="1:19" x14ac:dyDescent="0.45">
      <c r="A774" s="16">
        <v>44721</v>
      </c>
      <c r="B774" s="42">
        <f>'Part 2 - CAPM 2.1, 2.2 and 2.3'!N774</f>
        <v>6.3613885653841015E-3</v>
      </c>
      <c r="C774" s="42">
        <f>'Part 2 - CAPM 2.1, 2.2 and 2.3'!O774</f>
        <v>1.302395317095139E-2</v>
      </c>
      <c r="E774" s="16">
        <v>44721</v>
      </c>
      <c r="F774" s="17">
        <v>5.0099999999999999E-2</v>
      </c>
      <c r="G774" s="41">
        <f t="shared" si="86"/>
        <v>1.3394156589074946E-4</v>
      </c>
      <c r="L774" s="40">
        <f t="shared" si="84"/>
        <v>6.5093207076209383E-3</v>
      </c>
      <c r="M774" s="40">
        <f t="shared" si="85"/>
        <v>1.3186538264790989E-2</v>
      </c>
      <c r="O774" s="40">
        <f t="shared" si="87"/>
        <v>6.5093207076209383E-3</v>
      </c>
      <c r="P774" s="207">
        <f t="shared" si="88"/>
        <v>1.3394156589074946E-4</v>
      </c>
      <c r="Q774" s="208">
        <f t="shared" si="89"/>
        <v>1.0021992959873915</v>
      </c>
      <c r="R774" s="40">
        <f t="shared" si="90"/>
        <v>6.3613885653841015E-3</v>
      </c>
      <c r="S774" s="209">
        <v>0</v>
      </c>
    </row>
    <row r="775" spans="1:19" x14ac:dyDescent="0.45">
      <c r="A775" s="16">
        <v>44722</v>
      </c>
      <c r="B775" s="42">
        <f>'Part 2 - CAPM 2.1, 2.2 and 2.3'!N775</f>
        <v>-1.4110113496609268E-2</v>
      </c>
      <c r="C775" s="42">
        <f>'Part 2 - CAPM 2.1, 2.2 and 2.3'!O775</f>
        <v>-5.5701046581887338E-3</v>
      </c>
      <c r="E775" s="16">
        <v>44722</v>
      </c>
      <c r="F775" s="17">
        <v>0.05</v>
      </c>
      <c r="G775" s="41">
        <f t="shared" si="86"/>
        <v>1.3368061711349633E-4</v>
      </c>
      <c r="L775" s="40">
        <f t="shared" si="84"/>
        <v>-1.4007465195490504E-2</v>
      </c>
      <c r="M775" s="40">
        <f t="shared" si="85"/>
        <v>-5.4486743498993427E-3</v>
      </c>
      <c r="O775" s="40">
        <f t="shared" si="87"/>
        <v>-1.4007465195490504E-2</v>
      </c>
      <c r="P775" s="207">
        <f t="shared" si="88"/>
        <v>1.3368061711349633E-4</v>
      </c>
      <c r="Q775" s="208">
        <f t="shared" si="89"/>
        <v>1.0021992959873915</v>
      </c>
      <c r="R775" s="40">
        <f t="shared" si="90"/>
        <v>-1.4110113496609268E-2</v>
      </c>
      <c r="S775" s="209">
        <v>0</v>
      </c>
    </row>
    <row r="776" spans="1:19" x14ac:dyDescent="0.45">
      <c r="A776" s="16">
        <v>44725</v>
      </c>
      <c r="B776" s="42">
        <f>'Part 2 - CAPM 2.1, 2.2 and 2.3'!N776</f>
        <v>-2.6606835574038767E-2</v>
      </c>
      <c r="C776" s="42">
        <f>'Part 2 - CAPM 2.1, 2.2 and 2.3'!O776</f>
        <v>-3.1108214663289762E-2</v>
      </c>
      <c r="E776" s="16">
        <v>44725</v>
      </c>
      <c r="F776" s="17">
        <v>4.99E-2</v>
      </c>
      <c r="G776" s="41">
        <f t="shared" si="86"/>
        <v>1.3341964355095826E-4</v>
      </c>
      <c r="L776" s="40">
        <f t="shared" si="84"/>
        <v>-2.6531932237202977E-2</v>
      </c>
      <c r="M776" s="40">
        <f t="shared" si="85"/>
        <v>-3.1043211191422691E-2</v>
      </c>
      <c r="O776" s="40">
        <f t="shared" si="87"/>
        <v>-2.6531932237202977E-2</v>
      </c>
      <c r="P776" s="207">
        <f t="shared" si="88"/>
        <v>1.3341964355095826E-4</v>
      </c>
      <c r="Q776" s="208">
        <f t="shared" si="89"/>
        <v>1.0021992959873915</v>
      </c>
      <c r="R776" s="40">
        <f t="shared" si="90"/>
        <v>-2.6606835574038767E-2</v>
      </c>
      <c r="S776" s="209">
        <v>0</v>
      </c>
    </row>
    <row r="777" spans="1:19" x14ac:dyDescent="0.45">
      <c r="A777" s="16">
        <v>44726</v>
      </c>
      <c r="B777" s="42">
        <f>'Part 2 - CAPM 2.1, 2.2 and 2.3'!N777</f>
        <v>-2.2647985918327457E-3</v>
      </c>
      <c r="C777" s="42">
        <f>'Part 2 - CAPM 2.1, 2.2 and 2.3'!O777</f>
        <v>-2.2696618375690401E-2</v>
      </c>
      <c r="E777" s="16">
        <v>44726</v>
      </c>
      <c r="F777" s="17">
        <v>4.9800000000000004E-2</v>
      </c>
      <c r="G777" s="41">
        <f t="shared" si="86"/>
        <v>1.3315864519825027E-4</v>
      </c>
      <c r="L777" s="40">
        <f t="shared" si="84"/>
        <v>-2.1366209090897632E-3</v>
      </c>
      <c r="M777" s="40">
        <f t="shared" si="85"/>
        <v>-2.2613376312213163E-2</v>
      </c>
      <c r="O777" s="40">
        <f t="shared" si="87"/>
        <v>-2.1366209090897632E-3</v>
      </c>
      <c r="P777" s="207">
        <f t="shared" si="88"/>
        <v>1.3315864519825027E-4</v>
      </c>
      <c r="Q777" s="208">
        <f t="shared" si="89"/>
        <v>1.0021992959873915</v>
      </c>
      <c r="R777" s="40">
        <f t="shared" si="90"/>
        <v>-2.2647985918327457E-3</v>
      </c>
      <c r="S777" s="209">
        <v>0</v>
      </c>
    </row>
    <row r="778" spans="1:19" x14ac:dyDescent="0.45">
      <c r="A778" s="16">
        <v>44727</v>
      </c>
      <c r="B778" s="42">
        <f>'Part 2 - CAPM 2.1, 2.2 and 2.3'!N778</f>
        <v>-6.9118027365571658E-4</v>
      </c>
      <c r="C778" s="42">
        <f>'Part 2 - CAPM 2.1, 2.2 and 2.3'!O778</f>
        <v>-2.9310742218029907E-2</v>
      </c>
      <c r="E778" s="16">
        <v>44727</v>
      </c>
      <c r="F778" s="17">
        <v>5.04E-2</v>
      </c>
      <c r="G778" s="41">
        <f t="shared" si="86"/>
        <v>1.3472426355742861E-4</v>
      </c>
      <c r="L778" s="40">
        <f t="shared" si="84"/>
        <v>-5.5797612010070321E-4</v>
      </c>
      <c r="M778" s="40">
        <f t="shared" si="85"/>
        <v>-2.9240480952220059E-2</v>
      </c>
      <c r="O778" s="40">
        <f t="shared" si="87"/>
        <v>-5.5797612010070321E-4</v>
      </c>
      <c r="P778" s="207">
        <f t="shared" si="88"/>
        <v>1.3472426355742861E-4</v>
      </c>
      <c r="Q778" s="208">
        <f t="shared" si="89"/>
        <v>1.0021992959873915</v>
      </c>
      <c r="R778" s="40">
        <f t="shared" si="90"/>
        <v>-6.9118027365571658E-4</v>
      </c>
      <c r="S778" s="209">
        <v>0</v>
      </c>
    </row>
    <row r="779" spans="1:19" x14ac:dyDescent="0.45">
      <c r="A779" s="16">
        <v>44728</v>
      </c>
      <c r="B779" s="42">
        <f>'Part 2 - CAPM 2.1, 2.2 and 2.3'!N779</f>
        <v>-2.1931580978751173E-2</v>
      </c>
      <c r="C779" s="42">
        <f>'Part 2 - CAPM 2.1, 2.2 and 2.3'!O779</f>
        <v>-5.1984912286542125E-2</v>
      </c>
      <c r="E779" s="16">
        <v>44728</v>
      </c>
      <c r="F779" s="17">
        <v>5.0700000000000002E-2</v>
      </c>
      <c r="G779" s="41">
        <f t="shared" si="86"/>
        <v>1.3550673832551929E-4</v>
      </c>
      <c r="L779" s="40">
        <f t="shared" si="84"/>
        <v>-2.1844308278469372E-2</v>
      </c>
      <c r="M779" s="40">
        <f t="shared" si="85"/>
        <v>-5.1963735757213296E-2</v>
      </c>
      <c r="O779" s="40">
        <f t="shared" si="87"/>
        <v>-2.1844308278469372E-2</v>
      </c>
      <c r="P779" s="207">
        <f t="shared" si="88"/>
        <v>1.3550673832551929E-4</v>
      </c>
      <c r="Q779" s="208">
        <f t="shared" si="89"/>
        <v>1.0021992959873915</v>
      </c>
      <c r="R779" s="40">
        <f t="shared" si="90"/>
        <v>-2.1931580978751173E-2</v>
      </c>
      <c r="S779" s="209">
        <v>0</v>
      </c>
    </row>
    <row r="780" spans="1:19" x14ac:dyDescent="0.45">
      <c r="A780" s="16">
        <v>44729</v>
      </c>
      <c r="B780" s="42">
        <f>'Part 2 - CAPM 2.1, 2.2 and 2.3'!N780</f>
        <v>-7.3526829957693413E-3</v>
      </c>
      <c r="C780" s="42">
        <f>'Part 2 - CAPM 2.1, 2.2 and 2.3'!O780</f>
        <v>-1.4765859479761877E-2</v>
      </c>
      <c r="E780" s="16">
        <v>44729</v>
      </c>
      <c r="F780" s="17">
        <v>5.1200000000000002E-2</v>
      </c>
      <c r="G780" s="41">
        <f t="shared" si="86"/>
        <v>1.3681036795398782E-4</v>
      </c>
      <c r="L780" s="40">
        <f t="shared" si="84"/>
        <v>-7.2320433540245107E-3</v>
      </c>
      <c r="M780" s="40">
        <f t="shared" si="85"/>
        <v>-1.4661523607312116E-2</v>
      </c>
      <c r="O780" s="40">
        <f t="shared" si="87"/>
        <v>-7.2320433540245107E-3</v>
      </c>
      <c r="P780" s="207">
        <f t="shared" si="88"/>
        <v>1.3681036795398782E-4</v>
      </c>
      <c r="Q780" s="208">
        <f t="shared" si="89"/>
        <v>1.0021992959873915</v>
      </c>
      <c r="R780" s="40">
        <f t="shared" si="90"/>
        <v>-7.3526829957693413E-3</v>
      </c>
      <c r="S780" s="209">
        <v>0</v>
      </c>
    </row>
    <row r="781" spans="1:19" x14ac:dyDescent="0.45">
      <c r="A781" s="16">
        <v>44732</v>
      </c>
      <c r="B781" s="42">
        <f>'Part 2 - CAPM 2.1, 2.2 and 2.3'!N781</f>
        <v>-3.5214895390719746E-3</v>
      </c>
      <c r="C781" s="42">
        <f>'Part 2 - CAPM 2.1, 2.2 and 2.3'!O781</f>
        <v>-4.9976439930266014E-2</v>
      </c>
      <c r="E781" s="16">
        <v>44732</v>
      </c>
      <c r="F781" s="17">
        <v>5.0700000000000002E-2</v>
      </c>
      <c r="G781" s="41">
        <f t="shared" si="86"/>
        <v>1.3550673832551929E-4</v>
      </c>
      <c r="L781" s="40">
        <f t="shared" si="84"/>
        <v>-3.3937275985593774E-3</v>
      </c>
      <c r="M781" s="40">
        <f t="shared" si="85"/>
        <v>-4.9950846175743246E-2</v>
      </c>
      <c r="O781" s="40">
        <f t="shared" si="87"/>
        <v>-3.3937275985593774E-3</v>
      </c>
      <c r="P781" s="207">
        <f t="shared" si="88"/>
        <v>1.3550673832551929E-4</v>
      </c>
      <c r="Q781" s="208">
        <f t="shared" si="89"/>
        <v>1.0021992959873915</v>
      </c>
      <c r="R781" s="40">
        <f t="shared" si="90"/>
        <v>-3.5214895390719746E-3</v>
      </c>
      <c r="S781" s="209">
        <v>0</v>
      </c>
    </row>
    <row r="782" spans="1:19" x14ac:dyDescent="0.45">
      <c r="A782" s="16">
        <v>44733</v>
      </c>
      <c r="B782" s="42">
        <f>'Part 2 - CAPM 2.1, 2.2 and 2.3'!N782</f>
        <v>2.2346338362234194E-2</v>
      </c>
      <c r="C782" s="42">
        <f>'Part 2 - CAPM 2.1, 2.2 and 2.3'!O782</f>
        <v>3.4835252981997841E-2</v>
      </c>
      <c r="E782" s="16">
        <v>44733</v>
      </c>
      <c r="F782" s="17">
        <v>5.0499999999999996E-2</v>
      </c>
      <c r="G782" s="41">
        <f t="shared" si="86"/>
        <v>1.3498511324017137E-4</v>
      </c>
      <c r="L782" s="40">
        <f t="shared" si="84"/>
        <v>2.253046968776732E-2</v>
      </c>
      <c r="M782" s="40">
        <f t="shared" si="85"/>
        <v>3.5046851127341093E-2</v>
      </c>
      <c r="O782" s="40">
        <f t="shared" si="87"/>
        <v>2.253046968776732E-2</v>
      </c>
      <c r="P782" s="207">
        <f t="shared" si="88"/>
        <v>1.3498511324017137E-4</v>
      </c>
      <c r="Q782" s="208">
        <f t="shared" si="89"/>
        <v>1.0021992959873915</v>
      </c>
      <c r="R782" s="40">
        <f t="shared" si="90"/>
        <v>2.2346338362234194E-2</v>
      </c>
      <c r="S782" s="209">
        <v>0</v>
      </c>
    </row>
    <row r="783" spans="1:19" x14ac:dyDescent="0.45">
      <c r="A783" s="16">
        <v>44734</v>
      </c>
      <c r="B783" s="42">
        <f>'Part 2 - CAPM 2.1, 2.2 and 2.3'!N783</f>
        <v>-1.4797299985518115E-2</v>
      </c>
      <c r="C783" s="42">
        <f>'Part 2 - CAPM 2.1, 2.2 and 2.3'!O783</f>
        <v>-3.0689065329267289E-2</v>
      </c>
      <c r="E783" s="16">
        <v>44734</v>
      </c>
      <c r="F783" s="17">
        <v>5.0700000000000002E-2</v>
      </c>
      <c r="G783" s="41">
        <f t="shared" si="86"/>
        <v>1.3550673832551929E-4</v>
      </c>
      <c r="L783" s="40">
        <f t="shared" si="84"/>
        <v>-1.4694336889674975E-2</v>
      </c>
      <c r="M783" s="40">
        <f t="shared" si="85"/>
        <v>-3.0621052929177224E-2</v>
      </c>
      <c r="O783" s="40">
        <f t="shared" si="87"/>
        <v>-1.4694336889674975E-2</v>
      </c>
      <c r="P783" s="207">
        <f t="shared" si="88"/>
        <v>1.3550673832551929E-4</v>
      </c>
      <c r="Q783" s="208">
        <f t="shared" si="89"/>
        <v>1.0021992959873915</v>
      </c>
      <c r="R783" s="40">
        <f t="shared" si="90"/>
        <v>-1.4797299985518115E-2</v>
      </c>
      <c r="S783" s="209">
        <v>0</v>
      </c>
    </row>
    <row r="784" spans="1:19" x14ac:dyDescent="0.45">
      <c r="A784" s="16">
        <v>44735</v>
      </c>
      <c r="B784" s="42">
        <f>'Part 2 - CAPM 2.1, 2.2 and 2.3'!N784</f>
        <v>9.907327605346997E-3</v>
      </c>
      <c r="C784" s="42">
        <f>'Part 2 - CAPM 2.1, 2.2 and 2.3'!O784</f>
        <v>-5.0733204226487204E-4</v>
      </c>
      <c r="E784" s="16">
        <v>44735</v>
      </c>
      <c r="F784" s="17">
        <v>5.1100000000000007E-2</v>
      </c>
      <c r="G784" s="41">
        <f t="shared" si="86"/>
        <v>1.3654969150489471E-4</v>
      </c>
      <c r="L784" s="40">
        <f t="shared" si="84"/>
        <v>1.0065666442700105E-2</v>
      </c>
      <c r="M784" s="40">
        <f t="shared" si="85"/>
        <v>-3.7189812408480565E-4</v>
      </c>
      <c r="O784" s="40">
        <f t="shared" si="87"/>
        <v>1.0065666442700105E-2</v>
      </c>
      <c r="P784" s="207">
        <f t="shared" si="88"/>
        <v>1.3654969150489471E-4</v>
      </c>
      <c r="Q784" s="208">
        <f t="shared" si="89"/>
        <v>1.0021992959873915</v>
      </c>
      <c r="R784" s="40">
        <f t="shared" si="90"/>
        <v>9.907327605346997E-3</v>
      </c>
      <c r="S784" s="209">
        <v>0</v>
      </c>
    </row>
    <row r="785" spans="1:19" x14ac:dyDescent="0.45">
      <c r="A785" s="16">
        <v>44736</v>
      </c>
      <c r="B785" s="42">
        <f>'Part 2 - CAPM 2.1, 2.2 and 2.3'!N785</f>
        <v>1.0767326230430391E-2</v>
      </c>
      <c r="C785" s="42">
        <f>'Part 2 - CAPM 2.1, 2.2 and 2.3'!O785</f>
        <v>1.8780364255082515E-2</v>
      </c>
      <c r="E785" s="16">
        <v>44736</v>
      </c>
      <c r="F785" s="17">
        <v>5.1100000000000007E-2</v>
      </c>
      <c r="G785" s="41">
        <f t="shared" si="86"/>
        <v>1.3654969150489471E-4</v>
      </c>
      <c r="L785" s="40">
        <f t="shared" si="84"/>
        <v>1.0927556459308806E-2</v>
      </c>
      <c r="M785" s="40">
        <f t="shared" si="85"/>
        <v>1.8958217526335364E-2</v>
      </c>
      <c r="O785" s="40">
        <f t="shared" si="87"/>
        <v>1.0927556459308806E-2</v>
      </c>
      <c r="P785" s="207">
        <f t="shared" si="88"/>
        <v>1.3654969150489471E-4</v>
      </c>
      <c r="Q785" s="208">
        <f t="shared" si="89"/>
        <v>1.0021992959873915</v>
      </c>
      <c r="R785" s="40">
        <f t="shared" si="90"/>
        <v>1.0767326230430391E-2</v>
      </c>
      <c r="S785" s="209">
        <v>0</v>
      </c>
    </row>
    <row r="786" spans="1:19" x14ac:dyDescent="0.45">
      <c r="A786" s="16">
        <v>44739</v>
      </c>
      <c r="B786" s="42">
        <f>'Part 2 - CAPM 2.1, 2.2 and 2.3'!N786</f>
        <v>9.0254259559570654E-3</v>
      </c>
      <c r="C786" s="42">
        <f>'Part 2 - CAPM 2.1, 2.2 and 2.3'!O786</f>
        <v>3.0079012246000934E-2</v>
      </c>
      <c r="E786" s="16">
        <v>44739</v>
      </c>
      <c r="F786" s="17">
        <v>5.0799999999999998E-2</v>
      </c>
      <c r="G786" s="41">
        <f t="shared" si="86"/>
        <v>1.3576751373700624E-4</v>
      </c>
      <c r="L786" s="40">
        <f t="shared" si="84"/>
        <v>9.1810430527835083E-3</v>
      </c>
      <c r="M786" s="40">
        <f t="shared" si="85"/>
        <v>3.0280932410675272E-2</v>
      </c>
      <c r="O786" s="40">
        <f t="shared" si="87"/>
        <v>9.1810430527835083E-3</v>
      </c>
      <c r="P786" s="207">
        <f t="shared" si="88"/>
        <v>1.3576751373700624E-4</v>
      </c>
      <c r="Q786" s="208">
        <f t="shared" si="89"/>
        <v>1.0021992959873915</v>
      </c>
      <c r="R786" s="40">
        <f t="shared" si="90"/>
        <v>9.0254259559570654E-3</v>
      </c>
      <c r="S786" s="209">
        <v>0</v>
      </c>
    </row>
    <row r="787" spans="1:19" x14ac:dyDescent="0.45">
      <c r="A787" s="16">
        <v>44740</v>
      </c>
      <c r="B787" s="42">
        <f>'Part 2 - CAPM 2.1, 2.2 and 2.3'!N787</f>
        <v>1.3289887616295575E-3</v>
      </c>
      <c r="C787" s="42">
        <f>'Part 2 - CAPM 2.1, 2.2 and 2.3'!O787</f>
        <v>5.5340742811798072E-2</v>
      </c>
      <c r="E787" s="16">
        <v>44740</v>
      </c>
      <c r="F787" s="17">
        <v>5.0999999999999997E-2</v>
      </c>
      <c r="G787" s="41">
        <f t="shared" si="86"/>
        <v>1.3628899032203101E-4</v>
      </c>
      <c r="L787" s="40">
        <f t="shared" si="84"/>
        <v>1.4682005916023288E-3</v>
      </c>
      <c r="M787" s="40">
        <f t="shared" si="85"/>
        <v>5.5598742475725355E-2</v>
      </c>
      <c r="O787" s="40">
        <f t="shared" si="87"/>
        <v>1.4682005916023288E-3</v>
      </c>
      <c r="P787" s="207">
        <f t="shared" si="88"/>
        <v>1.3628899032203101E-4</v>
      </c>
      <c r="Q787" s="208">
        <f t="shared" si="89"/>
        <v>1.0021992959873915</v>
      </c>
      <c r="R787" s="40">
        <f t="shared" si="90"/>
        <v>1.3289887616295575E-3</v>
      </c>
      <c r="S787" s="209">
        <v>0</v>
      </c>
    </row>
    <row r="788" spans="1:19" x14ac:dyDescent="0.45">
      <c r="A788" s="16">
        <v>44741</v>
      </c>
      <c r="B788" s="42">
        <f>'Part 2 - CAPM 2.1, 2.2 and 2.3'!N788</f>
        <v>-3.5832340068438955E-3</v>
      </c>
      <c r="C788" s="42">
        <f>'Part 2 - CAPM 2.1, 2.2 and 2.3'!O788</f>
        <v>3.2002199151065752E-2</v>
      </c>
      <c r="E788" s="16">
        <v>44741</v>
      </c>
      <c r="F788" s="17">
        <v>5.1299999999999998E-2</v>
      </c>
      <c r="G788" s="41">
        <f t="shared" si="86"/>
        <v>1.3707101967419533E-4</v>
      </c>
      <c r="L788" s="40">
        <f t="shared" si="84"/>
        <v>-3.4540435793428367E-3</v>
      </c>
      <c r="M788" s="40">
        <f t="shared" si="85"/>
        <v>3.2209652478920589E-2</v>
      </c>
      <c r="O788" s="40">
        <f t="shared" si="87"/>
        <v>-3.4540435793428367E-3</v>
      </c>
      <c r="P788" s="207">
        <f t="shared" si="88"/>
        <v>1.3707101967419533E-4</v>
      </c>
      <c r="Q788" s="208">
        <f t="shared" si="89"/>
        <v>1.0021992959873915</v>
      </c>
      <c r="R788" s="40">
        <f t="shared" si="90"/>
        <v>-3.5832340068438955E-3</v>
      </c>
      <c r="S788" s="209">
        <v>0</v>
      </c>
    </row>
    <row r="789" spans="1:19" x14ac:dyDescent="0.45">
      <c r="A789" s="16">
        <v>44742</v>
      </c>
      <c r="B789" s="42">
        <f>'Part 2 - CAPM 2.1, 2.2 and 2.3'!N789</f>
        <v>-2.3955175706448905E-3</v>
      </c>
      <c r="C789" s="42">
        <f>'Part 2 - CAPM 2.1, 2.2 and 2.3'!O789</f>
        <v>-1.7004019937296378E-2</v>
      </c>
      <c r="E789" s="16">
        <v>44742</v>
      </c>
      <c r="F789" s="17">
        <v>5.1399999999999994E-2</v>
      </c>
      <c r="G789" s="41">
        <f t="shared" si="86"/>
        <v>1.3733164667040221E-4</v>
      </c>
      <c r="L789" s="40">
        <f t="shared" si="84"/>
        <v>-2.2634543761553337E-3</v>
      </c>
      <c r="M789" s="40">
        <f t="shared" si="85"/>
        <v>-1.6904085163443598E-2</v>
      </c>
      <c r="O789" s="40">
        <f t="shared" si="87"/>
        <v>-2.2634543761553337E-3</v>
      </c>
      <c r="P789" s="207">
        <f t="shared" si="88"/>
        <v>1.3733164667040221E-4</v>
      </c>
      <c r="Q789" s="208">
        <f t="shared" si="89"/>
        <v>1.0021992959873915</v>
      </c>
      <c r="R789" s="40">
        <f t="shared" si="90"/>
        <v>-2.3955175706448905E-3</v>
      </c>
      <c r="S789" s="209">
        <v>0</v>
      </c>
    </row>
    <row r="790" spans="1:19" x14ac:dyDescent="0.45">
      <c r="A790" s="16">
        <v>44743</v>
      </c>
      <c r="B790" s="42">
        <f>'Part 2 - CAPM 2.1, 2.2 and 2.3'!N790</f>
        <v>3.7833321784510102E-4</v>
      </c>
      <c r="C790" s="42">
        <f>'Part 2 - CAPM 2.1, 2.2 and 2.3'!O790</f>
        <v>-0.13540595917539835</v>
      </c>
      <c r="E790" s="16">
        <v>44743</v>
      </c>
      <c r="F790" s="17">
        <v>5.1299999999999998E-2</v>
      </c>
      <c r="G790" s="41">
        <f t="shared" si="86"/>
        <v>1.3707101967419533E-4</v>
      </c>
      <c r="L790" s="40">
        <f t="shared" si="84"/>
        <v>5.1623630424720002E-4</v>
      </c>
      <c r="M790" s="40">
        <f t="shared" si="85"/>
        <v>-0.13556668593840751</v>
      </c>
      <c r="O790" s="40">
        <f t="shared" si="87"/>
        <v>5.1623630424720002E-4</v>
      </c>
      <c r="P790" s="207">
        <f t="shared" si="88"/>
        <v>1.3707101967419533E-4</v>
      </c>
      <c r="Q790" s="208">
        <f t="shared" si="89"/>
        <v>1.0021992959873915</v>
      </c>
      <c r="R790" s="40">
        <f t="shared" si="90"/>
        <v>3.7833321784510102E-4</v>
      </c>
      <c r="S790" s="209">
        <v>0</v>
      </c>
    </row>
    <row r="791" spans="1:19" x14ac:dyDescent="0.45">
      <c r="A791" s="16">
        <v>44746</v>
      </c>
      <c r="B791" s="42">
        <f>'Part 2 - CAPM 2.1, 2.2 and 2.3'!N791</f>
        <v>5.7016892806066068E-3</v>
      </c>
      <c r="C791" s="42">
        <f>'Part 2 - CAPM 2.1, 2.2 and 2.3'!O791</f>
        <v>-3.8671460031070026E-2</v>
      </c>
      <c r="E791" s="16">
        <v>44746</v>
      </c>
      <c r="F791" s="17">
        <v>5.1100000000000007E-2</v>
      </c>
      <c r="G791" s="41">
        <f t="shared" si="86"/>
        <v>1.3654969150489471E-4</v>
      </c>
      <c r="L791" s="40">
        <f t="shared" si="84"/>
        <v>5.8507786744676927E-3</v>
      </c>
      <c r="M791" s="40">
        <f t="shared" si="85"/>
        <v>-3.8619960326438038E-2</v>
      </c>
      <c r="O791" s="40">
        <f t="shared" si="87"/>
        <v>5.8507786744676927E-3</v>
      </c>
      <c r="P791" s="207">
        <f t="shared" si="88"/>
        <v>1.3654969150489471E-4</v>
      </c>
      <c r="Q791" s="208">
        <f t="shared" si="89"/>
        <v>1.0021992959873915</v>
      </c>
      <c r="R791" s="40">
        <f t="shared" si="90"/>
        <v>5.7016892806066068E-3</v>
      </c>
      <c r="S791" s="209">
        <v>0</v>
      </c>
    </row>
    <row r="792" spans="1:19" x14ac:dyDescent="0.45">
      <c r="A792" s="16">
        <v>44747</v>
      </c>
      <c r="B792" s="42">
        <f>'Part 2 - CAPM 2.1, 2.2 and 2.3'!N792</f>
        <v>-9.3843439886099375E-4</v>
      </c>
      <c r="C792" s="42">
        <f>'Part 2 - CAPM 2.1, 2.2 and 2.3'!O792</f>
        <v>1.0974300743157169E-2</v>
      </c>
      <c r="E792" s="16">
        <v>44747</v>
      </c>
      <c r="F792" s="17">
        <v>5.1200000000000002E-2</v>
      </c>
      <c r="G792" s="41">
        <f t="shared" si="86"/>
        <v>1.3681036795398782E-4</v>
      </c>
      <c r="L792" s="40">
        <f t="shared" si="84"/>
        <v>-8.0368792591485106E-4</v>
      </c>
      <c r="M792" s="40">
        <f t="shared" si="85"/>
        <v>1.113524684670001E-2</v>
      </c>
      <c r="O792" s="40">
        <f t="shared" si="87"/>
        <v>-8.0368792591485106E-4</v>
      </c>
      <c r="P792" s="207">
        <f t="shared" si="88"/>
        <v>1.3681036795398782E-4</v>
      </c>
      <c r="Q792" s="208">
        <f t="shared" si="89"/>
        <v>1.0021992959873915</v>
      </c>
      <c r="R792" s="40">
        <f t="shared" si="90"/>
        <v>-9.3843439886099375E-4</v>
      </c>
      <c r="S792" s="209">
        <v>0</v>
      </c>
    </row>
    <row r="793" spans="1:19" x14ac:dyDescent="0.45">
      <c r="A793" s="16">
        <v>44748</v>
      </c>
      <c r="B793" s="42">
        <f>'Part 2 - CAPM 2.1, 2.2 and 2.3'!N793</f>
        <v>1.2451394712381278E-2</v>
      </c>
      <c r="C793" s="42">
        <f>'Part 2 - CAPM 2.1, 2.2 and 2.3'!O793</f>
        <v>-5.0763971749487539E-2</v>
      </c>
      <c r="E793" s="16">
        <v>44748</v>
      </c>
      <c r="F793" s="17">
        <v>5.0900000000000001E-2</v>
      </c>
      <c r="G793" s="41">
        <f t="shared" si="86"/>
        <v>1.3602826440117788E-4</v>
      </c>
      <c r="L793" s="40">
        <f t="shared" si="84"/>
        <v>1.2614807279210825E-2</v>
      </c>
      <c r="M793" s="40">
        <f t="shared" si="85"/>
        <v>-5.0739588484459065E-2</v>
      </c>
      <c r="O793" s="40">
        <f t="shared" si="87"/>
        <v>1.2614807279210825E-2</v>
      </c>
      <c r="P793" s="207">
        <f t="shared" si="88"/>
        <v>1.3602826440117788E-4</v>
      </c>
      <c r="Q793" s="208">
        <f t="shared" si="89"/>
        <v>1.0021992959873915</v>
      </c>
      <c r="R793" s="40">
        <f t="shared" si="90"/>
        <v>1.2451394712381278E-2</v>
      </c>
      <c r="S793" s="209">
        <v>0</v>
      </c>
    </row>
    <row r="794" spans="1:19" x14ac:dyDescent="0.45">
      <c r="A794" s="16">
        <v>44749</v>
      </c>
      <c r="B794" s="42">
        <f>'Part 2 - CAPM 2.1, 2.2 and 2.3'!N794</f>
        <v>9.7144723369019612E-3</v>
      </c>
      <c r="C794" s="42">
        <f>'Part 2 - CAPM 2.1, 2.2 and 2.3'!O794</f>
        <v>2.0945239360345248E-2</v>
      </c>
      <c r="E794" s="16">
        <v>44749</v>
      </c>
      <c r="F794" s="17">
        <v>5.16E-2</v>
      </c>
      <c r="G794" s="41">
        <f t="shared" si="86"/>
        <v>1.3785282650879971E-4</v>
      </c>
      <c r="L794" s="40">
        <f t="shared" si="84"/>
        <v>9.8736901634409353E-3</v>
      </c>
      <c r="M794" s="40">
        <f t="shared" si="85"/>
        <v>2.1129156967734212E-2</v>
      </c>
      <c r="O794" s="40">
        <f t="shared" si="87"/>
        <v>9.8736901634409353E-3</v>
      </c>
      <c r="P794" s="207">
        <f t="shared" si="88"/>
        <v>1.3785282650879971E-4</v>
      </c>
      <c r="Q794" s="208">
        <f t="shared" si="89"/>
        <v>1.0021992959873915</v>
      </c>
      <c r="R794" s="40">
        <f t="shared" si="90"/>
        <v>9.7144723369019612E-3</v>
      </c>
      <c r="S794" s="209">
        <v>0</v>
      </c>
    </row>
    <row r="795" spans="1:19" x14ac:dyDescent="0.45">
      <c r="A795" s="16">
        <v>44750</v>
      </c>
      <c r="B795" s="42">
        <f>'Part 2 - CAPM 2.1, 2.2 and 2.3'!N795</f>
        <v>4.4130867136248485E-3</v>
      </c>
      <c r="C795" s="42">
        <f>'Part 2 - CAPM 2.1, 2.2 and 2.3'!O795</f>
        <v>-1.6332445363166206E-2</v>
      </c>
      <c r="E795" s="16">
        <v>44750</v>
      </c>
      <c r="F795" s="17">
        <v>5.1699999999999996E-2</v>
      </c>
      <c r="G795" s="41">
        <f t="shared" si="86"/>
        <v>1.3811337936053825E-4</v>
      </c>
      <c r="L795" s="40">
        <f t="shared" si="84"/>
        <v>4.5609057768866727E-3</v>
      </c>
      <c r="M795" s="40">
        <f t="shared" si="85"/>
        <v>-1.6230251865357172E-2</v>
      </c>
      <c r="O795" s="40">
        <f t="shared" si="87"/>
        <v>4.5609057768866727E-3</v>
      </c>
      <c r="P795" s="207">
        <f t="shared" si="88"/>
        <v>1.3811337936053825E-4</v>
      </c>
      <c r="Q795" s="208">
        <f t="shared" si="89"/>
        <v>1.0021992959873915</v>
      </c>
      <c r="R795" s="40">
        <f t="shared" si="90"/>
        <v>4.4130867136248485E-3</v>
      </c>
      <c r="S795" s="209">
        <v>0</v>
      </c>
    </row>
    <row r="796" spans="1:19" x14ac:dyDescent="0.45">
      <c r="A796" s="16">
        <v>44753</v>
      </c>
      <c r="B796" s="42">
        <f>'Part 2 - CAPM 2.1, 2.2 and 2.3'!N796</f>
        <v>4.1001095571383461E-3</v>
      </c>
      <c r="C796" s="42">
        <f>'Part 2 - CAPM 2.1, 2.2 and 2.3'!O796</f>
        <v>3.2784218450641431E-2</v>
      </c>
      <c r="E796" s="16">
        <v>44753</v>
      </c>
      <c r="F796" s="17">
        <v>5.1500000000000004E-2</v>
      </c>
      <c r="G796" s="41">
        <f t="shared" si="86"/>
        <v>1.3759224894704936E-4</v>
      </c>
      <c r="L796" s="40">
        <f t="shared" si="84"/>
        <v>4.2467191605822753E-3</v>
      </c>
      <c r="M796" s="40">
        <f t="shared" si="85"/>
        <v>3.2993912899676743E-2</v>
      </c>
      <c r="O796" s="40">
        <f t="shared" si="87"/>
        <v>4.2467191605822753E-3</v>
      </c>
      <c r="P796" s="207">
        <f t="shared" si="88"/>
        <v>1.3759224894704936E-4</v>
      </c>
      <c r="Q796" s="208">
        <f t="shared" si="89"/>
        <v>1.0021992959873915</v>
      </c>
      <c r="R796" s="40">
        <f t="shared" si="90"/>
        <v>4.1001095571383461E-3</v>
      </c>
      <c r="S796" s="209">
        <v>0</v>
      </c>
    </row>
    <row r="797" spans="1:19" x14ac:dyDescent="0.45">
      <c r="A797" s="16">
        <v>44754</v>
      </c>
      <c r="B797" s="42">
        <f>'Part 2 - CAPM 2.1, 2.2 and 2.3'!N797</f>
        <v>-7.9041929252353198E-3</v>
      </c>
      <c r="C797" s="42">
        <f>'Part 2 - CAPM 2.1, 2.2 and 2.3'!O797</f>
        <v>-1.1293231312564623E-2</v>
      </c>
      <c r="E797" s="16">
        <v>44754</v>
      </c>
      <c r="F797" s="17">
        <v>5.16E-2</v>
      </c>
      <c r="G797" s="41">
        <f t="shared" si="86"/>
        <v>1.3785282650879971E-4</v>
      </c>
      <c r="L797" s="40">
        <f t="shared" si="84"/>
        <v>-7.7837237585105593E-3</v>
      </c>
      <c r="M797" s="40">
        <f t="shared" si="85"/>
        <v>-1.1180215644366231E-2</v>
      </c>
      <c r="O797" s="40">
        <f t="shared" si="87"/>
        <v>-7.7837237585105593E-3</v>
      </c>
      <c r="P797" s="207">
        <f t="shared" si="88"/>
        <v>1.3785282650879971E-4</v>
      </c>
      <c r="Q797" s="208">
        <f t="shared" si="89"/>
        <v>1.0021992959873915</v>
      </c>
      <c r="R797" s="40">
        <f t="shared" si="90"/>
        <v>-7.9041929252353198E-3</v>
      </c>
      <c r="S797" s="209">
        <v>0</v>
      </c>
    </row>
    <row r="798" spans="1:19" x14ac:dyDescent="0.45">
      <c r="A798" s="16">
        <v>44755</v>
      </c>
      <c r="B798" s="42">
        <f>'Part 2 - CAPM 2.1, 2.2 and 2.3'!N798</f>
        <v>-3.9158613884561454E-3</v>
      </c>
      <c r="C798" s="42">
        <f>'Part 2 - CAPM 2.1, 2.2 and 2.3'!O798</f>
        <v>2.6819322971667913E-3</v>
      </c>
      <c r="E798" s="16">
        <v>44755</v>
      </c>
      <c r="F798" s="17">
        <v>5.1799999999999999E-2</v>
      </c>
      <c r="G798" s="41">
        <f t="shared" si="86"/>
        <v>1.3837390750692791E-4</v>
      </c>
      <c r="L798" s="40">
        <f t="shared" si="84"/>
        <v>-3.7860996191880309E-3</v>
      </c>
      <c r="M798" s="40">
        <f t="shared" si="85"/>
        <v>2.8262045676133341E-3</v>
      </c>
      <c r="O798" s="40">
        <f t="shared" si="87"/>
        <v>-3.7860996191880309E-3</v>
      </c>
      <c r="P798" s="207">
        <f t="shared" si="88"/>
        <v>1.3837390750692791E-4</v>
      </c>
      <c r="Q798" s="208">
        <f t="shared" si="89"/>
        <v>1.0021992959873915</v>
      </c>
      <c r="R798" s="40">
        <f t="shared" si="90"/>
        <v>-3.9158613884561454E-3</v>
      </c>
      <c r="S798" s="209">
        <v>0</v>
      </c>
    </row>
    <row r="799" spans="1:19" x14ac:dyDescent="0.45">
      <c r="A799" s="16">
        <v>44756</v>
      </c>
      <c r="B799" s="42">
        <f>'Part 2 - CAPM 2.1, 2.2 and 2.3'!N799</f>
        <v>-1.9096560668608736E-3</v>
      </c>
      <c r="C799" s="42">
        <f>'Part 2 - CAPM 2.1, 2.2 and 2.3'!O799</f>
        <v>2.1556044250974054E-2</v>
      </c>
      <c r="E799" s="16">
        <v>44756</v>
      </c>
      <c r="F799" s="17">
        <v>5.2199999999999996E-2</v>
      </c>
      <c r="G799" s="41">
        <f t="shared" si="86"/>
        <v>1.3941577313203446E-4</v>
      </c>
      <c r="L799" s="40">
        <f t="shared" si="84"/>
        <v>-1.7744401926539843E-3</v>
      </c>
      <c r="M799" s="40">
        <f t="shared" si="85"/>
        <v>2.174286814573129E-2</v>
      </c>
      <c r="O799" s="40">
        <f t="shared" si="87"/>
        <v>-1.7744401926539843E-3</v>
      </c>
      <c r="P799" s="207">
        <f t="shared" si="88"/>
        <v>1.3941577313203446E-4</v>
      </c>
      <c r="Q799" s="208">
        <f t="shared" si="89"/>
        <v>1.0021992959873915</v>
      </c>
      <c r="R799" s="40">
        <f t="shared" si="90"/>
        <v>-1.9096560668608736E-3</v>
      </c>
      <c r="S799" s="209">
        <v>0</v>
      </c>
    </row>
    <row r="800" spans="1:19" x14ac:dyDescent="0.45">
      <c r="A800" s="16">
        <v>44757</v>
      </c>
      <c r="B800" s="42">
        <f>'Part 2 - CAPM 2.1, 2.2 and 2.3'!N800</f>
        <v>6.2495988894097545E-3</v>
      </c>
      <c r="C800" s="42">
        <f>'Part 2 - CAPM 2.1, 2.2 and 2.3'!O800</f>
        <v>-4.8585121982702021E-3</v>
      </c>
      <c r="E800" s="16">
        <v>44757</v>
      </c>
      <c r="F800" s="17">
        <v>5.2300000000000006E-2</v>
      </c>
      <c r="G800" s="41">
        <f t="shared" si="86"/>
        <v>1.3967617782184583E-4</v>
      </c>
      <c r="L800" s="40">
        <f t="shared" si="84"/>
        <v>6.403019784991886E-3</v>
      </c>
      <c r="M800" s="40">
        <f t="shared" si="85"/>
        <v>-4.7295213268307044E-3</v>
      </c>
      <c r="O800" s="40">
        <f t="shared" si="87"/>
        <v>6.403019784991886E-3</v>
      </c>
      <c r="P800" s="207">
        <f t="shared" si="88"/>
        <v>1.3967617782184583E-4</v>
      </c>
      <c r="Q800" s="208">
        <f t="shared" si="89"/>
        <v>1.0021992959873915</v>
      </c>
      <c r="R800" s="40">
        <f t="shared" si="90"/>
        <v>6.2495988894097545E-3</v>
      </c>
      <c r="S800" s="209">
        <v>0</v>
      </c>
    </row>
    <row r="801" spans="1:19" x14ac:dyDescent="0.45">
      <c r="A801" s="16">
        <v>44760</v>
      </c>
      <c r="B801" s="42">
        <f>'Part 2 - CAPM 2.1, 2.2 and 2.3'!N801</f>
        <v>1.394278818092559E-2</v>
      </c>
      <c r="C801" s="42">
        <f>'Part 2 - CAPM 2.1, 2.2 and 2.3'!O801</f>
        <v>2.6332074118503784E-2</v>
      </c>
      <c r="E801" s="16">
        <v>44760</v>
      </c>
      <c r="F801" s="17">
        <v>5.2300000000000006E-2</v>
      </c>
      <c r="G801" s="41">
        <f t="shared" si="86"/>
        <v>1.3967617782184583E-4</v>
      </c>
      <c r="L801" s="40">
        <f t="shared" si="84"/>
        <v>1.4113128676846796E-2</v>
      </c>
      <c r="M801" s="40">
        <f t="shared" si="85"/>
        <v>2.6529662321274152E-2</v>
      </c>
      <c r="O801" s="40">
        <f t="shared" si="87"/>
        <v>1.4113128676846796E-2</v>
      </c>
      <c r="P801" s="207">
        <f t="shared" si="88"/>
        <v>1.3967617782184583E-4</v>
      </c>
      <c r="Q801" s="208">
        <f t="shared" si="89"/>
        <v>1.0021992959873915</v>
      </c>
      <c r="R801" s="40">
        <f t="shared" si="90"/>
        <v>1.394278818092559E-2</v>
      </c>
      <c r="S801" s="209">
        <v>0</v>
      </c>
    </row>
    <row r="802" spans="1:19" x14ac:dyDescent="0.45">
      <c r="A802" s="16">
        <v>44761</v>
      </c>
      <c r="B802" s="42">
        <f>'Part 2 - CAPM 2.1, 2.2 and 2.3'!N802</f>
        <v>4.6687330373422721E-3</v>
      </c>
      <c r="C802" s="42">
        <f>'Part 2 - CAPM 2.1, 2.2 and 2.3'!O802</f>
        <v>-1.5536655727646688E-2</v>
      </c>
      <c r="E802" s="16">
        <v>44761</v>
      </c>
      <c r="F802" s="17">
        <v>5.2499999999999998E-2</v>
      </c>
      <c r="G802" s="41">
        <f t="shared" si="86"/>
        <v>1.4019691317401772E-4</v>
      </c>
      <c r="L802" s="40">
        <f t="shared" si="84"/>
        <v>4.819197876351519E-3</v>
      </c>
      <c r="M802" s="40">
        <f t="shared" si="85"/>
        <v>-1.5430628519071968E-2</v>
      </c>
      <c r="O802" s="40">
        <f t="shared" si="87"/>
        <v>4.819197876351519E-3</v>
      </c>
      <c r="P802" s="207">
        <f t="shared" si="88"/>
        <v>1.4019691317401772E-4</v>
      </c>
      <c r="Q802" s="208">
        <f t="shared" si="89"/>
        <v>1.0021992959873915</v>
      </c>
      <c r="R802" s="40">
        <f t="shared" si="90"/>
        <v>4.6687330373422721E-3</v>
      </c>
      <c r="S802" s="209">
        <v>0</v>
      </c>
    </row>
    <row r="803" spans="1:19" x14ac:dyDescent="0.45">
      <c r="A803" s="16">
        <v>44762</v>
      </c>
      <c r="B803" s="42">
        <f>'Part 2 - CAPM 2.1, 2.2 and 2.3'!N803</f>
        <v>7.8806494609251383E-3</v>
      </c>
      <c r="C803" s="42">
        <f>'Part 2 - CAPM 2.1, 2.2 and 2.3'!O803</f>
        <v>3.6213209283427666E-2</v>
      </c>
      <c r="E803" s="16">
        <v>44762</v>
      </c>
      <c r="F803" s="17">
        <v>5.3699999999999998E-2</v>
      </c>
      <c r="G803" s="41">
        <f t="shared" si="86"/>
        <v>1.4331925449262428E-4</v>
      </c>
      <c r="L803" s="40">
        <f t="shared" si="84"/>
        <v>8.041300596155215E-3</v>
      </c>
      <c r="M803" s="40">
        <f t="shared" si="85"/>
        <v>3.6436172103787905E-2</v>
      </c>
      <c r="O803" s="40">
        <f t="shared" si="87"/>
        <v>8.041300596155215E-3</v>
      </c>
      <c r="P803" s="207">
        <f t="shared" si="88"/>
        <v>1.4331925449262428E-4</v>
      </c>
      <c r="Q803" s="208">
        <f t="shared" si="89"/>
        <v>1.0021992959873915</v>
      </c>
      <c r="R803" s="40">
        <f t="shared" si="90"/>
        <v>7.8806494609251383E-3</v>
      </c>
      <c r="S803" s="209">
        <v>0</v>
      </c>
    </row>
    <row r="804" spans="1:19" x14ac:dyDescent="0.45">
      <c r="A804" s="16">
        <v>44763</v>
      </c>
      <c r="B804" s="42">
        <f>'Part 2 - CAPM 2.1, 2.2 and 2.3'!N804</f>
        <v>7.4375105573242272E-3</v>
      </c>
      <c r="C804" s="42">
        <f>'Part 2 - CAPM 2.1, 2.2 and 2.3'!O804</f>
        <v>4.0044984977524144E-3</v>
      </c>
      <c r="E804" s="16">
        <v>44763</v>
      </c>
      <c r="F804" s="17">
        <v>5.4299999999999994E-2</v>
      </c>
      <c r="G804" s="41">
        <f t="shared" si="86"/>
        <v>1.4487909560845225E-4</v>
      </c>
      <c r="L804" s="40">
        <f t="shared" si="84"/>
        <v>7.5987469400575847E-3</v>
      </c>
      <c r="M804" s="40">
        <f t="shared" si="85"/>
        <v>4.1581846708384886E-3</v>
      </c>
      <c r="O804" s="40">
        <f t="shared" si="87"/>
        <v>7.5987469400575847E-3</v>
      </c>
      <c r="P804" s="207">
        <f t="shared" si="88"/>
        <v>1.4487909560845225E-4</v>
      </c>
      <c r="Q804" s="208">
        <f t="shared" si="89"/>
        <v>1.0021992959873915</v>
      </c>
      <c r="R804" s="40">
        <f t="shared" si="90"/>
        <v>7.4375105573242272E-3</v>
      </c>
      <c r="S804" s="209">
        <v>0</v>
      </c>
    </row>
    <row r="805" spans="1:19" x14ac:dyDescent="0.45">
      <c r="A805" s="16">
        <v>44764</v>
      </c>
      <c r="B805" s="42">
        <f>'Part 2 - CAPM 2.1, 2.2 and 2.3'!N805</f>
        <v>4.3950235254632403E-3</v>
      </c>
      <c r="C805" s="42">
        <f>'Part 2 - CAPM 2.1, 2.2 and 2.3'!O805</f>
        <v>-5.0289450517868681E-3</v>
      </c>
      <c r="E805" s="16">
        <v>44764</v>
      </c>
      <c r="F805" s="17">
        <v>5.45E-2</v>
      </c>
      <c r="G805" s="41">
        <f t="shared" si="86"/>
        <v>1.4539884592656982E-4</v>
      </c>
      <c r="L805" s="40">
        <f t="shared" si="84"/>
        <v>4.5500883289938529E-3</v>
      </c>
      <c r="M805" s="40">
        <f t="shared" si="85"/>
        <v>-4.894606344533506E-3</v>
      </c>
      <c r="O805" s="40">
        <f t="shared" si="87"/>
        <v>4.5500883289938529E-3</v>
      </c>
      <c r="P805" s="207">
        <f t="shared" si="88"/>
        <v>1.4539884592656982E-4</v>
      </c>
      <c r="Q805" s="208">
        <f t="shared" si="89"/>
        <v>1.0021992959873915</v>
      </c>
      <c r="R805" s="40">
        <f t="shared" si="90"/>
        <v>4.3950235254632403E-3</v>
      </c>
      <c r="S805" s="209">
        <v>0</v>
      </c>
    </row>
    <row r="806" spans="1:19" x14ac:dyDescent="0.45">
      <c r="A806" s="16">
        <v>44767</v>
      </c>
      <c r="B806" s="42">
        <f>'Part 2 - CAPM 2.1, 2.2 and 2.3'!N806</f>
        <v>-4.1282120652394024E-3</v>
      </c>
      <c r="C806" s="42">
        <f>'Part 2 - CAPM 2.1, 2.2 and 2.3'!O806</f>
        <v>-2.0152948864801446E-2</v>
      </c>
      <c r="E806" s="16">
        <v>44767</v>
      </c>
      <c r="F806" s="17">
        <v>5.45E-2</v>
      </c>
      <c r="G806" s="41">
        <f t="shared" si="86"/>
        <v>1.4539884592656982E-4</v>
      </c>
      <c r="L806" s="40">
        <f t="shared" si="84"/>
        <v>-3.9918923795430154E-3</v>
      </c>
      <c r="M806" s="40">
        <f t="shared" si="85"/>
        <v>-2.005187231844734E-2</v>
      </c>
      <c r="O806" s="40">
        <f t="shared" si="87"/>
        <v>-3.9918923795430154E-3</v>
      </c>
      <c r="P806" s="207">
        <f t="shared" si="88"/>
        <v>1.4539884592656982E-4</v>
      </c>
      <c r="Q806" s="208">
        <f t="shared" si="89"/>
        <v>1.0021992959873915</v>
      </c>
      <c r="R806" s="40">
        <f t="shared" si="90"/>
        <v>-4.1282120652394024E-3</v>
      </c>
      <c r="S806" s="209">
        <v>0</v>
      </c>
    </row>
    <row r="807" spans="1:19" x14ac:dyDescent="0.45">
      <c r="A807" s="16">
        <v>44768</v>
      </c>
      <c r="B807" s="42">
        <f>'Part 2 - CAPM 2.1, 2.2 and 2.3'!N807</f>
        <v>-9.8128444349286376E-3</v>
      </c>
      <c r="C807" s="42">
        <f>'Part 2 - CAPM 2.1, 2.2 and 2.3'!O807</f>
        <v>-1.2471795377510303E-2</v>
      </c>
      <c r="E807" s="16">
        <v>44768</v>
      </c>
      <c r="F807" s="17">
        <v>5.4400000000000004E-2</v>
      </c>
      <c r="G807" s="41">
        <f t="shared" si="86"/>
        <v>1.451389830571248E-4</v>
      </c>
      <c r="L807" s="40">
        <f t="shared" si="84"/>
        <v>-9.6892868012621487E-3</v>
      </c>
      <c r="M807" s="40">
        <f t="shared" si="85"/>
        <v>-1.2354085563982506E-2</v>
      </c>
      <c r="O807" s="40">
        <f t="shared" si="87"/>
        <v>-9.6892868012621487E-3</v>
      </c>
      <c r="P807" s="207">
        <f t="shared" si="88"/>
        <v>1.451389830571248E-4</v>
      </c>
      <c r="Q807" s="208">
        <f t="shared" si="89"/>
        <v>1.0021992959873915</v>
      </c>
      <c r="R807" s="40">
        <f t="shared" si="90"/>
        <v>-9.8128444349286376E-3</v>
      </c>
      <c r="S807" s="209">
        <v>0</v>
      </c>
    </row>
    <row r="808" spans="1:19" x14ac:dyDescent="0.45">
      <c r="A808" s="16">
        <v>44769</v>
      </c>
      <c r="B808" s="42">
        <f>'Part 2 - CAPM 2.1, 2.2 and 2.3'!N808</f>
        <v>8.4134061056339113E-3</v>
      </c>
      <c r="C808" s="42">
        <f>'Part 2 - CAPM 2.1, 2.2 and 2.3'!O808</f>
        <v>2.9700526251604828E-3</v>
      </c>
      <c r="E808" s="16">
        <v>44769</v>
      </c>
      <c r="F808" s="17">
        <v>5.6299999999999996E-2</v>
      </c>
      <c r="G808" s="41">
        <f t="shared" si="86"/>
        <v>1.5007217983176169E-4</v>
      </c>
      <c r="L808" s="40">
        <f t="shared" si="84"/>
        <v>8.5819818557540898E-3</v>
      </c>
      <c r="M808" s="40">
        <f t="shared" si="85"/>
        <v>3.1266568298131017E-3</v>
      </c>
      <c r="O808" s="40">
        <f t="shared" si="87"/>
        <v>8.5819818557540898E-3</v>
      </c>
      <c r="P808" s="207">
        <f t="shared" si="88"/>
        <v>1.5007217983176169E-4</v>
      </c>
      <c r="Q808" s="208">
        <f t="shared" si="89"/>
        <v>1.0021992959873915</v>
      </c>
      <c r="R808" s="40">
        <f t="shared" si="90"/>
        <v>8.4134061056339113E-3</v>
      </c>
      <c r="S808" s="209">
        <v>0</v>
      </c>
    </row>
    <row r="809" spans="1:19" x14ac:dyDescent="0.45">
      <c r="A809" s="16">
        <v>44770</v>
      </c>
      <c r="B809" s="42">
        <f>'Part 2 - CAPM 2.1, 2.2 and 2.3'!N809</f>
        <v>1.4332688692054986E-2</v>
      </c>
      <c r="C809" s="42">
        <f>'Part 2 - CAPM 2.1, 2.2 and 2.3'!O809</f>
        <v>1.2681188272460505E-2</v>
      </c>
      <c r="E809" s="16">
        <v>44770</v>
      </c>
      <c r="F809" s="17">
        <v>5.5999999999999994E-2</v>
      </c>
      <c r="G809" s="41">
        <f t="shared" si="86"/>
        <v>1.4929384262507561E-4</v>
      </c>
      <c r="L809" s="40">
        <f t="shared" si="84"/>
        <v>1.451350435940903E-2</v>
      </c>
      <c r="M809" s="40">
        <f t="shared" si="85"/>
        <v>1.285837180156856E-2</v>
      </c>
      <c r="O809" s="40">
        <f t="shared" si="87"/>
        <v>1.451350435940903E-2</v>
      </c>
      <c r="P809" s="207">
        <f t="shared" si="88"/>
        <v>1.4929384262507561E-4</v>
      </c>
      <c r="Q809" s="208">
        <f t="shared" si="89"/>
        <v>1.0021992959873915</v>
      </c>
      <c r="R809" s="40">
        <f t="shared" si="90"/>
        <v>1.4332688692054986E-2</v>
      </c>
      <c r="S809" s="209">
        <v>0</v>
      </c>
    </row>
    <row r="810" spans="1:19" x14ac:dyDescent="0.45">
      <c r="A810" s="16">
        <v>44771</v>
      </c>
      <c r="B810" s="42">
        <f>'Part 2 - CAPM 2.1, 2.2 and 2.3'!N810</f>
        <v>1.3434826800676807E-2</v>
      </c>
      <c r="C810" s="42">
        <f>'Part 2 - CAPM 2.1, 2.2 and 2.3'!O810</f>
        <v>2.9793124583478613E-2</v>
      </c>
      <c r="E810" s="16">
        <v>44771</v>
      </c>
      <c r="F810" s="17">
        <v>5.5999999999999994E-2</v>
      </c>
      <c r="G810" s="41">
        <f t="shared" si="86"/>
        <v>1.4929384262507561E-4</v>
      </c>
      <c r="L810" s="40">
        <f t="shared" si="84"/>
        <v>1.3613667803975911E-2</v>
      </c>
      <c r="M810" s="40">
        <f t="shared" si="85"/>
        <v>3.0007942325451991E-2</v>
      </c>
      <c r="O810" s="40">
        <f t="shared" si="87"/>
        <v>1.3613667803975911E-2</v>
      </c>
      <c r="P810" s="207">
        <f t="shared" si="88"/>
        <v>1.4929384262507561E-4</v>
      </c>
      <c r="Q810" s="208">
        <f t="shared" si="89"/>
        <v>1.0021992959873915</v>
      </c>
      <c r="R810" s="40">
        <f t="shared" si="90"/>
        <v>1.3434826800676807E-2</v>
      </c>
      <c r="S810" s="209">
        <v>0</v>
      </c>
    </row>
    <row r="811" spans="1:19" x14ac:dyDescent="0.45">
      <c r="A811" s="16">
        <v>44774</v>
      </c>
      <c r="B811" s="42">
        <f>'Part 2 - CAPM 2.1, 2.2 and 2.3'!N811</f>
        <v>1.2206627079904149E-2</v>
      </c>
      <c r="C811" s="42">
        <f>'Part 2 - CAPM 2.1, 2.2 and 2.3'!O811</f>
        <v>3.1532179327158461E-2</v>
      </c>
      <c r="E811" s="16">
        <v>44774</v>
      </c>
      <c r="F811" s="17">
        <v>5.5800000000000002E-2</v>
      </c>
      <c r="G811" s="41">
        <f t="shared" si="86"/>
        <v>1.4877482863728808E-4</v>
      </c>
      <c r="L811" s="40">
        <f t="shared" si="84"/>
        <v>1.2382247894497855E-2</v>
      </c>
      <c r="M811" s="40">
        <f t="shared" si="85"/>
        <v>3.1750302751263677E-2</v>
      </c>
      <c r="O811" s="40">
        <f t="shared" si="87"/>
        <v>1.2382247894497855E-2</v>
      </c>
      <c r="P811" s="207">
        <f t="shared" si="88"/>
        <v>1.4877482863728808E-4</v>
      </c>
      <c r="Q811" s="208">
        <f t="shared" si="89"/>
        <v>1.0021992959873915</v>
      </c>
      <c r="R811" s="40">
        <f t="shared" si="90"/>
        <v>1.2206627079904149E-2</v>
      </c>
      <c r="S811" s="209">
        <v>0</v>
      </c>
    </row>
    <row r="812" spans="1:19" x14ac:dyDescent="0.45">
      <c r="A812" s="16">
        <v>44775</v>
      </c>
      <c r="B812" s="42">
        <f>'Part 2 - CAPM 2.1, 2.2 and 2.3'!N812</f>
        <v>1.8578735522190941E-3</v>
      </c>
      <c r="C812" s="42">
        <f>'Part 2 - CAPM 2.1, 2.2 and 2.3'!O812</f>
        <v>-1.2429155492166204E-2</v>
      </c>
      <c r="E812" s="16">
        <v>44775</v>
      </c>
      <c r="F812" s="17">
        <v>5.4699999999999999E-2</v>
      </c>
      <c r="G812" s="41">
        <f t="shared" si="86"/>
        <v>1.4591849794642897E-4</v>
      </c>
      <c r="L812" s="40">
        <f t="shared" si="84"/>
        <v>2.0078780640139992E-3</v>
      </c>
      <c r="M812" s="40">
        <f t="shared" si="85"/>
        <v>-1.2310572386020362E-2</v>
      </c>
      <c r="O812" s="40">
        <f t="shared" si="87"/>
        <v>2.0078780640139992E-3</v>
      </c>
      <c r="P812" s="207">
        <f t="shared" si="88"/>
        <v>1.4591849794642897E-4</v>
      </c>
      <c r="Q812" s="208">
        <f t="shared" si="89"/>
        <v>1.0021992959873915</v>
      </c>
      <c r="R812" s="40">
        <f t="shared" si="90"/>
        <v>1.8578735522190941E-3</v>
      </c>
      <c r="S812" s="209">
        <v>0</v>
      </c>
    </row>
    <row r="813" spans="1:19" x14ac:dyDescent="0.45">
      <c r="A813" s="16">
        <v>44776</v>
      </c>
      <c r="B813" s="42">
        <f>'Part 2 - CAPM 2.1, 2.2 and 2.3'!N813</f>
        <v>-5.0008356999576358E-5</v>
      </c>
      <c r="C813" s="42">
        <f>'Part 2 - CAPM 2.1, 2.2 and 2.3'!O813</f>
        <v>-7.8285302661978418E-3</v>
      </c>
      <c r="E813" s="16">
        <v>44776</v>
      </c>
      <c r="F813" s="17">
        <v>5.5300000000000002E-2</v>
      </c>
      <c r="G813" s="41">
        <f t="shared" si="86"/>
        <v>1.4747686458860265E-4</v>
      </c>
      <c r="L813" s="40">
        <f t="shared" si="84"/>
        <v>9.7358524410141083E-5</v>
      </c>
      <c r="M813" s="40">
        <f t="shared" si="85"/>
        <v>-7.698270656810861E-3</v>
      </c>
      <c r="O813" s="40">
        <f t="shared" si="87"/>
        <v>9.7358524410141083E-5</v>
      </c>
      <c r="P813" s="207">
        <f t="shared" si="88"/>
        <v>1.4747686458860265E-4</v>
      </c>
      <c r="Q813" s="208">
        <f t="shared" si="89"/>
        <v>1.0021992959873915</v>
      </c>
      <c r="R813" s="40">
        <f t="shared" si="90"/>
        <v>-5.0008356999576358E-5</v>
      </c>
      <c r="S813" s="209">
        <v>0</v>
      </c>
    </row>
    <row r="814" spans="1:19" x14ac:dyDescent="0.45">
      <c r="A814" s="16">
        <v>44777</v>
      </c>
      <c r="B814" s="42">
        <f>'Part 2 - CAPM 2.1, 2.2 and 2.3'!N814</f>
        <v>8.2039190853700557E-4</v>
      </c>
      <c r="C814" s="42">
        <f>'Part 2 - CAPM 2.1, 2.2 and 2.3'!O814</f>
        <v>4.2756709422672344E-3</v>
      </c>
      <c r="E814" s="16">
        <v>44777</v>
      </c>
      <c r="F814" s="17">
        <v>5.5300000000000002E-2</v>
      </c>
      <c r="G814" s="41">
        <f t="shared" si="86"/>
        <v>1.4747686458860265E-4</v>
      </c>
      <c r="L814" s="40">
        <f t="shared" si="84"/>
        <v>9.6967305775814213E-4</v>
      </c>
      <c r="M814" s="40">
        <f t="shared" si="85"/>
        <v>4.4325512728025721E-3</v>
      </c>
      <c r="O814" s="40">
        <f t="shared" si="87"/>
        <v>9.6967305775814213E-4</v>
      </c>
      <c r="P814" s="207">
        <f t="shared" si="88"/>
        <v>1.4747686458860265E-4</v>
      </c>
      <c r="Q814" s="208">
        <f t="shared" si="89"/>
        <v>1.0021992959873915</v>
      </c>
      <c r="R814" s="40">
        <f t="shared" si="90"/>
        <v>8.2039190853700557E-4</v>
      </c>
      <c r="S814" s="209">
        <v>0</v>
      </c>
    </row>
    <row r="815" spans="1:19" x14ac:dyDescent="0.45">
      <c r="A815" s="16">
        <v>44778</v>
      </c>
      <c r="B815" s="42">
        <f>'Part 2 - CAPM 2.1, 2.2 and 2.3'!N815</f>
        <v>3.8505271484943896E-4</v>
      </c>
      <c r="C815" s="42">
        <f>'Part 2 - CAPM 2.1, 2.2 and 2.3'!O815</f>
        <v>1.6860875566838129E-3</v>
      </c>
      <c r="E815" s="16">
        <v>44778</v>
      </c>
      <c r="F815" s="17">
        <v>5.5800000000000002E-2</v>
      </c>
      <c r="G815" s="41">
        <f t="shared" si="86"/>
        <v>1.4877482863728808E-4</v>
      </c>
      <c r="L815" s="40">
        <f t="shared" si="84"/>
        <v>5.3467438837742957E-4</v>
      </c>
      <c r="M815" s="40">
        <f t="shared" si="85"/>
        <v>1.8385705909189066E-3</v>
      </c>
      <c r="O815" s="40">
        <f t="shared" si="87"/>
        <v>5.3467438837742957E-4</v>
      </c>
      <c r="P815" s="207">
        <f t="shared" si="88"/>
        <v>1.4877482863728808E-4</v>
      </c>
      <c r="Q815" s="208">
        <f t="shared" si="89"/>
        <v>1.0021992959873915</v>
      </c>
      <c r="R815" s="40">
        <f t="shared" si="90"/>
        <v>3.8505271484943896E-4</v>
      </c>
      <c r="S815" s="209">
        <v>0</v>
      </c>
    </row>
    <row r="816" spans="1:19" x14ac:dyDescent="0.45">
      <c r="A816" s="16">
        <v>44781</v>
      </c>
      <c r="B816" s="42">
        <f>'Part 2 - CAPM 2.1, 2.2 and 2.3'!N816</f>
        <v>6.0893127394817375E-3</v>
      </c>
      <c r="C816" s="42">
        <f>'Part 2 - CAPM 2.1, 2.2 and 2.3'!O816</f>
        <v>-1.4877482863728808E-4</v>
      </c>
      <c r="E816" s="16">
        <v>44781</v>
      </c>
      <c r="F816" s="17">
        <v>5.5800000000000002E-2</v>
      </c>
      <c r="G816" s="41">
        <f t="shared" si="86"/>
        <v>1.4877482863728808E-4</v>
      </c>
      <c r="L816" s="40">
        <f t="shared" si="84"/>
        <v>6.2514797691929401E-3</v>
      </c>
      <c r="M816" s="40">
        <f t="shared" si="85"/>
        <v>-3.2719988364685081E-7</v>
      </c>
      <c r="O816" s="40">
        <f t="shared" si="87"/>
        <v>6.2514797691929401E-3</v>
      </c>
      <c r="P816" s="207">
        <f t="shared" si="88"/>
        <v>1.4877482863728808E-4</v>
      </c>
      <c r="Q816" s="208">
        <f t="shared" si="89"/>
        <v>1.0021992959873915</v>
      </c>
      <c r="R816" s="40">
        <f t="shared" si="90"/>
        <v>6.0893127394817375E-3</v>
      </c>
      <c r="S816" s="209">
        <v>0</v>
      </c>
    </row>
    <row r="817" spans="1:19" x14ac:dyDescent="0.45">
      <c r="A817" s="16">
        <v>44783</v>
      </c>
      <c r="B817" s="42">
        <f>'Part 2 - CAPM 2.1, 2.2 and 2.3'!N817</f>
        <v>-6.5103344133770084E-4</v>
      </c>
      <c r="C817" s="42">
        <f>'Part 2 - CAPM 2.1, 2.2 and 2.3'!O817</f>
        <v>-1.9927696644808299E-2</v>
      </c>
      <c r="E817" s="16">
        <v>44783</v>
      </c>
      <c r="F817" s="17">
        <v>5.5300000000000002E-2</v>
      </c>
      <c r="G817" s="41">
        <f t="shared" si="86"/>
        <v>1.4747686458860265E-4</v>
      </c>
      <c r="L817" s="40">
        <f t="shared" si="84"/>
        <v>-5.0498839198428991E-4</v>
      </c>
      <c r="M817" s="40">
        <f t="shared" si="85"/>
        <v>-1.982404668348858E-2</v>
      </c>
      <c r="O817" s="40">
        <f t="shared" si="87"/>
        <v>-5.0498839198428991E-4</v>
      </c>
      <c r="P817" s="207">
        <f t="shared" si="88"/>
        <v>1.4747686458860265E-4</v>
      </c>
      <c r="Q817" s="208">
        <f t="shared" si="89"/>
        <v>1.0021992959873915</v>
      </c>
      <c r="R817" s="40">
        <f t="shared" si="90"/>
        <v>-6.5103344133770084E-4</v>
      </c>
      <c r="S817" s="209">
        <v>0</v>
      </c>
    </row>
    <row r="818" spans="1:19" x14ac:dyDescent="0.45">
      <c r="A818" s="16">
        <v>44784</v>
      </c>
      <c r="B818" s="42">
        <f>'Part 2 - CAPM 2.1, 2.2 and 2.3'!N818</f>
        <v>7.147354426467324E-3</v>
      </c>
      <c r="C818" s="42">
        <f>'Part 2 - CAPM 2.1, 2.2 and 2.3'!O818</f>
        <v>-7.6233948674183059E-3</v>
      </c>
      <c r="E818" s="16">
        <v>44784</v>
      </c>
      <c r="F818" s="17">
        <v>5.6100000000000004E-2</v>
      </c>
      <c r="G818" s="41">
        <f t="shared" si="86"/>
        <v>1.4955331285926299E-4</v>
      </c>
      <c r="L818" s="40">
        <f t="shared" si="84"/>
        <v>7.3126268872371822E-3</v>
      </c>
      <c r="M818" s="40">
        <f t="shared" si="85"/>
        <v>-7.4906076563012571E-3</v>
      </c>
      <c r="O818" s="40">
        <f t="shared" si="87"/>
        <v>7.3126268872371822E-3</v>
      </c>
      <c r="P818" s="207">
        <f t="shared" si="88"/>
        <v>1.4955331285926299E-4</v>
      </c>
      <c r="Q818" s="208">
        <f t="shared" si="89"/>
        <v>1.0021992959873915</v>
      </c>
      <c r="R818" s="40">
        <f t="shared" si="90"/>
        <v>7.147354426467324E-3</v>
      </c>
      <c r="S818" s="209">
        <v>0</v>
      </c>
    </row>
    <row r="819" spans="1:19" x14ac:dyDescent="0.45">
      <c r="A819" s="16">
        <v>44785</v>
      </c>
      <c r="B819" s="42">
        <f>'Part 2 - CAPM 2.1, 2.2 and 2.3'!N819</f>
        <v>2.8595924063031918E-3</v>
      </c>
      <c r="C819" s="42">
        <f>'Part 2 - CAPM 2.1, 2.2 and 2.3'!O819</f>
        <v>4.8044774960549597E-2</v>
      </c>
      <c r="E819" s="16">
        <v>44785</v>
      </c>
      <c r="F819" s="17">
        <v>5.5500000000000001E-2</v>
      </c>
      <c r="G819" s="41">
        <f t="shared" si="86"/>
        <v>1.4799612378757487E-4</v>
      </c>
      <c r="L819" s="40">
        <f t="shared" si="84"/>
        <v>3.0138776201955246E-3</v>
      </c>
      <c r="M819" s="40">
        <f t="shared" si="85"/>
        <v>4.8298435765123035E-2</v>
      </c>
      <c r="O819" s="40">
        <f t="shared" si="87"/>
        <v>3.0138776201955246E-3</v>
      </c>
      <c r="P819" s="207">
        <f t="shared" si="88"/>
        <v>1.4799612378757487E-4</v>
      </c>
      <c r="Q819" s="208">
        <f t="shared" si="89"/>
        <v>1.0021992959873915</v>
      </c>
      <c r="R819" s="40">
        <f t="shared" si="90"/>
        <v>2.8595924063031918E-3</v>
      </c>
      <c r="S819" s="209">
        <v>0</v>
      </c>
    </row>
    <row r="820" spans="1:19" x14ac:dyDescent="0.45">
      <c r="A820" s="16">
        <v>44790</v>
      </c>
      <c r="B820" s="42">
        <f>'Part 2 - CAPM 2.1, 2.2 and 2.3'!N820</f>
        <v>1.5604663505433995E-2</v>
      </c>
      <c r="C820" s="42">
        <f>'Part 2 - CAPM 2.1, 2.2 and 2.3'!O820</f>
        <v>3.085022114235168E-3</v>
      </c>
      <c r="E820" s="16">
        <v>44790</v>
      </c>
      <c r="F820" s="17">
        <v>5.5399999999999998E-2</v>
      </c>
      <c r="G820" s="41">
        <f t="shared" si="86"/>
        <v>1.4773650645460989E-4</v>
      </c>
      <c r="L820" s="40">
        <f t="shared" si="84"/>
        <v>1.5786719285720702E-2</v>
      </c>
      <c r="M820" s="40">
        <f t="shared" si="85"/>
        <v>3.2395434974466296E-3</v>
      </c>
      <c r="O820" s="40">
        <f t="shared" si="87"/>
        <v>1.5786719285720702E-2</v>
      </c>
      <c r="P820" s="207">
        <f t="shared" si="88"/>
        <v>1.4773650645460989E-4</v>
      </c>
      <c r="Q820" s="208">
        <f t="shared" si="89"/>
        <v>1.0021992959873915</v>
      </c>
      <c r="R820" s="40">
        <f t="shared" si="90"/>
        <v>1.5604663505433995E-2</v>
      </c>
      <c r="S820" s="209">
        <v>0</v>
      </c>
    </row>
    <row r="821" spans="1:19" x14ac:dyDescent="0.45">
      <c r="A821" s="16">
        <v>44791</v>
      </c>
      <c r="B821" s="42">
        <f>'Part 2 - CAPM 2.1, 2.2 and 2.3'!N821</f>
        <v>1.5130952771292233E-3</v>
      </c>
      <c r="C821" s="42">
        <f>'Part 2 - CAPM 2.1, 2.2 and 2.3'!O821</f>
        <v>-2.9507367782471768E-2</v>
      </c>
      <c r="E821" s="16">
        <v>44791</v>
      </c>
      <c r="F821" s="17">
        <v>5.5599999999999997E-2</v>
      </c>
      <c r="G821" s="41">
        <f t="shared" si="86"/>
        <v>1.4825571659282666E-4</v>
      </c>
      <c r="L821" s="40">
        <f t="shared" si="84"/>
        <v>1.6646787380935814E-3</v>
      </c>
      <c r="M821" s="40">
        <f t="shared" si="85"/>
        <v>-2.9424007501441418E-2</v>
      </c>
      <c r="O821" s="40">
        <f t="shared" si="87"/>
        <v>1.6646787380935814E-3</v>
      </c>
      <c r="P821" s="207">
        <f t="shared" si="88"/>
        <v>1.4825571659282666E-4</v>
      </c>
      <c r="Q821" s="208">
        <f t="shared" si="89"/>
        <v>1.0021992959873915</v>
      </c>
      <c r="R821" s="40">
        <f t="shared" si="90"/>
        <v>1.5130952771292233E-3</v>
      </c>
      <c r="S821" s="209">
        <v>0</v>
      </c>
    </row>
    <row r="822" spans="1:19" x14ac:dyDescent="0.45">
      <c r="A822" s="16">
        <v>44792</v>
      </c>
      <c r="B822" s="42">
        <f>'Part 2 - CAPM 2.1, 2.2 and 2.3'!N822</f>
        <v>-1.1050583662574737E-2</v>
      </c>
      <c r="C822" s="42">
        <f>'Part 2 - CAPM 2.1, 2.2 and 2.3'!O822</f>
        <v>-7.1564800780481207E-3</v>
      </c>
      <c r="E822" s="16">
        <v>44792</v>
      </c>
      <c r="F822" s="17">
        <v>5.5500000000000001E-2</v>
      </c>
      <c r="G822" s="41">
        <f t="shared" si="86"/>
        <v>1.4799612378757487E-4</v>
      </c>
      <c r="L822" s="40">
        <f t="shared" si="84"/>
        <v>-1.0926891043094598E-2</v>
      </c>
      <c r="M822" s="40">
        <f t="shared" si="85"/>
        <v>-7.024223172180045E-3</v>
      </c>
      <c r="O822" s="40">
        <f t="shared" si="87"/>
        <v>-1.0926891043094598E-2</v>
      </c>
      <c r="P822" s="207">
        <f t="shared" si="88"/>
        <v>1.4799612378757487E-4</v>
      </c>
      <c r="Q822" s="208">
        <f t="shared" si="89"/>
        <v>1.0021992959873915</v>
      </c>
      <c r="R822" s="40">
        <f t="shared" si="90"/>
        <v>-1.1050583662574737E-2</v>
      </c>
      <c r="S822" s="209">
        <v>0</v>
      </c>
    </row>
    <row r="823" spans="1:19" x14ac:dyDescent="0.45">
      <c r="A823" s="16">
        <v>44795</v>
      </c>
      <c r="B823" s="42">
        <f>'Part 2 - CAPM 2.1, 2.2 and 2.3'!N823</f>
        <v>-1.5565549513361268E-2</v>
      </c>
      <c r="C823" s="42">
        <f>'Part 2 - CAPM 2.1, 2.2 and 2.3'!O823</f>
        <v>-2.0208210192678808E-2</v>
      </c>
      <c r="E823" s="16">
        <v>44795</v>
      </c>
      <c r="F823" s="17">
        <v>5.5800000000000002E-2</v>
      </c>
      <c r="G823" s="41">
        <f t="shared" si="86"/>
        <v>1.4877482863728808E-4</v>
      </c>
      <c r="L823" s="40">
        <f t="shared" si="84"/>
        <v>-1.5451007935310261E-2</v>
      </c>
      <c r="M823" s="40">
        <f t="shared" si="85"/>
        <v>-2.0103879199630643E-2</v>
      </c>
      <c r="O823" s="40">
        <f t="shared" si="87"/>
        <v>-1.5451007935310261E-2</v>
      </c>
      <c r="P823" s="207">
        <f t="shared" si="88"/>
        <v>1.4877482863728808E-4</v>
      </c>
      <c r="Q823" s="208">
        <f t="shared" si="89"/>
        <v>1.0021992959873915</v>
      </c>
      <c r="R823" s="40">
        <f t="shared" si="90"/>
        <v>-1.5565549513361268E-2</v>
      </c>
      <c r="S823" s="209">
        <v>0</v>
      </c>
    </row>
    <row r="824" spans="1:19" x14ac:dyDescent="0.45">
      <c r="A824" s="16">
        <v>44796</v>
      </c>
      <c r="B824" s="42">
        <f>'Part 2 - CAPM 2.1, 2.2 and 2.3'!N824</f>
        <v>5.7687592712263452E-3</v>
      </c>
      <c r="C824" s="42">
        <f>'Part 2 - CAPM 2.1, 2.2 and 2.3'!O824</f>
        <v>1.3878559905680966E-2</v>
      </c>
      <c r="E824" s="16">
        <v>44796</v>
      </c>
      <c r="F824" s="17">
        <v>5.5199999999999999E-2</v>
      </c>
      <c r="G824" s="41">
        <f t="shared" si="86"/>
        <v>1.4721719818555634E-4</v>
      </c>
      <c r="L824" s="40">
        <f t="shared" si="84"/>
        <v>5.9286636785293376E-3</v>
      </c>
      <c r="M824" s="40">
        <f t="shared" si="85"/>
        <v>1.405630016497786E-2</v>
      </c>
      <c r="O824" s="40">
        <f t="shared" si="87"/>
        <v>5.9286636785293376E-3</v>
      </c>
      <c r="P824" s="207">
        <f t="shared" si="88"/>
        <v>1.4721719818555634E-4</v>
      </c>
      <c r="Q824" s="208">
        <f t="shared" si="89"/>
        <v>1.0021992959873915</v>
      </c>
      <c r="R824" s="40">
        <f t="shared" si="90"/>
        <v>5.7687592712263452E-3</v>
      </c>
      <c r="S824" s="209">
        <v>0</v>
      </c>
    </row>
    <row r="825" spans="1:19" x14ac:dyDescent="0.45">
      <c r="A825" s="16">
        <v>44797</v>
      </c>
      <c r="B825" s="42">
        <f>'Part 2 - CAPM 2.1, 2.2 and 2.3'!N825</f>
        <v>3.1579413172823059E-3</v>
      </c>
      <c r="C825" s="42">
        <f>'Part 2 - CAPM 2.1, 2.2 and 2.3'!O825</f>
        <v>1.6673655077904768E-2</v>
      </c>
      <c r="E825" s="16">
        <v>44797</v>
      </c>
      <c r="F825" s="17">
        <v>5.5800000000000002E-2</v>
      </c>
      <c r="G825" s="41">
        <f t="shared" si="86"/>
        <v>1.4877482863728808E-4</v>
      </c>
      <c r="L825" s="40">
        <f t="shared" si="84"/>
        <v>3.3136613935871111E-3</v>
      </c>
      <c r="M825" s="40">
        <f t="shared" si="85"/>
        <v>1.6859100209250043E-2</v>
      </c>
      <c r="O825" s="40">
        <f t="shared" si="87"/>
        <v>3.3136613935871111E-3</v>
      </c>
      <c r="P825" s="207">
        <f t="shared" si="88"/>
        <v>1.4877482863728808E-4</v>
      </c>
      <c r="Q825" s="208">
        <f t="shared" si="89"/>
        <v>1.0021992959873915</v>
      </c>
      <c r="R825" s="40">
        <f t="shared" si="90"/>
        <v>3.1579413172823059E-3</v>
      </c>
      <c r="S825" s="209">
        <v>0</v>
      </c>
    </row>
    <row r="826" spans="1:19" x14ac:dyDescent="0.45">
      <c r="A826" s="16">
        <v>44798</v>
      </c>
      <c r="B826" s="42">
        <f>'Part 2 - CAPM 2.1, 2.2 and 2.3'!N826</f>
        <v>-2.7752387711160575E-3</v>
      </c>
      <c r="C826" s="42">
        <f>'Part 2 - CAPM 2.1, 2.2 and 2.3'!O826</f>
        <v>3.8943048884656365E-3</v>
      </c>
      <c r="E826" s="16">
        <v>44798</v>
      </c>
      <c r="F826" s="17">
        <v>5.62E-2</v>
      </c>
      <c r="G826" s="41">
        <f t="shared" si="86"/>
        <v>1.498127585932707E-4</v>
      </c>
      <c r="L826" s="40">
        <f t="shared" si="84"/>
        <v>-2.6315295840161558E-3</v>
      </c>
      <c r="M826" s="40">
        <f t="shared" si="85"/>
        <v>4.0526823761737885E-3</v>
      </c>
      <c r="O826" s="40">
        <f t="shared" si="87"/>
        <v>-2.6315295840161558E-3</v>
      </c>
      <c r="P826" s="207">
        <f t="shared" si="88"/>
        <v>1.498127585932707E-4</v>
      </c>
      <c r="Q826" s="208">
        <f t="shared" si="89"/>
        <v>1.0021992959873915</v>
      </c>
      <c r="R826" s="40">
        <f t="shared" si="90"/>
        <v>-2.7752387711160575E-3</v>
      </c>
      <c r="S826" s="209">
        <v>0</v>
      </c>
    </row>
    <row r="827" spans="1:19" x14ac:dyDescent="0.45">
      <c r="A827" s="16">
        <v>44799</v>
      </c>
      <c r="B827" s="42">
        <f>'Part 2 - CAPM 2.1, 2.2 and 2.3'!N827</f>
        <v>2.9567922224935732E-3</v>
      </c>
      <c r="C827" s="42">
        <f>'Part 2 - CAPM 2.1, 2.2 and 2.3'!O827</f>
        <v>5.8329813105957595E-4</v>
      </c>
      <c r="E827" s="16">
        <v>44799</v>
      </c>
      <c r="F827" s="17">
        <v>5.5899999999999998E-2</v>
      </c>
      <c r="G827" s="41">
        <f t="shared" si="86"/>
        <v>1.4903434788582359E-4</v>
      </c>
      <c r="L827" s="40">
        <f t="shared" si="84"/>
        <v>3.1123294316498774E-3</v>
      </c>
      <c r="M827" s="40">
        <f t="shared" si="85"/>
        <v>7.3361532418449182E-4</v>
      </c>
      <c r="O827" s="40">
        <f t="shared" si="87"/>
        <v>3.1123294316498774E-3</v>
      </c>
      <c r="P827" s="207">
        <f t="shared" si="88"/>
        <v>1.4903434788582359E-4</v>
      </c>
      <c r="Q827" s="208">
        <f t="shared" si="89"/>
        <v>1.0021992959873915</v>
      </c>
      <c r="R827" s="40">
        <f t="shared" si="90"/>
        <v>2.9567922224935732E-3</v>
      </c>
      <c r="S827" s="209">
        <v>0</v>
      </c>
    </row>
    <row r="828" spans="1:19" x14ac:dyDescent="0.45">
      <c r="A828" s="16">
        <v>44802</v>
      </c>
      <c r="B828" s="42">
        <f>'Part 2 - CAPM 2.1, 2.2 and 2.3'!N828</f>
        <v>-1.1689113813511409E-2</v>
      </c>
      <c r="C828" s="42">
        <f>'Part 2 - CAPM 2.1, 2.2 and 2.3'!O828</f>
        <v>-5.6377680467963156E-3</v>
      </c>
      <c r="E828" s="16">
        <v>44802</v>
      </c>
      <c r="F828" s="17">
        <v>5.5999999999999994E-2</v>
      </c>
      <c r="G828" s="41">
        <f t="shared" si="86"/>
        <v>1.4929384262507561E-4</v>
      </c>
      <c r="L828" s="40">
        <f t="shared" si="84"/>
        <v>-1.1565527791992552E-2</v>
      </c>
      <c r="M828" s="40">
        <f t="shared" si="85"/>
        <v>-5.5008733248144035E-3</v>
      </c>
      <c r="O828" s="40">
        <f t="shared" si="87"/>
        <v>-1.1565527791992552E-2</v>
      </c>
      <c r="P828" s="207">
        <f t="shared" si="88"/>
        <v>1.4929384262507561E-4</v>
      </c>
      <c r="Q828" s="208">
        <f t="shared" si="89"/>
        <v>1.0021992959873915</v>
      </c>
      <c r="R828" s="40">
        <f t="shared" si="90"/>
        <v>-1.1689113813511409E-2</v>
      </c>
      <c r="S828" s="209">
        <v>0</v>
      </c>
    </row>
    <row r="829" spans="1:19" x14ac:dyDescent="0.45">
      <c r="A829" s="16">
        <v>44803</v>
      </c>
      <c r="B829" s="42">
        <f>'Part 2 - CAPM 2.1, 2.2 and 2.3'!N829</f>
        <v>2.338037741682001E-2</v>
      </c>
      <c r="C829" s="42">
        <f>'Part 2 - CAPM 2.1, 2.2 and 2.3'!O829</f>
        <v>1.9718515320988263E-2</v>
      </c>
      <c r="E829" s="16">
        <v>44803</v>
      </c>
      <c r="F829" s="17">
        <v>5.5899999999999998E-2</v>
      </c>
      <c r="G829" s="41">
        <f t="shared" si="86"/>
        <v>1.4903434788582359E-4</v>
      </c>
      <c r="L829" s="40">
        <f t="shared" si="84"/>
        <v>2.3580832134942345E-2</v>
      </c>
      <c r="M829" s="40">
        <f t="shared" si="85"/>
        <v>1.9910916520496855E-2</v>
      </c>
      <c r="O829" s="40">
        <f t="shared" si="87"/>
        <v>2.3580832134942345E-2</v>
      </c>
      <c r="P829" s="207">
        <f t="shared" si="88"/>
        <v>1.4903434788582359E-4</v>
      </c>
      <c r="Q829" s="208">
        <f t="shared" si="89"/>
        <v>1.0021992959873915</v>
      </c>
      <c r="R829" s="40">
        <f t="shared" si="90"/>
        <v>2.338037741682001E-2</v>
      </c>
      <c r="S829" s="209">
        <v>0</v>
      </c>
    </row>
    <row r="830" spans="1:19" x14ac:dyDescent="0.45">
      <c r="A830" s="16">
        <v>44805</v>
      </c>
      <c r="B830" s="42">
        <f>'Part 2 - CAPM 2.1, 2.2 and 2.3'!N830</f>
        <v>-7.5798635787948212E-3</v>
      </c>
      <c r="C830" s="42">
        <f>'Part 2 - CAPM 2.1, 2.2 and 2.3'!O830</f>
        <v>-2.8289378435147835E-2</v>
      </c>
      <c r="E830" s="16">
        <v>44805</v>
      </c>
      <c r="F830" s="17">
        <v>5.6600000000000004E-2</v>
      </c>
      <c r="G830" s="41">
        <f t="shared" si="86"/>
        <v>1.5085029661965343E-4</v>
      </c>
      <c r="L830" s="40">
        <f t="shared" si="84"/>
        <v>-7.4456836457289866E-3</v>
      </c>
      <c r="M830" s="40">
        <f t="shared" si="85"/>
        <v>-2.8200744855006402E-2</v>
      </c>
      <c r="O830" s="40">
        <f t="shared" si="87"/>
        <v>-7.4456836457289866E-3</v>
      </c>
      <c r="P830" s="207">
        <f t="shared" si="88"/>
        <v>1.5085029661965343E-4</v>
      </c>
      <c r="Q830" s="208">
        <f t="shared" si="89"/>
        <v>1.0021992959873915</v>
      </c>
      <c r="R830" s="40">
        <f t="shared" si="90"/>
        <v>-7.5798635787948212E-3</v>
      </c>
      <c r="S830" s="209">
        <v>0</v>
      </c>
    </row>
    <row r="831" spans="1:19" x14ac:dyDescent="0.45">
      <c r="A831" s="16">
        <v>44806</v>
      </c>
      <c r="B831" s="42">
        <f>'Part 2 - CAPM 2.1, 2.2 and 2.3'!N831</f>
        <v>-7.8118609589363473E-4</v>
      </c>
      <c r="C831" s="42">
        <f>'Part 2 - CAPM 2.1, 2.2 and 2.3'!O831</f>
        <v>-1.4626686879163527E-2</v>
      </c>
      <c r="E831" s="16">
        <v>44806</v>
      </c>
      <c r="F831" s="17">
        <v>5.6299999999999996E-2</v>
      </c>
      <c r="G831" s="41">
        <f t="shared" si="86"/>
        <v>1.5007217983176169E-4</v>
      </c>
      <c r="L831" s="40">
        <f t="shared" si="84"/>
        <v>-6.3283197550797804E-4</v>
      </c>
      <c r="M831" s="40">
        <f t="shared" si="85"/>
        <v>-1.4508783113093941E-2</v>
      </c>
      <c r="O831" s="40">
        <f t="shared" si="87"/>
        <v>-6.3283197550797804E-4</v>
      </c>
      <c r="P831" s="207">
        <f t="shared" si="88"/>
        <v>1.5007217983176169E-4</v>
      </c>
      <c r="Q831" s="208">
        <f t="shared" si="89"/>
        <v>1.0021992959873915</v>
      </c>
      <c r="R831" s="40">
        <f t="shared" si="90"/>
        <v>-7.8118609589363473E-4</v>
      </c>
      <c r="S831" s="209">
        <v>0</v>
      </c>
    </row>
    <row r="832" spans="1:19" x14ac:dyDescent="0.45">
      <c r="A832" s="16">
        <v>44809</v>
      </c>
      <c r="B832" s="42">
        <f>'Part 2 - CAPM 2.1, 2.2 and 2.3'!N832</f>
        <v>5.9545483864243739E-3</v>
      </c>
      <c r="C832" s="42">
        <f>'Part 2 - CAPM 2.1, 2.2 and 2.3'!O832</f>
        <v>4.7463496657426689E-3</v>
      </c>
      <c r="E832" s="16">
        <v>44809</v>
      </c>
      <c r="F832" s="17">
        <v>5.6299999999999996E-2</v>
      </c>
      <c r="G832" s="41">
        <f t="shared" si="86"/>
        <v>1.5007217983176169E-4</v>
      </c>
      <c r="L832" s="40">
        <f t="shared" si="84"/>
        <v>6.1177163806291276E-3</v>
      </c>
      <c r="M832" s="40">
        <f t="shared" si="85"/>
        <v>4.906860473349056E-3</v>
      </c>
      <c r="O832" s="40">
        <f t="shared" si="87"/>
        <v>6.1177163806291276E-3</v>
      </c>
      <c r="P832" s="207">
        <f t="shared" si="88"/>
        <v>1.5007217983176169E-4</v>
      </c>
      <c r="Q832" s="208">
        <f t="shared" si="89"/>
        <v>1.0021992959873915</v>
      </c>
      <c r="R832" s="40">
        <f t="shared" si="90"/>
        <v>5.9545483864243739E-3</v>
      </c>
      <c r="S832" s="209">
        <v>0</v>
      </c>
    </row>
    <row r="833" spans="1:19" x14ac:dyDescent="0.45">
      <c r="A833" s="16">
        <v>44810</v>
      </c>
      <c r="B833" s="42">
        <f>'Part 2 - CAPM 2.1, 2.2 and 2.3'!N833</f>
        <v>1.0701067222875485E-3</v>
      </c>
      <c r="C833" s="42">
        <f>'Part 2 - CAPM 2.1, 2.2 and 2.3'!O833</f>
        <v>-9.8944212789070195E-3</v>
      </c>
      <c r="E833" s="16">
        <v>44810</v>
      </c>
      <c r="F833" s="17">
        <v>5.5999999999999994E-2</v>
      </c>
      <c r="G833" s="41">
        <f t="shared" si="86"/>
        <v>1.4929384262507561E-4</v>
      </c>
      <c r="L833" s="40">
        <f t="shared" si="84"/>
        <v>1.2217540463330318E-3</v>
      </c>
      <c r="M833" s="40">
        <f t="shared" si="85"/>
        <v>-9.7668881972982052E-3</v>
      </c>
      <c r="O833" s="40">
        <f t="shared" si="87"/>
        <v>1.2217540463330318E-3</v>
      </c>
      <c r="P833" s="207">
        <f t="shared" si="88"/>
        <v>1.4929384262507561E-4</v>
      </c>
      <c r="Q833" s="208">
        <f t="shared" si="89"/>
        <v>1.0021992959873915</v>
      </c>
      <c r="R833" s="40">
        <f t="shared" si="90"/>
        <v>1.0701067222875485E-3</v>
      </c>
      <c r="S833" s="209">
        <v>0</v>
      </c>
    </row>
    <row r="834" spans="1:19" x14ac:dyDescent="0.45">
      <c r="A834" s="16">
        <v>44811</v>
      </c>
      <c r="B834" s="42">
        <f>'Part 2 - CAPM 2.1, 2.2 and 2.3'!N834</f>
        <v>2.6564463507317964E-4</v>
      </c>
      <c r="C834" s="42">
        <f>'Part 2 - CAPM 2.1, 2.2 and 2.3'!O834</f>
        <v>2.8789747361414719E-3</v>
      </c>
      <c r="E834" s="16">
        <v>44811</v>
      </c>
      <c r="F834" s="17">
        <v>5.5899999999999998E-2</v>
      </c>
      <c r="G834" s="41">
        <f t="shared" si="86"/>
        <v>1.4903434788582359E-4</v>
      </c>
      <c r="L834" s="40">
        <f t="shared" si="84"/>
        <v>4.1526321413899177E-4</v>
      </c>
      <c r="M834" s="40">
        <f t="shared" si="85"/>
        <v>3.034340801612293E-3</v>
      </c>
      <c r="O834" s="40">
        <f t="shared" si="87"/>
        <v>4.1526321413899177E-4</v>
      </c>
      <c r="P834" s="207">
        <f t="shared" si="88"/>
        <v>1.4903434788582359E-4</v>
      </c>
      <c r="Q834" s="208">
        <f t="shared" si="89"/>
        <v>1.0021992959873915</v>
      </c>
      <c r="R834" s="40">
        <f t="shared" si="90"/>
        <v>2.6564463507317964E-4</v>
      </c>
      <c r="S834" s="209">
        <v>0</v>
      </c>
    </row>
    <row r="835" spans="1:19" x14ac:dyDescent="0.45">
      <c r="A835" s="16">
        <v>44812</v>
      </c>
      <c r="B835" s="42">
        <f>'Part 2 - CAPM 2.1, 2.2 and 2.3'!N835</f>
        <v>7.7677330995831462E-3</v>
      </c>
      <c r="C835" s="42">
        <f>'Part 2 - CAPM 2.1, 2.2 and 2.3'!O835</f>
        <v>-5.0559919539377102E-3</v>
      </c>
      <c r="E835" s="16">
        <v>44812</v>
      </c>
      <c r="F835" s="17">
        <v>5.6399999999999999E-2</v>
      </c>
      <c r="G835" s="41">
        <f t="shared" si="86"/>
        <v>1.5033157657917684E-4</v>
      </c>
      <c r="L835" s="40">
        <f t="shared" ref="L835:L898" si="91">G835+($J$1*(B835))</f>
        <v>7.9351482203993649E-3</v>
      </c>
      <c r="M835" s="40">
        <f t="shared" ref="M835:M898" si="92">G835+($J$1*(C835))</f>
        <v>-4.9167800001751125E-3</v>
      </c>
      <c r="O835" s="40">
        <f t="shared" si="87"/>
        <v>7.9351482203993649E-3</v>
      </c>
      <c r="P835" s="207">
        <f t="shared" si="88"/>
        <v>1.5033157657917684E-4</v>
      </c>
      <c r="Q835" s="208">
        <f t="shared" si="89"/>
        <v>1.0021992959873915</v>
      </c>
      <c r="R835" s="40">
        <f t="shared" si="90"/>
        <v>7.7677330995831462E-3</v>
      </c>
      <c r="S835" s="209">
        <v>0</v>
      </c>
    </row>
    <row r="836" spans="1:19" x14ac:dyDescent="0.45">
      <c r="A836" s="16">
        <v>44813</v>
      </c>
      <c r="B836" s="42">
        <f>'Part 2 - CAPM 2.1, 2.2 and 2.3'!N836</f>
        <v>1.57886463861825E-3</v>
      </c>
      <c r="C836" s="42">
        <f>'Part 2 - CAPM 2.1, 2.2 and 2.3'!O836</f>
        <v>1.6156077221297242E-2</v>
      </c>
      <c r="E836" s="16">
        <v>44813</v>
      </c>
      <c r="F836" s="17">
        <v>5.6399999999999999E-2</v>
      </c>
      <c r="G836" s="41">
        <f t="shared" ref="G836:G899" si="93">((1+F836)^(1/365))-1</f>
        <v>1.5033157657917684E-4</v>
      </c>
      <c r="L836" s="40">
        <f t="shared" si="91"/>
        <v>1.7326686058617743E-3</v>
      </c>
      <c r="M836" s="40">
        <f t="shared" si="92"/>
        <v>1.6341940793681207E-2</v>
      </c>
      <c r="O836" s="40">
        <f t="shared" ref="O836:O899" si="94">P836+(Q836*(R836))+S836</f>
        <v>1.7326686058617743E-3</v>
      </c>
      <c r="P836" s="207">
        <f t="shared" ref="P836:P899" si="95">G836</f>
        <v>1.5033157657917684E-4</v>
      </c>
      <c r="Q836" s="208">
        <f t="shared" ref="Q836:Q899" si="96">$J$1</f>
        <v>1.0021992959873915</v>
      </c>
      <c r="R836" s="40">
        <f t="shared" ref="R836:R899" si="97">B836</f>
        <v>1.57886463861825E-3</v>
      </c>
      <c r="S836" s="209">
        <v>0</v>
      </c>
    </row>
    <row r="837" spans="1:19" x14ac:dyDescent="0.45">
      <c r="A837" s="16">
        <v>44816</v>
      </c>
      <c r="B837" s="42">
        <f>'Part 2 - CAPM 2.1, 2.2 and 2.3'!N837</f>
        <v>6.9608814747187751E-3</v>
      </c>
      <c r="C837" s="42">
        <f>'Part 2 - CAPM 2.1, 2.2 and 2.3'!O837</f>
        <v>-1.5085029661965343E-4</v>
      </c>
      <c r="E837" s="16">
        <v>44816</v>
      </c>
      <c r="F837" s="17">
        <v>5.6600000000000004E-2</v>
      </c>
      <c r="G837" s="41">
        <f t="shared" si="93"/>
        <v>1.5085029661965343E-4</v>
      </c>
      <c r="L837" s="40">
        <f t="shared" si="91"/>
        <v>7.127040810034486E-3</v>
      </c>
      <c r="M837" s="40">
        <f t="shared" si="92"/>
        <v>-3.3176445205242134E-7</v>
      </c>
      <c r="O837" s="40">
        <f t="shared" si="94"/>
        <v>7.127040810034486E-3</v>
      </c>
      <c r="P837" s="207">
        <f t="shared" si="95"/>
        <v>1.5085029661965343E-4</v>
      </c>
      <c r="Q837" s="208">
        <f t="shared" si="96"/>
        <v>1.0021992959873915</v>
      </c>
      <c r="R837" s="40">
        <f t="shared" si="97"/>
        <v>6.9608814747187751E-3</v>
      </c>
      <c r="S837" s="209">
        <v>0</v>
      </c>
    </row>
    <row r="838" spans="1:19" x14ac:dyDescent="0.45">
      <c r="A838" s="16">
        <v>44817</v>
      </c>
      <c r="B838" s="42">
        <f>'Part 2 - CAPM 2.1, 2.2 and 2.3'!N838</f>
        <v>5.7840297218687163E-3</v>
      </c>
      <c r="C838" s="42">
        <f>'Part 2 - CAPM 2.1, 2.2 and 2.3'!O838</f>
        <v>-8.9711895333602896E-4</v>
      </c>
      <c r="E838" s="16">
        <v>44817</v>
      </c>
      <c r="F838" s="17">
        <v>5.6600000000000004E-2</v>
      </c>
      <c r="G838" s="41">
        <f t="shared" si="93"/>
        <v>1.5085029661965343E-4</v>
      </c>
      <c r="L838" s="40">
        <f t="shared" si="91"/>
        <v>5.9476008118466289E-3</v>
      </c>
      <c r="M838" s="40">
        <f t="shared" si="92"/>
        <v>-7.4824168683066035E-4</v>
      </c>
      <c r="O838" s="40">
        <f t="shared" si="94"/>
        <v>5.9476008118466289E-3</v>
      </c>
      <c r="P838" s="207">
        <f t="shared" si="95"/>
        <v>1.5085029661965343E-4</v>
      </c>
      <c r="Q838" s="208">
        <f t="shared" si="96"/>
        <v>1.0021992959873915</v>
      </c>
      <c r="R838" s="40">
        <f t="shared" si="97"/>
        <v>5.7840297218687163E-3</v>
      </c>
      <c r="S838" s="209">
        <v>0</v>
      </c>
    </row>
    <row r="839" spans="1:19" x14ac:dyDescent="0.45">
      <c r="A839" s="16">
        <v>44818</v>
      </c>
      <c r="B839" s="42">
        <f>'Part 2 - CAPM 2.1, 2.2 and 2.3'!N839</f>
        <v>-2.6503159538147688E-3</v>
      </c>
      <c r="C839" s="42">
        <f>'Part 2 - CAPM 2.1, 2.2 and 2.3'!O839</f>
        <v>-5.3796693698233795E-3</v>
      </c>
      <c r="E839" s="16">
        <v>44818</v>
      </c>
      <c r="F839" s="17">
        <v>5.7000000000000002E-2</v>
      </c>
      <c r="G839" s="41">
        <f t="shared" si="93"/>
        <v>1.518874430121997E-4</v>
      </c>
      <c r="L839" s="40">
        <f t="shared" si="91"/>
        <v>-2.5042573400451138E-3</v>
      </c>
      <c r="M839" s="40">
        <f t="shared" si="92"/>
        <v>-5.2396134120697253E-3</v>
      </c>
      <c r="O839" s="40">
        <f t="shared" si="94"/>
        <v>-2.5042573400451138E-3</v>
      </c>
      <c r="P839" s="207">
        <f t="shared" si="95"/>
        <v>1.518874430121997E-4</v>
      </c>
      <c r="Q839" s="208">
        <f t="shared" si="96"/>
        <v>1.0021992959873915</v>
      </c>
      <c r="R839" s="40">
        <f t="shared" si="97"/>
        <v>-2.6503159538147688E-3</v>
      </c>
      <c r="S839" s="209">
        <v>0</v>
      </c>
    </row>
    <row r="840" spans="1:19" x14ac:dyDescent="0.45">
      <c r="A840" s="16">
        <v>44819</v>
      </c>
      <c r="B840" s="42">
        <f>'Part 2 - CAPM 2.1, 2.2 and 2.3'!N840</f>
        <v>-3.3746673260930974E-3</v>
      </c>
      <c r="C840" s="42">
        <f>'Part 2 - CAPM 2.1, 2.2 and 2.3'!O840</f>
        <v>-4.6579469334400193E-3</v>
      </c>
      <c r="E840" s="16">
        <v>44819</v>
      </c>
      <c r="F840" s="17">
        <v>5.7599999999999998E-2</v>
      </c>
      <c r="G840" s="41">
        <f t="shared" si="93"/>
        <v>1.5344242893555737E-4</v>
      </c>
      <c r="L840" s="40">
        <f t="shared" si="91"/>
        <v>-3.2286467894665979E-3</v>
      </c>
      <c r="M840" s="40">
        <f t="shared" si="92"/>
        <v>-4.5147487085046593E-3</v>
      </c>
      <c r="O840" s="40">
        <f t="shared" si="94"/>
        <v>-3.2286467894665979E-3</v>
      </c>
      <c r="P840" s="207">
        <f t="shared" si="95"/>
        <v>1.5344242893555737E-4</v>
      </c>
      <c r="Q840" s="208">
        <f t="shared" si="96"/>
        <v>1.0021992959873915</v>
      </c>
      <c r="R840" s="40">
        <f t="shared" si="97"/>
        <v>-3.3746673260930974E-3</v>
      </c>
      <c r="S840" s="209">
        <v>0</v>
      </c>
    </row>
    <row r="841" spans="1:19" x14ac:dyDescent="0.45">
      <c r="A841" s="16">
        <v>44820</v>
      </c>
      <c r="B841" s="42">
        <f>'Part 2 - CAPM 2.1, 2.2 and 2.3'!N841</f>
        <v>-2.1745000804591585E-2</v>
      </c>
      <c r="C841" s="42">
        <f>'Part 2 - CAPM 2.1, 2.2 and 2.3'!O841</f>
        <v>-1.033469698283395E-2</v>
      </c>
      <c r="E841" s="16">
        <v>44820</v>
      </c>
      <c r="F841" s="17">
        <v>5.7699999999999994E-2</v>
      </c>
      <c r="G841" s="41">
        <f t="shared" si="93"/>
        <v>1.5370150772087143E-4</v>
      </c>
      <c r="L841" s="40">
        <f t="shared" si="91"/>
        <v>-2.1639122989886076E-2</v>
      </c>
      <c r="M841" s="40">
        <f t="shared" si="92"/>
        <v>-1.0203724532718334E-2</v>
      </c>
      <c r="O841" s="40">
        <f t="shared" si="94"/>
        <v>-2.1639122989886076E-2</v>
      </c>
      <c r="P841" s="207">
        <f t="shared" si="95"/>
        <v>1.5370150772087143E-4</v>
      </c>
      <c r="Q841" s="208">
        <f t="shared" si="96"/>
        <v>1.0021992959873915</v>
      </c>
      <c r="R841" s="40">
        <f t="shared" si="97"/>
        <v>-2.1745000804591585E-2</v>
      </c>
      <c r="S841" s="209">
        <v>0</v>
      </c>
    </row>
    <row r="842" spans="1:19" x14ac:dyDescent="0.45">
      <c r="A842" s="16">
        <v>44823</v>
      </c>
      <c r="B842" s="42">
        <f>'Part 2 - CAPM 2.1, 2.2 and 2.3'!N842</f>
        <v>3.0997892862202089E-3</v>
      </c>
      <c r="C842" s="42">
        <f>'Part 2 - CAPM 2.1, 2.2 and 2.3'!O842</f>
        <v>-5.4872938954134151E-3</v>
      </c>
      <c r="E842" s="16">
        <v>44823</v>
      </c>
      <c r="F842" s="17">
        <v>5.7800000000000004E-2</v>
      </c>
      <c r="G842" s="41">
        <f t="shared" si="93"/>
        <v>1.5396056208016873E-4</v>
      </c>
      <c r="L842" s="40">
        <f t="shared" si="91"/>
        <v>3.2605672024393212E-3</v>
      </c>
      <c r="M842" s="40">
        <f t="shared" si="92"/>
        <v>-5.3454015167790671E-3</v>
      </c>
      <c r="O842" s="40">
        <f t="shared" si="94"/>
        <v>3.2605672024393212E-3</v>
      </c>
      <c r="P842" s="207">
        <f t="shared" si="95"/>
        <v>1.5396056208016873E-4</v>
      </c>
      <c r="Q842" s="208">
        <f t="shared" si="96"/>
        <v>1.0021992959873915</v>
      </c>
      <c r="R842" s="40">
        <f t="shared" si="97"/>
        <v>3.0997892862202089E-3</v>
      </c>
      <c r="S842" s="209">
        <v>0</v>
      </c>
    </row>
    <row r="843" spans="1:19" x14ac:dyDescent="0.45">
      <c r="A843" s="16">
        <v>44824</v>
      </c>
      <c r="B843" s="42">
        <f>'Part 2 - CAPM 2.1, 2.2 and 2.3'!N843</f>
        <v>1.1406209477753648E-2</v>
      </c>
      <c r="C843" s="42">
        <f>'Part 2 - CAPM 2.1, 2.2 and 2.3'!O843</f>
        <v>2.0144516524412643E-2</v>
      </c>
      <c r="E843" s="16">
        <v>44824</v>
      </c>
      <c r="F843" s="17">
        <v>5.79E-2</v>
      </c>
      <c r="G843" s="41">
        <f t="shared" si="93"/>
        <v>1.5421959201766811E-4</v>
      </c>
      <c r="L843" s="40">
        <f t="shared" si="91"/>
        <v>1.1585514700507086E-2</v>
      </c>
      <c r="M843" s="40">
        <f t="shared" si="92"/>
        <v>2.0343039870790395E-2</v>
      </c>
      <c r="O843" s="40">
        <f t="shared" si="94"/>
        <v>1.1585514700507086E-2</v>
      </c>
      <c r="P843" s="207">
        <f t="shared" si="95"/>
        <v>1.5421959201766811E-4</v>
      </c>
      <c r="Q843" s="208">
        <f t="shared" si="96"/>
        <v>1.0021992959873915</v>
      </c>
      <c r="R843" s="40">
        <f t="shared" si="97"/>
        <v>1.1406209477753648E-2</v>
      </c>
      <c r="S843" s="209">
        <v>0</v>
      </c>
    </row>
    <row r="844" spans="1:19" x14ac:dyDescent="0.45">
      <c r="A844" s="16">
        <v>44825</v>
      </c>
      <c r="B844" s="42">
        <f>'Part 2 - CAPM 2.1, 2.2 and 2.3'!N844</f>
        <v>-7.2079731123135364E-3</v>
      </c>
      <c r="C844" s="42">
        <f>'Part 2 - CAPM 2.1, 2.2 and 2.3'!O844</f>
        <v>-1.7423040526312952E-2</v>
      </c>
      <c r="E844" s="16">
        <v>44825</v>
      </c>
      <c r="F844" s="17">
        <v>5.8499999999999996E-2</v>
      </c>
      <c r="G844" s="41">
        <f t="shared" si="93"/>
        <v>1.5577325904581052E-4</v>
      </c>
      <c r="L844" s="40">
        <f t="shared" si="91"/>
        <v>-7.068052319610863E-3</v>
      </c>
      <c r="M844" s="40">
        <f t="shared" si="92"/>
        <v>-1.7305585690384821E-2</v>
      </c>
      <c r="O844" s="40">
        <f t="shared" si="94"/>
        <v>-7.068052319610863E-3</v>
      </c>
      <c r="P844" s="207">
        <f t="shared" si="95"/>
        <v>1.5577325904581052E-4</v>
      </c>
      <c r="Q844" s="208">
        <f t="shared" si="96"/>
        <v>1.0021992959873915</v>
      </c>
      <c r="R844" s="40">
        <f t="shared" si="97"/>
        <v>-7.2079731123135364E-3</v>
      </c>
      <c r="S844" s="209">
        <v>0</v>
      </c>
    </row>
    <row r="845" spans="1:19" x14ac:dyDescent="0.45">
      <c r="A845" s="16">
        <v>44826</v>
      </c>
      <c r="B845" s="42">
        <f>'Part 2 - CAPM 2.1, 2.2 and 2.3'!N845</f>
        <v>-1.8458654113809711E-3</v>
      </c>
      <c r="C845" s="42">
        <f>'Part 2 - CAPM 2.1, 2.2 and 2.3'!O845</f>
        <v>-1.7345243422522204E-2</v>
      </c>
      <c r="E845" s="16">
        <v>44826</v>
      </c>
      <c r="F845" s="17">
        <v>5.8799999999999998E-2</v>
      </c>
      <c r="G845" s="41">
        <f t="shared" si="93"/>
        <v>1.5654976324031011E-4</v>
      </c>
      <c r="L845" s="40">
        <f t="shared" si="91"/>
        <v>-1.693375252533176E-3</v>
      </c>
      <c r="M845" s="40">
        <f t="shared" si="92"/>
        <v>-1.7226840983541377E-2</v>
      </c>
      <c r="O845" s="40">
        <f t="shared" si="94"/>
        <v>-1.693375252533176E-3</v>
      </c>
      <c r="P845" s="207">
        <f t="shared" si="95"/>
        <v>1.5654976324031011E-4</v>
      </c>
      <c r="Q845" s="208">
        <f t="shared" si="96"/>
        <v>1.0021992959873915</v>
      </c>
      <c r="R845" s="40">
        <f t="shared" si="97"/>
        <v>-1.8458654113809711E-3</v>
      </c>
      <c r="S845" s="209">
        <v>0</v>
      </c>
    </row>
    <row r="846" spans="1:19" x14ac:dyDescent="0.45">
      <c r="A846" s="16">
        <v>44827</v>
      </c>
      <c r="B846" s="42">
        <f>'Part 2 - CAPM 2.1, 2.2 and 2.3'!N846</f>
        <v>-1.8262353806680235E-2</v>
      </c>
      <c r="C846" s="42">
        <f>'Part 2 - CAPM 2.1, 2.2 and 2.3'!O846</f>
        <v>-5.4571869053025748E-4</v>
      </c>
      <c r="E846" s="16">
        <v>44827</v>
      </c>
      <c r="F846" s="17">
        <v>5.9000000000000004E-2</v>
      </c>
      <c r="G846" s="41">
        <f t="shared" si="93"/>
        <v>1.5706731081777114E-4</v>
      </c>
      <c r="L846" s="40">
        <f t="shared" si="91"/>
        <v>-1.8145450817309821E-2</v>
      </c>
      <c r="M846" s="40">
        <f t="shared" si="92"/>
        <v>-3.8985157663881415E-4</v>
      </c>
      <c r="O846" s="40">
        <f t="shared" si="94"/>
        <v>-1.8145450817309821E-2</v>
      </c>
      <c r="P846" s="207">
        <f t="shared" si="95"/>
        <v>1.5706731081777114E-4</v>
      </c>
      <c r="Q846" s="208">
        <f t="shared" si="96"/>
        <v>1.0021992959873915</v>
      </c>
      <c r="R846" s="40">
        <f t="shared" si="97"/>
        <v>-1.8262353806680235E-2</v>
      </c>
      <c r="S846" s="209">
        <v>0</v>
      </c>
    </row>
    <row r="847" spans="1:19" x14ac:dyDescent="0.45">
      <c r="A847" s="16">
        <v>44830</v>
      </c>
      <c r="B847" s="42">
        <f>'Part 2 - CAPM 2.1, 2.2 and 2.3'!N847</f>
        <v>-2.2203374782321744E-2</v>
      </c>
      <c r="C847" s="42">
        <f>'Part 2 - CAPM 2.1, 2.2 and 2.3'!O847</f>
        <v>-4.020475841221214E-2</v>
      </c>
      <c r="E847" s="16">
        <v>44830</v>
      </c>
      <c r="F847" s="17">
        <v>5.9400000000000001E-2</v>
      </c>
      <c r="G847" s="41">
        <f t="shared" si="93"/>
        <v>1.5810211361189097E-4</v>
      </c>
      <c r="L847" s="40">
        <f t="shared" si="91"/>
        <v>-2.2094104461775163E-2</v>
      </c>
      <c r="M847" s="40">
        <f t="shared" si="92"/>
        <v>-4.013507846245027E-2</v>
      </c>
      <c r="O847" s="40">
        <f t="shared" si="94"/>
        <v>-2.2094104461775163E-2</v>
      </c>
      <c r="P847" s="207">
        <f t="shared" si="95"/>
        <v>1.5810211361189097E-4</v>
      </c>
      <c r="Q847" s="208">
        <f t="shared" si="96"/>
        <v>1.0021992959873915</v>
      </c>
      <c r="R847" s="40">
        <f t="shared" si="97"/>
        <v>-2.2203374782321744E-2</v>
      </c>
      <c r="S847" s="209">
        <v>0</v>
      </c>
    </row>
    <row r="848" spans="1:19" x14ac:dyDescent="0.45">
      <c r="A848" s="16">
        <v>44831</v>
      </c>
      <c r="B848" s="42">
        <f>'Part 2 - CAPM 2.1, 2.2 and 2.3'!N848</f>
        <v>-5.0224381599175475E-5</v>
      </c>
      <c r="C848" s="42">
        <f>'Part 2 - CAPM 2.1, 2.2 and 2.3'!O848</f>
        <v>7.9415675644670738E-3</v>
      </c>
      <c r="E848" s="16">
        <v>44831</v>
      </c>
      <c r="F848" s="17">
        <v>5.9699999999999996E-2</v>
      </c>
      <c r="G848" s="41">
        <f t="shared" si="93"/>
        <v>1.5887796003677401E-4</v>
      </c>
      <c r="L848" s="40">
        <f t="shared" si="91"/>
        <v>1.0854312015667825E-4</v>
      </c>
      <c r="M848" s="40">
        <f t="shared" si="92"/>
        <v>8.117911382181979E-3</v>
      </c>
      <c r="O848" s="40">
        <f t="shared" si="94"/>
        <v>1.0854312015667825E-4</v>
      </c>
      <c r="P848" s="207">
        <f t="shared" si="95"/>
        <v>1.5887796003677401E-4</v>
      </c>
      <c r="Q848" s="208">
        <f t="shared" si="96"/>
        <v>1.0021992959873915</v>
      </c>
      <c r="R848" s="40">
        <f t="shared" si="97"/>
        <v>-5.0224381599175475E-5</v>
      </c>
      <c r="S848" s="209">
        <v>0</v>
      </c>
    </row>
    <row r="849" spans="1:19" x14ac:dyDescent="0.45">
      <c r="A849" s="16">
        <v>44832</v>
      </c>
      <c r="B849" s="42">
        <f>'Part 2 - CAPM 2.1, 2.2 and 2.3'!N849</f>
        <v>-7.4072857436717739E-3</v>
      </c>
      <c r="C849" s="42">
        <f>'Part 2 - CAPM 2.1, 2.2 and 2.3'!O849</f>
        <v>-1.5429413004552047E-2</v>
      </c>
      <c r="E849" s="16">
        <v>44832</v>
      </c>
      <c r="F849" s="17">
        <v>6.0999999999999999E-2</v>
      </c>
      <c r="G849" s="41">
        <f t="shared" si="93"/>
        <v>1.6223743203291896E-4</v>
      </c>
      <c r="L849" s="40">
        <f t="shared" si="91"/>
        <v>-7.2613391254523745E-3</v>
      </c>
      <c r="M849" s="40">
        <f t="shared" si="92"/>
        <v>-1.5301109418627846E-2</v>
      </c>
      <c r="O849" s="40">
        <f t="shared" si="94"/>
        <v>-7.2613391254523745E-3</v>
      </c>
      <c r="P849" s="207">
        <f t="shared" si="95"/>
        <v>1.6223743203291896E-4</v>
      </c>
      <c r="Q849" s="208">
        <f t="shared" si="96"/>
        <v>1.0021992959873915</v>
      </c>
      <c r="R849" s="40">
        <f t="shared" si="97"/>
        <v>-7.4072857436717739E-3</v>
      </c>
      <c r="S849" s="209">
        <v>0</v>
      </c>
    </row>
    <row r="850" spans="1:19" x14ac:dyDescent="0.45">
      <c r="A850" s="16">
        <v>44833</v>
      </c>
      <c r="B850" s="42">
        <f>'Part 2 - CAPM 2.1, 2.2 and 2.3'!N850</f>
        <v>-1.3999584463826502E-3</v>
      </c>
      <c r="C850" s="42">
        <f>'Part 2 - CAPM 2.1, 2.2 and 2.3'!O850</f>
        <v>3.3293753197254257E-2</v>
      </c>
      <c r="E850" s="16">
        <v>44833</v>
      </c>
      <c r="F850" s="17">
        <v>6.0899999999999996E-2</v>
      </c>
      <c r="G850" s="41">
        <f t="shared" si="93"/>
        <v>1.6197915688698217E-4</v>
      </c>
      <c r="L850" s="40">
        <f t="shared" si="91"/>
        <v>-1.2410582124893123E-3</v>
      </c>
      <c r="M850" s="40">
        <f t="shared" si="92"/>
        <v>3.3528955171953166E-2</v>
      </c>
      <c r="O850" s="40">
        <f t="shared" si="94"/>
        <v>-1.2410582124893123E-3</v>
      </c>
      <c r="P850" s="207">
        <f t="shared" si="95"/>
        <v>1.6197915688698217E-4</v>
      </c>
      <c r="Q850" s="208">
        <f t="shared" si="96"/>
        <v>1.0021992959873915</v>
      </c>
      <c r="R850" s="40">
        <f t="shared" si="97"/>
        <v>-1.3999584463826502E-3</v>
      </c>
      <c r="S850" s="209">
        <v>0</v>
      </c>
    </row>
    <row r="851" spans="1:19" x14ac:dyDescent="0.45">
      <c r="A851" s="16">
        <v>44834</v>
      </c>
      <c r="B851" s="42">
        <f>'Part 2 - CAPM 2.1, 2.2 and 2.3'!N851</f>
        <v>1.5373031971344511E-2</v>
      </c>
      <c r="C851" s="42">
        <f>'Part 2 - CAPM 2.1, 2.2 and 2.3'!O851</f>
        <v>1.022387207108213E-3</v>
      </c>
      <c r="E851" s="16">
        <v>44834</v>
      </c>
      <c r="F851" s="17">
        <v>6.0899999999999996E-2</v>
      </c>
      <c r="G851" s="41">
        <f t="shared" si="93"/>
        <v>1.6197915688698217E-4</v>
      </c>
      <c r="L851" s="40">
        <f t="shared" si="91"/>
        <v>1.5568820975760112E-2</v>
      </c>
      <c r="M851" s="40">
        <f t="shared" si="92"/>
        <v>1.1866148960773487E-3</v>
      </c>
      <c r="O851" s="40">
        <f t="shared" si="94"/>
        <v>1.5568820975760112E-2</v>
      </c>
      <c r="P851" s="207">
        <f t="shared" si="95"/>
        <v>1.6197915688698217E-4</v>
      </c>
      <c r="Q851" s="208">
        <f t="shared" si="96"/>
        <v>1.0021992959873915</v>
      </c>
      <c r="R851" s="40">
        <f t="shared" si="97"/>
        <v>1.5373031971344511E-2</v>
      </c>
      <c r="S851" s="209">
        <v>0</v>
      </c>
    </row>
    <row r="852" spans="1:19" x14ac:dyDescent="0.45">
      <c r="A852" s="16">
        <v>44837</v>
      </c>
      <c r="B852" s="42">
        <f>'Part 2 - CAPM 2.1, 2.2 and 2.3'!N852</f>
        <v>-1.3028884695165339E-2</v>
      </c>
      <c r="C852" s="42">
        <f>'Part 2 - CAPM 2.1, 2.2 and 2.3'!O852</f>
        <v>4.4004901328052688E-2</v>
      </c>
      <c r="E852" s="16">
        <v>44837</v>
      </c>
      <c r="F852" s="17">
        <v>5.9800000000000006E-2</v>
      </c>
      <c r="G852" s="41">
        <f t="shared" si="93"/>
        <v>1.5913652683696711E-4</v>
      </c>
      <c r="L852" s="40">
        <f t="shared" si="91"/>
        <v>-1.2898402542158637E-2</v>
      </c>
      <c r="M852" s="40">
        <f t="shared" si="92"/>
        <v>4.4260817657806005E-2</v>
      </c>
      <c r="O852" s="40">
        <f t="shared" si="94"/>
        <v>-1.2898402542158637E-2</v>
      </c>
      <c r="P852" s="207">
        <f t="shared" si="95"/>
        <v>1.5913652683696711E-4</v>
      </c>
      <c r="Q852" s="208">
        <f t="shared" si="96"/>
        <v>1.0021992959873915</v>
      </c>
      <c r="R852" s="40">
        <f t="shared" si="97"/>
        <v>-1.3028884695165339E-2</v>
      </c>
      <c r="S852" s="209">
        <v>0</v>
      </c>
    </row>
    <row r="853" spans="1:19" x14ac:dyDescent="0.45">
      <c r="A853" s="16">
        <v>44838</v>
      </c>
      <c r="B853" s="42">
        <f>'Part 2 - CAPM 2.1, 2.2 and 2.3'!N853</f>
        <v>2.2200228873745495E-2</v>
      </c>
      <c r="C853" s="42">
        <f>'Part 2 - CAPM 2.1, 2.2 and 2.3'!O853</f>
        <v>1.1170685767049392E-2</v>
      </c>
      <c r="E853" s="16">
        <v>44838</v>
      </c>
      <c r="F853" s="17">
        <v>5.96E-2</v>
      </c>
      <c r="G853" s="41">
        <f t="shared" si="93"/>
        <v>1.5861936890226858E-4</v>
      </c>
      <c r="L853" s="40">
        <f t="shared" si="91"/>
        <v>2.2407673116928966E-2</v>
      </c>
      <c r="M853" s="40">
        <f t="shared" si="92"/>
        <v>1.1353872780335545E-2</v>
      </c>
      <c r="O853" s="40">
        <f t="shared" si="94"/>
        <v>2.2407673116928966E-2</v>
      </c>
      <c r="P853" s="207">
        <f t="shared" si="95"/>
        <v>1.5861936890226858E-4</v>
      </c>
      <c r="Q853" s="208">
        <f t="shared" si="96"/>
        <v>1.0021992959873915</v>
      </c>
      <c r="R853" s="40">
        <f t="shared" si="97"/>
        <v>2.2200228873745495E-2</v>
      </c>
      <c r="S853" s="209">
        <v>0</v>
      </c>
    </row>
    <row r="854" spans="1:19" x14ac:dyDescent="0.45">
      <c r="A854" s="16">
        <v>44840</v>
      </c>
      <c r="B854" s="42">
        <f>'Part 2 - CAPM 2.1, 2.2 and 2.3'!N854</f>
        <v>5.6679798162384103E-3</v>
      </c>
      <c r="C854" s="42">
        <f>'Part 2 - CAPM 2.1, 2.2 and 2.3'!O854</f>
        <v>-9.4973040261924335E-3</v>
      </c>
      <c r="E854" s="16">
        <v>44840</v>
      </c>
      <c r="F854" s="17">
        <v>6.0899999999999996E-2</v>
      </c>
      <c r="G854" s="41">
        <f t="shared" si="93"/>
        <v>1.6197915688698217E-4</v>
      </c>
      <c r="L854" s="40">
        <f t="shared" si="91"/>
        <v>5.8424245383918621E-3</v>
      </c>
      <c r="M854" s="40">
        <f t="shared" si="92"/>
        <v>-9.3562122519412934E-3</v>
      </c>
      <c r="O854" s="40">
        <f t="shared" si="94"/>
        <v>5.8424245383918621E-3</v>
      </c>
      <c r="P854" s="207">
        <f t="shared" si="95"/>
        <v>1.6197915688698217E-4</v>
      </c>
      <c r="Q854" s="208">
        <f t="shared" si="96"/>
        <v>1.0021992959873915</v>
      </c>
      <c r="R854" s="40">
        <f t="shared" si="97"/>
        <v>5.6679798162384103E-3</v>
      </c>
      <c r="S854" s="209">
        <v>0</v>
      </c>
    </row>
    <row r="855" spans="1:19" x14ac:dyDescent="0.45">
      <c r="A855" s="16">
        <v>44841</v>
      </c>
      <c r="B855" s="42">
        <f>'Part 2 - CAPM 2.1, 2.2 and 2.3'!N855</f>
        <v>-1.2489125285225762E-3</v>
      </c>
      <c r="C855" s="42">
        <f>'Part 2 - CAPM 2.1, 2.2 and 2.3'!O855</f>
        <v>1.0391335800257312E-2</v>
      </c>
      <c r="E855" s="16">
        <v>44841</v>
      </c>
      <c r="F855" s="17">
        <v>6.1200000000000004E-2</v>
      </c>
      <c r="G855" s="41">
        <f t="shared" si="93"/>
        <v>1.6275390950526436E-4</v>
      </c>
      <c r="L855" s="40">
        <f t="shared" si="91"/>
        <v>-1.0889053473298945E-3</v>
      </c>
      <c r="M855" s="40">
        <f t="shared" si="92"/>
        <v>1.057694333289172E-2</v>
      </c>
      <c r="O855" s="40">
        <f t="shared" si="94"/>
        <v>-1.0889053473298945E-3</v>
      </c>
      <c r="P855" s="207">
        <f t="shared" si="95"/>
        <v>1.6275390950526436E-4</v>
      </c>
      <c r="Q855" s="208">
        <f t="shared" si="96"/>
        <v>1.0021992959873915</v>
      </c>
      <c r="R855" s="40">
        <f t="shared" si="97"/>
        <v>-1.2489125285225762E-3</v>
      </c>
      <c r="S855" s="209">
        <v>0</v>
      </c>
    </row>
    <row r="856" spans="1:19" x14ac:dyDescent="0.45">
      <c r="A856" s="16">
        <v>44844</v>
      </c>
      <c r="B856" s="42">
        <f>'Part 2 - CAPM 2.1, 2.2 and 2.3'!N856</f>
        <v>-5.8191733706274623E-3</v>
      </c>
      <c r="C856" s="42">
        <f>'Part 2 - CAPM 2.1, 2.2 and 2.3'!O856</f>
        <v>-6.1309345288492181E-3</v>
      </c>
      <c r="E856" s="16">
        <v>44844</v>
      </c>
      <c r="F856" s="17">
        <v>6.13E-2</v>
      </c>
      <c r="G856" s="41">
        <f t="shared" si="93"/>
        <v>1.6301211184055475E-4</v>
      </c>
      <c r="L856" s="40">
        <f t="shared" si="91"/>
        <v>-5.6689593434308639E-3</v>
      </c>
      <c r="M856" s="40">
        <f t="shared" si="92"/>
        <v>-5.9814061567169214E-3</v>
      </c>
      <c r="O856" s="40">
        <f t="shared" si="94"/>
        <v>-5.6689593434308639E-3</v>
      </c>
      <c r="P856" s="207">
        <f t="shared" si="95"/>
        <v>1.6301211184055475E-4</v>
      </c>
      <c r="Q856" s="208">
        <f t="shared" si="96"/>
        <v>1.0021992959873915</v>
      </c>
      <c r="R856" s="40">
        <f t="shared" si="97"/>
        <v>-5.8191733706274623E-3</v>
      </c>
      <c r="S856" s="209">
        <v>0</v>
      </c>
    </row>
    <row r="857" spans="1:19" x14ac:dyDescent="0.45">
      <c r="A857" s="16">
        <v>44845</v>
      </c>
      <c r="B857" s="42">
        <f>'Part 2 - CAPM 2.1, 2.2 and 2.3'!N857</f>
        <v>-1.5531015890931726E-2</v>
      </c>
      <c r="C857" s="42">
        <f>'Part 2 - CAPM 2.1, 2.2 and 2.3'!O857</f>
        <v>-1.6299903276901062E-2</v>
      </c>
      <c r="E857" s="16">
        <v>44845</v>
      </c>
      <c r="F857" s="17">
        <v>6.2E-2</v>
      </c>
      <c r="G857" s="41">
        <f t="shared" si="93"/>
        <v>1.6481884913366329E-4</v>
      </c>
      <c r="L857" s="40">
        <f t="shared" si="91"/>
        <v>-1.5400354342727103E-2</v>
      </c>
      <c r="M857" s="40">
        <f t="shared" si="92"/>
        <v>-1.6170932739639158E-2</v>
      </c>
      <c r="O857" s="40">
        <f t="shared" si="94"/>
        <v>-1.5400354342727103E-2</v>
      </c>
      <c r="P857" s="207">
        <f t="shared" si="95"/>
        <v>1.6481884913366329E-4</v>
      </c>
      <c r="Q857" s="208">
        <f t="shared" si="96"/>
        <v>1.0021992959873915</v>
      </c>
      <c r="R857" s="40">
        <f t="shared" si="97"/>
        <v>-1.5531015890931726E-2</v>
      </c>
      <c r="S857" s="209">
        <v>0</v>
      </c>
    </row>
    <row r="858" spans="1:19" x14ac:dyDescent="0.45">
      <c r="A858" s="16">
        <v>44846</v>
      </c>
      <c r="B858" s="42">
        <f>'Part 2 - CAPM 2.1, 2.2 and 2.3'!N858</f>
        <v>7.1738131174852319E-3</v>
      </c>
      <c r="C858" s="42">
        <f>'Part 2 - CAPM 2.1, 2.2 and 2.3'!O858</f>
        <v>1.7413484646212126E-3</v>
      </c>
      <c r="E858" s="16">
        <v>44846</v>
      </c>
      <c r="F858" s="17">
        <v>6.2300000000000001E-2</v>
      </c>
      <c r="G858" s="41">
        <f t="shared" si="93"/>
        <v>1.6559280158778833E-4</v>
      </c>
      <c r="L858" s="40">
        <f t="shared" si="91"/>
        <v>7.3551832574766021E-3</v>
      </c>
      <c r="M858" s="40">
        <f t="shared" si="92"/>
        <v>1.9107710068998927E-3</v>
      </c>
      <c r="O858" s="40">
        <f t="shared" si="94"/>
        <v>7.3551832574766021E-3</v>
      </c>
      <c r="P858" s="207">
        <f t="shared" si="95"/>
        <v>1.6559280158778833E-4</v>
      </c>
      <c r="Q858" s="208">
        <f t="shared" si="96"/>
        <v>1.0021992959873915</v>
      </c>
      <c r="R858" s="40">
        <f t="shared" si="97"/>
        <v>7.1738131174852319E-3</v>
      </c>
      <c r="S858" s="209">
        <v>0</v>
      </c>
    </row>
    <row r="859" spans="1:19" x14ac:dyDescent="0.45">
      <c r="A859" s="16">
        <v>44847</v>
      </c>
      <c r="B859" s="42">
        <f>'Part 2 - CAPM 2.1, 2.2 and 2.3'!N859</f>
        <v>-6.8869080237301305E-3</v>
      </c>
      <c r="C859" s="42">
        <f>'Part 2 - CAPM 2.1, 2.2 and 2.3'!O859</f>
        <v>-1.1587268418118248E-2</v>
      </c>
      <c r="E859" s="16">
        <v>44847</v>
      </c>
      <c r="F859" s="17">
        <v>6.3E-2</v>
      </c>
      <c r="G859" s="41">
        <f t="shared" si="93"/>
        <v>1.673978433180956E-4</v>
      </c>
      <c r="L859" s="40">
        <f t="shared" si="91"/>
        <v>-6.7346565295941588E-3</v>
      </c>
      <c r="M859" s="40">
        <f t="shared" si="92"/>
        <v>-1.1445354407736948E-2</v>
      </c>
      <c r="O859" s="40">
        <f t="shared" si="94"/>
        <v>-6.7346565295941588E-3</v>
      </c>
      <c r="P859" s="207">
        <f t="shared" si="95"/>
        <v>1.673978433180956E-4</v>
      </c>
      <c r="Q859" s="208">
        <f t="shared" si="96"/>
        <v>1.0021992959873915</v>
      </c>
      <c r="R859" s="40">
        <f t="shared" si="97"/>
        <v>-6.8869080237301305E-3</v>
      </c>
      <c r="S859" s="209">
        <v>0</v>
      </c>
    </row>
    <row r="860" spans="1:19" x14ac:dyDescent="0.45">
      <c r="A860" s="16">
        <v>44848</v>
      </c>
      <c r="B860" s="42">
        <f>'Part 2 - CAPM 2.1, 2.2 and 2.3'!N860</f>
        <v>5.5886702708526845E-3</v>
      </c>
      <c r="C860" s="42">
        <f>'Part 2 - CAPM 2.1, 2.2 and 2.3'!O860</f>
        <v>-1.7495856861083046E-2</v>
      </c>
      <c r="E860" s="16">
        <v>44848</v>
      </c>
      <c r="F860" s="17">
        <v>6.3299999999999995E-2</v>
      </c>
      <c r="G860" s="41">
        <f t="shared" si="93"/>
        <v>1.6817106978539442E-4</v>
      </c>
      <c r="L860" s="40">
        <f t="shared" si="91"/>
        <v>5.7691324807396197E-3</v>
      </c>
      <c r="M860" s="40">
        <f t="shared" si="92"/>
        <v>-1.7366164359088207E-2</v>
      </c>
      <c r="O860" s="40">
        <f t="shared" si="94"/>
        <v>5.7691324807396197E-3</v>
      </c>
      <c r="P860" s="207">
        <f t="shared" si="95"/>
        <v>1.6817106978539442E-4</v>
      </c>
      <c r="Q860" s="208">
        <f t="shared" si="96"/>
        <v>1.0021992959873915</v>
      </c>
      <c r="R860" s="40">
        <f t="shared" si="97"/>
        <v>5.5886702708526845E-3</v>
      </c>
      <c r="S860" s="209">
        <v>0</v>
      </c>
    </row>
    <row r="861" spans="1:19" x14ac:dyDescent="0.45">
      <c r="A861" s="16">
        <v>44851</v>
      </c>
      <c r="B861" s="42">
        <f>'Part 2 - CAPM 2.1, 2.2 and 2.3'!N861</f>
        <v>5.9783588508654922E-3</v>
      </c>
      <c r="C861" s="42">
        <f>'Part 2 - CAPM 2.1, 2.2 and 2.3'!O861</f>
        <v>1.4000002758041837E-3</v>
      </c>
      <c r="E861" s="16">
        <v>44851</v>
      </c>
      <c r="F861" s="17">
        <v>6.3E-2</v>
      </c>
      <c r="G861" s="41">
        <f t="shared" si="93"/>
        <v>1.673978433180956E-4</v>
      </c>
      <c r="L861" s="40">
        <f t="shared" si="91"/>
        <v>6.1589048748154828E-3</v>
      </c>
      <c r="M861" s="40">
        <f t="shared" si="92"/>
        <v>1.5704771341112024E-3</v>
      </c>
      <c r="O861" s="40">
        <f t="shared" si="94"/>
        <v>6.1589048748154828E-3</v>
      </c>
      <c r="P861" s="207">
        <f t="shared" si="95"/>
        <v>1.673978433180956E-4</v>
      </c>
      <c r="Q861" s="208">
        <f t="shared" si="96"/>
        <v>1.0021992959873915</v>
      </c>
      <c r="R861" s="40">
        <f t="shared" si="97"/>
        <v>5.9783588508654922E-3</v>
      </c>
      <c r="S861" s="209">
        <v>0</v>
      </c>
    </row>
    <row r="862" spans="1:19" x14ac:dyDescent="0.45">
      <c r="A862" s="16">
        <v>44852</v>
      </c>
      <c r="B862" s="42">
        <f>'Part 2 - CAPM 2.1, 2.2 and 2.3'!N862</f>
        <v>9.9223973083474686E-3</v>
      </c>
      <c r="C862" s="42">
        <f>'Part 2 - CAPM 2.1, 2.2 and 2.3'!O862</f>
        <v>6.8748556778085983E-3</v>
      </c>
      <c r="E862" s="16">
        <v>44852</v>
      </c>
      <c r="F862" s="17">
        <v>6.3E-2</v>
      </c>
      <c r="G862" s="41">
        <f t="shared" si="93"/>
        <v>1.673978433180956E-4</v>
      </c>
      <c r="L862" s="40">
        <f t="shared" si="91"/>
        <v>1.0111617440251117E-2</v>
      </c>
      <c r="M862" s="40">
        <f t="shared" si="92"/>
        <v>7.0573733636327945E-3</v>
      </c>
      <c r="O862" s="40">
        <f t="shared" si="94"/>
        <v>1.0111617440251117E-2</v>
      </c>
      <c r="P862" s="207">
        <f t="shared" si="95"/>
        <v>1.673978433180956E-4</v>
      </c>
      <c r="Q862" s="208">
        <f t="shared" si="96"/>
        <v>1.0021992959873915</v>
      </c>
      <c r="R862" s="40">
        <f t="shared" si="97"/>
        <v>9.9223973083474686E-3</v>
      </c>
      <c r="S862" s="209">
        <v>0</v>
      </c>
    </row>
    <row r="863" spans="1:19" x14ac:dyDescent="0.45">
      <c r="A863" s="16">
        <v>44853</v>
      </c>
      <c r="B863" s="42">
        <f>'Part 2 - CAPM 2.1, 2.2 and 2.3'!N863</f>
        <v>6.3214507169463197E-4</v>
      </c>
      <c r="C863" s="42">
        <f>'Part 2 - CAPM 2.1, 2.2 and 2.3'!O863</f>
        <v>-7.1611780627923215E-3</v>
      </c>
      <c r="E863" s="16">
        <v>44853</v>
      </c>
      <c r="F863" s="17">
        <v>6.3299999999999995E-2</v>
      </c>
      <c r="G863" s="41">
        <f t="shared" si="93"/>
        <v>1.6817106978539442E-4</v>
      </c>
      <c r="L863" s="40">
        <f t="shared" si="91"/>
        <v>8.0170641559965377E-4</v>
      </c>
      <c r="M863" s="40">
        <f t="shared" si="92"/>
        <v>-7.0087565431854225E-3</v>
      </c>
      <c r="O863" s="40">
        <f t="shared" si="94"/>
        <v>8.0170641559965377E-4</v>
      </c>
      <c r="P863" s="207">
        <f t="shared" si="95"/>
        <v>1.6817106978539442E-4</v>
      </c>
      <c r="Q863" s="208">
        <f t="shared" si="96"/>
        <v>1.0021992959873915</v>
      </c>
      <c r="R863" s="40">
        <f t="shared" si="97"/>
        <v>6.3214507169463197E-4</v>
      </c>
      <c r="S863" s="209">
        <v>0</v>
      </c>
    </row>
    <row r="864" spans="1:19" x14ac:dyDescent="0.45">
      <c r="A864" s="16">
        <v>44854</v>
      </c>
      <c r="B864" s="42">
        <f>'Part 2 - CAPM 2.1, 2.2 and 2.3'!N864</f>
        <v>2.7173384145739265E-3</v>
      </c>
      <c r="C864" s="42">
        <f>'Part 2 - CAPM 2.1, 2.2 and 2.3'!O864</f>
        <v>1.3915047745029382E-2</v>
      </c>
      <c r="E864" s="16">
        <v>44854</v>
      </c>
      <c r="F864" s="17">
        <v>6.3799999999999996E-2</v>
      </c>
      <c r="G864" s="41">
        <f t="shared" si="93"/>
        <v>1.6945929722411712E-4</v>
      </c>
      <c r="L864" s="40">
        <f t="shared" si="91"/>
        <v>2.8927739432696008E-3</v>
      </c>
      <c r="M864" s="40">
        <f t="shared" si="92"/>
        <v>1.4115110350923504E-2</v>
      </c>
      <c r="O864" s="40">
        <f t="shared" si="94"/>
        <v>2.8927739432696008E-3</v>
      </c>
      <c r="P864" s="207">
        <f t="shared" si="95"/>
        <v>1.6945929722411712E-4</v>
      </c>
      <c r="Q864" s="208">
        <f t="shared" si="96"/>
        <v>1.0021992959873915</v>
      </c>
      <c r="R864" s="40">
        <f t="shared" si="97"/>
        <v>2.7173384145739265E-3</v>
      </c>
      <c r="S864" s="209">
        <v>0</v>
      </c>
    </row>
    <row r="865" spans="1:19" x14ac:dyDescent="0.45">
      <c r="A865" s="16">
        <v>44855</v>
      </c>
      <c r="B865" s="42">
        <f>'Part 2 - CAPM 2.1, 2.2 and 2.3'!N865</f>
        <v>-2.2207956435955677E-3</v>
      </c>
      <c r="C865" s="42">
        <f>'Part 2 - CAPM 2.1, 2.2 and 2.3'!O865</f>
        <v>1.4876836999072312E-2</v>
      </c>
      <c r="E865" s="16">
        <v>44855</v>
      </c>
      <c r="F865" s="17">
        <v>6.3799999999999996E-2</v>
      </c>
      <c r="G865" s="41">
        <f t="shared" si="93"/>
        <v>1.6945929722411712E-4</v>
      </c>
      <c r="L865" s="40">
        <f t="shared" si="91"/>
        <v>-2.056220533319227E-3</v>
      </c>
      <c r="M865" s="40">
        <f t="shared" si="92"/>
        <v>1.5079014864213567E-2</v>
      </c>
      <c r="O865" s="40">
        <f t="shared" si="94"/>
        <v>-2.056220533319227E-3</v>
      </c>
      <c r="P865" s="207">
        <f t="shared" si="95"/>
        <v>1.6945929722411712E-4</v>
      </c>
      <c r="Q865" s="208">
        <f t="shared" si="96"/>
        <v>1.0021992959873915</v>
      </c>
      <c r="R865" s="40">
        <f t="shared" si="97"/>
        <v>-2.2207956435955677E-3</v>
      </c>
      <c r="S865" s="209">
        <v>0</v>
      </c>
    </row>
    <row r="866" spans="1:19" x14ac:dyDescent="0.45">
      <c r="A866" s="16">
        <v>44859</v>
      </c>
      <c r="B866" s="42">
        <f>'Part 2 - CAPM 2.1, 2.2 and 2.3'!N866</f>
        <v>4.9367842832670327E-3</v>
      </c>
      <c r="C866" s="42">
        <f>'Part 2 - CAPM 2.1, 2.2 and 2.3'!O866</f>
        <v>-6.250281973059317E-3</v>
      </c>
      <c r="E866" s="16">
        <v>44859</v>
      </c>
      <c r="F866" s="17">
        <v>6.3600000000000004E-2</v>
      </c>
      <c r="G866" s="41">
        <f t="shared" si="93"/>
        <v>1.6894407872247719E-4</v>
      </c>
      <c r="L866" s="40">
        <f t="shared" si="91"/>
        <v>5.1165858118543172E-3</v>
      </c>
      <c r="M866" s="40">
        <f t="shared" si="92"/>
        <v>-6.0950841144002546E-3</v>
      </c>
      <c r="O866" s="40">
        <f t="shared" si="94"/>
        <v>5.1165858118543172E-3</v>
      </c>
      <c r="P866" s="207">
        <f t="shared" si="95"/>
        <v>1.6894407872247719E-4</v>
      </c>
      <c r="Q866" s="208">
        <f t="shared" si="96"/>
        <v>1.0021992959873915</v>
      </c>
      <c r="R866" s="40">
        <f t="shared" si="97"/>
        <v>4.9367842832670327E-3</v>
      </c>
      <c r="S866" s="209">
        <v>0</v>
      </c>
    </row>
    <row r="867" spans="1:19" x14ac:dyDescent="0.45">
      <c r="A867" s="16">
        <v>44861</v>
      </c>
      <c r="B867" s="42">
        <f>'Part 2 - CAPM 2.1, 2.2 and 2.3'!N867</f>
        <v>5.5139706841059724E-3</v>
      </c>
      <c r="C867" s="42">
        <f>'Part 2 - CAPM 2.1, 2.2 and 2.3'!O867</f>
        <v>7.8611334370015905E-3</v>
      </c>
      <c r="E867" s="16">
        <v>44861</v>
      </c>
      <c r="F867" s="17">
        <v>6.3799999999999996E-2</v>
      </c>
      <c r="G867" s="41">
        <f t="shared" si="93"/>
        <v>1.6945929722411712E-4</v>
      </c>
      <c r="L867" s="40">
        <f t="shared" si="91"/>
        <v>5.6955568349302387E-3</v>
      </c>
      <c r="M867" s="40">
        <f t="shared" si="92"/>
        <v>8.0478816934500541E-3</v>
      </c>
      <c r="O867" s="40">
        <f t="shared" si="94"/>
        <v>5.6955568349302387E-3</v>
      </c>
      <c r="P867" s="207">
        <f t="shared" si="95"/>
        <v>1.6945929722411712E-4</v>
      </c>
      <c r="Q867" s="208">
        <f t="shared" si="96"/>
        <v>1.0021992959873915</v>
      </c>
      <c r="R867" s="40">
        <f t="shared" si="97"/>
        <v>5.5139706841059724E-3</v>
      </c>
      <c r="S867" s="209">
        <v>0</v>
      </c>
    </row>
    <row r="868" spans="1:19" x14ac:dyDescent="0.45">
      <c r="A868" s="16">
        <v>44862</v>
      </c>
      <c r="B868" s="42">
        <f>'Part 2 - CAPM 2.1, 2.2 and 2.3'!N868</f>
        <v>-3.4509783811557021E-4</v>
      </c>
      <c r="C868" s="42">
        <f>'Part 2 - CAPM 2.1, 2.2 and 2.3'!O868</f>
        <v>1.4244519685524268E-2</v>
      </c>
      <c r="E868" s="16">
        <v>44862</v>
      </c>
      <c r="F868" s="17">
        <v>6.4500000000000002E-2</v>
      </c>
      <c r="G868" s="41">
        <f t="shared" si="93"/>
        <v>1.7126180157722715E-4</v>
      </c>
      <c r="L868" s="40">
        <f t="shared" si="91"/>
        <v>-1.7459500882896815E-4</v>
      </c>
      <c r="M868" s="40">
        <f t="shared" si="92"/>
        <v>1.4447109402088189E-2</v>
      </c>
      <c r="O868" s="40">
        <f t="shared" si="94"/>
        <v>-1.7459500882896815E-4</v>
      </c>
      <c r="P868" s="207">
        <f t="shared" si="95"/>
        <v>1.7126180157722715E-4</v>
      </c>
      <c r="Q868" s="208">
        <f t="shared" si="96"/>
        <v>1.0021992959873915</v>
      </c>
      <c r="R868" s="40">
        <f t="shared" si="97"/>
        <v>-3.4509783811557021E-4</v>
      </c>
      <c r="S868" s="209">
        <v>0</v>
      </c>
    </row>
    <row r="869" spans="1:19" x14ac:dyDescent="0.45">
      <c r="A869" s="16">
        <v>44865</v>
      </c>
      <c r="B869" s="42">
        <f>'Part 2 - CAPM 2.1, 2.2 and 2.3'!N869</f>
        <v>1.1796243159728869E-2</v>
      </c>
      <c r="C869" s="42">
        <f>'Part 2 - CAPM 2.1, 2.2 and 2.3'!O869</f>
        <v>2.4467966737820876E-3</v>
      </c>
      <c r="E869" s="16">
        <v>44865</v>
      </c>
      <c r="F869" s="17">
        <v>6.4399999999999999E-2</v>
      </c>
      <c r="G869" s="41">
        <f t="shared" si="93"/>
        <v>1.7100437333850138E-4</v>
      </c>
      <c r="L869" s="40">
        <f t="shared" si="91"/>
        <v>1.1993190963314857E-2</v>
      </c>
      <c r="M869" s="40">
        <f t="shared" si="92"/>
        <v>2.6231822772272008E-3</v>
      </c>
      <c r="O869" s="40">
        <f t="shared" si="94"/>
        <v>1.1993190963314857E-2</v>
      </c>
      <c r="P869" s="207">
        <f t="shared" si="95"/>
        <v>1.7100437333850138E-4</v>
      </c>
      <c r="Q869" s="208">
        <f t="shared" si="96"/>
        <v>1.0021992959873915</v>
      </c>
      <c r="R869" s="40">
        <f t="shared" si="97"/>
        <v>1.1796243159728869E-2</v>
      </c>
      <c r="S869" s="209">
        <v>0</v>
      </c>
    </row>
    <row r="870" spans="1:19" x14ac:dyDescent="0.45">
      <c r="A870" s="16">
        <v>44866</v>
      </c>
      <c r="B870" s="42">
        <f>'Part 2 - CAPM 2.1, 2.2 and 2.3'!N870</f>
        <v>7.1809166216592639E-3</v>
      </c>
      <c r="C870" s="42">
        <f>'Part 2 - CAPM 2.1, 2.2 and 2.3'!O870</f>
        <v>8.0346315218095266E-3</v>
      </c>
      <c r="E870" s="16">
        <v>44866</v>
      </c>
      <c r="F870" s="17">
        <v>6.4500000000000002E-2</v>
      </c>
      <c r="G870" s="41">
        <f t="shared" si="93"/>
        <v>1.7126180157722715E-4</v>
      </c>
      <c r="L870" s="40">
        <f t="shared" si="91"/>
        <v>7.3679713843482998E-3</v>
      </c>
      <c r="M870" s="40">
        <f t="shared" si="92"/>
        <v>8.2235638562528392E-3</v>
      </c>
      <c r="O870" s="40">
        <f t="shared" si="94"/>
        <v>7.3679713843482998E-3</v>
      </c>
      <c r="P870" s="207">
        <f t="shared" si="95"/>
        <v>1.7126180157722715E-4</v>
      </c>
      <c r="Q870" s="208">
        <f t="shared" si="96"/>
        <v>1.0021992959873915</v>
      </c>
      <c r="R870" s="40">
        <f t="shared" si="97"/>
        <v>7.1809166216592639E-3</v>
      </c>
      <c r="S870" s="209">
        <v>0</v>
      </c>
    </row>
    <row r="871" spans="1:19" x14ac:dyDescent="0.45">
      <c r="A871" s="16">
        <v>44867</v>
      </c>
      <c r="B871" s="42">
        <f>'Part 2 - CAPM 2.1, 2.2 and 2.3'!N871</f>
        <v>-2.7365557636957944E-3</v>
      </c>
      <c r="C871" s="42">
        <f>'Part 2 - CAPM 2.1, 2.2 and 2.3'!O871</f>
        <v>9.4471653306767468E-3</v>
      </c>
      <c r="E871" s="16">
        <v>44867</v>
      </c>
      <c r="F871" s="17">
        <v>6.4699999999999994E-2</v>
      </c>
      <c r="G871" s="41">
        <f t="shared" si="93"/>
        <v>1.7177658571232435E-4</v>
      </c>
      <c r="L871" s="40">
        <f t="shared" si="91"/>
        <v>-2.5707976740938394E-3</v>
      </c>
      <c r="M871" s="40">
        <f t="shared" si="92"/>
        <v>9.6397190291930539E-3</v>
      </c>
      <c r="O871" s="40">
        <f t="shared" si="94"/>
        <v>-2.5707976740938394E-3</v>
      </c>
      <c r="P871" s="207">
        <f t="shared" si="95"/>
        <v>1.7177658571232435E-4</v>
      </c>
      <c r="Q871" s="208">
        <f t="shared" si="96"/>
        <v>1.0021992959873915</v>
      </c>
      <c r="R871" s="40">
        <f t="shared" si="97"/>
        <v>-2.7365557636957944E-3</v>
      </c>
      <c r="S871" s="209">
        <v>0</v>
      </c>
    </row>
    <row r="872" spans="1:19" x14ac:dyDescent="0.45">
      <c r="A872" s="16">
        <v>44868</v>
      </c>
      <c r="B872" s="42">
        <f>'Part 2 - CAPM 2.1, 2.2 and 2.3'!N872</f>
        <v>-1.0006825250636437E-3</v>
      </c>
      <c r="C872" s="42">
        <f>'Part 2 - CAPM 2.1, 2.2 and 2.3'!O872</f>
        <v>-5.3795379712566005E-4</v>
      </c>
      <c r="E872" s="16">
        <v>44868</v>
      </c>
      <c r="F872" s="17">
        <v>6.4600000000000005E-2</v>
      </c>
      <c r="G872" s="41">
        <f t="shared" si="93"/>
        <v>1.715192057003545E-4</v>
      </c>
      <c r="L872" s="40">
        <f t="shared" si="91"/>
        <v>-8.313641164253145E-4</v>
      </c>
      <c r="M872" s="40">
        <f t="shared" si="92"/>
        <v>-3.6761771105272602E-4</v>
      </c>
      <c r="O872" s="40">
        <f t="shared" si="94"/>
        <v>-8.313641164253145E-4</v>
      </c>
      <c r="P872" s="207">
        <f t="shared" si="95"/>
        <v>1.715192057003545E-4</v>
      </c>
      <c r="Q872" s="208">
        <f t="shared" si="96"/>
        <v>1.0021992959873915</v>
      </c>
      <c r="R872" s="40">
        <f t="shared" si="97"/>
        <v>-1.0006825250636437E-3</v>
      </c>
      <c r="S872" s="209">
        <v>0</v>
      </c>
    </row>
    <row r="873" spans="1:19" x14ac:dyDescent="0.45">
      <c r="A873" s="16">
        <v>44869</v>
      </c>
      <c r="B873" s="42">
        <f>'Part 2 - CAPM 2.1, 2.2 and 2.3'!N873</f>
        <v>2.8083273182066123E-3</v>
      </c>
      <c r="C873" s="42">
        <f>'Part 2 - CAPM 2.1, 2.2 and 2.3'!O873</f>
        <v>1.0458464592106679E-2</v>
      </c>
      <c r="E873" s="16">
        <v>44869</v>
      </c>
      <c r="F873" s="17">
        <v>6.480000000000001E-2</v>
      </c>
      <c r="G873" s="41">
        <f t="shared" si="93"/>
        <v>1.7203394161757757E-4</v>
      </c>
      <c r="L873" s="40">
        <f t="shared" si="91"/>
        <v>2.9865376028264039E-3</v>
      </c>
      <c r="M873" s="40">
        <f t="shared" si="92"/>
        <v>1.0653499792935953E-2</v>
      </c>
      <c r="O873" s="40">
        <f t="shared" si="94"/>
        <v>2.9865376028264039E-3</v>
      </c>
      <c r="P873" s="207">
        <f t="shared" si="95"/>
        <v>1.7203394161757757E-4</v>
      </c>
      <c r="Q873" s="208">
        <f t="shared" si="96"/>
        <v>1.0021992959873915</v>
      </c>
      <c r="R873" s="40">
        <f t="shared" si="97"/>
        <v>2.8083273182066123E-3</v>
      </c>
      <c r="S873" s="209">
        <v>0</v>
      </c>
    </row>
    <row r="874" spans="1:19" x14ac:dyDescent="0.45">
      <c r="A874" s="16">
        <v>44872</v>
      </c>
      <c r="B874" s="42">
        <f>'Part 2 - CAPM 2.1, 2.2 and 2.3'!N874</f>
        <v>5.2561298070478444E-3</v>
      </c>
      <c r="C874" s="42">
        <f>'Part 2 - CAPM 2.1, 2.2 and 2.3'!O874</f>
        <v>4.9062067294854779E-3</v>
      </c>
      <c r="E874" s="16">
        <v>44872</v>
      </c>
      <c r="F874" s="17">
        <v>6.4699999999999994E-2</v>
      </c>
      <c r="G874" s="41">
        <f t="shared" si="93"/>
        <v>1.7177658571232435E-4</v>
      </c>
      <c r="L874" s="40">
        <f t="shared" si="91"/>
        <v>5.4394661779540183E-3</v>
      </c>
      <c r="M874" s="40">
        <f t="shared" si="92"/>
        <v>5.0887735159712731E-3</v>
      </c>
      <c r="O874" s="40">
        <f t="shared" si="94"/>
        <v>5.4394661779540183E-3</v>
      </c>
      <c r="P874" s="207">
        <f t="shared" si="95"/>
        <v>1.7177658571232435E-4</v>
      </c>
      <c r="Q874" s="208">
        <f t="shared" si="96"/>
        <v>1.0021992959873915</v>
      </c>
      <c r="R874" s="40">
        <f t="shared" si="97"/>
        <v>5.2561298070478444E-3</v>
      </c>
      <c r="S874" s="209">
        <v>0</v>
      </c>
    </row>
    <row r="875" spans="1:19" x14ac:dyDescent="0.45">
      <c r="A875" s="16">
        <v>44874</v>
      </c>
      <c r="B875" s="42">
        <f>'Part 2 - CAPM 2.1, 2.2 and 2.3'!N875</f>
        <v>-3.2387955748678864E-3</v>
      </c>
      <c r="C875" s="42">
        <f>'Part 2 - CAPM 2.1, 2.2 and 2.3'!O875</f>
        <v>5.5049929549959937E-4</v>
      </c>
      <c r="E875" s="16">
        <v>44874</v>
      </c>
      <c r="F875" s="17">
        <v>6.4500000000000002E-2</v>
      </c>
      <c r="G875" s="41">
        <f t="shared" si="93"/>
        <v>1.7126180157722715E-4</v>
      </c>
      <c r="L875" s="40">
        <f t="shared" si="91"/>
        <v>-3.0746568434024475E-3</v>
      </c>
      <c r="M875" s="40">
        <f t="shared" si="92"/>
        <v>7.2297180796848063E-4</v>
      </c>
      <c r="O875" s="40">
        <f t="shared" si="94"/>
        <v>-3.0746568434024475E-3</v>
      </c>
      <c r="P875" s="207">
        <f t="shared" si="95"/>
        <v>1.7126180157722715E-4</v>
      </c>
      <c r="Q875" s="208">
        <f t="shared" si="96"/>
        <v>1.0021992959873915</v>
      </c>
      <c r="R875" s="40">
        <f t="shared" si="97"/>
        <v>-3.2387955748678864E-3</v>
      </c>
      <c r="S875" s="209">
        <v>0</v>
      </c>
    </row>
    <row r="876" spans="1:19" x14ac:dyDescent="0.45">
      <c r="A876" s="16">
        <v>44875</v>
      </c>
      <c r="B876" s="42">
        <f>'Part 2 - CAPM 2.1, 2.2 and 2.3'!N876</f>
        <v>-8.3454736887120778E-3</v>
      </c>
      <c r="C876" s="42">
        <f>'Part 2 - CAPM 2.1, 2.2 and 2.3'!O876</f>
        <v>8.4836246030386298E-3</v>
      </c>
      <c r="E876" s="16">
        <v>44875</v>
      </c>
      <c r="F876" s="17">
        <v>6.4500000000000002E-2</v>
      </c>
      <c r="G876" s="41">
        <f t="shared" si="93"/>
        <v>1.7126180157722715E-4</v>
      </c>
      <c r="L876" s="40">
        <f t="shared" si="91"/>
        <v>-8.1925660539313161E-3</v>
      </c>
      <c r="M876" s="40">
        <f t="shared" si="92"/>
        <v>8.6735444061638561E-3</v>
      </c>
      <c r="O876" s="40">
        <f t="shared" si="94"/>
        <v>-8.1925660539313161E-3</v>
      </c>
      <c r="P876" s="207">
        <f t="shared" si="95"/>
        <v>1.7126180157722715E-4</v>
      </c>
      <c r="Q876" s="208">
        <f t="shared" si="96"/>
        <v>1.0021992959873915</v>
      </c>
      <c r="R876" s="40">
        <f t="shared" si="97"/>
        <v>-8.3454736887120778E-3</v>
      </c>
      <c r="S876" s="209">
        <v>0</v>
      </c>
    </row>
    <row r="877" spans="1:19" x14ac:dyDescent="0.45">
      <c r="A877" s="16">
        <v>44876</v>
      </c>
      <c r="B877" s="42">
        <f>'Part 2 - CAPM 2.1, 2.2 and 2.3'!N877</f>
        <v>1.3371999193010147E-2</v>
      </c>
      <c r="C877" s="42">
        <f>'Part 2 - CAPM 2.1, 2.2 and 2.3'!O877</f>
        <v>4.1195641265713923E-3</v>
      </c>
      <c r="E877" s="16">
        <v>44876</v>
      </c>
      <c r="F877" s="17">
        <v>6.4299999999999996E-2</v>
      </c>
      <c r="G877" s="41">
        <f t="shared" si="93"/>
        <v>1.7074692097951427E-4</v>
      </c>
      <c r="L877" s="40">
        <f t="shared" si="91"/>
        <v>1.3572155098158251E-2</v>
      </c>
      <c r="M877" s="40">
        <f t="shared" si="92"/>
        <v>4.2993711884042772E-3</v>
      </c>
      <c r="O877" s="40">
        <f t="shared" si="94"/>
        <v>1.3572155098158251E-2</v>
      </c>
      <c r="P877" s="207">
        <f t="shared" si="95"/>
        <v>1.7074692097951427E-4</v>
      </c>
      <c r="Q877" s="208">
        <f t="shared" si="96"/>
        <v>1.0021992959873915</v>
      </c>
      <c r="R877" s="40">
        <f t="shared" si="97"/>
        <v>1.3371999193010147E-2</v>
      </c>
      <c r="S877" s="209">
        <v>0</v>
      </c>
    </row>
    <row r="878" spans="1:19" x14ac:dyDescent="0.45">
      <c r="A878" s="16">
        <v>44879</v>
      </c>
      <c r="B878" s="42">
        <f>'Part 2 - CAPM 2.1, 2.2 and 2.3'!N878</f>
        <v>-1.0174235935403756E-4</v>
      </c>
      <c r="C878" s="42">
        <f>'Part 2 - CAPM 2.1, 2.2 and 2.3'!O878</f>
        <v>-8.7159997657541999E-3</v>
      </c>
      <c r="E878" s="16">
        <v>44879</v>
      </c>
      <c r="F878" s="17">
        <v>6.480000000000001E-2</v>
      </c>
      <c r="G878" s="41">
        <f t="shared" si="93"/>
        <v>1.7203394161757757E-4</v>
      </c>
      <c r="L878" s="40">
        <f t="shared" si="91"/>
        <v>7.0067820700864925E-5</v>
      </c>
      <c r="M878" s="40">
        <f t="shared" si="92"/>
        <v>-8.5631348874475512E-3</v>
      </c>
      <c r="O878" s="40">
        <f t="shared" si="94"/>
        <v>7.0067820700864925E-5</v>
      </c>
      <c r="P878" s="207">
        <f t="shared" si="95"/>
        <v>1.7203394161757757E-4</v>
      </c>
      <c r="Q878" s="208">
        <f t="shared" si="96"/>
        <v>1.0021992959873915</v>
      </c>
      <c r="R878" s="40">
        <f t="shared" si="97"/>
        <v>-1.0174235935403756E-4</v>
      </c>
      <c r="S878" s="209">
        <v>0</v>
      </c>
    </row>
    <row r="879" spans="1:19" x14ac:dyDescent="0.45">
      <c r="A879" s="16">
        <v>44880</v>
      </c>
      <c r="B879" s="42">
        <f>'Part 2 - CAPM 2.1, 2.2 and 2.3'!N879</f>
        <v>2.6202626424515658E-3</v>
      </c>
      <c r="C879" s="42">
        <f>'Part 2 - CAPM 2.1, 2.2 and 2.3'!O879</f>
        <v>2.2090084550303386E-2</v>
      </c>
      <c r="E879" s="16">
        <v>44880</v>
      </c>
      <c r="F879" s="17">
        <v>6.480000000000001E-2</v>
      </c>
      <c r="G879" s="41">
        <f t="shared" si="93"/>
        <v>1.7203394161757757E-4</v>
      </c>
      <c r="L879" s="40">
        <f t="shared" si="91"/>
        <v>2.7980593171845992E-3</v>
      </c>
      <c r="M879" s="40">
        <f t="shared" si="92"/>
        <v>2.2310701126233585E-2</v>
      </c>
      <c r="O879" s="40">
        <f t="shared" si="94"/>
        <v>2.7980593171845992E-3</v>
      </c>
      <c r="P879" s="207">
        <f t="shared" si="95"/>
        <v>1.7203394161757757E-4</v>
      </c>
      <c r="Q879" s="208">
        <f t="shared" si="96"/>
        <v>1.0021992959873915</v>
      </c>
      <c r="R879" s="40">
        <f t="shared" si="97"/>
        <v>2.6202626424515658E-3</v>
      </c>
      <c r="S879" s="209">
        <v>0</v>
      </c>
    </row>
    <row r="880" spans="1:19" x14ac:dyDescent="0.45">
      <c r="A880" s="16">
        <v>44881</v>
      </c>
      <c r="B880" s="42">
        <f>'Part 2 - CAPM 2.1, 2.2 and 2.3'!N880</f>
        <v>-2.121063954005901E-3</v>
      </c>
      <c r="C880" s="42">
        <f>'Part 2 - CAPM 2.1, 2.2 and 2.3'!O880</f>
        <v>3.6924543909061685E-3</v>
      </c>
      <c r="E880" s="16">
        <v>44881</v>
      </c>
      <c r="F880" s="17">
        <v>6.4500000000000002E-2</v>
      </c>
      <c r="G880" s="41">
        <f t="shared" si="93"/>
        <v>1.7126180157722715E-4</v>
      </c>
      <c r="L880" s="40">
        <f t="shared" si="91"/>
        <v>-1.9544669998717199E-3</v>
      </c>
      <c r="M880" s="40">
        <f t="shared" si="92"/>
        <v>3.8718369926089417E-3</v>
      </c>
      <c r="O880" s="40">
        <f t="shared" si="94"/>
        <v>-1.9544669998717199E-3</v>
      </c>
      <c r="P880" s="207">
        <f t="shared" si="95"/>
        <v>1.7126180157722715E-4</v>
      </c>
      <c r="Q880" s="208">
        <f t="shared" si="96"/>
        <v>1.0021992959873915</v>
      </c>
      <c r="R880" s="40">
        <f t="shared" si="97"/>
        <v>-2.121063954005901E-3</v>
      </c>
      <c r="S880" s="209">
        <v>0</v>
      </c>
    </row>
    <row r="881" spans="1:19" x14ac:dyDescent="0.45">
      <c r="A881" s="16">
        <v>44882</v>
      </c>
      <c r="B881" s="42">
        <f>'Part 2 - CAPM 2.1, 2.2 and 2.3'!N881</f>
        <v>-4.3876105448646006E-3</v>
      </c>
      <c r="C881" s="42">
        <f>'Part 2 - CAPM 2.1, 2.2 and 2.3'!O881</f>
        <v>1.9286232679636833E-3</v>
      </c>
      <c r="E881" s="16">
        <v>44882</v>
      </c>
      <c r="F881" s="17">
        <v>6.4299999999999996E-2</v>
      </c>
      <c r="G881" s="41">
        <f t="shared" si="93"/>
        <v>1.7074692097951427E-4</v>
      </c>
      <c r="L881" s="40">
        <f t="shared" si="91"/>
        <v>-4.2265132781506435E-3</v>
      </c>
      <c r="M881" s="40">
        <f t="shared" si="92"/>
        <v>2.10361180235762E-3</v>
      </c>
      <c r="O881" s="40">
        <f t="shared" si="94"/>
        <v>-4.2265132781506435E-3</v>
      </c>
      <c r="P881" s="207">
        <f t="shared" si="95"/>
        <v>1.7074692097951427E-4</v>
      </c>
      <c r="Q881" s="208">
        <f t="shared" si="96"/>
        <v>1.0021992959873915</v>
      </c>
      <c r="R881" s="40">
        <f t="shared" si="97"/>
        <v>-4.3876105448646006E-3</v>
      </c>
      <c r="S881" s="209">
        <v>0</v>
      </c>
    </row>
    <row r="882" spans="1:19" x14ac:dyDescent="0.45">
      <c r="A882" s="16">
        <v>44883</v>
      </c>
      <c r="B882" s="42">
        <f>'Part 2 - CAPM 2.1, 2.2 and 2.3'!N882</f>
        <v>-3.1456303138852918E-3</v>
      </c>
      <c r="C882" s="42">
        <f>'Part 2 - CAPM 2.1, 2.2 and 2.3'!O882</f>
        <v>-1.0296445245001782E-2</v>
      </c>
      <c r="E882" s="16">
        <v>44883</v>
      </c>
      <c r="F882" s="17">
        <v>6.4299999999999996E-2</v>
      </c>
      <c r="G882" s="41">
        <f t="shared" si="93"/>
        <v>1.7074692097951427E-4</v>
      </c>
      <c r="L882" s="40">
        <f t="shared" si="91"/>
        <v>-2.9818015650329229E-3</v>
      </c>
      <c r="M882" s="40">
        <f t="shared" si="92"/>
        <v>-1.0148343254733997E-2</v>
      </c>
      <c r="O882" s="40">
        <f t="shared" si="94"/>
        <v>-2.9818015650329229E-3</v>
      </c>
      <c r="P882" s="207">
        <f t="shared" si="95"/>
        <v>1.7074692097951427E-4</v>
      </c>
      <c r="Q882" s="208">
        <f t="shared" si="96"/>
        <v>1.0021992959873915</v>
      </c>
      <c r="R882" s="40">
        <f t="shared" si="97"/>
        <v>-3.1456303138852918E-3</v>
      </c>
      <c r="S882" s="209">
        <v>0</v>
      </c>
    </row>
    <row r="883" spans="1:19" x14ac:dyDescent="0.45">
      <c r="A883" s="16">
        <v>44886</v>
      </c>
      <c r="B883" s="42">
        <f>'Part 2 - CAPM 2.1, 2.2 and 2.3'!N883</f>
        <v>-6.4115633393747205E-3</v>
      </c>
      <c r="C883" s="42">
        <f>'Part 2 - CAPM 2.1, 2.2 and 2.3'!O883</f>
        <v>-4.4615191365424037E-2</v>
      </c>
      <c r="E883" s="16">
        <v>44886</v>
      </c>
      <c r="F883" s="17">
        <v>6.4299999999999996E-2</v>
      </c>
      <c r="G883" s="41">
        <f t="shared" si="93"/>
        <v>1.7074692097951427E-4</v>
      </c>
      <c r="L883" s="40">
        <f t="shared" si="91"/>
        <v>-6.2549173439203996E-3</v>
      </c>
      <c r="M883" s="40">
        <f t="shared" si="92"/>
        <v>-4.4542566455791202E-2</v>
      </c>
      <c r="O883" s="40">
        <f t="shared" si="94"/>
        <v>-6.2549173439203996E-3</v>
      </c>
      <c r="P883" s="207">
        <f t="shared" si="95"/>
        <v>1.7074692097951427E-4</v>
      </c>
      <c r="Q883" s="208">
        <f t="shared" si="96"/>
        <v>1.0021992959873915</v>
      </c>
      <c r="R883" s="40">
        <f t="shared" si="97"/>
        <v>-6.4115633393747205E-3</v>
      </c>
      <c r="S883" s="209">
        <v>0</v>
      </c>
    </row>
    <row r="884" spans="1:19" x14ac:dyDescent="0.45">
      <c r="A884" s="16">
        <v>44887</v>
      </c>
      <c r="B884" s="42">
        <f>'Part 2 - CAPM 2.1, 2.2 and 2.3'!N884</f>
        <v>3.4141318790568173E-3</v>
      </c>
      <c r="C884" s="42">
        <f>'Part 2 - CAPM 2.1, 2.2 and 2.3'!O884</f>
        <v>-2.0164464410976392E-3</v>
      </c>
      <c r="E884" s="16">
        <v>44887</v>
      </c>
      <c r="F884" s="17">
        <v>6.4299999999999996E-2</v>
      </c>
      <c r="G884" s="41">
        <f t="shared" si="93"/>
        <v>1.7074692097951427E-4</v>
      </c>
      <c r="L884" s="40">
        <f t="shared" si="91"/>
        <v>3.5923874865783668E-3</v>
      </c>
      <c r="M884" s="40">
        <f t="shared" si="92"/>
        <v>-1.8501342826848211E-3</v>
      </c>
      <c r="O884" s="40">
        <f t="shared" si="94"/>
        <v>3.5923874865783668E-3</v>
      </c>
      <c r="P884" s="207">
        <f t="shared" si="95"/>
        <v>1.7074692097951427E-4</v>
      </c>
      <c r="Q884" s="208">
        <f t="shared" si="96"/>
        <v>1.0021992959873915</v>
      </c>
      <c r="R884" s="40">
        <f t="shared" si="97"/>
        <v>3.4141318790568173E-3</v>
      </c>
      <c r="S884" s="209">
        <v>0</v>
      </c>
    </row>
    <row r="885" spans="1:19" x14ac:dyDescent="0.45">
      <c r="A885" s="16">
        <v>44888</v>
      </c>
      <c r="B885" s="42">
        <f>'Part 2 - CAPM 2.1, 2.2 and 2.3'!N885</f>
        <v>1.6956296245465544E-3</v>
      </c>
      <c r="C885" s="42">
        <f>'Part 2 - CAPM 2.1, 2.2 and 2.3'!O885</f>
        <v>9.4443802420461995E-3</v>
      </c>
      <c r="E885" s="16">
        <v>44888</v>
      </c>
      <c r="F885" s="17">
        <v>6.4399999999999999E-2</v>
      </c>
      <c r="G885" s="41">
        <f t="shared" si="93"/>
        <v>1.7100437333850138E-4</v>
      </c>
      <c r="L885" s="40">
        <f t="shared" si="91"/>
        <v>1.8703631893144232E-3</v>
      </c>
      <c r="M885" s="40">
        <f t="shared" si="92"/>
        <v>9.6361556029544333E-3</v>
      </c>
      <c r="O885" s="40">
        <f t="shared" si="94"/>
        <v>1.8703631893144232E-3</v>
      </c>
      <c r="P885" s="207">
        <f t="shared" si="95"/>
        <v>1.7100437333850138E-4</v>
      </c>
      <c r="Q885" s="208">
        <f t="shared" si="96"/>
        <v>1.0021992959873915</v>
      </c>
      <c r="R885" s="40">
        <f t="shared" si="97"/>
        <v>1.6956296245465544E-3</v>
      </c>
      <c r="S885" s="209">
        <v>0</v>
      </c>
    </row>
    <row r="886" spans="1:19" x14ac:dyDescent="0.45">
      <c r="A886" s="16">
        <v>44889</v>
      </c>
      <c r="B886" s="42">
        <f>'Part 2 - CAPM 2.1, 2.2 and 2.3'!N886</f>
        <v>9.0101401671372327E-3</v>
      </c>
      <c r="C886" s="42">
        <f>'Part 2 - CAPM 2.1, 2.2 and 2.3'!O886</f>
        <v>2.1441232167225481E-2</v>
      </c>
      <c r="E886" s="16">
        <v>44889</v>
      </c>
      <c r="F886" s="17">
        <v>6.4199999999999993E-2</v>
      </c>
      <c r="G886" s="41">
        <f t="shared" si="93"/>
        <v>1.7048944449604697E-4</v>
      </c>
      <c r="L886" s="40">
        <f t="shared" si="91"/>
        <v>9.2004455767487007E-3</v>
      </c>
      <c r="M886" s="40">
        <f t="shared" si="92"/>
        <v>2.1658877227591636E-2</v>
      </c>
      <c r="O886" s="40">
        <f t="shared" si="94"/>
        <v>9.2004455767487007E-3</v>
      </c>
      <c r="P886" s="207">
        <f t="shared" si="95"/>
        <v>1.7048944449604697E-4</v>
      </c>
      <c r="Q886" s="208">
        <f t="shared" si="96"/>
        <v>1.0021992959873915</v>
      </c>
      <c r="R886" s="40">
        <f t="shared" si="97"/>
        <v>9.0101401671372327E-3</v>
      </c>
      <c r="S886" s="209">
        <v>0</v>
      </c>
    </row>
    <row r="887" spans="1:19" x14ac:dyDescent="0.45">
      <c r="A887" s="16">
        <v>44890</v>
      </c>
      <c r="B887" s="42">
        <f>'Part 2 - CAPM 2.1, 2.2 and 2.3'!N887</f>
        <v>2.7909595136618379E-3</v>
      </c>
      <c r="C887" s="42">
        <f>'Part 2 - CAPM 2.1, 2.2 and 2.3'!O887</f>
        <v>7.7168701453573223E-3</v>
      </c>
      <c r="E887" s="16">
        <v>44890</v>
      </c>
      <c r="F887" s="17">
        <v>6.4500000000000002E-2</v>
      </c>
      <c r="G887" s="41">
        <f t="shared" si="93"/>
        <v>1.7126180157722715E-4</v>
      </c>
      <c r="L887" s="40">
        <f t="shared" si="91"/>
        <v>2.9683594612984338E-3</v>
      </c>
      <c r="M887" s="40">
        <f t="shared" si="92"/>
        <v>7.9051036284804553E-3</v>
      </c>
      <c r="O887" s="40">
        <f t="shared" si="94"/>
        <v>2.9683594612984338E-3</v>
      </c>
      <c r="P887" s="207">
        <f t="shared" si="95"/>
        <v>1.7126180157722715E-4</v>
      </c>
      <c r="Q887" s="208">
        <f t="shared" si="96"/>
        <v>1.0021992959873915</v>
      </c>
      <c r="R887" s="40">
        <f t="shared" si="97"/>
        <v>2.7909595136618379E-3</v>
      </c>
      <c r="S887" s="209">
        <v>0</v>
      </c>
    </row>
    <row r="888" spans="1:19" x14ac:dyDescent="0.45">
      <c r="A888" s="16">
        <v>44893</v>
      </c>
      <c r="B888" s="42">
        <f>'Part 2 - CAPM 2.1, 2.2 and 2.3'!N888</f>
        <v>3.4665100309367674E-3</v>
      </c>
      <c r="C888" s="42">
        <f>'Part 2 - CAPM 2.1, 2.2 and 2.3'!O888</f>
        <v>-6.9296498856203231E-3</v>
      </c>
      <c r="E888" s="16">
        <v>44893</v>
      </c>
      <c r="F888" s="17">
        <v>6.4199999999999993E-2</v>
      </c>
      <c r="G888" s="41">
        <f t="shared" si="93"/>
        <v>1.7048944449604697E-4</v>
      </c>
      <c r="L888" s="40">
        <f t="shared" si="91"/>
        <v>3.6446233570341063E-3</v>
      </c>
      <c r="M888" s="40">
        <f t="shared" si="92"/>
        <v>-6.7744007923117491E-3</v>
      </c>
      <c r="O888" s="40">
        <f t="shared" si="94"/>
        <v>3.6446233570341063E-3</v>
      </c>
      <c r="P888" s="207">
        <f t="shared" si="95"/>
        <v>1.7048944449604697E-4</v>
      </c>
      <c r="Q888" s="208">
        <f t="shared" si="96"/>
        <v>1.0021992959873915</v>
      </c>
      <c r="R888" s="40">
        <f t="shared" si="97"/>
        <v>3.4665100309367674E-3</v>
      </c>
      <c r="S888" s="209">
        <v>0</v>
      </c>
    </row>
    <row r="889" spans="1:19" x14ac:dyDescent="0.45">
      <c r="A889" s="16">
        <v>44894</v>
      </c>
      <c r="B889" s="42">
        <f>'Part 2 - CAPM 2.1, 2.2 and 2.3'!N889</f>
        <v>1.6034082839645582E-3</v>
      </c>
      <c r="C889" s="42">
        <f>'Part 2 - CAPM 2.1, 2.2 and 2.3'!O889</f>
        <v>4.4856710139567161E-3</v>
      </c>
      <c r="E889" s="16">
        <v>44894</v>
      </c>
      <c r="F889" s="17">
        <v>6.4199999999999993E-2</v>
      </c>
      <c r="G889" s="41">
        <f t="shared" si="93"/>
        <v>1.7048944449604697E-4</v>
      </c>
      <c r="L889" s="40">
        <f t="shared" si="91"/>
        <v>1.7774240978656788E-3</v>
      </c>
      <c r="M889" s="40">
        <f t="shared" si="92"/>
        <v>4.6660257767145163E-3</v>
      </c>
      <c r="O889" s="40">
        <f t="shared" si="94"/>
        <v>1.7774240978656788E-3</v>
      </c>
      <c r="P889" s="207">
        <f t="shared" si="95"/>
        <v>1.7048944449604697E-4</v>
      </c>
      <c r="Q889" s="208">
        <f t="shared" si="96"/>
        <v>1.0021992959873915</v>
      </c>
      <c r="R889" s="40">
        <f t="shared" si="97"/>
        <v>1.6034082839645582E-3</v>
      </c>
      <c r="S889" s="209">
        <v>0</v>
      </c>
    </row>
    <row r="890" spans="1:19" x14ac:dyDescent="0.45">
      <c r="A890" s="16">
        <v>44895</v>
      </c>
      <c r="B890" s="42">
        <f>'Part 2 - CAPM 2.1, 2.2 and 2.3'!N890</f>
        <v>8.2851307608209201E-3</v>
      </c>
      <c r="C890" s="42">
        <f>'Part 2 - CAPM 2.1, 2.2 and 2.3'!O890</f>
        <v>5.8903741167228053E-3</v>
      </c>
      <c r="E890" s="16">
        <v>44895</v>
      </c>
      <c r="F890" s="17">
        <v>6.4100000000000004E-2</v>
      </c>
      <c r="G890" s="41">
        <f t="shared" si="93"/>
        <v>1.702319438832145E-4</v>
      </c>
      <c r="L890" s="40">
        <f t="shared" si="91"/>
        <v>8.4735841595414228E-3</v>
      </c>
      <c r="M890" s="40">
        <f t="shared" si="92"/>
        <v>6.0735607367651632E-3</v>
      </c>
      <c r="O890" s="40">
        <f t="shared" si="94"/>
        <v>8.4735841595414228E-3</v>
      </c>
      <c r="P890" s="207">
        <f t="shared" si="95"/>
        <v>1.702319438832145E-4</v>
      </c>
      <c r="Q890" s="208">
        <f t="shared" si="96"/>
        <v>1.0021992959873915</v>
      </c>
      <c r="R890" s="40">
        <f t="shared" si="97"/>
        <v>8.2851307608209201E-3</v>
      </c>
      <c r="S890" s="209">
        <v>0</v>
      </c>
    </row>
    <row r="891" spans="1:19" x14ac:dyDescent="0.45">
      <c r="A891" s="16">
        <v>44896</v>
      </c>
      <c r="B891" s="42">
        <f>'Part 2 - CAPM 2.1, 2.2 and 2.3'!N891</f>
        <v>3.4549825085950876E-3</v>
      </c>
      <c r="C891" s="42">
        <f>'Part 2 - CAPM 2.1, 2.2 and 2.3'!O891</f>
        <v>-7.6112476994509414E-3</v>
      </c>
      <c r="E891" s="16">
        <v>44896</v>
      </c>
      <c r="F891" s="17">
        <v>6.3899999999999998E-2</v>
      </c>
      <c r="G891" s="41">
        <f t="shared" si="93"/>
        <v>1.6971687025191251E-4</v>
      </c>
      <c r="L891" s="40">
        <f t="shared" si="91"/>
        <v>3.6322979080146613E-3</v>
      </c>
      <c r="M891" s="40">
        <f t="shared" si="92"/>
        <v>-7.4582702157234742E-3</v>
      </c>
      <c r="O891" s="40">
        <f t="shared" si="94"/>
        <v>3.6322979080146613E-3</v>
      </c>
      <c r="P891" s="207">
        <f t="shared" si="95"/>
        <v>1.6971687025191251E-4</v>
      </c>
      <c r="Q891" s="208">
        <f t="shared" si="96"/>
        <v>1.0021992959873915</v>
      </c>
      <c r="R891" s="40">
        <f t="shared" si="97"/>
        <v>3.4549825085950876E-3</v>
      </c>
      <c r="S891" s="209">
        <v>0</v>
      </c>
    </row>
    <row r="892" spans="1:19" x14ac:dyDescent="0.45">
      <c r="A892" s="16">
        <v>44897</v>
      </c>
      <c r="B892" s="42">
        <f>'Part 2 - CAPM 2.1, 2.2 and 2.3'!N892</f>
        <v>-2.6967027232341397E-3</v>
      </c>
      <c r="C892" s="42">
        <f>'Part 2 - CAPM 2.1, 2.2 and 2.3'!O892</f>
        <v>5.9000592781728294E-3</v>
      </c>
      <c r="E892" s="16">
        <v>44897</v>
      </c>
      <c r="F892" s="17">
        <v>6.3700000000000007E-2</v>
      </c>
      <c r="G892" s="41">
        <f t="shared" si="93"/>
        <v>1.6920170004919299E-4</v>
      </c>
      <c r="L892" s="40">
        <f t="shared" si="91"/>
        <v>-2.5334318706633436E-3</v>
      </c>
      <c r="M892" s="40">
        <f t="shared" si="92"/>
        <v>6.0822369549178804E-3</v>
      </c>
      <c r="O892" s="40">
        <f t="shared" si="94"/>
        <v>-2.5334318706633436E-3</v>
      </c>
      <c r="P892" s="207">
        <f t="shared" si="95"/>
        <v>1.6920170004919299E-4</v>
      </c>
      <c r="Q892" s="208">
        <f t="shared" si="96"/>
        <v>1.0021992959873915</v>
      </c>
      <c r="R892" s="40">
        <f t="shared" si="97"/>
        <v>-2.6967027232341397E-3</v>
      </c>
      <c r="S892" s="209">
        <v>0</v>
      </c>
    </row>
    <row r="893" spans="1:19" x14ac:dyDescent="0.45">
      <c r="A893" s="16">
        <v>44900</v>
      </c>
      <c r="B893" s="42">
        <f>'Part 2 - CAPM 2.1, 2.2 and 2.3'!N893</f>
        <v>6.2834666540198769E-5</v>
      </c>
      <c r="C893" s="42">
        <f>'Part 2 - CAPM 2.1, 2.2 and 2.3'!O893</f>
        <v>2.0058167347821131E-2</v>
      </c>
      <c r="E893" s="16">
        <v>44900</v>
      </c>
      <c r="F893" s="17">
        <v>6.3600000000000004E-2</v>
      </c>
      <c r="G893" s="41">
        <f t="shared" si="93"/>
        <v>1.6894407872247719E-4</v>
      </c>
      <c r="L893" s="40">
        <f t="shared" si="91"/>
        <v>2.3191693729266691E-4</v>
      </c>
      <c r="M893" s="40">
        <f t="shared" si="92"/>
        <v>2.02712252735061E-2</v>
      </c>
      <c r="O893" s="40">
        <f t="shared" si="94"/>
        <v>2.3191693729266691E-4</v>
      </c>
      <c r="P893" s="207">
        <f t="shared" si="95"/>
        <v>1.6894407872247719E-4</v>
      </c>
      <c r="Q893" s="208">
        <f t="shared" si="96"/>
        <v>1.0021992959873915</v>
      </c>
      <c r="R893" s="40">
        <f t="shared" si="97"/>
        <v>6.2834666540198769E-5</v>
      </c>
      <c r="S893" s="209">
        <v>0</v>
      </c>
    </row>
    <row r="894" spans="1:19" x14ac:dyDescent="0.45">
      <c r="A894" s="16">
        <v>44901</v>
      </c>
      <c r="B894" s="42">
        <f>'Part 2 - CAPM 2.1, 2.2 and 2.3'!N894</f>
        <v>-2.9465130952062916E-3</v>
      </c>
      <c r="C894" s="42">
        <f>'Part 2 - CAPM 2.1, 2.2 and 2.3'!O894</f>
        <v>-9.2124223395921214E-3</v>
      </c>
      <c r="E894" s="16">
        <v>44901</v>
      </c>
      <c r="F894" s="17">
        <v>6.3600000000000004E-2</v>
      </c>
      <c r="G894" s="41">
        <f t="shared" si="93"/>
        <v>1.6894407872247719E-4</v>
      </c>
      <c r="L894" s="40">
        <f t="shared" si="91"/>
        <v>-2.7840492709108981E-3</v>
      </c>
      <c r="M894" s="40">
        <f t="shared" si="92"/>
        <v>-9.0637391043552652E-3</v>
      </c>
      <c r="O894" s="40">
        <f t="shared" si="94"/>
        <v>-2.7840492709108981E-3</v>
      </c>
      <c r="P894" s="207">
        <f t="shared" si="95"/>
        <v>1.6894407872247719E-4</v>
      </c>
      <c r="Q894" s="208">
        <f t="shared" si="96"/>
        <v>1.0021992959873915</v>
      </c>
      <c r="R894" s="40">
        <f t="shared" si="97"/>
        <v>-2.9465130952062916E-3</v>
      </c>
      <c r="S894" s="209">
        <v>0</v>
      </c>
    </row>
    <row r="895" spans="1:19" x14ac:dyDescent="0.45">
      <c r="A895" s="16">
        <v>44902</v>
      </c>
      <c r="B895" s="42">
        <f>'Part 2 - CAPM 2.1, 2.2 and 2.3'!N895</f>
        <v>-3.9915264654097216E-3</v>
      </c>
      <c r="C895" s="42">
        <f>'Part 2 - CAPM 2.1, 2.2 and 2.3'!O895</f>
        <v>-1.2805987055149093E-2</v>
      </c>
      <c r="E895" s="16">
        <v>44902</v>
      </c>
      <c r="F895" s="17">
        <v>6.4000000000000001E-2</v>
      </c>
      <c r="G895" s="41">
        <f t="shared" si="93"/>
        <v>1.6997441913657596E-4</v>
      </c>
      <c r="L895" s="40">
        <f t="shared" si="91"/>
        <v>-3.8303305944120888E-3</v>
      </c>
      <c r="M895" s="40">
        <f t="shared" si="92"/>
        <v>-1.2664176791957495E-2</v>
      </c>
      <c r="O895" s="40">
        <f t="shared" si="94"/>
        <v>-3.8303305944120888E-3</v>
      </c>
      <c r="P895" s="207">
        <f t="shared" si="95"/>
        <v>1.6997441913657596E-4</v>
      </c>
      <c r="Q895" s="208">
        <f t="shared" si="96"/>
        <v>1.0021992959873915</v>
      </c>
      <c r="R895" s="40">
        <f t="shared" si="97"/>
        <v>-3.9915264654097216E-3</v>
      </c>
      <c r="S895" s="209">
        <v>0</v>
      </c>
    </row>
    <row r="896" spans="1:19" x14ac:dyDescent="0.45">
      <c r="A896" s="16">
        <v>44903</v>
      </c>
      <c r="B896" s="42">
        <f>'Part 2 - CAPM 2.1, 2.2 and 2.3'!N896</f>
        <v>2.9254738219427561E-3</v>
      </c>
      <c r="C896" s="42">
        <f>'Part 2 - CAPM 2.1, 2.2 and 2.3'!O896</f>
        <v>1.4049719857436476E-2</v>
      </c>
      <c r="E896" s="16">
        <v>44903</v>
      </c>
      <c r="F896" s="17">
        <v>6.4000000000000001E-2</v>
      </c>
      <c r="G896" s="41">
        <f t="shared" si="93"/>
        <v>1.6997441913657596E-4</v>
      </c>
      <c r="L896" s="40">
        <f t="shared" si="91"/>
        <v>3.1018822239171498E-3</v>
      </c>
      <c r="M896" s="40">
        <f t="shared" si="92"/>
        <v>1.4250593769079488E-2</v>
      </c>
      <c r="O896" s="40">
        <f t="shared" si="94"/>
        <v>3.1018822239171498E-3</v>
      </c>
      <c r="P896" s="207">
        <f t="shared" si="95"/>
        <v>1.6997441913657596E-4</v>
      </c>
      <c r="Q896" s="208">
        <f t="shared" si="96"/>
        <v>1.0021992959873915</v>
      </c>
      <c r="R896" s="40">
        <f t="shared" si="97"/>
        <v>2.9254738219427561E-3</v>
      </c>
      <c r="S896" s="209">
        <v>0</v>
      </c>
    </row>
    <row r="897" spans="1:19" x14ac:dyDescent="0.45">
      <c r="A897" s="16">
        <v>44904</v>
      </c>
      <c r="B897" s="42">
        <f>'Part 2 - CAPM 2.1, 2.2 and 2.3'!N897</f>
        <v>-6.3506786975170175E-3</v>
      </c>
      <c r="C897" s="42">
        <f>'Part 2 - CAPM 2.1, 2.2 and 2.3'!O897</f>
        <v>-1.3839280538023396E-2</v>
      </c>
      <c r="E897" s="16">
        <v>44904</v>
      </c>
      <c r="F897" s="17">
        <v>6.3799999999999996E-2</v>
      </c>
      <c r="G897" s="41">
        <f t="shared" si="93"/>
        <v>1.6945929722411712E-4</v>
      </c>
      <c r="L897" s="40">
        <f t="shared" si="91"/>
        <v>-6.1951864224695629E-3</v>
      </c>
      <c r="M897" s="40">
        <f t="shared" si="92"/>
        <v>-1.3700257914954939E-2</v>
      </c>
      <c r="O897" s="40">
        <f t="shared" si="94"/>
        <v>-6.1951864224695629E-3</v>
      </c>
      <c r="P897" s="207">
        <f t="shared" si="95"/>
        <v>1.6945929722411712E-4</v>
      </c>
      <c r="Q897" s="208">
        <f t="shared" si="96"/>
        <v>1.0021992959873915</v>
      </c>
      <c r="R897" s="40">
        <f t="shared" si="97"/>
        <v>-6.3506786975170175E-3</v>
      </c>
      <c r="S897" s="209">
        <v>0</v>
      </c>
    </row>
    <row r="898" spans="1:19" x14ac:dyDescent="0.45">
      <c r="A898" s="16">
        <v>44907</v>
      </c>
      <c r="B898" s="42">
        <f>'Part 2 - CAPM 2.1, 2.2 and 2.3'!N898</f>
        <v>7.9443721071907852E-4</v>
      </c>
      <c r="C898" s="42">
        <f>'Part 2 - CAPM 2.1, 2.2 and 2.3'!O898</f>
        <v>1.155710447212146E-2</v>
      </c>
      <c r="E898" s="16">
        <v>44907</v>
      </c>
      <c r="F898" s="17">
        <v>6.4000000000000001E-2</v>
      </c>
      <c r="G898" s="41">
        <f t="shared" si="93"/>
        <v>1.6997441913657596E-4</v>
      </c>
      <c r="L898" s="40">
        <f t="shared" si="91"/>
        <v>9.6615883242542346E-4</v>
      </c>
      <c r="M898" s="40">
        <f t="shared" si="92"/>
        <v>1.1752496384749438E-2</v>
      </c>
      <c r="O898" s="40">
        <f t="shared" si="94"/>
        <v>9.6615883242542346E-4</v>
      </c>
      <c r="P898" s="207">
        <f t="shared" si="95"/>
        <v>1.6997441913657596E-4</v>
      </c>
      <c r="Q898" s="208">
        <f t="shared" si="96"/>
        <v>1.0021992959873915</v>
      </c>
      <c r="R898" s="40">
        <f t="shared" si="97"/>
        <v>7.9443721071907852E-4</v>
      </c>
      <c r="S898" s="209">
        <v>0</v>
      </c>
    </row>
    <row r="899" spans="1:19" x14ac:dyDescent="0.45">
      <c r="A899" s="16">
        <v>44908</v>
      </c>
      <c r="B899" s="42">
        <f>'Part 2 - CAPM 2.1, 2.2 and 2.3'!N899</f>
        <v>4.664005274931853E-3</v>
      </c>
      <c r="C899" s="42">
        <f>'Part 2 - CAPM 2.1, 2.2 and 2.3'!O899</f>
        <v>1.3880675363526501E-2</v>
      </c>
      <c r="E899" s="16">
        <v>44908</v>
      </c>
      <c r="F899" s="17">
        <v>6.3700000000000007E-2</v>
      </c>
      <c r="G899" s="41">
        <f t="shared" si="93"/>
        <v>1.6920170004919299E-4</v>
      </c>
      <c r="L899" s="40">
        <f t="shared" ref="L899:L962" si="98">G899+($J$1*(B899))</f>
        <v>4.8434645030673764E-3</v>
      </c>
      <c r="M899" s="40">
        <f t="shared" ref="M899:M962" si="99">G899+($J$1*(C899))</f>
        <v>1.4080404777204982E-2</v>
      </c>
      <c r="O899" s="40">
        <f t="shared" si="94"/>
        <v>4.8434645030673764E-3</v>
      </c>
      <c r="P899" s="207">
        <f t="shared" si="95"/>
        <v>1.6920170004919299E-4</v>
      </c>
      <c r="Q899" s="208">
        <f t="shared" si="96"/>
        <v>1.0021992959873915</v>
      </c>
      <c r="R899" s="40">
        <f t="shared" si="97"/>
        <v>4.664005274931853E-3</v>
      </c>
      <c r="S899" s="209">
        <v>0</v>
      </c>
    </row>
    <row r="900" spans="1:19" x14ac:dyDescent="0.45">
      <c r="A900" s="16">
        <v>44909</v>
      </c>
      <c r="B900" s="42">
        <f>'Part 2 - CAPM 2.1, 2.2 and 2.3'!N900</f>
        <v>3.5582725674185725E-3</v>
      </c>
      <c r="C900" s="42">
        <f>'Part 2 - CAPM 2.1, 2.2 and 2.3'!O900</f>
        <v>2.2344489219954682E-2</v>
      </c>
      <c r="E900" s="16">
        <v>44909</v>
      </c>
      <c r="F900" s="17">
        <v>6.4100000000000004E-2</v>
      </c>
      <c r="G900" s="41">
        <f t="shared" ref="G900:G963" si="100">((1+F900)^(1/365))-1</f>
        <v>1.702319438832145E-4</v>
      </c>
      <c r="L900" s="40">
        <f t="shared" si="98"/>
        <v>3.7363302058813562E-3</v>
      </c>
      <c r="M900" s="40">
        <f t="shared" si="99"/>
        <v>2.2563863309319657E-2</v>
      </c>
      <c r="O900" s="40">
        <f t="shared" ref="O900:O963" si="101">P900+(Q900*(R900))+S900</f>
        <v>3.7363302058813562E-3</v>
      </c>
      <c r="P900" s="207">
        <f t="shared" ref="P900:P963" si="102">G900</f>
        <v>1.702319438832145E-4</v>
      </c>
      <c r="Q900" s="208">
        <f t="shared" ref="Q900:Q963" si="103">$J$1</f>
        <v>1.0021992959873915</v>
      </c>
      <c r="R900" s="40">
        <f t="shared" ref="R900:R963" si="104">B900</f>
        <v>3.5582725674185725E-3</v>
      </c>
      <c r="S900" s="209">
        <v>0</v>
      </c>
    </row>
    <row r="901" spans="1:19" x14ac:dyDescent="0.45">
      <c r="A901" s="16">
        <v>44910</v>
      </c>
      <c r="B901" s="42">
        <f>'Part 2 - CAPM 2.1, 2.2 and 2.3'!N901</f>
        <v>-1.1446000287778976E-2</v>
      </c>
      <c r="C901" s="42">
        <f>'Part 2 - CAPM 2.1, 2.2 and 2.3'!O901</f>
        <v>-1.1867496070977115E-3</v>
      </c>
      <c r="E901" s="16">
        <v>44910</v>
      </c>
      <c r="F901" s="17">
        <v>6.4199999999999993E-2</v>
      </c>
      <c r="G901" s="41">
        <f t="shared" si="100"/>
        <v>1.7048944449604697E-4</v>
      </c>
      <c r="L901" s="40">
        <f t="shared" si="98"/>
        <v>-1.1300683985787523E-2</v>
      </c>
      <c r="M901" s="40">
        <f t="shared" si="99"/>
        <v>-1.018870176250593E-3</v>
      </c>
      <c r="O901" s="40">
        <f t="shared" si="101"/>
        <v>-1.1300683985787523E-2</v>
      </c>
      <c r="P901" s="207">
        <f t="shared" si="102"/>
        <v>1.7048944449604697E-4</v>
      </c>
      <c r="Q901" s="208">
        <f t="shared" si="103"/>
        <v>1.0021992959873915</v>
      </c>
      <c r="R901" s="40">
        <f t="shared" si="104"/>
        <v>-1.1446000287778976E-2</v>
      </c>
      <c r="S901" s="209">
        <v>0</v>
      </c>
    </row>
    <row r="902" spans="1:19" x14ac:dyDescent="0.45">
      <c r="A902" s="16">
        <v>44911</v>
      </c>
      <c r="B902" s="42">
        <f>'Part 2 - CAPM 2.1, 2.2 and 2.3'!N902</f>
        <v>-9.5123462850540182E-3</v>
      </c>
      <c r="C902" s="42">
        <f>'Part 2 - CAPM 2.1, 2.2 and 2.3'!O902</f>
        <v>-1.865979441105067E-3</v>
      </c>
      <c r="E902" s="16">
        <v>44911</v>
      </c>
      <c r="F902" s="17">
        <v>6.4199999999999993E-2</v>
      </c>
      <c r="G902" s="41">
        <f t="shared" si="100"/>
        <v>1.7048944449604697E-4</v>
      </c>
      <c r="L902" s="40">
        <f t="shared" si="98"/>
        <v>-9.3627773055733696E-3</v>
      </c>
      <c r="M902" s="40">
        <f t="shared" si="99"/>
        <v>-1.6995938377063976E-3</v>
      </c>
      <c r="O902" s="40">
        <f t="shared" si="101"/>
        <v>-9.3627773055733696E-3</v>
      </c>
      <c r="P902" s="207">
        <f t="shared" si="102"/>
        <v>1.7048944449604697E-4</v>
      </c>
      <c r="Q902" s="208">
        <f t="shared" si="103"/>
        <v>1.0021992959873915</v>
      </c>
      <c r="R902" s="40">
        <f t="shared" si="104"/>
        <v>-9.5123462850540182E-3</v>
      </c>
      <c r="S902" s="209">
        <v>0</v>
      </c>
    </row>
    <row r="903" spans="1:19" x14ac:dyDescent="0.45">
      <c r="A903" s="16">
        <v>44914</v>
      </c>
      <c r="B903" s="42">
        <f>'Part 2 - CAPM 2.1, 2.2 and 2.3'!N903</f>
        <v>7.4301318007170686E-3</v>
      </c>
      <c r="C903" s="42">
        <f>'Part 2 - CAPM 2.1, 2.2 and 2.3'!O903</f>
        <v>-9.6816164861967518E-3</v>
      </c>
      <c r="E903" s="16">
        <v>44914</v>
      </c>
      <c r="F903" s="17">
        <v>6.4299999999999996E-2</v>
      </c>
      <c r="G903" s="41">
        <f t="shared" si="100"/>
        <v>1.7074692097951427E-4</v>
      </c>
      <c r="L903" s="40">
        <f t="shared" si="98"/>
        <v>7.6172197807516905E-3</v>
      </c>
      <c r="M903" s="40">
        <f t="shared" si="99"/>
        <v>-9.5321623055067937E-3</v>
      </c>
      <c r="O903" s="40">
        <f t="shared" si="101"/>
        <v>7.6172197807516905E-3</v>
      </c>
      <c r="P903" s="207">
        <f t="shared" si="102"/>
        <v>1.7074692097951427E-4</v>
      </c>
      <c r="Q903" s="208">
        <f t="shared" si="103"/>
        <v>1.0021992959873915</v>
      </c>
      <c r="R903" s="40">
        <f t="shared" si="104"/>
        <v>7.4301318007170686E-3</v>
      </c>
      <c r="S903" s="209">
        <v>0</v>
      </c>
    </row>
    <row r="904" spans="1:19" x14ac:dyDescent="0.45">
      <c r="A904" s="16">
        <v>44915</v>
      </c>
      <c r="B904" s="42">
        <f>'Part 2 - CAPM 2.1, 2.2 and 2.3'!N904</f>
        <v>-2.0114090515776662E-3</v>
      </c>
      <c r="C904" s="42">
        <f>'Part 2 - CAPM 2.1, 2.2 and 2.3'!O904</f>
        <v>1.7218860714108202E-4</v>
      </c>
      <c r="E904" s="16">
        <v>44915</v>
      </c>
      <c r="F904" s="17">
        <v>6.4299999999999996E-2</v>
      </c>
      <c r="G904" s="41">
        <f t="shared" si="100"/>
        <v>1.7074692097951427E-4</v>
      </c>
      <c r="L904" s="40">
        <f t="shared" si="98"/>
        <v>-1.8450858144542898E-3</v>
      </c>
      <c r="M904" s="40">
        <f t="shared" si="99"/>
        <v>3.4331422183335621E-4</v>
      </c>
      <c r="O904" s="40">
        <f t="shared" si="101"/>
        <v>-1.8450858144542898E-3</v>
      </c>
      <c r="P904" s="207">
        <f t="shared" si="102"/>
        <v>1.7074692097951427E-4</v>
      </c>
      <c r="Q904" s="208">
        <f t="shared" si="103"/>
        <v>1.0021992959873915</v>
      </c>
      <c r="R904" s="40">
        <f t="shared" si="104"/>
        <v>-2.0114090515776662E-3</v>
      </c>
      <c r="S904" s="209">
        <v>0</v>
      </c>
    </row>
    <row r="905" spans="1:19" x14ac:dyDescent="0.45">
      <c r="A905" s="16">
        <v>44916</v>
      </c>
      <c r="B905" s="42">
        <f>'Part 2 - CAPM 2.1, 2.2 and 2.3'!N905</f>
        <v>-1.2803305651249911E-2</v>
      </c>
      <c r="C905" s="42">
        <f>'Part 2 - CAPM 2.1, 2.2 and 2.3'!O905</f>
        <v>-1.6283963497781221E-2</v>
      </c>
      <c r="E905" s="16">
        <v>44916</v>
      </c>
      <c r="F905" s="17">
        <v>6.4600000000000005E-2</v>
      </c>
      <c r="G905" s="41">
        <f t="shared" si="100"/>
        <v>1.715192057003545E-4</v>
      </c>
      <c r="L905" s="40">
        <f t="shared" si="98"/>
        <v>-1.2659944704293697E-2</v>
      </c>
      <c r="M905" s="40">
        <f t="shared" si="99"/>
        <v>-1.6148257547660368E-2</v>
      </c>
      <c r="O905" s="40">
        <f t="shared" si="101"/>
        <v>-1.2659944704293697E-2</v>
      </c>
      <c r="P905" s="207">
        <f t="shared" si="102"/>
        <v>1.715192057003545E-4</v>
      </c>
      <c r="Q905" s="208">
        <f t="shared" si="103"/>
        <v>1.0021992959873915</v>
      </c>
      <c r="R905" s="40">
        <f t="shared" si="104"/>
        <v>-1.2803305651249911E-2</v>
      </c>
      <c r="S905" s="209">
        <v>0</v>
      </c>
    </row>
    <row r="906" spans="1:19" x14ac:dyDescent="0.45">
      <c r="A906" s="16">
        <v>44917</v>
      </c>
      <c r="B906" s="42">
        <f>'Part 2 - CAPM 2.1, 2.2 and 2.3'!N906</f>
        <v>-6.3552387666187919E-3</v>
      </c>
      <c r="C906" s="42">
        <f>'Part 2 - CAPM 2.1, 2.2 and 2.3'!O906</f>
        <v>-8.8802606909523397E-3</v>
      </c>
      <c r="E906" s="16">
        <v>44917</v>
      </c>
      <c r="F906" s="17">
        <v>6.3799999999999996E-2</v>
      </c>
      <c r="G906" s="41">
        <f t="shared" si="100"/>
        <v>1.6945929722411712E-4</v>
      </c>
      <c r="L906" s="40">
        <f t="shared" si="98"/>
        <v>-6.1997565205130145E-3</v>
      </c>
      <c r="M906" s="40">
        <f t="shared" si="99"/>
        <v>-8.730331715432825E-3</v>
      </c>
      <c r="O906" s="40">
        <f t="shared" si="101"/>
        <v>-6.1997565205130145E-3</v>
      </c>
      <c r="P906" s="207">
        <f t="shared" si="102"/>
        <v>1.6945929722411712E-4</v>
      </c>
      <c r="Q906" s="208">
        <f t="shared" si="103"/>
        <v>1.0021992959873915</v>
      </c>
      <c r="R906" s="40">
        <f t="shared" si="104"/>
        <v>-6.3552387666187919E-3</v>
      </c>
      <c r="S906" s="209">
        <v>0</v>
      </c>
    </row>
    <row r="907" spans="1:19" x14ac:dyDescent="0.45">
      <c r="A907" s="16">
        <v>44918</v>
      </c>
      <c r="B907" s="42">
        <f>'Part 2 - CAPM 2.1, 2.2 and 2.3'!N907</f>
        <v>-2.5151086147379865E-2</v>
      </c>
      <c r="C907" s="42">
        <f>'Part 2 - CAPM 2.1, 2.2 and 2.3'!O907</f>
        <v>-1.7392915464276439E-2</v>
      </c>
      <c r="E907" s="16">
        <v>44918</v>
      </c>
      <c r="F907" s="17">
        <v>6.3899999999999998E-2</v>
      </c>
      <c r="G907" s="41">
        <f t="shared" si="100"/>
        <v>1.6971687025191251E-4</v>
      </c>
      <c r="L907" s="40">
        <f t="shared" si="98"/>
        <v>-2.5036683959970423E-2</v>
      </c>
      <c r="M907" s="40">
        <f t="shared" si="99"/>
        <v>-1.7261450763214149E-2</v>
      </c>
      <c r="O907" s="40">
        <f t="shared" si="101"/>
        <v>-2.5036683959970423E-2</v>
      </c>
      <c r="P907" s="207">
        <f t="shared" si="102"/>
        <v>1.6971687025191251E-4</v>
      </c>
      <c r="Q907" s="208">
        <f t="shared" si="103"/>
        <v>1.0021992959873915</v>
      </c>
      <c r="R907" s="40">
        <f t="shared" si="104"/>
        <v>-2.5151086147379865E-2</v>
      </c>
      <c r="S907" s="209">
        <v>0</v>
      </c>
    </row>
    <row r="908" spans="1:19" x14ac:dyDescent="0.45">
      <c r="A908" s="16">
        <v>44921</v>
      </c>
      <c r="B908" s="42">
        <f>'Part 2 - CAPM 2.1, 2.2 and 2.3'!N908</f>
        <v>1.6615990377579364E-2</v>
      </c>
      <c r="C908" s="42">
        <f>'Part 2 - CAPM 2.1, 2.2 and 2.3'!O908</f>
        <v>1.0560412033856386E-2</v>
      </c>
      <c r="E908" s="16">
        <v>44921</v>
      </c>
      <c r="F908" s="17">
        <v>6.3700000000000007E-2</v>
      </c>
      <c r="G908" s="41">
        <f t="shared" si="100"/>
        <v>1.6920170004919299E-4</v>
      </c>
      <c r="L908" s="40">
        <f t="shared" si="98"/>
        <v>1.6821735558592503E-2</v>
      </c>
      <c r="M908" s="40">
        <f t="shared" si="99"/>
        <v>1.0752839205716841E-2</v>
      </c>
      <c r="O908" s="40">
        <f t="shared" si="101"/>
        <v>1.6821735558592503E-2</v>
      </c>
      <c r="P908" s="207">
        <f t="shared" si="102"/>
        <v>1.6920170004919299E-4</v>
      </c>
      <c r="Q908" s="208">
        <f t="shared" si="103"/>
        <v>1.0021992959873915</v>
      </c>
      <c r="R908" s="40">
        <f t="shared" si="104"/>
        <v>1.6615990377579364E-2</v>
      </c>
      <c r="S908" s="209">
        <v>0</v>
      </c>
    </row>
    <row r="909" spans="1:19" x14ac:dyDescent="0.45">
      <c r="A909" s="16">
        <v>44922</v>
      </c>
      <c r="B909" s="42">
        <f>'Part 2 - CAPM 2.1, 2.2 and 2.3'!N909</f>
        <v>7.6613481976038952E-3</v>
      </c>
      <c r="C909" s="42">
        <f>'Part 2 - CAPM 2.1, 2.2 and 2.3'!O909</f>
        <v>2.4600533625635045E-2</v>
      </c>
      <c r="E909" s="16">
        <v>44922</v>
      </c>
      <c r="F909" s="17">
        <v>6.3799999999999996E-2</v>
      </c>
      <c r="G909" s="41">
        <f t="shared" si="100"/>
        <v>1.6945929722411712E-4</v>
      </c>
      <c r="L909" s="40">
        <f t="shared" si="98"/>
        <v>7.8476570671770114E-3</v>
      </c>
      <c r="M909" s="40">
        <f t="shared" si="99"/>
        <v>2.4824096777749712E-2</v>
      </c>
      <c r="O909" s="40">
        <f t="shared" si="101"/>
        <v>7.8476570671770114E-3</v>
      </c>
      <c r="P909" s="207">
        <f t="shared" si="102"/>
        <v>1.6945929722411712E-4</v>
      </c>
      <c r="Q909" s="208">
        <f t="shared" si="103"/>
        <v>1.0021992959873915</v>
      </c>
      <c r="R909" s="40">
        <f t="shared" si="104"/>
        <v>7.6613481976038952E-3</v>
      </c>
      <c r="S909" s="209">
        <v>0</v>
      </c>
    </row>
    <row r="910" spans="1:19" x14ac:dyDescent="0.45">
      <c r="A910" s="16">
        <v>44923</v>
      </c>
      <c r="B910" s="42">
        <f>'Part 2 - CAPM 2.1, 2.2 and 2.3'!N910</f>
        <v>7.6876620214378646E-4</v>
      </c>
      <c r="C910" s="42">
        <f>'Part 2 - CAPM 2.1, 2.2 and 2.3'!O910</f>
        <v>-6.3838983768547261E-3</v>
      </c>
      <c r="E910" s="16">
        <v>44923</v>
      </c>
      <c r="F910" s="17">
        <v>6.3399999999999998E-2</v>
      </c>
      <c r="G910" s="41">
        <f t="shared" si="100"/>
        <v>1.6842876359501879E-4</v>
      </c>
      <c r="L910" s="40">
        <f t="shared" si="98"/>
        <v>9.3888571016242234E-4</v>
      </c>
      <c r="M910" s="40">
        <f t="shared" si="99"/>
        <v>-6.2295096953438392E-3</v>
      </c>
      <c r="O910" s="40">
        <f t="shared" si="101"/>
        <v>9.3888571016242234E-4</v>
      </c>
      <c r="P910" s="207">
        <f t="shared" si="102"/>
        <v>1.6842876359501879E-4</v>
      </c>
      <c r="Q910" s="208">
        <f t="shared" si="103"/>
        <v>1.0021992959873915</v>
      </c>
      <c r="R910" s="40">
        <f t="shared" si="104"/>
        <v>7.6876620214378646E-4</v>
      </c>
      <c r="S910" s="209">
        <v>0</v>
      </c>
    </row>
    <row r="911" spans="1:19" x14ac:dyDescent="0.45">
      <c r="A911" s="16">
        <v>44924</v>
      </c>
      <c r="B911" s="42">
        <f>'Part 2 - CAPM 2.1, 2.2 and 2.3'!N911</f>
        <v>3.227710104930539E-3</v>
      </c>
      <c r="C911" s="42">
        <f>'Part 2 - CAPM 2.1, 2.2 and 2.3'!O911</f>
        <v>5.0442971353102939E-3</v>
      </c>
      <c r="E911" s="16">
        <v>44924</v>
      </c>
      <c r="F911" s="17">
        <v>6.3099999999999989E-2</v>
      </c>
      <c r="G911" s="41">
        <f t="shared" si="100"/>
        <v>1.6765560965148474E-4</v>
      </c>
      <c r="L911" s="40">
        <f t="shared" si="98"/>
        <v>3.4024644044642607E-3</v>
      </c>
      <c r="M911" s="40">
        <f t="shared" si="99"/>
        <v>5.2230466474106774E-3</v>
      </c>
      <c r="O911" s="40">
        <f t="shared" si="101"/>
        <v>3.4024644044642607E-3</v>
      </c>
      <c r="P911" s="207">
        <f t="shared" si="102"/>
        <v>1.6765560965148474E-4</v>
      </c>
      <c r="Q911" s="208">
        <f t="shared" si="103"/>
        <v>1.0021992959873915</v>
      </c>
      <c r="R911" s="40">
        <f t="shared" si="104"/>
        <v>3.227710104930539E-3</v>
      </c>
      <c r="S911" s="209">
        <v>0</v>
      </c>
    </row>
    <row r="912" spans="1:19" x14ac:dyDescent="0.45">
      <c r="A912" s="16">
        <v>44925</v>
      </c>
      <c r="B912" s="42">
        <f>'Part 2 - CAPM 2.1, 2.2 and 2.3'!N912</f>
        <v>-2.5158314448648997E-3</v>
      </c>
      <c r="C912" s="42">
        <f>'Part 2 - CAPM 2.1, 2.2 and 2.3'!O912</f>
        <v>1.4349372826449878E-2</v>
      </c>
      <c r="E912" s="16">
        <v>44925</v>
      </c>
      <c r="F912" s="17">
        <v>6.3399999999999998E-2</v>
      </c>
      <c r="G912" s="41">
        <f t="shared" si="100"/>
        <v>1.6842876359501879E-4</v>
      </c>
      <c r="L912" s="40">
        <f t="shared" si="98"/>
        <v>-2.3529357392715259E-3</v>
      </c>
      <c r="M912" s="40">
        <f t="shared" si="99"/>
        <v>1.4549360108123693E-2</v>
      </c>
      <c r="O912" s="40">
        <f t="shared" si="101"/>
        <v>-2.3529357392715259E-3</v>
      </c>
      <c r="P912" s="207">
        <f t="shared" si="102"/>
        <v>1.6842876359501879E-4</v>
      </c>
      <c r="Q912" s="208">
        <f t="shared" si="103"/>
        <v>1.0021992959873915</v>
      </c>
      <c r="R912" s="40">
        <f t="shared" si="104"/>
        <v>-2.5158314448648997E-3</v>
      </c>
      <c r="S912" s="209">
        <v>0</v>
      </c>
    </row>
    <row r="913" spans="1:19" x14ac:dyDescent="0.45">
      <c r="A913" s="16">
        <v>44928</v>
      </c>
      <c r="B913" s="42">
        <f>'Part 2 - CAPM 2.1, 2.2 and 2.3'!N913</f>
        <v>4.6746442871337E-3</v>
      </c>
      <c r="C913" s="42">
        <f>'Part 2 - CAPM 2.1, 2.2 and 2.3'!O913</f>
        <v>2.5045807136296085E-2</v>
      </c>
      <c r="E913" s="16">
        <v>44928</v>
      </c>
      <c r="F913" s="17">
        <v>6.2899999999999998E-2</v>
      </c>
      <c r="G913" s="41">
        <f t="shared" si="100"/>
        <v>1.6714005280094035E-4</v>
      </c>
      <c r="L913" s="40">
        <f t="shared" si="98"/>
        <v>4.852065266357816E-3</v>
      </c>
      <c r="M913" s="40">
        <f t="shared" si="99"/>
        <v>2.5268030332232863E-2</v>
      </c>
      <c r="O913" s="40">
        <f t="shared" si="101"/>
        <v>4.852065266357816E-3</v>
      </c>
      <c r="P913" s="207">
        <f t="shared" si="102"/>
        <v>1.6714005280094035E-4</v>
      </c>
      <c r="Q913" s="208">
        <f t="shared" si="103"/>
        <v>1.0021992959873915</v>
      </c>
      <c r="R913" s="40">
        <f t="shared" si="104"/>
        <v>4.6746442871337E-3</v>
      </c>
      <c r="S913" s="209">
        <v>0</v>
      </c>
    </row>
    <row r="914" spans="1:19" x14ac:dyDescent="0.45">
      <c r="A914" s="16">
        <v>44929</v>
      </c>
      <c r="B914" s="42">
        <f>'Part 2 - CAPM 2.1, 2.2 and 2.3'!N914</f>
        <v>2.0324713884669315E-3</v>
      </c>
      <c r="C914" s="42">
        <f>'Part 2 - CAPM 2.1, 2.2 and 2.3'!O914</f>
        <v>-6.1494516818024914E-3</v>
      </c>
      <c r="E914" s="16">
        <v>44929</v>
      </c>
      <c r="F914" s="17">
        <v>6.3E-2</v>
      </c>
      <c r="G914" s="41">
        <f t="shared" si="100"/>
        <v>1.673978433180956E-4</v>
      </c>
      <c r="L914" s="40">
        <f t="shared" si="98"/>
        <v>2.2043392379541707E-3</v>
      </c>
      <c r="M914" s="40">
        <f t="shared" si="99"/>
        <v>-5.9955783028928424E-3</v>
      </c>
      <c r="O914" s="40">
        <f t="shared" si="101"/>
        <v>2.2043392379541707E-3</v>
      </c>
      <c r="P914" s="207">
        <f t="shared" si="102"/>
        <v>1.673978433180956E-4</v>
      </c>
      <c r="Q914" s="208">
        <f t="shared" si="103"/>
        <v>1.0021992959873915</v>
      </c>
      <c r="R914" s="40">
        <f t="shared" si="104"/>
        <v>2.0324713884669315E-3</v>
      </c>
      <c r="S914" s="209">
        <v>0</v>
      </c>
    </row>
    <row r="915" spans="1:19" x14ac:dyDescent="0.45">
      <c r="A915" s="16">
        <v>44930</v>
      </c>
      <c r="B915" s="42">
        <f>'Part 2 - CAPM 2.1, 2.2 and 2.3'!N915</f>
        <v>-1.0761701409450425E-2</v>
      </c>
      <c r="C915" s="42">
        <f>'Part 2 - CAPM 2.1, 2.2 and 2.3'!O915</f>
        <v>-2.2235142674509913E-2</v>
      </c>
      <c r="E915" s="16">
        <v>44930</v>
      </c>
      <c r="F915" s="17">
        <v>6.3600000000000004E-2</v>
      </c>
      <c r="G915" s="41">
        <f t="shared" si="100"/>
        <v>1.6894407872247719E-4</v>
      </c>
      <c r="L915" s="40">
        <f t="shared" si="98"/>
        <v>-1.0616425497455258E-2</v>
      </c>
      <c r="M915" s="40">
        <f t="shared" si="99"/>
        <v>-2.2115100255850565E-2</v>
      </c>
      <c r="O915" s="40">
        <f t="shared" si="101"/>
        <v>-1.0616425497455258E-2</v>
      </c>
      <c r="P915" s="207">
        <f t="shared" si="102"/>
        <v>1.6894407872247719E-4</v>
      </c>
      <c r="Q915" s="208">
        <f t="shared" si="103"/>
        <v>1.0021992959873915</v>
      </c>
      <c r="R915" s="40">
        <f t="shared" si="104"/>
        <v>-1.0761701409450425E-2</v>
      </c>
      <c r="S915" s="209">
        <v>0</v>
      </c>
    </row>
    <row r="916" spans="1:19" x14ac:dyDescent="0.45">
      <c r="A916" s="16">
        <v>44931</v>
      </c>
      <c r="B916" s="42">
        <f>'Part 2 - CAPM 2.1, 2.2 and 2.3'!N916</f>
        <v>-6.1096094126268435E-4</v>
      </c>
      <c r="C916" s="42">
        <f>'Part 2 - CAPM 2.1, 2.2 and 2.3'!O916</f>
        <v>1.5402000093525164E-3</v>
      </c>
      <c r="E916" s="16">
        <v>44931</v>
      </c>
      <c r="F916" s="17">
        <v>6.3700000000000007E-2</v>
      </c>
      <c r="G916" s="41">
        <f t="shared" si="100"/>
        <v>1.6920170004919299E-4</v>
      </c>
      <c r="L916" s="40">
        <f t="shared" si="98"/>
        <v>-4.4310292516006337E-4</v>
      </c>
      <c r="M916" s="40">
        <f t="shared" si="99"/>
        <v>1.7127890651020589E-3</v>
      </c>
      <c r="O916" s="40">
        <f t="shared" si="101"/>
        <v>-4.4310292516006337E-4</v>
      </c>
      <c r="P916" s="207">
        <f t="shared" si="102"/>
        <v>1.6920170004919299E-4</v>
      </c>
      <c r="Q916" s="208">
        <f t="shared" si="103"/>
        <v>1.0021992959873915</v>
      </c>
      <c r="R916" s="40">
        <f t="shared" si="104"/>
        <v>-6.1096094126268435E-4</v>
      </c>
      <c r="S916" s="209">
        <v>0</v>
      </c>
    </row>
    <row r="917" spans="1:19" x14ac:dyDescent="0.45">
      <c r="A917" s="16">
        <v>44932</v>
      </c>
      <c r="B917" s="42">
        <f>'Part 2 - CAPM 2.1, 2.2 and 2.3'!N917</f>
        <v>-7.5914372097917364E-3</v>
      </c>
      <c r="C917" s="42">
        <f>'Part 2 - CAPM 2.1, 2.2 and 2.3'!O917</f>
        <v>5.6328460815207341E-3</v>
      </c>
      <c r="E917" s="16">
        <v>44932</v>
      </c>
      <c r="F917" s="17">
        <v>6.3700000000000007E-2</v>
      </c>
      <c r="G917" s="41">
        <f t="shared" si="100"/>
        <v>1.6920170004919299E-4</v>
      </c>
      <c r="L917" s="40">
        <f t="shared" si="98"/>
        <v>-7.4389313271365732E-3</v>
      </c>
      <c r="M917" s="40">
        <f t="shared" si="99"/>
        <v>5.8144360773546098E-3</v>
      </c>
      <c r="O917" s="40">
        <f t="shared" si="101"/>
        <v>-7.4389313271365732E-3</v>
      </c>
      <c r="P917" s="207">
        <f t="shared" si="102"/>
        <v>1.6920170004919299E-4</v>
      </c>
      <c r="Q917" s="208">
        <f t="shared" si="103"/>
        <v>1.0021992959873915</v>
      </c>
      <c r="R917" s="40">
        <f t="shared" si="104"/>
        <v>-7.5914372097917364E-3</v>
      </c>
      <c r="S917" s="209">
        <v>0</v>
      </c>
    </row>
    <row r="918" spans="1:19" x14ac:dyDescent="0.45">
      <c r="A918" s="16">
        <v>44935</v>
      </c>
      <c r="B918" s="42">
        <f>'Part 2 - CAPM 2.1, 2.2 and 2.3'!N918</f>
        <v>1.1492405553483083E-2</v>
      </c>
      <c r="C918" s="42">
        <f>'Part 2 - CAPM 2.1, 2.2 and 2.3'!O918</f>
        <v>5.259790787607993E-3</v>
      </c>
      <c r="E918" s="16">
        <v>44935</v>
      </c>
      <c r="F918" s="17">
        <v>6.3799999999999996E-2</v>
      </c>
      <c r="G918" s="41">
        <f t="shared" si="100"/>
        <v>1.6945929722411712E-4</v>
      </c>
      <c r="L918" s="40">
        <f t="shared" si="98"/>
        <v>1.1687140052126451E-2</v>
      </c>
      <c r="M918" s="40">
        <f t="shared" si="99"/>
        <v>5.4408179216058157E-3</v>
      </c>
      <c r="O918" s="40">
        <f t="shared" si="101"/>
        <v>1.1687140052126451E-2</v>
      </c>
      <c r="P918" s="207">
        <f t="shared" si="102"/>
        <v>1.6945929722411712E-4</v>
      </c>
      <c r="Q918" s="208">
        <f t="shared" si="103"/>
        <v>1.0021992959873915</v>
      </c>
      <c r="R918" s="40">
        <f t="shared" si="104"/>
        <v>1.1492405553483083E-2</v>
      </c>
      <c r="S918" s="209">
        <v>0</v>
      </c>
    </row>
    <row r="919" spans="1:19" x14ac:dyDescent="0.45">
      <c r="A919" s="16">
        <v>44936</v>
      </c>
      <c r="B919" s="42">
        <f>'Part 2 - CAPM 2.1, 2.2 and 2.3'!N919</f>
        <v>-8.2503131428303175E-3</v>
      </c>
      <c r="C919" s="42">
        <f>'Part 2 - CAPM 2.1, 2.2 and 2.3'!O919</f>
        <v>7.9304394540414148E-3</v>
      </c>
      <c r="E919" s="16">
        <v>44936</v>
      </c>
      <c r="F919" s="17">
        <v>6.3799999999999996E-2</v>
      </c>
      <c r="G919" s="41">
        <f t="shared" si="100"/>
        <v>1.6945929722411712E-4</v>
      </c>
      <c r="L919" s="40">
        <f t="shared" si="98"/>
        <v>-8.0989987261959502E-3</v>
      </c>
      <c r="M919" s="40">
        <f t="shared" si="99"/>
        <v>8.1173401349350569E-3</v>
      </c>
      <c r="O919" s="40">
        <f t="shared" si="101"/>
        <v>-8.0989987261959502E-3</v>
      </c>
      <c r="P919" s="207">
        <f t="shared" si="102"/>
        <v>1.6945929722411712E-4</v>
      </c>
      <c r="Q919" s="208">
        <f t="shared" si="103"/>
        <v>1.0021992959873915</v>
      </c>
      <c r="R919" s="40">
        <f t="shared" si="104"/>
        <v>-8.2503131428303175E-3</v>
      </c>
      <c r="S919" s="209">
        <v>0</v>
      </c>
    </row>
    <row r="920" spans="1:19" x14ac:dyDescent="0.45">
      <c r="A920" s="16">
        <v>44937</v>
      </c>
      <c r="B920" s="42">
        <f>'Part 2 - CAPM 2.1, 2.2 and 2.3'!N920</f>
        <v>-1.7294922084058952E-3</v>
      </c>
      <c r="C920" s="42">
        <f>'Part 2 - CAPM 2.1, 2.2 and 2.3'!O920</f>
        <v>-1.724396169734202E-2</v>
      </c>
      <c r="E920" s="16">
        <v>44937</v>
      </c>
      <c r="F920" s="17">
        <v>6.4000000000000001E-2</v>
      </c>
      <c r="G920" s="41">
        <f t="shared" si="100"/>
        <v>1.6997441913657596E-4</v>
      </c>
      <c r="L920" s="40">
        <f t="shared" si="98"/>
        <v>-1.5633214545434913E-3</v>
      </c>
      <c r="M920" s="40">
        <f t="shared" si="99"/>
        <v>-1.7111911853973143E-2</v>
      </c>
      <c r="O920" s="40">
        <f t="shared" si="101"/>
        <v>-1.5633214545434913E-3</v>
      </c>
      <c r="P920" s="207">
        <f t="shared" si="102"/>
        <v>1.6997441913657596E-4</v>
      </c>
      <c r="Q920" s="208">
        <f t="shared" si="103"/>
        <v>1.0021992959873915</v>
      </c>
      <c r="R920" s="40">
        <f t="shared" si="104"/>
        <v>-1.7294922084058952E-3</v>
      </c>
      <c r="S920" s="209">
        <v>0</v>
      </c>
    </row>
    <row r="921" spans="1:19" x14ac:dyDescent="0.45">
      <c r="A921" s="16">
        <v>44938</v>
      </c>
      <c r="B921" s="42">
        <f>'Part 2 - CAPM 2.1, 2.2 and 2.3'!N921</f>
        <v>-1.5919326504876751E-3</v>
      </c>
      <c r="C921" s="42">
        <f>'Part 2 - CAPM 2.1, 2.2 and 2.3'!O921</f>
        <v>-4.5982823600274206E-3</v>
      </c>
      <c r="E921" s="16">
        <v>44938</v>
      </c>
      <c r="F921" s="17">
        <v>6.4199999999999993E-2</v>
      </c>
      <c r="G921" s="41">
        <f t="shared" si="100"/>
        <v>1.7048944449604697E-4</v>
      </c>
      <c r="L921" s="40">
        <f t="shared" si="98"/>
        <v>-1.4249443370820433E-3</v>
      </c>
      <c r="M921" s="40">
        <f t="shared" si="99"/>
        <v>-4.4379058994746751E-3</v>
      </c>
      <c r="O921" s="40">
        <f t="shared" si="101"/>
        <v>-1.4249443370820433E-3</v>
      </c>
      <c r="P921" s="207">
        <f t="shared" si="102"/>
        <v>1.7048944449604697E-4</v>
      </c>
      <c r="Q921" s="208">
        <f t="shared" si="103"/>
        <v>1.0021992959873915</v>
      </c>
      <c r="R921" s="40">
        <f t="shared" si="104"/>
        <v>-1.5919326504876751E-3</v>
      </c>
      <c r="S921" s="209">
        <v>0</v>
      </c>
    </row>
    <row r="922" spans="1:19" x14ac:dyDescent="0.45">
      <c r="A922" s="16">
        <v>44939</v>
      </c>
      <c r="B922" s="42">
        <f>'Part 2 - CAPM 2.1, 2.2 and 2.3'!N922</f>
        <v>4.1817187284927749E-3</v>
      </c>
      <c r="C922" s="42">
        <f>'Part 2 - CAPM 2.1, 2.2 and 2.3'!O922</f>
        <v>5.303338814142221E-3</v>
      </c>
      <c r="E922" s="16">
        <v>44939</v>
      </c>
      <c r="F922" s="17">
        <v>6.4199999999999993E-2</v>
      </c>
      <c r="G922" s="41">
        <f t="shared" si="100"/>
        <v>1.7048944449604697E-4</v>
      </c>
      <c r="L922" s="40">
        <f t="shared" si="98"/>
        <v>4.3614050102087961E-3</v>
      </c>
      <c r="M922" s="40">
        <f t="shared" si="99"/>
        <v>5.4854918704119885E-3</v>
      </c>
      <c r="O922" s="40">
        <f t="shared" si="101"/>
        <v>4.3614050102087961E-3</v>
      </c>
      <c r="P922" s="207">
        <f t="shared" si="102"/>
        <v>1.7048944449604697E-4</v>
      </c>
      <c r="Q922" s="208">
        <f t="shared" si="103"/>
        <v>1.0021992959873915</v>
      </c>
      <c r="R922" s="40">
        <f t="shared" si="104"/>
        <v>4.1817187284927749E-3</v>
      </c>
      <c r="S922" s="209">
        <v>0</v>
      </c>
    </row>
    <row r="923" spans="1:19" x14ac:dyDescent="0.45">
      <c r="A923" s="16">
        <v>44942</v>
      </c>
      <c r="B923" s="42">
        <f>'Part 2 - CAPM 2.1, 2.2 and 2.3'!N923</f>
        <v>-2.8196283957515824E-3</v>
      </c>
      <c r="C923" s="42">
        <f>'Part 2 - CAPM 2.1, 2.2 and 2.3'!O923</f>
        <v>4.2525263012049416E-3</v>
      </c>
      <c r="E923" s="16">
        <v>44942</v>
      </c>
      <c r="F923" s="17">
        <v>6.4299999999999996E-2</v>
      </c>
      <c r="G923" s="41">
        <f t="shared" si="100"/>
        <v>1.7074692097951427E-4</v>
      </c>
      <c r="L923" s="40">
        <f t="shared" si="98"/>
        <v>-2.6550826721887799E-3</v>
      </c>
      <c r="M923" s="40">
        <f t="shared" si="99"/>
        <v>4.4326257862149733E-3</v>
      </c>
      <c r="O923" s="40">
        <f t="shared" si="101"/>
        <v>-2.6550826721887799E-3</v>
      </c>
      <c r="P923" s="207">
        <f t="shared" si="102"/>
        <v>1.7074692097951427E-4</v>
      </c>
      <c r="Q923" s="208">
        <f t="shared" si="103"/>
        <v>1.0021992959873915</v>
      </c>
      <c r="R923" s="40">
        <f t="shared" si="104"/>
        <v>-2.8196283957515824E-3</v>
      </c>
      <c r="S923" s="209">
        <v>0</v>
      </c>
    </row>
    <row r="924" spans="1:19" x14ac:dyDescent="0.45">
      <c r="A924" s="16">
        <v>44943</v>
      </c>
      <c r="B924" s="42">
        <f>'Part 2 - CAPM 2.1, 2.2 and 2.3'!N924</f>
        <v>5.7552467610095092E-3</v>
      </c>
      <c r="C924" s="42">
        <f>'Part 2 - CAPM 2.1, 2.2 and 2.3'!O924</f>
        <v>1.5230200166898625E-3</v>
      </c>
      <c r="E924" s="16">
        <v>44943</v>
      </c>
      <c r="F924" s="17">
        <v>6.4299999999999996E-2</v>
      </c>
      <c r="G924" s="41">
        <f t="shared" si="100"/>
        <v>1.7074692097951427E-4</v>
      </c>
      <c r="L924" s="40">
        <f t="shared" si="98"/>
        <v>5.93865117309696E-3</v>
      </c>
      <c r="M924" s="40">
        <f t="shared" si="99"/>
        <v>1.6971165094807998E-3</v>
      </c>
      <c r="O924" s="40">
        <f t="shared" si="101"/>
        <v>5.93865117309696E-3</v>
      </c>
      <c r="P924" s="207">
        <f t="shared" si="102"/>
        <v>1.7074692097951427E-4</v>
      </c>
      <c r="Q924" s="208">
        <f t="shared" si="103"/>
        <v>1.0021992959873915</v>
      </c>
      <c r="R924" s="40">
        <f t="shared" si="104"/>
        <v>5.7552467610095092E-3</v>
      </c>
      <c r="S924" s="209">
        <v>0</v>
      </c>
    </row>
    <row r="925" spans="1:19" x14ac:dyDescent="0.45">
      <c r="A925" s="16">
        <v>44944</v>
      </c>
      <c r="B925" s="42">
        <f>'Part 2 - CAPM 2.1, 2.2 and 2.3'!N925</f>
        <v>4.3880622481047024E-3</v>
      </c>
      <c r="C925" s="42">
        <f>'Part 2 - CAPM 2.1, 2.2 and 2.3'!O925</f>
        <v>9.2975372704579527E-3</v>
      </c>
      <c r="E925" s="16">
        <v>44944</v>
      </c>
      <c r="F925" s="17">
        <v>6.4600000000000005E-2</v>
      </c>
      <c r="G925" s="41">
        <f t="shared" si="100"/>
        <v>1.715192057003545E-4</v>
      </c>
      <c r="L925" s="40">
        <f t="shared" si="98"/>
        <v>4.5692321014997378E-3</v>
      </c>
      <c r="M925" s="40">
        <f t="shared" si="99"/>
        <v>9.4895045125698487E-3</v>
      </c>
      <c r="O925" s="40">
        <f t="shared" si="101"/>
        <v>4.5692321014997378E-3</v>
      </c>
      <c r="P925" s="207">
        <f t="shared" si="102"/>
        <v>1.715192057003545E-4</v>
      </c>
      <c r="Q925" s="208">
        <f t="shared" si="103"/>
        <v>1.0021992959873915</v>
      </c>
      <c r="R925" s="40">
        <f t="shared" si="104"/>
        <v>4.3880622481047024E-3</v>
      </c>
      <c r="S925" s="209">
        <v>0</v>
      </c>
    </row>
    <row r="926" spans="1:19" x14ac:dyDescent="0.45">
      <c r="A926" s="16">
        <v>44945</v>
      </c>
      <c r="B926" s="42">
        <f>'Part 2 - CAPM 2.1, 2.2 and 2.3'!N926</f>
        <v>-3.1869724687008339E-3</v>
      </c>
      <c r="C926" s="42">
        <f>'Part 2 - CAPM 2.1, 2.2 and 2.3'!O926</f>
        <v>1.6579671839489496E-2</v>
      </c>
      <c r="E926" s="16">
        <v>44945</v>
      </c>
      <c r="F926" s="17">
        <v>6.4299999999999996E-2</v>
      </c>
      <c r="G926" s="41">
        <f t="shared" si="100"/>
        <v>1.7074692097951427E-4</v>
      </c>
      <c r="L926" s="40">
        <f t="shared" si="98"/>
        <v>-3.023234643483661E-3</v>
      </c>
      <c r="M926" s="40">
        <f t="shared" si="99"/>
        <v>1.6786882366217868E-2</v>
      </c>
      <c r="O926" s="40">
        <f t="shared" si="101"/>
        <v>-3.023234643483661E-3</v>
      </c>
      <c r="P926" s="207">
        <f t="shared" si="102"/>
        <v>1.7074692097951427E-4</v>
      </c>
      <c r="Q926" s="208">
        <f t="shared" si="103"/>
        <v>1.0021992959873915</v>
      </c>
      <c r="R926" s="40">
        <f t="shared" si="104"/>
        <v>-3.1869724687008339E-3</v>
      </c>
      <c r="S926" s="209">
        <v>0</v>
      </c>
    </row>
    <row r="927" spans="1:19" x14ac:dyDescent="0.45">
      <c r="A927" s="16">
        <v>44946</v>
      </c>
      <c r="B927" s="42">
        <f>'Part 2 - CAPM 2.1, 2.2 and 2.3'!N927</f>
        <v>-4.8276429244266394E-3</v>
      </c>
      <c r="C927" s="42">
        <f>'Part 2 - CAPM 2.1, 2.2 and 2.3'!O927</f>
        <v>-1.1597296763713337E-3</v>
      </c>
      <c r="E927" s="16">
        <v>44946</v>
      </c>
      <c r="F927" s="17">
        <v>6.4500000000000002E-2</v>
      </c>
      <c r="G927" s="41">
        <f t="shared" si="100"/>
        <v>1.7126180157722715E-4</v>
      </c>
      <c r="L927" s="40">
        <f t="shared" si="98"/>
        <v>-4.6669985385616626E-3</v>
      </c>
      <c r="M927" s="40">
        <f t="shared" si="99"/>
        <v>-9.9101846361780883E-4</v>
      </c>
      <c r="O927" s="40">
        <f t="shared" si="101"/>
        <v>-4.6669985385616626E-3</v>
      </c>
      <c r="P927" s="207">
        <f t="shared" si="102"/>
        <v>1.7126180157722715E-4</v>
      </c>
      <c r="Q927" s="208">
        <f t="shared" si="103"/>
        <v>1.0021992959873915</v>
      </c>
      <c r="R927" s="40">
        <f t="shared" si="104"/>
        <v>-4.8276429244266394E-3</v>
      </c>
      <c r="S927" s="209">
        <v>0</v>
      </c>
    </row>
    <row r="928" spans="1:19" x14ac:dyDescent="0.45">
      <c r="A928" s="16">
        <v>44949</v>
      </c>
      <c r="B928" s="42">
        <f>'Part 2 - CAPM 2.1, 2.2 and 2.3'!N928</f>
        <v>3.4323518742954803E-3</v>
      </c>
      <c r="C928" s="42">
        <f>'Part 2 - CAPM 2.1, 2.2 and 2.3'!O928</f>
        <v>4.7764826304716734E-3</v>
      </c>
      <c r="E928" s="16">
        <v>44949</v>
      </c>
      <c r="F928" s="17">
        <v>6.4299999999999996E-2</v>
      </c>
      <c r="G928" s="41">
        <f t="shared" si="100"/>
        <v>1.7074692097951427E-4</v>
      </c>
      <c r="L928" s="40">
        <f t="shared" si="98"/>
        <v>3.6106475529794485E-3</v>
      </c>
      <c r="M928" s="40">
        <f t="shared" si="99"/>
        <v>4.9577344505342298E-3</v>
      </c>
      <c r="O928" s="40">
        <f t="shared" si="101"/>
        <v>3.6106475529794485E-3</v>
      </c>
      <c r="P928" s="207">
        <f t="shared" si="102"/>
        <v>1.7074692097951427E-4</v>
      </c>
      <c r="Q928" s="208">
        <f t="shared" si="103"/>
        <v>1.0021992959873915</v>
      </c>
      <c r="R928" s="40">
        <f t="shared" si="104"/>
        <v>3.4323518742954803E-3</v>
      </c>
      <c r="S928" s="209">
        <v>0</v>
      </c>
    </row>
    <row r="929" spans="1:19" x14ac:dyDescent="0.45">
      <c r="A929" s="16">
        <v>44950</v>
      </c>
      <c r="B929" s="42">
        <f>'Part 2 - CAPM 2.1, 2.2 and 2.3'!N929</f>
        <v>-1.121590514403693E-3</v>
      </c>
      <c r="C929" s="42">
        <f>'Part 2 - CAPM 2.1, 2.2 and 2.3'!O929</f>
        <v>-1.4832561002229168E-3</v>
      </c>
      <c r="E929" s="16">
        <v>44950</v>
      </c>
      <c r="F929" s="17">
        <v>6.4199999999999993E-2</v>
      </c>
      <c r="G929" s="41">
        <f t="shared" si="100"/>
        <v>1.7048944449604697E-4</v>
      </c>
      <c r="L929" s="40">
        <f t="shared" si="98"/>
        <v>-9.5356777942547056E-4</v>
      </c>
      <c r="M929" s="40">
        <f t="shared" si="99"/>
        <v>-1.3160287749163643E-3</v>
      </c>
      <c r="O929" s="40">
        <f t="shared" si="101"/>
        <v>-9.5356777942547056E-4</v>
      </c>
      <c r="P929" s="207">
        <f t="shared" si="102"/>
        <v>1.7048944449604697E-4</v>
      </c>
      <c r="Q929" s="208">
        <f t="shared" si="103"/>
        <v>1.0021992959873915</v>
      </c>
      <c r="R929" s="40">
        <f t="shared" si="104"/>
        <v>-1.121590514403693E-3</v>
      </c>
      <c r="S929" s="209">
        <v>0</v>
      </c>
    </row>
    <row r="930" spans="1:19" x14ac:dyDescent="0.45">
      <c r="A930" s="16">
        <v>44951</v>
      </c>
      <c r="B930" s="42">
        <f>'Part 2 - CAPM 2.1, 2.2 and 2.3'!N930</f>
        <v>-1.4246662017971791E-2</v>
      </c>
      <c r="C930" s="42">
        <f>'Part 2 - CAPM 2.1, 2.2 and 2.3'!O930</f>
        <v>1.8004766144594665E-3</v>
      </c>
      <c r="E930" s="16">
        <v>44951</v>
      </c>
      <c r="F930" s="17">
        <v>6.4500000000000002E-2</v>
      </c>
      <c r="G930" s="41">
        <f t="shared" si="100"/>
        <v>1.7126180157722715E-4</v>
      </c>
      <c r="L930" s="40">
        <f t="shared" si="98"/>
        <v>-1.4106732843004413E-2</v>
      </c>
      <c r="M930" s="40">
        <f t="shared" si="99"/>
        <v>1.9756981970302668E-3</v>
      </c>
      <c r="O930" s="40">
        <f t="shared" si="101"/>
        <v>-1.4106732843004413E-2</v>
      </c>
      <c r="P930" s="207">
        <f t="shared" si="102"/>
        <v>1.7126180157722715E-4</v>
      </c>
      <c r="Q930" s="208">
        <f t="shared" si="103"/>
        <v>1.0021992959873915</v>
      </c>
      <c r="R930" s="40">
        <f t="shared" si="104"/>
        <v>-1.4246662017971791E-2</v>
      </c>
      <c r="S930" s="209">
        <v>0</v>
      </c>
    </row>
    <row r="931" spans="1:19" x14ac:dyDescent="0.45">
      <c r="A931" s="16">
        <v>44953</v>
      </c>
      <c r="B931" s="42">
        <f>'Part 2 - CAPM 2.1, 2.2 and 2.3'!N931</f>
        <v>-1.9760814553206774E-2</v>
      </c>
      <c r="C931" s="42">
        <f>'Part 2 - CAPM 2.1, 2.2 and 2.3'!O931</f>
        <v>-3.1657766968839506E-2</v>
      </c>
      <c r="E931" s="16">
        <v>44953</v>
      </c>
      <c r="F931" s="17">
        <v>6.480000000000001E-2</v>
      </c>
      <c r="G931" s="41">
        <f t="shared" si="100"/>
        <v>1.7203394161757757E-4</v>
      </c>
      <c r="L931" s="40">
        <f t="shared" si="98"/>
        <v>-1.9632240491743651E-2</v>
      </c>
      <c r="M931" s="40">
        <f t="shared" si="99"/>
        <v>-3.1555357827086274E-2</v>
      </c>
      <c r="O931" s="40">
        <f t="shared" si="101"/>
        <v>-1.9632240491743651E-2</v>
      </c>
      <c r="P931" s="207">
        <f t="shared" si="102"/>
        <v>1.7203394161757757E-4</v>
      </c>
      <c r="Q931" s="208">
        <f t="shared" si="103"/>
        <v>1.0021992959873915</v>
      </c>
      <c r="R931" s="40">
        <f t="shared" si="104"/>
        <v>-1.9760814553206774E-2</v>
      </c>
      <c r="S931" s="209">
        <v>0</v>
      </c>
    </row>
    <row r="932" spans="1:19" x14ac:dyDescent="0.45">
      <c r="A932" s="16">
        <v>44956</v>
      </c>
      <c r="B932" s="42">
        <f>'Part 2 - CAPM 2.1, 2.2 and 2.3'!N932</f>
        <v>-1.5538270975524481E-3</v>
      </c>
      <c r="C932" s="42">
        <f>'Part 2 - CAPM 2.1, 2.2 and 2.3'!O932</f>
        <v>-1.87974182629232E-2</v>
      </c>
      <c r="E932" s="16">
        <v>44956</v>
      </c>
      <c r="F932" s="17">
        <v>6.4899999999999999E-2</v>
      </c>
      <c r="G932" s="41">
        <f t="shared" si="100"/>
        <v>1.7229127342099915E-4</v>
      </c>
      <c r="L932" s="40">
        <f t="shared" si="98"/>
        <v>-1.3849531498321963E-3</v>
      </c>
      <c r="M932" s="40">
        <f t="shared" si="99"/>
        <v>-1.866646807606117E-2</v>
      </c>
      <c r="O932" s="40">
        <f t="shared" si="101"/>
        <v>-1.3849531498321963E-3</v>
      </c>
      <c r="P932" s="207">
        <f t="shared" si="102"/>
        <v>1.7229127342099915E-4</v>
      </c>
      <c r="Q932" s="208">
        <f t="shared" si="103"/>
        <v>1.0021992959873915</v>
      </c>
      <c r="R932" s="40">
        <f t="shared" si="104"/>
        <v>-1.5538270975524481E-3</v>
      </c>
      <c r="S932" s="209">
        <v>0</v>
      </c>
    </row>
    <row r="933" spans="1:19" x14ac:dyDescent="0.45">
      <c r="A933" s="16">
        <v>44957</v>
      </c>
      <c r="B933" s="42">
        <f>'Part 2 - CAPM 2.1, 2.2 and 2.3'!N933</f>
        <v>5.3011655575139318E-3</v>
      </c>
      <c r="C933" s="42">
        <f>'Part 2 - CAPM 2.1, 2.2 and 2.3'!O933</f>
        <v>-1.7203394161757757E-4</v>
      </c>
      <c r="E933" s="16">
        <v>44957</v>
      </c>
      <c r="F933" s="17">
        <v>6.480000000000001E-2</v>
      </c>
      <c r="G933" s="41">
        <f t="shared" si="100"/>
        <v>1.7203394161757757E-4</v>
      </c>
      <c r="L933" s="40">
        <f t="shared" si="98"/>
        <v>5.4848583312706476E-3</v>
      </c>
      <c r="M933" s="40">
        <f t="shared" si="99"/>
        <v>-3.7835355749468464E-7</v>
      </c>
      <c r="O933" s="40">
        <f t="shared" si="101"/>
        <v>5.4848583312706476E-3</v>
      </c>
      <c r="P933" s="207">
        <f t="shared" si="102"/>
        <v>1.7203394161757757E-4</v>
      </c>
      <c r="Q933" s="208">
        <f t="shared" si="103"/>
        <v>1.0021992959873915</v>
      </c>
      <c r="R933" s="40">
        <f t="shared" si="104"/>
        <v>5.3011655575139318E-3</v>
      </c>
      <c r="S933" s="209">
        <v>0</v>
      </c>
    </row>
    <row r="934" spans="1:19" x14ac:dyDescent="0.45">
      <c r="A934" s="16">
        <v>44958</v>
      </c>
      <c r="B934" s="42">
        <f>'Part 2 - CAPM 2.1, 2.2 and 2.3'!N934</f>
        <v>-6.054764955496391E-3</v>
      </c>
      <c r="C934" s="42">
        <f>'Part 2 - CAPM 2.1, 2.2 and 2.3'!O934</f>
        <v>-4.6586581766787519E-3</v>
      </c>
      <c r="E934" s="16">
        <v>44958</v>
      </c>
      <c r="F934" s="17">
        <v>6.5099999999999991E-2</v>
      </c>
      <c r="G934" s="41">
        <f t="shared" si="100"/>
        <v>1.7280586473944481E-4</v>
      </c>
      <c r="L934" s="40">
        <f t="shared" si="98"/>
        <v>-5.8952753110281687E-3</v>
      </c>
      <c r="M934" s="40">
        <f t="shared" si="99"/>
        <v>-4.4960980801739053E-3</v>
      </c>
      <c r="O934" s="40">
        <f t="shared" si="101"/>
        <v>-5.8952753110281687E-3</v>
      </c>
      <c r="P934" s="207">
        <f t="shared" si="102"/>
        <v>1.7280586473944481E-4</v>
      </c>
      <c r="Q934" s="208">
        <f t="shared" si="103"/>
        <v>1.0021992959873915</v>
      </c>
      <c r="R934" s="40">
        <f t="shared" si="104"/>
        <v>-6.054764955496391E-3</v>
      </c>
      <c r="S934" s="209">
        <v>0</v>
      </c>
    </row>
    <row r="935" spans="1:19" x14ac:dyDescent="0.45">
      <c r="A935" s="16">
        <v>44959</v>
      </c>
      <c r="B935" s="42">
        <f>'Part 2 - CAPM 2.1, 2.2 and 2.3'!N935</f>
        <v>-7.2973540723548244E-4</v>
      </c>
      <c r="C935" s="42">
        <f>'Part 2 - CAPM 2.1, 2.2 and 2.3'!O935</f>
        <v>-5.7200191312714848E-3</v>
      </c>
      <c r="E935" s="16">
        <v>44959</v>
      </c>
      <c r="F935" s="17">
        <v>6.5599999999999992E-2</v>
      </c>
      <c r="G935" s="41">
        <f t="shared" si="100"/>
        <v>1.7409192156603304E-4</v>
      </c>
      <c r="L935" s="40">
        <f t="shared" si="98"/>
        <v>-5.5724838982243994E-4</v>
      </c>
      <c r="M935" s="40">
        <f t="shared" si="99"/>
        <v>-5.5585072248286599E-3</v>
      </c>
      <c r="O935" s="40">
        <f t="shared" si="101"/>
        <v>-5.5724838982243994E-4</v>
      </c>
      <c r="P935" s="207">
        <f t="shared" si="102"/>
        <v>1.7409192156603304E-4</v>
      </c>
      <c r="Q935" s="208">
        <f t="shared" si="103"/>
        <v>1.0021992959873915</v>
      </c>
      <c r="R935" s="40">
        <f t="shared" si="104"/>
        <v>-7.2973540723548244E-4</v>
      </c>
      <c r="S935" s="209">
        <v>0</v>
      </c>
    </row>
    <row r="936" spans="1:19" x14ac:dyDescent="0.45">
      <c r="A936" s="16">
        <v>44960</v>
      </c>
      <c r="B936" s="42">
        <f>'Part 2 - CAPM 2.1, 2.2 and 2.3'!N936</f>
        <v>8.111026358776063E-3</v>
      </c>
      <c r="C936" s="42">
        <f>'Part 2 - CAPM 2.1, 2.2 and 2.3'!O936</f>
        <v>5.7510604896508005E-3</v>
      </c>
      <c r="E936" s="16">
        <v>44960</v>
      </c>
      <c r="F936" s="17">
        <v>6.5700000000000008E-2</v>
      </c>
      <c r="G936" s="41">
        <f t="shared" si="100"/>
        <v>1.7434906071533973E-4</v>
      </c>
      <c r="L936" s="40">
        <f t="shared" si="98"/>
        <v>8.3032139672158858E-3</v>
      </c>
      <c r="M936" s="40">
        <f t="shared" si="99"/>
        <v>5.9380578346242751E-3</v>
      </c>
      <c r="O936" s="40">
        <f t="shared" si="101"/>
        <v>8.3032139672158858E-3</v>
      </c>
      <c r="P936" s="207">
        <f t="shared" si="102"/>
        <v>1.7434906071533973E-4</v>
      </c>
      <c r="Q936" s="208">
        <f t="shared" si="103"/>
        <v>1.0021992959873915</v>
      </c>
      <c r="R936" s="40">
        <f t="shared" si="104"/>
        <v>8.111026358776063E-3</v>
      </c>
      <c r="S936" s="209">
        <v>0</v>
      </c>
    </row>
    <row r="937" spans="1:19" x14ac:dyDescent="0.45">
      <c r="A937" s="16">
        <v>44963</v>
      </c>
      <c r="B937" s="42">
        <f>'Part 2 - CAPM 2.1, 2.2 and 2.3'!N937</f>
        <v>-2.0583082450564994E-3</v>
      </c>
      <c r="C937" s="42">
        <f>'Part 2 - CAPM 2.1, 2.2 and 2.3'!O937</f>
        <v>-5.7175831150703535E-3</v>
      </c>
      <c r="E937" s="16">
        <v>44963</v>
      </c>
      <c r="F937" s="17">
        <v>6.54E-2</v>
      </c>
      <c r="G937" s="41">
        <f t="shared" si="100"/>
        <v>1.7357757106473137E-4</v>
      </c>
      <c r="L937" s="40">
        <f t="shared" si="98"/>
        <v>-1.8892575030559355E-3</v>
      </c>
      <c r="M937" s="40">
        <f t="shared" si="99"/>
        <v>-5.5565802016081739E-3</v>
      </c>
      <c r="O937" s="40">
        <f t="shared" si="101"/>
        <v>-1.8892575030559355E-3</v>
      </c>
      <c r="P937" s="207">
        <f t="shared" si="102"/>
        <v>1.7357757106473137E-4</v>
      </c>
      <c r="Q937" s="208">
        <f t="shared" si="103"/>
        <v>1.0021992959873915</v>
      </c>
      <c r="R937" s="40">
        <f t="shared" si="104"/>
        <v>-2.0583082450564994E-3</v>
      </c>
      <c r="S937" s="209">
        <v>0</v>
      </c>
    </row>
    <row r="938" spans="1:19" x14ac:dyDescent="0.45">
      <c r="A938" s="16">
        <v>44964</v>
      </c>
      <c r="B938" s="42">
        <f>'Part 2 - CAPM 2.1, 2.2 and 2.3'!N938</f>
        <v>-2.3134838521411852E-3</v>
      </c>
      <c r="C938" s="42">
        <f>'Part 2 - CAPM 2.1, 2.2 and 2.3'!O938</f>
        <v>7.8398453606639724E-3</v>
      </c>
      <c r="E938" s="16">
        <v>44964</v>
      </c>
      <c r="F938" s="17">
        <v>6.5599999999999992E-2</v>
      </c>
      <c r="G938" s="41">
        <f t="shared" si="100"/>
        <v>1.7409192156603304E-4</v>
      </c>
      <c r="L938" s="40">
        <f t="shared" si="98"/>
        <v>-2.1444799663280613E-3</v>
      </c>
      <c r="M938" s="40">
        <f t="shared" si="99"/>
        <v>8.0311794226734842E-3</v>
      </c>
      <c r="O938" s="40">
        <f t="shared" si="101"/>
        <v>-2.1444799663280613E-3</v>
      </c>
      <c r="P938" s="207">
        <f t="shared" si="102"/>
        <v>1.7409192156603304E-4</v>
      </c>
      <c r="Q938" s="208">
        <f t="shared" si="103"/>
        <v>1.0021992959873915</v>
      </c>
      <c r="R938" s="40">
        <f t="shared" si="104"/>
        <v>-2.3134838521411852E-3</v>
      </c>
      <c r="S938" s="209">
        <v>0</v>
      </c>
    </row>
    <row r="939" spans="1:19" x14ac:dyDescent="0.45">
      <c r="A939" s="16">
        <v>44965</v>
      </c>
      <c r="B939" s="42">
        <f>'Part 2 - CAPM 2.1, 2.2 and 2.3'!N939</f>
        <v>8.287231673641501E-3</v>
      </c>
      <c r="C939" s="42">
        <f>'Part 2 - CAPM 2.1, 2.2 and 2.3'!O939</f>
        <v>-5.3595353151052114E-3</v>
      </c>
      <c r="E939" s="16">
        <v>44965</v>
      </c>
      <c r="F939" s="17">
        <v>6.5799999999999997E-2</v>
      </c>
      <c r="G939" s="41">
        <f t="shared" si="100"/>
        <v>1.7460617580344895E-4</v>
      </c>
      <c r="L939" s="40">
        <f t="shared" si="98"/>
        <v>8.4800639248113745E-3</v>
      </c>
      <c r="M939" s="40">
        <f t="shared" si="99"/>
        <v>-5.1967163438145563E-3</v>
      </c>
      <c r="O939" s="40">
        <f t="shared" si="101"/>
        <v>8.4800639248113745E-3</v>
      </c>
      <c r="P939" s="207">
        <f t="shared" si="102"/>
        <v>1.7460617580344895E-4</v>
      </c>
      <c r="Q939" s="208">
        <f t="shared" si="103"/>
        <v>1.0021992959873915</v>
      </c>
      <c r="R939" s="40">
        <f t="shared" si="104"/>
        <v>8.287231673641501E-3</v>
      </c>
      <c r="S939" s="209">
        <v>0</v>
      </c>
    </row>
    <row r="940" spans="1:19" x14ac:dyDescent="0.45">
      <c r="A940" s="16">
        <v>44966</v>
      </c>
      <c r="B940" s="42">
        <f>'Part 2 - CAPM 2.1, 2.2 and 2.3'!N940</f>
        <v>-5.7658828668438023E-5</v>
      </c>
      <c r="C940" s="42">
        <f>'Part 2 - CAPM 2.1, 2.2 and 2.3'!O940</f>
        <v>1.5805888896210516E-2</v>
      </c>
      <c r="E940" s="16">
        <v>44966</v>
      </c>
      <c r="F940" s="17">
        <v>6.6900000000000001E-2</v>
      </c>
      <c r="G940" s="41">
        <f t="shared" si="100"/>
        <v>1.7743285500548822E-4</v>
      </c>
      <c r="L940" s="40">
        <f t="shared" si="98"/>
        <v>1.19647217506522E-4</v>
      </c>
      <c r="M940" s="40">
        <f t="shared" si="99"/>
        <v>1.6018083579242597E-2</v>
      </c>
      <c r="O940" s="40">
        <f t="shared" si="101"/>
        <v>1.19647217506522E-4</v>
      </c>
      <c r="P940" s="207">
        <f t="shared" si="102"/>
        <v>1.7743285500548822E-4</v>
      </c>
      <c r="Q940" s="208">
        <f t="shared" si="103"/>
        <v>1.0021992959873915</v>
      </c>
      <c r="R940" s="40">
        <f t="shared" si="104"/>
        <v>-5.7658828668438023E-5</v>
      </c>
      <c r="S940" s="209">
        <v>0</v>
      </c>
    </row>
    <row r="941" spans="1:19" x14ac:dyDescent="0.45">
      <c r="A941" s="16">
        <v>44967</v>
      </c>
      <c r="B941" s="42">
        <f>'Part 2 - CAPM 2.1, 2.2 and 2.3'!N941</f>
        <v>-1.1255303393868296E-3</v>
      </c>
      <c r="C941" s="42">
        <f>'Part 2 - CAPM 2.1, 2.2 and 2.3'!O941</f>
        <v>3.2425397852133904E-3</v>
      </c>
      <c r="E941" s="16">
        <v>44967</v>
      </c>
      <c r="F941" s="17">
        <v>6.6900000000000001E-2</v>
      </c>
      <c r="G941" s="41">
        <f t="shared" si="100"/>
        <v>1.7743285500548822E-4</v>
      </c>
      <c r="L941" s="40">
        <f t="shared" si="98"/>
        <v>-9.5057285874044226E-4</v>
      </c>
      <c r="M941" s="40">
        <f t="shared" si="99"/>
        <v>3.427103944957456E-3</v>
      </c>
      <c r="O941" s="40">
        <f t="shared" si="101"/>
        <v>-9.5057285874044226E-4</v>
      </c>
      <c r="P941" s="207">
        <f t="shared" si="102"/>
        <v>1.7743285500548822E-4</v>
      </c>
      <c r="Q941" s="208">
        <f t="shared" si="103"/>
        <v>1.0021992959873915</v>
      </c>
      <c r="R941" s="40">
        <f t="shared" si="104"/>
        <v>-1.1255303393868296E-3</v>
      </c>
      <c r="S941" s="209">
        <v>0</v>
      </c>
    </row>
    <row r="942" spans="1:19" x14ac:dyDescent="0.45">
      <c r="A942" s="16">
        <v>44970</v>
      </c>
      <c r="B942" s="42">
        <f>'Part 2 - CAPM 2.1, 2.2 and 2.3'!N942</f>
        <v>-7.8590588147928308E-3</v>
      </c>
      <c r="C942" s="42">
        <f>'Part 2 - CAPM 2.1, 2.2 and 2.3'!O942</f>
        <v>9.706941241784655E-3</v>
      </c>
      <c r="E942" s="16">
        <v>44970</v>
      </c>
      <c r="F942" s="17">
        <v>6.6799999999999998E-2</v>
      </c>
      <c r="G942" s="41">
        <f t="shared" si="100"/>
        <v>1.7717600429589808E-4</v>
      </c>
      <c r="L942" s="40">
        <f t="shared" si="98"/>
        <v>-7.6991672070129812E-3</v>
      </c>
      <c r="M942" s="40">
        <f t="shared" si="99"/>
        <v>9.9054656830034563E-3</v>
      </c>
      <c r="O942" s="40">
        <f t="shared" si="101"/>
        <v>-7.6991672070129812E-3</v>
      </c>
      <c r="P942" s="207">
        <f t="shared" si="102"/>
        <v>1.7717600429589808E-4</v>
      </c>
      <c r="Q942" s="208">
        <f t="shared" si="103"/>
        <v>1.0021992959873915</v>
      </c>
      <c r="R942" s="40">
        <f t="shared" si="104"/>
        <v>-7.8590588147928308E-3</v>
      </c>
      <c r="S942" s="209">
        <v>0</v>
      </c>
    </row>
    <row r="943" spans="1:19" x14ac:dyDescent="0.45">
      <c r="A943" s="16">
        <v>44971</v>
      </c>
      <c r="B943" s="42">
        <f>'Part 2 - CAPM 2.1, 2.2 and 2.3'!N943</f>
        <v>4.4127603031921953E-3</v>
      </c>
      <c r="C943" s="42">
        <f>'Part 2 - CAPM 2.1, 2.2 and 2.3'!O943</f>
        <v>1.8472850061086715E-3</v>
      </c>
      <c r="E943" s="16">
        <v>44971</v>
      </c>
      <c r="F943" s="17">
        <v>6.7000000000000004E-2</v>
      </c>
      <c r="G943" s="41">
        <f t="shared" si="100"/>
        <v>1.7768968170761568E-4</v>
      </c>
      <c r="L943" s="40">
        <f t="shared" si="98"/>
        <v>4.6001549509279418E-3</v>
      </c>
      <c r="M943" s="40">
        <f t="shared" si="99"/>
        <v>2.0290374143177906E-3</v>
      </c>
      <c r="O943" s="40">
        <f t="shared" si="101"/>
        <v>4.6001549509279418E-3</v>
      </c>
      <c r="P943" s="207">
        <f t="shared" si="102"/>
        <v>1.7768968170761568E-4</v>
      </c>
      <c r="Q943" s="208">
        <f t="shared" si="103"/>
        <v>1.0021992959873915</v>
      </c>
      <c r="R943" s="40">
        <f t="shared" si="104"/>
        <v>4.4127603031921953E-3</v>
      </c>
      <c r="S943" s="209">
        <v>0</v>
      </c>
    </row>
    <row r="944" spans="1:19" x14ac:dyDescent="0.45">
      <c r="A944" s="16">
        <v>44972</v>
      </c>
      <c r="B944" s="42">
        <f>'Part 2 - CAPM 2.1, 2.2 and 2.3'!N944</f>
        <v>4.5482629434939973E-3</v>
      </c>
      <c r="C944" s="42">
        <f>'Part 2 - CAPM 2.1, 2.2 and 2.3'!O944</f>
        <v>-6.5776643611204126E-3</v>
      </c>
      <c r="E944" s="16">
        <v>44972</v>
      </c>
      <c r="F944" s="17">
        <v>6.7199999999999996E-2</v>
      </c>
      <c r="G944" s="41">
        <f t="shared" si="100"/>
        <v>1.7820326310769019E-4</v>
      </c>
      <c r="L944" s="40">
        <f t="shared" si="98"/>
        <v>4.7364691830429151E-3</v>
      </c>
      <c r="M944" s="40">
        <f t="shared" si="99"/>
        <v>-6.4139273288485428E-3</v>
      </c>
      <c r="O944" s="40">
        <f t="shared" si="101"/>
        <v>4.7364691830429151E-3</v>
      </c>
      <c r="P944" s="207">
        <f t="shared" si="102"/>
        <v>1.7820326310769019E-4</v>
      </c>
      <c r="Q944" s="208">
        <f t="shared" si="103"/>
        <v>1.0021992959873915</v>
      </c>
      <c r="R944" s="40">
        <f t="shared" si="104"/>
        <v>4.5482629434939973E-3</v>
      </c>
      <c r="S944" s="209">
        <v>0</v>
      </c>
    </row>
    <row r="945" spans="1:19" x14ac:dyDescent="0.45">
      <c r="A945" s="16">
        <v>44973</v>
      </c>
      <c r="B945" s="42">
        <f>'Part 2 - CAPM 2.1, 2.2 and 2.3'!N945</f>
        <v>2.7532756329788038E-3</v>
      </c>
      <c r="C945" s="42">
        <f>'Part 2 - CAPM 2.1, 2.2 and 2.3'!O945</f>
        <v>5.677017908710829E-2</v>
      </c>
      <c r="E945" s="16">
        <v>44973</v>
      </c>
      <c r="F945" s="17">
        <v>6.7500000000000004E-2</v>
      </c>
      <c r="G945" s="41">
        <f t="shared" si="100"/>
        <v>1.7897345526463049E-4</v>
      </c>
      <c r="L945" s="40">
        <f t="shared" si="98"/>
        <v>2.9383043562952274E-3</v>
      </c>
      <c r="M945" s="40">
        <f t="shared" si="99"/>
        <v>5.7074006969442696E-2</v>
      </c>
      <c r="O945" s="40">
        <f t="shared" si="101"/>
        <v>2.9383043562952274E-3</v>
      </c>
      <c r="P945" s="207">
        <f t="shared" si="102"/>
        <v>1.7897345526463049E-4</v>
      </c>
      <c r="Q945" s="208">
        <f t="shared" si="103"/>
        <v>1.0021992959873915</v>
      </c>
      <c r="R945" s="40">
        <f t="shared" si="104"/>
        <v>2.7532756329788038E-3</v>
      </c>
      <c r="S945" s="209">
        <v>0</v>
      </c>
    </row>
    <row r="946" spans="1:19" x14ac:dyDescent="0.45">
      <c r="A946" s="16">
        <v>44974</v>
      </c>
      <c r="B946" s="42">
        <f>'Part 2 - CAPM 2.1, 2.2 and 2.3'!N946</f>
        <v>-5.4704616318935976E-3</v>
      </c>
      <c r="C946" s="42">
        <f>'Part 2 - CAPM 2.1, 2.2 and 2.3'!O946</f>
        <v>4.3100576868787977E-3</v>
      </c>
      <c r="E946" s="16">
        <v>44974</v>
      </c>
      <c r="F946" s="17">
        <v>6.7900000000000002E-2</v>
      </c>
      <c r="G946" s="41">
        <f t="shared" si="100"/>
        <v>1.800000424347914E-4</v>
      </c>
      <c r="L946" s="40">
        <f t="shared" si="98"/>
        <v>-5.3024927537750092E-3</v>
      </c>
      <c r="M946" s="40">
        <f t="shared" si="99"/>
        <v>4.4995368218897673E-3</v>
      </c>
      <c r="O946" s="40">
        <f t="shared" si="101"/>
        <v>-5.3024927537750092E-3</v>
      </c>
      <c r="P946" s="207">
        <f t="shared" si="102"/>
        <v>1.800000424347914E-4</v>
      </c>
      <c r="Q946" s="208">
        <f t="shared" si="103"/>
        <v>1.0021992959873915</v>
      </c>
      <c r="R946" s="40">
        <f t="shared" si="104"/>
        <v>-5.4704616318935976E-3</v>
      </c>
      <c r="S946" s="209">
        <v>0</v>
      </c>
    </row>
    <row r="947" spans="1:19" x14ac:dyDescent="0.45">
      <c r="A947" s="16">
        <v>44977</v>
      </c>
      <c r="B947" s="42">
        <f>'Part 2 - CAPM 2.1, 2.2 and 2.3'!N947</f>
        <v>-4.5319306889529589E-3</v>
      </c>
      <c r="C947" s="42">
        <f>'Part 2 - CAPM 2.1, 2.2 and 2.3'!O947</f>
        <v>-1.1354711503117119E-2</v>
      </c>
      <c r="E947" s="16">
        <v>44977</v>
      </c>
      <c r="F947" s="17">
        <v>6.7799999999999999E-2</v>
      </c>
      <c r="G947" s="41">
        <f t="shared" si="100"/>
        <v>1.7974343159732342E-4</v>
      </c>
      <c r="L947" s="40">
        <f t="shared" si="98"/>
        <v>-4.362154314334986E-3</v>
      </c>
      <c r="M947" s="40">
        <f t="shared" si="99"/>
        <v>-1.1199940442966589E-2</v>
      </c>
      <c r="O947" s="40">
        <f t="shared" si="101"/>
        <v>-4.362154314334986E-3</v>
      </c>
      <c r="P947" s="207">
        <f t="shared" si="102"/>
        <v>1.7974343159732342E-4</v>
      </c>
      <c r="Q947" s="208">
        <f t="shared" si="103"/>
        <v>1.0021992959873915</v>
      </c>
      <c r="R947" s="40">
        <f t="shared" si="104"/>
        <v>-4.5319306889529589E-3</v>
      </c>
      <c r="S947" s="209">
        <v>0</v>
      </c>
    </row>
    <row r="948" spans="1:19" x14ac:dyDescent="0.45">
      <c r="A948" s="16">
        <v>44978</v>
      </c>
      <c r="B948" s="42">
        <f>'Part 2 - CAPM 2.1, 2.2 and 2.3'!N948</f>
        <v>-1.8336858213719998E-3</v>
      </c>
      <c r="C948" s="42">
        <f>'Part 2 - CAPM 2.1, 2.2 and 2.3'!O948</f>
        <v>-5.0236534649572727E-3</v>
      </c>
      <c r="E948" s="16">
        <v>44978</v>
      </c>
      <c r="F948" s="17">
        <v>6.8000000000000005E-2</v>
      </c>
      <c r="G948" s="41">
        <f t="shared" si="100"/>
        <v>1.8025662930987174E-4</v>
      </c>
      <c r="L948" s="40">
        <f t="shared" si="98"/>
        <v>-1.6574620099312082E-3</v>
      </c>
      <c r="M948" s="40">
        <f t="shared" si="99"/>
        <v>-4.8544453365549269E-3</v>
      </c>
      <c r="O948" s="40">
        <f t="shared" si="101"/>
        <v>-1.6574620099312082E-3</v>
      </c>
      <c r="P948" s="207">
        <f t="shared" si="102"/>
        <v>1.8025662930987174E-4</v>
      </c>
      <c r="Q948" s="208">
        <f t="shared" si="103"/>
        <v>1.0021992959873915</v>
      </c>
      <c r="R948" s="40">
        <f t="shared" si="104"/>
        <v>-1.8336858213719998E-3</v>
      </c>
      <c r="S948" s="209">
        <v>0</v>
      </c>
    </row>
    <row r="949" spans="1:19" x14ac:dyDescent="0.45">
      <c r="A949" s="16">
        <v>44979</v>
      </c>
      <c r="B949" s="42">
        <f>'Part 2 - CAPM 2.1, 2.2 and 2.3'!N949</f>
        <v>-1.4399001654993145E-2</v>
      </c>
      <c r="C949" s="42">
        <f>'Part 2 - CAPM 2.1, 2.2 and 2.3'!O949</f>
        <v>-3.4254160647398321E-3</v>
      </c>
      <c r="E949" s="16">
        <v>44979</v>
      </c>
      <c r="F949" s="17">
        <v>6.8199999999999997E-2</v>
      </c>
      <c r="G949" s="41">
        <f t="shared" si="100"/>
        <v>1.8076973119018902E-4</v>
      </c>
      <c r="L949" s="40">
        <f t="shared" si="98"/>
        <v>-1.4249899590365227E-2</v>
      </c>
      <c r="M949" s="40">
        <f t="shared" si="99"/>
        <v>-3.2521798373559719E-3</v>
      </c>
      <c r="O949" s="40">
        <f t="shared" si="101"/>
        <v>-1.4249899590365227E-2</v>
      </c>
      <c r="P949" s="207">
        <f t="shared" si="102"/>
        <v>1.8076973119018902E-4</v>
      </c>
      <c r="Q949" s="208">
        <f t="shared" si="103"/>
        <v>1.0021992959873915</v>
      </c>
      <c r="R949" s="40">
        <f t="shared" si="104"/>
        <v>-1.4399001654993145E-2</v>
      </c>
      <c r="S949" s="209">
        <v>0</v>
      </c>
    </row>
    <row r="950" spans="1:19" x14ac:dyDescent="0.45">
      <c r="A950" s="16">
        <v>44980</v>
      </c>
      <c r="B950" s="42">
        <f>'Part 2 - CAPM 2.1, 2.2 and 2.3'!N950</f>
        <v>-2.5726430890847013E-3</v>
      </c>
      <c r="C950" s="42">
        <f>'Part 2 - CAPM 2.1, 2.2 and 2.3'!O950</f>
        <v>6.6541418524025033E-3</v>
      </c>
      <c r="E950" s="16">
        <v>44980</v>
      </c>
      <c r="F950" s="17">
        <v>6.8600000000000008E-2</v>
      </c>
      <c r="G950" s="41">
        <f t="shared" si="100"/>
        <v>1.8179564759757127E-4</v>
      </c>
      <c r="L950" s="40">
        <f t="shared" si="98"/>
        <v>-2.3965054451099447E-3</v>
      </c>
      <c r="M950" s="40">
        <f t="shared" si="99"/>
        <v>6.8505719274755978E-3</v>
      </c>
      <c r="O950" s="40">
        <f t="shared" si="101"/>
        <v>-2.3965054451099447E-3</v>
      </c>
      <c r="P950" s="207">
        <f t="shared" si="102"/>
        <v>1.8179564759757127E-4</v>
      </c>
      <c r="Q950" s="208">
        <f t="shared" si="103"/>
        <v>1.0021992959873915</v>
      </c>
      <c r="R950" s="40">
        <f t="shared" si="104"/>
        <v>-2.5726430890847013E-3</v>
      </c>
      <c r="S950" s="209">
        <v>0</v>
      </c>
    </row>
    <row r="951" spans="1:19" x14ac:dyDescent="0.45">
      <c r="A951" s="16">
        <v>44981</v>
      </c>
      <c r="B951" s="42">
        <f>'Part 2 - CAPM 2.1, 2.2 and 2.3'!N951</f>
        <v>-2.6580634422685616E-3</v>
      </c>
      <c r="C951" s="42">
        <f>'Part 2 - CAPM 2.1, 2.2 and 2.3'!O951</f>
        <v>2.0800974064008092E-3</v>
      </c>
      <c r="E951" s="16">
        <v>44981</v>
      </c>
      <c r="F951" s="17">
        <v>6.9099999999999995E-2</v>
      </c>
      <c r="G951" s="41">
        <f t="shared" si="100"/>
        <v>1.830775046887112E-4</v>
      </c>
      <c r="L951" s="40">
        <f t="shared" si="98"/>
        <v>-2.480831805842664E-3</v>
      </c>
      <c r="M951" s="40">
        <f t="shared" si="99"/>
        <v>2.2677496609688013E-3</v>
      </c>
      <c r="O951" s="40">
        <f t="shared" si="101"/>
        <v>-2.480831805842664E-3</v>
      </c>
      <c r="P951" s="207">
        <f t="shared" si="102"/>
        <v>1.830775046887112E-4</v>
      </c>
      <c r="Q951" s="208">
        <f t="shared" si="103"/>
        <v>1.0021992959873915</v>
      </c>
      <c r="R951" s="40">
        <f t="shared" si="104"/>
        <v>-2.6580634422685616E-3</v>
      </c>
      <c r="S951" s="209">
        <v>0</v>
      </c>
    </row>
    <row r="952" spans="1:19" x14ac:dyDescent="0.45">
      <c r="A952" s="16">
        <v>44984</v>
      </c>
      <c r="B952" s="42">
        <f>'Part 2 - CAPM 2.1, 2.2 and 2.3'!N952</f>
        <v>-5.770482531235261E-3</v>
      </c>
      <c r="C952" s="42">
        <f>'Part 2 - CAPM 2.1, 2.2 and 2.3'!O952</f>
        <v>1.4300820447005439E-3</v>
      </c>
      <c r="E952" s="16">
        <v>44984</v>
      </c>
      <c r="F952" s="17">
        <v>6.9000000000000006E-2</v>
      </c>
      <c r="G952" s="41">
        <f t="shared" si="100"/>
        <v>1.8282118110590773E-4</v>
      </c>
      <c r="L952" s="40">
        <f t="shared" si="98"/>
        <v>-5.6003523492056118E-3</v>
      </c>
      <c r="M952" s="40">
        <f t="shared" si="99"/>
        <v>1.6160483995090022E-3</v>
      </c>
      <c r="O952" s="40">
        <f t="shared" si="101"/>
        <v>-5.6003523492056118E-3</v>
      </c>
      <c r="P952" s="207">
        <f t="shared" si="102"/>
        <v>1.8282118110590773E-4</v>
      </c>
      <c r="Q952" s="208">
        <f t="shared" si="103"/>
        <v>1.0021992959873915</v>
      </c>
      <c r="R952" s="40">
        <f t="shared" si="104"/>
        <v>-5.770482531235261E-3</v>
      </c>
      <c r="S952" s="209">
        <v>0</v>
      </c>
    </row>
    <row r="953" spans="1:19" x14ac:dyDescent="0.45">
      <c r="A953" s="16">
        <v>44985</v>
      </c>
      <c r="B953" s="42">
        <f>'Part 2 - CAPM 2.1, 2.2 and 2.3'!N953</f>
        <v>-2.241680678855525E-3</v>
      </c>
      <c r="C953" s="42">
        <f>'Part 2 - CAPM 2.1, 2.2 and 2.3'!O953</f>
        <v>-2.0794993768778816E-2</v>
      </c>
      <c r="E953" s="16">
        <v>44985</v>
      </c>
      <c r="F953" s="17">
        <v>6.9099999999999995E-2</v>
      </c>
      <c r="G953" s="41">
        <f t="shared" si="100"/>
        <v>1.830775046887112E-4</v>
      </c>
      <c r="L953" s="40">
        <f t="shared" si="98"/>
        <v>-2.0635332934888337E-3</v>
      </c>
      <c r="M953" s="40">
        <f t="shared" si="99"/>
        <v>-2.0657650610443612E-2</v>
      </c>
      <c r="O953" s="40">
        <f t="shared" si="101"/>
        <v>-2.0635332934888337E-3</v>
      </c>
      <c r="P953" s="207">
        <f t="shared" si="102"/>
        <v>1.830775046887112E-4</v>
      </c>
      <c r="Q953" s="208">
        <f t="shared" si="103"/>
        <v>1.0021992959873915</v>
      </c>
      <c r="R953" s="40">
        <f t="shared" si="104"/>
        <v>-2.241680678855525E-3</v>
      </c>
      <c r="S953" s="209">
        <v>0</v>
      </c>
    </row>
    <row r="954" spans="1:19" x14ac:dyDescent="0.45">
      <c r="A954" s="16">
        <v>44986</v>
      </c>
      <c r="B954" s="42">
        <f>'Part 2 - CAPM 2.1, 2.2 and 2.3'!N954</f>
        <v>9.8790034312358048E-3</v>
      </c>
      <c r="C954" s="42">
        <f>'Part 2 - CAPM 2.1, 2.2 and 2.3'!O954</f>
        <v>1.7902309537778261E-2</v>
      </c>
      <c r="E954" s="16">
        <v>44986</v>
      </c>
      <c r="F954" s="17">
        <v>6.9400000000000003E-2</v>
      </c>
      <c r="G954" s="41">
        <f t="shared" si="100"/>
        <v>1.8384633200141387E-4</v>
      </c>
      <c r="L954" s="40">
        <f t="shared" si="98"/>
        <v>1.0084576615842963E-2</v>
      </c>
      <c r="M954" s="40">
        <f t="shared" si="99"/>
        <v>1.812552834731115E-2</v>
      </c>
      <c r="O954" s="40">
        <f t="shared" si="101"/>
        <v>1.0084576615842963E-2</v>
      </c>
      <c r="P954" s="207">
        <f t="shared" si="102"/>
        <v>1.8384633200141387E-4</v>
      </c>
      <c r="Q954" s="208">
        <f t="shared" si="103"/>
        <v>1.0021992959873915</v>
      </c>
      <c r="R954" s="40">
        <f t="shared" si="104"/>
        <v>9.8790034312358048E-3</v>
      </c>
      <c r="S954" s="209">
        <v>0</v>
      </c>
    </row>
    <row r="955" spans="1:19" x14ac:dyDescent="0.45">
      <c r="A955" s="16">
        <v>44987</v>
      </c>
      <c r="B955" s="42">
        <f>'Part 2 - CAPM 2.1, 2.2 and 2.3'!N955</f>
        <v>-5.4754108553344422E-3</v>
      </c>
      <c r="C955" s="42">
        <f>'Part 2 - CAPM 2.1, 2.2 and 2.3'!O955</f>
        <v>-5.0288075723114913E-3</v>
      </c>
      <c r="E955" s="16">
        <v>44987</v>
      </c>
      <c r="F955" s="17">
        <v>6.9400000000000003E-2</v>
      </c>
      <c r="G955" s="41">
        <f t="shared" si="100"/>
        <v>1.8384633200141387E-4</v>
      </c>
      <c r="L955" s="40">
        <f t="shared" si="98"/>
        <v>-5.3036065724564856E-3</v>
      </c>
      <c r="M955" s="40">
        <f t="shared" si="99"/>
        <v>-4.8560210766252264E-3</v>
      </c>
      <c r="O955" s="40">
        <f t="shared" si="101"/>
        <v>-5.3036065724564856E-3</v>
      </c>
      <c r="P955" s="207">
        <f t="shared" si="102"/>
        <v>1.8384633200141387E-4</v>
      </c>
      <c r="Q955" s="208">
        <f t="shared" si="103"/>
        <v>1.0021992959873915</v>
      </c>
      <c r="R955" s="40">
        <f t="shared" si="104"/>
        <v>-5.4754108553344422E-3</v>
      </c>
      <c r="S955" s="209">
        <v>0</v>
      </c>
    </row>
    <row r="956" spans="1:19" x14ac:dyDescent="0.45">
      <c r="A956" s="16">
        <v>44988</v>
      </c>
      <c r="B956" s="42">
        <f>'Part 2 - CAPM 2.1, 2.2 and 2.3'!N956</f>
        <v>1.2669588163087364E-2</v>
      </c>
      <c r="C956" s="42">
        <f>'Part 2 - CAPM 2.1, 2.2 and 2.3'!O956</f>
        <v>1.1141772193167783E-3</v>
      </c>
      <c r="E956" s="16">
        <v>44988</v>
      </c>
      <c r="F956" s="17">
        <v>6.9500000000000006E-2</v>
      </c>
      <c r="G956" s="41">
        <f t="shared" si="100"/>
        <v>1.8410255997558522E-4</v>
      </c>
      <c r="L956" s="40">
        <f t="shared" si="98"/>
        <v>1.288155489747193E-2</v>
      </c>
      <c r="M956" s="40">
        <f t="shared" si="99"/>
        <v>1.3007301847800499E-3</v>
      </c>
      <c r="O956" s="40">
        <f t="shared" si="101"/>
        <v>1.288155489747193E-2</v>
      </c>
      <c r="P956" s="207">
        <f t="shared" si="102"/>
        <v>1.8410255997558522E-4</v>
      </c>
      <c r="Q956" s="208">
        <f t="shared" si="103"/>
        <v>1.0021992959873915</v>
      </c>
      <c r="R956" s="40">
        <f t="shared" si="104"/>
        <v>1.2669588163087364E-2</v>
      </c>
      <c r="S956" s="209">
        <v>0</v>
      </c>
    </row>
    <row r="957" spans="1:19" x14ac:dyDescent="0.45">
      <c r="A957" s="16">
        <v>44991</v>
      </c>
      <c r="B957" s="42">
        <f>'Part 2 - CAPM 2.1, 2.2 and 2.3'!N957</f>
        <v>7.0079892298682799E-3</v>
      </c>
      <c r="C957" s="42">
        <f>'Part 2 - CAPM 2.1, 2.2 and 2.3'!O957</f>
        <v>2.5424445774243666E-2</v>
      </c>
      <c r="E957" s="16">
        <v>44991</v>
      </c>
      <c r="F957" s="17">
        <v>6.9199999999999998E-2</v>
      </c>
      <c r="G957" s="41">
        <f t="shared" si="100"/>
        <v>1.8333380436241775E-4</v>
      </c>
      <c r="L957" s="40">
        <f t="shared" si="98"/>
        <v>7.2067356768236298E-3</v>
      </c>
      <c r="M957" s="40">
        <f t="shared" si="99"/>
        <v>2.5663695460179031E-2</v>
      </c>
      <c r="O957" s="40">
        <f t="shared" si="101"/>
        <v>7.2067356768236298E-3</v>
      </c>
      <c r="P957" s="207">
        <f t="shared" si="102"/>
        <v>1.8333380436241775E-4</v>
      </c>
      <c r="Q957" s="208">
        <f t="shared" si="103"/>
        <v>1.0021992959873915</v>
      </c>
      <c r="R957" s="40">
        <f t="shared" si="104"/>
        <v>7.0079892298682799E-3</v>
      </c>
      <c r="S957" s="209">
        <v>0</v>
      </c>
    </row>
    <row r="958" spans="1:19" x14ac:dyDescent="0.45">
      <c r="A958" s="16">
        <v>44993</v>
      </c>
      <c r="B958" s="42">
        <f>'Part 2 - CAPM 2.1, 2.2 and 2.3'!N958</f>
        <v>2.5677286341646423E-3</v>
      </c>
      <c r="C958" s="42">
        <f>'Part 2 - CAPM 2.1, 2.2 and 2.3'!O958</f>
        <v>1.3195306581462575E-4</v>
      </c>
      <c r="E958" s="16">
        <v>44993</v>
      </c>
      <c r="F958" s="17">
        <v>6.9500000000000006E-2</v>
      </c>
      <c r="G958" s="41">
        <f t="shared" si="100"/>
        <v>1.8410255997558522E-4</v>
      </c>
      <c r="L958" s="40">
        <f t="shared" si="98"/>
        <v>2.7574783894220561E-3</v>
      </c>
      <c r="M958" s="40">
        <f t="shared" si="99"/>
        <v>3.163458296383811E-4</v>
      </c>
      <c r="O958" s="40">
        <f t="shared" si="101"/>
        <v>2.7574783894220561E-3</v>
      </c>
      <c r="P958" s="207">
        <f t="shared" si="102"/>
        <v>1.8410255997558522E-4</v>
      </c>
      <c r="Q958" s="208">
        <f t="shared" si="103"/>
        <v>1.0021992959873915</v>
      </c>
      <c r="R958" s="40">
        <f t="shared" si="104"/>
        <v>2.5677286341646423E-3</v>
      </c>
      <c r="S958" s="209">
        <v>0</v>
      </c>
    </row>
    <row r="959" spans="1:19" x14ac:dyDescent="0.45">
      <c r="A959" s="16">
        <v>44994</v>
      </c>
      <c r="B959" s="42">
        <f>'Part 2 - CAPM 2.1, 2.2 and 2.3'!N959</f>
        <v>-8.0924286013175032E-3</v>
      </c>
      <c r="C959" s="42">
        <f>'Part 2 - CAPM 2.1, 2.2 and 2.3'!O959</f>
        <v>-1.2506889825771772E-2</v>
      </c>
      <c r="E959" s="16">
        <v>44994</v>
      </c>
      <c r="F959" s="17">
        <v>6.9699999999999998E-2</v>
      </c>
      <c r="G959" s="41">
        <f t="shared" si="100"/>
        <v>1.8461494425525693E-4</v>
      </c>
      <c r="L959" s="40">
        <f t="shared" si="98"/>
        <v>-7.9256113028133759E-3</v>
      </c>
      <c r="M959" s="40">
        <f t="shared" si="99"/>
        <v>-1.2349781234125083E-2</v>
      </c>
      <c r="O959" s="40">
        <f t="shared" si="101"/>
        <v>-7.9256113028133759E-3</v>
      </c>
      <c r="P959" s="207">
        <f t="shared" si="102"/>
        <v>1.8461494425525693E-4</v>
      </c>
      <c r="Q959" s="208">
        <f t="shared" si="103"/>
        <v>1.0021992959873915</v>
      </c>
      <c r="R959" s="40">
        <f t="shared" si="104"/>
        <v>-8.0924286013175032E-3</v>
      </c>
      <c r="S959" s="209">
        <v>0</v>
      </c>
    </row>
    <row r="960" spans="1:19" x14ac:dyDescent="0.45">
      <c r="A960" s="16">
        <v>44995</v>
      </c>
      <c r="B960" s="42">
        <f>'Part 2 - CAPM 2.1, 2.2 and 2.3'!N960</f>
        <v>-8.5657189887856384E-3</v>
      </c>
      <c r="C960" s="42">
        <f>'Part 2 - CAPM 2.1, 2.2 and 2.3'!O960</f>
        <v>-3.3817975086810836E-3</v>
      </c>
      <c r="E960" s="16">
        <v>44995</v>
      </c>
      <c r="F960" s="17">
        <v>6.9000000000000006E-2</v>
      </c>
      <c r="G960" s="41">
        <f t="shared" si="100"/>
        <v>1.8282118110590773E-4</v>
      </c>
      <c r="L960" s="40">
        <f t="shared" si="98"/>
        <v>-8.4017363590808899E-3</v>
      </c>
      <c r="M960" s="40">
        <f t="shared" si="99"/>
        <v>-3.2064139012661888E-3</v>
      </c>
      <c r="O960" s="40">
        <f t="shared" si="101"/>
        <v>-8.4017363590808899E-3</v>
      </c>
      <c r="P960" s="207">
        <f t="shared" si="102"/>
        <v>1.8282118110590773E-4</v>
      </c>
      <c r="Q960" s="208">
        <f t="shared" si="103"/>
        <v>1.0021992959873915</v>
      </c>
      <c r="R960" s="40">
        <f t="shared" si="104"/>
        <v>-8.5657189887856384E-3</v>
      </c>
      <c r="S960" s="209">
        <v>0</v>
      </c>
    </row>
    <row r="961" spans="1:19" x14ac:dyDescent="0.45">
      <c r="A961" s="16">
        <v>44998</v>
      </c>
      <c r="B961" s="42">
        <f>'Part 2 - CAPM 2.1, 2.2 and 2.3'!N961</f>
        <v>-1.5536432390909891E-2</v>
      </c>
      <c r="C961" s="42">
        <f>'Part 2 - CAPM 2.1, 2.2 and 2.3'!O961</f>
        <v>-1.8205206686028319E-4</v>
      </c>
      <c r="E961" s="16">
        <v>44998</v>
      </c>
      <c r="F961" s="17">
        <v>6.8699999999999997E-2</v>
      </c>
      <c r="G961" s="41">
        <f t="shared" si="100"/>
        <v>1.8205206686028319E-4</v>
      </c>
      <c r="L961" s="40">
        <f t="shared" si="98"/>
        <v>-1.5388549537465315E-2</v>
      </c>
      <c r="M961" s="40">
        <f t="shared" si="99"/>
        <v>-4.003863801421649E-7</v>
      </c>
      <c r="O961" s="40">
        <f t="shared" si="101"/>
        <v>-1.5388549537465315E-2</v>
      </c>
      <c r="P961" s="207">
        <f t="shared" si="102"/>
        <v>1.8205206686028319E-4</v>
      </c>
      <c r="Q961" s="208">
        <f t="shared" si="103"/>
        <v>1.0021992959873915</v>
      </c>
      <c r="R961" s="40">
        <f t="shared" si="104"/>
        <v>-1.5536432390909891E-2</v>
      </c>
      <c r="S961" s="209">
        <v>0</v>
      </c>
    </row>
    <row r="962" spans="1:19" x14ac:dyDescent="0.45">
      <c r="A962" s="16">
        <v>44999</v>
      </c>
      <c r="B962" s="42">
        <f>'Part 2 - CAPM 2.1, 2.2 and 2.3'!N962</f>
        <v>-6.8174561897019767E-3</v>
      </c>
      <c r="C962" s="42">
        <f>'Part 2 - CAPM 2.1, 2.2 and 2.3'!O962</f>
        <v>-1.6229034274815791E-2</v>
      </c>
      <c r="E962" s="16">
        <v>44999</v>
      </c>
      <c r="F962" s="17">
        <v>6.9000000000000006E-2</v>
      </c>
      <c r="G962" s="41">
        <f t="shared" si="100"/>
        <v>1.8282118110590773E-4</v>
      </c>
      <c r="L962" s="40">
        <f t="shared" si="98"/>
        <v>-6.649628612638298E-3</v>
      </c>
      <c r="M962" s="40">
        <f t="shared" si="99"/>
        <v>-1.6081905543669724E-2</v>
      </c>
      <c r="O962" s="40">
        <f t="shared" si="101"/>
        <v>-6.649628612638298E-3</v>
      </c>
      <c r="P962" s="207">
        <f t="shared" si="102"/>
        <v>1.8282118110590773E-4</v>
      </c>
      <c r="Q962" s="208">
        <f t="shared" si="103"/>
        <v>1.0021992959873915</v>
      </c>
      <c r="R962" s="40">
        <f t="shared" si="104"/>
        <v>-6.8174561897019767E-3</v>
      </c>
      <c r="S962" s="209">
        <v>0</v>
      </c>
    </row>
    <row r="963" spans="1:19" x14ac:dyDescent="0.45">
      <c r="A963" s="16">
        <v>45000</v>
      </c>
      <c r="B963" s="42">
        <f>'Part 2 - CAPM 2.1, 2.2 and 2.3'!N963</f>
        <v>-2.8459700808658758E-3</v>
      </c>
      <c r="C963" s="42">
        <f>'Part 2 - CAPM 2.1, 2.2 and 2.3'!O963</f>
        <v>-5.0744199729268191E-3</v>
      </c>
      <c r="E963" s="16">
        <v>45000</v>
      </c>
      <c r="F963" s="17">
        <v>6.8699999999999997E-2</v>
      </c>
      <c r="G963" s="41">
        <f t="shared" si="100"/>
        <v>1.8205206686028319E-4</v>
      </c>
      <c r="L963" s="40">
        <f t="shared" ref="L963:L1026" si="105">G963+($J$1*(B963))</f>
        <v>-2.6701771445846773E-3</v>
      </c>
      <c r="M963" s="40">
        <f t="shared" ref="M963:M1026" si="106">G963+($J$1*(C963))</f>
        <v>-4.9035280575513334E-3</v>
      </c>
      <c r="O963" s="40">
        <f t="shared" si="101"/>
        <v>-2.6701771445846773E-3</v>
      </c>
      <c r="P963" s="207">
        <f t="shared" si="102"/>
        <v>1.8205206686028319E-4</v>
      </c>
      <c r="Q963" s="208">
        <f t="shared" si="103"/>
        <v>1.0021992959873915</v>
      </c>
      <c r="R963" s="40">
        <f t="shared" si="104"/>
        <v>-2.8459700808658758E-3</v>
      </c>
      <c r="S963" s="209">
        <v>0</v>
      </c>
    </row>
    <row r="964" spans="1:19" x14ac:dyDescent="0.45">
      <c r="A964" s="16">
        <v>45001</v>
      </c>
      <c r="B964" s="42">
        <f>'Part 2 - CAPM 2.1, 2.2 and 2.3'!N964</f>
        <v>5.2128774769773592E-4</v>
      </c>
      <c r="C964" s="42">
        <f>'Part 2 - CAPM 2.1, 2.2 and 2.3'!O964</f>
        <v>-2.4748429201849787E-3</v>
      </c>
      <c r="E964" s="16">
        <v>45001</v>
      </c>
      <c r="F964" s="17">
        <v>6.8099999999999994E-2</v>
      </c>
      <c r="G964" s="41">
        <f t="shared" ref="G964:G1027" si="107">((1+F964)^(1/365))-1</f>
        <v>1.805131922267833E-4</v>
      </c>
      <c r="L964" s="40">
        <f t="shared" si="105"/>
        <v>7.0294740597630725E-4</v>
      </c>
      <c r="M964" s="40">
        <f t="shared" si="106"/>
        <v>-2.2997726400619824E-3</v>
      </c>
      <c r="O964" s="40">
        <f t="shared" ref="O964:O1027" si="108">P964+(Q964*(R964))+S964</f>
        <v>7.0294740597630725E-4</v>
      </c>
      <c r="P964" s="207">
        <f t="shared" ref="P964:P1027" si="109">G964</f>
        <v>1.805131922267833E-4</v>
      </c>
      <c r="Q964" s="208">
        <f t="shared" ref="Q964:Q1027" si="110">$J$1</f>
        <v>1.0021992959873915</v>
      </c>
      <c r="R964" s="40">
        <f t="shared" ref="R964:R1027" si="111">B964</f>
        <v>5.2128774769773592E-4</v>
      </c>
      <c r="S964" s="209">
        <v>0</v>
      </c>
    </row>
    <row r="965" spans="1:19" x14ac:dyDescent="0.45">
      <c r="A965" s="16">
        <v>45002</v>
      </c>
      <c r="B965" s="42">
        <f>'Part 2 - CAPM 2.1, 2.2 and 2.3'!N965</f>
        <v>6.1347547530781112E-3</v>
      </c>
      <c r="C965" s="42">
        <f>'Part 2 - CAPM 2.1, 2.2 and 2.3'!O965</f>
        <v>6.0612739299809506E-3</v>
      </c>
      <c r="E965" s="16">
        <v>45002</v>
      </c>
      <c r="F965" s="17">
        <v>6.8099999999999994E-2</v>
      </c>
      <c r="G965" s="41">
        <f t="shared" si="107"/>
        <v>1.805131922267833E-4</v>
      </c>
      <c r="L965" s="40">
        <f t="shared" si="105"/>
        <v>6.3287600868169704E-3</v>
      </c>
      <c r="M965" s="40">
        <f t="shared" si="106"/>
        <v>6.2551176576404223E-3</v>
      </c>
      <c r="O965" s="40">
        <f t="shared" si="108"/>
        <v>6.3287600868169704E-3</v>
      </c>
      <c r="P965" s="207">
        <f t="shared" si="109"/>
        <v>1.805131922267833E-4</v>
      </c>
      <c r="Q965" s="208">
        <f t="shared" si="110"/>
        <v>1.0021992959873915</v>
      </c>
      <c r="R965" s="40">
        <f t="shared" si="111"/>
        <v>6.1347547530781112E-3</v>
      </c>
      <c r="S965" s="209">
        <v>0</v>
      </c>
    </row>
    <row r="966" spans="1:19" x14ac:dyDescent="0.45">
      <c r="A966" s="16">
        <v>45005</v>
      </c>
      <c r="B966" s="42">
        <f>'Part 2 - CAPM 2.1, 2.2 and 2.3'!N966</f>
        <v>-7.3749573477377272E-3</v>
      </c>
      <c r="C966" s="42">
        <f>'Part 2 - CAPM 2.1, 2.2 and 2.3'!O966</f>
        <v>-5.7306274592851857E-3</v>
      </c>
      <c r="E966" s="16">
        <v>45005</v>
      </c>
      <c r="F966" s="17">
        <v>6.8099999999999994E-2</v>
      </c>
      <c r="G966" s="41">
        <f t="shared" si="107"/>
        <v>1.805131922267833E-4</v>
      </c>
      <c r="L966" s="40">
        <f t="shared" si="105"/>
        <v>-7.2106638696130074E-3</v>
      </c>
      <c r="M966" s="40">
        <f t="shared" si="106"/>
        <v>-5.5627176130348443E-3</v>
      </c>
      <c r="O966" s="40">
        <f t="shared" si="108"/>
        <v>-7.2106638696130074E-3</v>
      </c>
      <c r="P966" s="207">
        <f t="shared" si="109"/>
        <v>1.805131922267833E-4</v>
      </c>
      <c r="Q966" s="208">
        <f t="shared" si="110"/>
        <v>1.0021992959873915</v>
      </c>
      <c r="R966" s="40">
        <f t="shared" si="111"/>
        <v>-7.3749573477377272E-3</v>
      </c>
      <c r="S966" s="209">
        <v>0</v>
      </c>
    </row>
    <row r="967" spans="1:19" x14ac:dyDescent="0.45">
      <c r="A967" s="16">
        <v>45006</v>
      </c>
      <c r="B967" s="42">
        <f>'Part 2 - CAPM 2.1, 2.2 and 2.3'!N967</f>
        <v>6.3998013086083681E-3</v>
      </c>
      <c r="C967" s="42">
        <f>'Part 2 - CAPM 2.1, 2.2 and 2.3'!O967</f>
        <v>-5.1042345675132786E-3</v>
      </c>
      <c r="E967" s="16">
        <v>45006</v>
      </c>
      <c r="F967" s="17">
        <v>6.7799999999999999E-2</v>
      </c>
      <c r="G967" s="41">
        <f t="shared" si="107"/>
        <v>1.7974343159732342E-4</v>
      </c>
      <c r="L967" s="40">
        <f t="shared" si="105"/>
        <v>6.5936197975438168E-3</v>
      </c>
      <c r="M967" s="40">
        <f t="shared" si="106"/>
        <v>-4.9357168585189926E-3</v>
      </c>
      <c r="O967" s="40">
        <f t="shared" si="108"/>
        <v>6.5936197975438168E-3</v>
      </c>
      <c r="P967" s="207">
        <f t="shared" si="109"/>
        <v>1.7974343159732342E-4</v>
      </c>
      <c r="Q967" s="208">
        <f t="shared" si="110"/>
        <v>1.0021992959873915</v>
      </c>
      <c r="R967" s="40">
        <f t="shared" si="111"/>
        <v>6.3998013086083681E-3</v>
      </c>
      <c r="S967" s="209">
        <v>0</v>
      </c>
    </row>
    <row r="968" spans="1:19" x14ac:dyDescent="0.45">
      <c r="A968" s="16">
        <v>45008</v>
      </c>
      <c r="B968" s="42">
        <f>'Part 2 - CAPM 2.1, 2.2 and 2.3'!N968</f>
        <v>-7.1404637442683283E-4</v>
      </c>
      <c r="C968" s="42">
        <f>'Part 2 - CAPM 2.1, 2.2 and 2.3'!O968</f>
        <v>8.0683595047273213E-3</v>
      </c>
      <c r="E968" s="16">
        <v>45008</v>
      </c>
      <c r="F968" s="17">
        <v>6.7799999999999999E-2</v>
      </c>
      <c r="G968" s="41">
        <f t="shared" si="107"/>
        <v>1.7974343159732342E-4</v>
      </c>
      <c r="L968" s="40">
        <f t="shared" si="105"/>
        <v>-5.3587334215559777E-4</v>
      </c>
      <c r="M968" s="40">
        <f t="shared" si="106"/>
        <v>8.2658476470082246E-3</v>
      </c>
      <c r="O968" s="40">
        <f t="shared" si="108"/>
        <v>-5.3587334215559777E-4</v>
      </c>
      <c r="P968" s="207">
        <f t="shared" si="109"/>
        <v>1.7974343159732342E-4</v>
      </c>
      <c r="Q968" s="208">
        <f t="shared" si="110"/>
        <v>1.0021992959873915</v>
      </c>
      <c r="R968" s="40">
        <f t="shared" si="111"/>
        <v>-7.1404637442683283E-4</v>
      </c>
      <c r="S968" s="209">
        <v>0</v>
      </c>
    </row>
    <row r="969" spans="1:19" x14ac:dyDescent="0.45">
      <c r="A969" s="16">
        <v>45009</v>
      </c>
      <c r="B969" s="42">
        <f>'Part 2 - CAPM 2.1, 2.2 and 2.3'!N969</f>
        <v>-8.8298452620133756E-3</v>
      </c>
      <c r="C969" s="42">
        <f>'Part 2 - CAPM 2.1, 2.2 and 2.3'!O969</f>
        <v>-2.2430539038540167E-2</v>
      </c>
      <c r="E969" s="16">
        <v>45009</v>
      </c>
      <c r="F969" s="17">
        <v>6.7599999999999993E-2</v>
      </c>
      <c r="G969" s="41">
        <f t="shared" si="107"/>
        <v>1.7923013801657284E-4</v>
      </c>
      <c r="L969" s="40">
        <f t="shared" si="105"/>
        <v>-8.6700345672508367E-3</v>
      </c>
      <c r="M969" s="40">
        <f t="shared" si="106"/>
        <v>-2.2300640295026083E-2</v>
      </c>
      <c r="O969" s="40">
        <f t="shared" si="108"/>
        <v>-8.6700345672508367E-3</v>
      </c>
      <c r="P969" s="207">
        <f t="shared" si="109"/>
        <v>1.7923013801657284E-4</v>
      </c>
      <c r="Q969" s="208">
        <f t="shared" si="110"/>
        <v>1.0021992959873915</v>
      </c>
      <c r="R969" s="40">
        <f t="shared" si="111"/>
        <v>-8.8298452620133756E-3</v>
      </c>
      <c r="S969" s="209">
        <v>0</v>
      </c>
    </row>
    <row r="970" spans="1:19" x14ac:dyDescent="0.45">
      <c r="A970" s="16">
        <v>45012</v>
      </c>
      <c r="B970" s="42">
        <f>'Part 2 - CAPM 2.1, 2.2 and 2.3'!N970</f>
        <v>-1.3212799537626902E-3</v>
      </c>
      <c r="C970" s="42">
        <f>'Part 2 - CAPM 2.1, 2.2 and 2.3'!O970</f>
        <v>5.5096809325257973E-3</v>
      </c>
      <c r="E970" s="16">
        <v>45012</v>
      </c>
      <c r="F970" s="17">
        <v>6.7799999999999999E-2</v>
      </c>
      <c r="G970" s="41">
        <f t="shared" si="107"/>
        <v>1.7974343159732342E-4</v>
      </c>
      <c r="L970" s="40">
        <f t="shared" si="105"/>
        <v>-1.144442407865898E-3</v>
      </c>
      <c r="M970" s="40">
        <f t="shared" si="106"/>
        <v>5.7015417832898324E-3</v>
      </c>
      <c r="O970" s="40">
        <f t="shared" si="108"/>
        <v>-1.144442407865898E-3</v>
      </c>
      <c r="P970" s="207">
        <f t="shared" si="109"/>
        <v>1.7974343159732342E-4</v>
      </c>
      <c r="Q970" s="208">
        <f t="shared" si="110"/>
        <v>1.0021992959873915</v>
      </c>
      <c r="R970" s="40">
        <f t="shared" si="111"/>
        <v>-1.3212799537626902E-3</v>
      </c>
      <c r="S970" s="209">
        <v>0</v>
      </c>
    </row>
    <row r="971" spans="1:19" x14ac:dyDescent="0.45">
      <c r="A971" s="16">
        <v>45013</v>
      </c>
      <c r="B971" s="42">
        <f>'Part 2 - CAPM 2.1, 2.2 and 2.3'!N971</f>
        <v>-3.7549007791175221E-3</v>
      </c>
      <c r="C971" s="42">
        <f>'Part 2 - CAPM 2.1, 2.2 and 2.3'!O971</f>
        <v>-2.0485652356014367E-2</v>
      </c>
      <c r="E971" s="16">
        <v>45013</v>
      </c>
      <c r="F971" s="17">
        <v>7.0300000000000001E-2</v>
      </c>
      <c r="G971" s="41">
        <f t="shared" si="107"/>
        <v>1.8615152406753488E-4</v>
      </c>
      <c r="L971" s="40">
        <f t="shared" si="105"/>
        <v>-3.5770073932665535E-3</v>
      </c>
      <c r="M971" s="40">
        <f t="shared" si="106"/>
        <v>-2.0344554844972513E-2</v>
      </c>
      <c r="O971" s="40">
        <f t="shared" si="108"/>
        <v>-3.5770073932665535E-3</v>
      </c>
      <c r="P971" s="207">
        <f t="shared" si="109"/>
        <v>1.8615152406753488E-4</v>
      </c>
      <c r="Q971" s="208">
        <f t="shared" si="110"/>
        <v>1.0021992959873915</v>
      </c>
      <c r="R971" s="40">
        <f t="shared" si="111"/>
        <v>-3.7549007791175221E-3</v>
      </c>
      <c r="S971" s="209">
        <v>0</v>
      </c>
    </row>
    <row r="972" spans="1:19" x14ac:dyDescent="0.45">
      <c r="A972" s="16">
        <v>45014</v>
      </c>
      <c r="B972" s="42">
        <f>'Part 2 - CAPM 2.1, 2.2 and 2.3'!N972</f>
        <v>9.2247224999472306E-3</v>
      </c>
      <c r="C972" s="42">
        <f>'Part 2 - CAPM 2.1, 2.2 and 2.3'!O972</f>
        <v>1.4415989042385596E-2</v>
      </c>
      <c r="E972" s="16">
        <v>45014</v>
      </c>
      <c r="F972" s="17">
        <v>7.1800000000000003E-2</v>
      </c>
      <c r="G972" s="41">
        <f t="shared" si="107"/>
        <v>1.8998921848401018E-4</v>
      </c>
      <c r="L972" s="40">
        <f t="shared" si="105"/>
        <v>9.434999613610176E-3</v>
      </c>
      <c r="M972" s="40">
        <f t="shared" si="106"/>
        <v>1.4637683287724804E-2</v>
      </c>
      <c r="O972" s="40">
        <f t="shared" si="108"/>
        <v>9.434999613610176E-3</v>
      </c>
      <c r="P972" s="207">
        <f t="shared" si="109"/>
        <v>1.8998921848401018E-4</v>
      </c>
      <c r="Q972" s="208">
        <f t="shared" si="110"/>
        <v>1.0021992959873915</v>
      </c>
      <c r="R972" s="40">
        <f t="shared" si="111"/>
        <v>9.2247224999472306E-3</v>
      </c>
      <c r="S972" s="209">
        <v>0</v>
      </c>
    </row>
    <row r="973" spans="1:19" x14ac:dyDescent="0.45">
      <c r="A973" s="16">
        <v>45016</v>
      </c>
      <c r="B973" s="42">
        <f>'Part 2 - CAPM 2.1, 2.2 and 2.3'!N973</f>
        <v>1.4609325834843909E-2</v>
      </c>
      <c r="C973" s="42">
        <f>'Part 2 - CAPM 2.1, 2.2 and 2.3'!O973</f>
        <v>1.1196506661402952E-2</v>
      </c>
      <c r="E973" s="16">
        <v>45016</v>
      </c>
      <c r="F973" s="17">
        <v>7.0300000000000001E-2</v>
      </c>
      <c r="G973" s="41">
        <f t="shared" si="107"/>
        <v>1.8615152406753488E-4</v>
      </c>
      <c r="L973" s="40">
        <f t="shared" si="105"/>
        <v>1.4827607590598511E-2</v>
      </c>
      <c r="M973" s="40">
        <f t="shared" si="106"/>
        <v>1.1407282617643713E-2</v>
      </c>
      <c r="O973" s="40">
        <f t="shared" si="108"/>
        <v>1.4827607590598511E-2</v>
      </c>
      <c r="P973" s="207">
        <f t="shared" si="109"/>
        <v>1.8615152406753488E-4</v>
      </c>
      <c r="Q973" s="208">
        <f t="shared" si="110"/>
        <v>1.0021992959873915</v>
      </c>
      <c r="R973" s="40">
        <f t="shared" si="111"/>
        <v>1.4609325834843909E-2</v>
      </c>
      <c r="S973" s="209">
        <v>0</v>
      </c>
    </row>
    <row r="974" spans="1:19" x14ac:dyDescent="0.45">
      <c r="A974" s="16">
        <v>45019</v>
      </c>
      <c r="B974" s="42">
        <f>'Part 2 - CAPM 2.1, 2.2 and 2.3'!N974</f>
        <v>2.8464722928617705E-3</v>
      </c>
      <c r="C974" s="42">
        <f>'Part 2 - CAPM 2.1, 2.2 and 2.3'!O974</f>
        <v>1.7030022248222091E-2</v>
      </c>
      <c r="E974" s="16">
        <v>45019</v>
      </c>
      <c r="F974" s="17">
        <v>6.9000000000000006E-2</v>
      </c>
      <c r="G974" s="41">
        <f t="shared" si="107"/>
        <v>1.8282118110590773E-4</v>
      </c>
      <c r="L974" s="40">
        <f t="shared" si="105"/>
        <v>3.0355537090595904E-3</v>
      </c>
      <c r="M974" s="40">
        <f t="shared" si="106"/>
        <v>1.7250297488923701E-2</v>
      </c>
      <c r="O974" s="40">
        <f t="shared" si="108"/>
        <v>3.0355537090595904E-3</v>
      </c>
      <c r="P974" s="207">
        <f t="shared" si="109"/>
        <v>1.8282118110590773E-4</v>
      </c>
      <c r="Q974" s="208">
        <f t="shared" si="110"/>
        <v>1.0021992959873915</v>
      </c>
      <c r="R974" s="40">
        <f t="shared" si="111"/>
        <v>2.8464722928617705E-3</v>
      </c>
      <c r="S974" s="209">
        <v>0</v>
      </c>
    </row>
    <row r="975" spans="1:19" x14ac:dyDescent="0.45">
      <c r="A975" s="16">
        <v>45021</v>
      </c>
      <c r="B975" s="42">
        <f>'Part 2 - CAPM 2.1, 2.2 and 2.3'!N975</f>
        <v>7.1775799673490645E-3</v>
      </c>
      <c r="C975" s="42">
        <f>'Part 2 - CAPM 2.1, 2.2 and 2.3'!O975</f>
        <v>-5.0622498062435793E-3</v>
      </c>
      <c r="E975" s="16">
        <v>45021</v>
      </c>
      <c r="F975" s="17">
        <v>6.83E-2</v>
      </c>
      <c r="G975" s="41">
        <f t="shared" si="107"/>
        <v>1.8102624620452978E-4</v>
      </c>
      <c r="L975" s="40">
        <f t="shared" si="105"/>
        <v>7.3743918363749668E-3</v>
      </c>
      <c r="M975" s="40">
        <f t="shared" si="106"/>
        <v>-4.8923569457250942E-3</v>
      </c>
      <c r="O975" s="40">
        <f t="shared" si="108"/>
        <v>7.3743918363749668E-3</v>
      </c>
      <c r="P975" s="207">
        <f t="shared" si="109"/>
        <v>1.8102624620452978E-4</v>
      </c>
      <c r="Q975" s="208">
        <f t="shared" si="110"/>
        <v>1.0021992959873915</v>
      </c>
      <c r="R975" s="40">
        <f t="shared" si="111"/>
        <v>7.1775799673490645E-3</v>
      </c>
      <c r="S975" s="209">
        <v>0</v>
      </c>
    </row>
    <row r="976" spans="1:19" x14ac:dyDescent="0.45">
      <c r="A976" s="16">
        <v>45022</v>
      </c>
      <c r="B976" s="42">
        <f>'Part 2 - CAPM 2.1, 2.2 and 2.3'!N976</f>
        <v>3.2058467352348448E-3</v>
      </c>
      <c r="C976" s="42">
        <f>'Part 2 - CAPM 2.1, 2.2 and 2.3'!O976</f>
        <v>-1.522225487698654E-2</v>
      </c>
      <c r="E976" s="16">
        <v>45022</v>
      </c>
      <c r="F976" s="17">
        <v>6.7799999999999999E-2</v>
      </c>
      <c r="G976" s="41">
        <f t="shared" si="107"/>
        <v>1.7974343159732342E-4</v>
      </c>
      <c r="L976" s="40">
        <f t="shared" si="105"/>
        <v>3.3926407726931626E-3</v>
      </c>
      <c r="M976" s="40">
        <f t="shared" si="106"/>
        <v>-1.5075989689459224E-2</v>
      </c>
      <c r="O976" s="40">
        <f t="shared" si="108"/>
        <v>3.3926407726931626E-3</v>
      </c>
      <c r="P976" s="207">
        <f t="shared" si="109"/>
        <v>1.7974343159732342E-4</v>
      </c>
      <c r="Q976" s="208">
        <f t="shared" si="110"/>
        <v>1.0021992959873915</v>
      </c>
      <c r="R976" s="40">
        <f t="shared" si="111"/>
        <v>3.2058467352348448E-3</v>
      </c>
      <c r="S976" s="209">
        <v>0</v>
      </c>
    </row>
    <row r="977" spans="1:19" x14ac:dyDescent="0.45">
      <c r="A977" s="16">
        <v>45026</v>
      </c>
      <c r="B977" s="42">
        <f>'Part 2 - CAPM 2.1, 2.2 and 2.3'!N977</f>
        <v>1.9451254118825418E-3</v>
      </c>
      <c r="C977" s="42">
        <f>'Part 2 - CAPM 2.1, 2.2 and 2.3'!O977</f>
        <v>4.3313722427869579E-2</v>
      </c>
      <c r="E977" s="16">
        <v>45026</v>
      </c>
      <c r="F977" s="17">
        <v>6.7500000000000004E-2</v>
      </c>
      <c r="G977" s="41">
        <f t="shared" si="107"/>
        <v>1.7897345526463049E-4</v>
      </c>
      <c r="L977" s="40">
        <f t="shared" si="105"/>
        <v>2.1283767736604989E-3</v>
      </c>
      <c r="M977" s="40">
        <f t="shared" si="106"/>
        <v>4.3587955579068811E-2</v>
      </c>
      <c r="O977" s="40">
        <f t="shared" si="108"/>
        <v>2.1283767736604989E-3</v>
      </c>
      <c r="P977" s="207">
        <f t="shared" si="109"/>
        <v>1.7897345526463049E-4</v>
      </c>
      <c r="Q977" s="208">
        <f t="shared" si="110"/>
        <v>1.0021992959873915</v>
      </c>
      <c r="R977" s="40">
        <f t="shared" si="111"/>
        <v>1.9451254118825418E-3</v>
      </c>
      <c r="S977" s="209">
        <v>0</v>
      </c>
    </row>
    <row r="978" spans="1:19" x14ac:dyDescent="0.45">
      <c r="A978" s="16">
        <v>45027</v>
      </c>
      <c r="B978" s="42">
        <f>'Part 2 - CAPM 2.1, 2.2 and 2.3'!N978</f>
        <v>5.0080539180909541E-3</v>
      </c>
      <c r="C978" s="42">
        <f>'Part 2 - CAPM 2.1, 2.2 and 2.3'!O978</f>
        <v>1.1912669847404734E-2</v>
      </c>
      <c r="E978" s="16">
        <v>45027</v>
      </c>
      <c r="F978" s="17">
        <v>6.7000000000000004E-2</v>
      </c>
      <c r="G978" s="41">
        <f t="shared" si="107"/>
        <v>1.7768968170761568E-4</v>
      </c>
      <c r="L978" s="40">
        <f t="shared" si="105"/>
        <v>5.1967577926852679E-3</v>
      </c>
      <c r="M978" s="40">
        <f t="shared" si="106"/>
        <v>1.2116559016106867E-2</v>
      </c>
      <c r="O978" s="40">
        <f t="shared" si="108"/>
        <v>5.1967577926852679E-3</v>
      </c>
      <c r="P978" s="207">
        <f t="shared" si="109"/>
        <v>1.7768968170761568E-4</v>
      </c>
      <c r="Q978" s="208">
        <f t="shared" si="110"/>
        <v>1.0021992959873915</v>
      </c>
      <c r="R978" s="40">
        <f t="shared" si="111"/>
        <v>5.0080539180909541E-3</v>
      </c>
      <c r="S978" s="209">
        <v>0</v>
      </c>
    </row>
    <row r="979" spans="1:19" x14ac:dyDescent="0.45">
      <c r="A979" s="16">
        <v>45028</v>
      </c>
      <c r="B979" s="42">
        <f>'Part 2 - CAPM 2.1, 2.2 and 2.3'!N979</f>
        <v>4.8203857505679315E-3</v>
      </c>
      <c r="C979" s="42">
        <f>'Part 2 - CAPM 2.1, 2.2 and 2.3'!O979</f>
        <v>-8.9794394434660058E-3</v>
      </c>
      <c r="E979" s="16">
        <v>45028</v>
      </c>
      <c r="F979" s="17">
        <v>6.6799999999999998E-2</v>
      </c>
      <c r="G979" s="41">
        <f t="shared" si="107"/>
        <v>1.7717600429589808E-4</v>
      </c>
      <c r="L979" s="40">
        <f t="shared" si="105"/>
        <v>5.0081632099027327E-3</v>
      </c>
      <c r="M979" s="40">
        <f t="shared" si="106"/>
        <v>-8.8220118843071477E-3</v>
      </c>
      <c r="O979" s="40">
        <f t="shared" si="108"/>
        <v>5.0081632099027327E-3</v>
      </c>
      <c r="P979" s="207">
        <f t="shared" si="109"/>
        <v>1.7717600429589808E-4</v>
      </c>
      <c r="Q979" s="208">
        <f t="shared" si="110"/>
        <v>1.0021992959873915</v>
      </c>
      <c r="R979" s="40">
        <f t="shared" si="111"/>
        <v>4.8203857505679315E-3</v>
      </c>
      <c r="S979" s="209">
        <v>0</v>
      </c>
    </row>
    <row r="980" spans="1:19" x14ac:dyDescent="0.45">
      <c r="A980" s="16">
        <v>45029</v>
      </c>
      <c r="B980" s="42">
        <f>'Part 2 - CAPM 2.1, 2.2 and 2.3'!N980</f>
        <v>6.7151873271654441E-4</v>
      </c>
      <c r="C980" s="42">
        <f>'Part 2 - CAPM 2.1, 2.2 and 2.3'!O980</f>
        <v>6.7990217455851593E-3</v>
      </c>
      <c r="E980" s="16">
        <v>45029</v>
      </c>
      <c r="F980" s="17">
        <v>6.7299999999999999E-2</v>
      </c>
      <c r="G980" s="41">
        <f t="shared" si="107"/>
        <v>1.7846001781474108E-4</v>
      </c>
      <c r="L980" s="40">
        <f t="shared" si="105"/>
        <v>8.5145561898560722E-4</v>
      </c>
      <c r="M980" s="40">
        <f t="shared" si="106"/>
        <v>6.9924348246431537E-3</v>
      </c>
      <c r="O980" s="40">
        <f t="shared" si="108"/>
        <v>8.5145561898560722E-4</v>
      </c>
      <c r="P980" s="207">
        <f t="shared" si="109"/>
        <v>1.7846001781474108E-4</v>
      </c>
      <c r="Q980" s="208">
        <f t="shared" si="110"/>
        <v>1.0021992959873915</v>
      </c>
      <c r="R980" s="40">
        <f t="shared" si="111"/>
        <v>6.7151873271654441E-4</v>
      </c>
      <c r="S980" s="209">
        <v>0</v>
      </c>
    </row>
    <row r="981" spans="1:19" x14ac:dyDescent="0.45">
      <c r="A981" s="16">
        <v>45033</v>
      </c>
      <c r="B981" s="42">
        <f>'Part 2 - CAPM 2.1, 2.2 and 2.3'!N981</f>
        <v>-3.5183908352026281E-3</v>
      </c>
      <c r="C981" s="42">
        <f>'Part 2 - CAPM 2.1, 2.2 and 2.3'!O981</f>
        <v>8.6406943746876221E-3</v>
      </c>
      <c r="E981" s="16">
        <v>45033</v>
      </c>
      <c r="F981" s="17">
        <v>6.7199999999999996E-2</v>
      </c>
      <c r="G981" s="41">
        <f t="shared" si="107"/>
        <v>1.7820326310769019E-4</v>
      </c>
      <c r="L981" s="40">
        <f t="shared" si="105"/>
        <v>-3.3479255549408744E-3</v>
      </c>
      <c r="M981" s="40">
        <f t="shared" si="106"/>
        <v>8.8379010822618401E-3</v>
      </c>
      <c r="O981" s="40">
        <f t="shared" si="108"/>
        <v>-3.3479255549408744E-3</v>
      </c>
      <c r="P981" s="207">
        <f t="shared" si="109"/>
        <v>1.7820326310769019E-4</v>
      </c>
      <c r="Q981" s="208">
        <f t="shared" si="110"/>
        <v>1.0021992959873915</v>
      </c>
      <c r="R981" s="40">
        <f t="shared" si="111"/>
        <v>-3.5183908352026281E-3</v>
      </c>
      <c r="S981" s="209">
        <v>0</v>
      </c>
    </row>
    <row r="982" spans="1:19" x14ac:dyDescent="0.45">
      <c r="A982" s="16">
        <v>45034</v>
      </c>
      <c r="B982" s="42">
        <f>'Part 2 - CAPM 2.1, 2.2 and 2.3'!N982</f>
        <v>-6.6825155448531749E-4</v>
      </c>
      <c r="C982" s="42">
        <f>'Part 2 - CAPM 2.1, 2.2 and 2.3'!O982</f>
        <v>-4.9066732346576434E-4</v>
      </c>
      <c r="E982" s="16">
        <v>45034</v>
      </c>
      <c r="F982" s="17">
        <v>6.7299999999999999E-2</v>
      </c>
      <c r="G982" s="41">
        <f t="shared" si="107"/>
        <v>1.7846001781474108E-4</v>
      </c>
      <c r="L982" s="40">
        <f t="shared" si="105"/>
        <v>-4.9126121963292415E-4</v>
      </c>
      <c r="M982" s="40">
        <f t="shared" si="106"/>
        <v>-3.1328642832666566E-4</v>
      </c>
      <c r="O982" s="40">
        <f t="shared" si="108"/>
        <v>-4.9126121963292415E-4</v>
      </c>
      <c r="P982" s="207">
        <f t="shared" si="109"/>
        <v>1.7846001781474108E-4</v>
      </c>
      <c r="Q982" s="208">
        <f t="shared" si="110"/>
        <v>1.0021992959873915</v>
      </c>
      <c r="R982" s="40">
        <f t="shared" si="111"/>
        <v>-6.6825155448531749E-4</v>
      </c>
      <c r="S982" s="209">
        <v>0</v>
      </c>
    </row>
    <row r="983" spans="1:19" x14ac:dyDescent="0.45">
      <c r="A983" s="16">
        <v>45035</v>
      </c>
      <c r="B983" s="42">
        <f>'Part 2 - CAPM 2.1, 2.2 and 2.3'!N983</f>
        <v>-2.8702771622062537E-3</v>
      </c>
      <c r="C983" s="42">
        <f>'Part 2 - CAPM 2.1, 2.2 and 2.3'!O983</f>
        <v>-1.7846001781474108E-4</v>
      </c>
      <c r="E983" s="16">
        <v>45035</v>
      </c>
      <c r="F983" s="17">
        <v>6.7299999999999999E-2</v>
      </c>
      <c r="G983" s="41">
        <f t="shared" si="107"/>
        <v>1.7846001781474108E-4</v>
      </c>
      <c r="L983" s="40">
        <f t="shared" si="105"/>
        <v>-2.6981297334370546E-3</v>
      </c>
      <c r="M983" s="40">
        <f t="shared" si="106"/>
        <v>-3.9248640108978058E-7</v>
      </c>
      <c r="O983" s="40">
        <f t="shared" si="108"/>
        <v>-2.6981297334370546E-3</v>
      </c>
      <c r="P983" s="207">
        <f t="shared" si="109"/>
        <v>1.7846001781474108E-4</v>
      </c>
      <c r="Q983" s="208">
        <f t="shared" si="110"/>
        <v>1.0021992959873915</v>
      </c>
      <c r="R983" s="40">
        <f t="shared" si="111"/>
        <v>-2.8702771622062537E-3</v>
      </c>
      <c r="S983" s="209">
        <v>0</v>
      </c>
    </row>
    <row r="984" spans="1:19" x14ac:dyDescent="0.45">
      <c r="A984" s="16">
        <v>45036</v>
      </c>
      <c r="B984" s="42">
        <f>'Part 2 - CAPM 2.1, 2.2 and 2.3'!N984</f>
        <v>1.4670421225841792E-4</v>
      </c>
      <c r="C984" s="42">
        <f>'Part 2 - CAPM 2.1, 2.2 and 2.3'!O984</f>
        <v>-6.1135348119845103E-3</v>
      </c>
      <c r="E984" s="16">
        <v>45036</v>
      </c>
      <c r="F984" s="17">
        <v>6.7799999999999999E-2</v>
      </c>
      <c r="G984" s="41">
        <f t="shared" si="107"/>
        <v>1.7974343159732342E-4</v>
      </c>
      <c r="L984" s="40">
        <f t="shared" si="105"/>
        <v>3.2677028984109469E-4</v>
      </c>
      <c r="M984" s="40">
        <f t="shared" si="106"/>
        <v>-5.9472368529679626E-3</v>
      </c>
      <c r="O984" s="40">
        <f t="shared" si="108"/>
        <v>3.2677028984109469E-4</v>
      </c>
      <c r="P984" s="207">
        <f t="shared" si="109"/>
        <v>1.7974343159732342E-4</v>
      </c>
      <c r="Q984" s="208">
        <f t="shared" si="110"/>
        <v>1.0021992959873915</v>
      </c>
      <c r="R984" s="40">
        <f t="shared" si="111"/>
        <v>1.4670421225841792E-4</v>
      </c>
      <c r="S984" s="209">
        <v>0</v>
      </c>
    </row>
    <row r="985" spans="1:19" x14ac:dyDescent="0.45">
      <c r="A985" s="16">
        <v>45037</v>
      </c>
      <c r="B985" s="42">
        <f>'Part 2 - CAPM 2.1, 2.2 and 2.3'!N985</f>
        <v>-1.1654954459966798E-3</v>
      </c>
      <c r="C985" s="42">
        <f>'Part 2 - CAPM 2.1, 2.2 and 2.3'!O985</f>
        <v>2.6477777748116532E-3</v>
      </c>
      <c r="E985" s="16">
        <v>45037</v>
      </c>
      <c r="F985" s="17">
        <v>6.7799999999999999E-2</v>
      </c>
      <c r="G985" s="41">
        <f t="shared" si="107"/>
        <v>1.7974343159732342E-4</v>
      </c>
      <c r="L985" s="40">
        <f t="shared" si="105"/>
        <v>-9.8831528385706006E-4</v>
      </c>
      <c r="M985" s="40">
        <f t="shared" si="106"/>
        <v>2.8333444534446245E-3</v>
      </c>
      <c r="O985" s="40">
        <f t="shared" si="108"/>
        <v>-9.8831528385706006E-4</v>
      </c>
      <c r="P985" s="207">
        <f t="shared" si="109"/>
        <v>1.7974343159732342E-4</v>
      </c>
      <c r="Q985" s="208">
        <f t="shared" si="110"/>
        <v>1.0021992959873915</v>
      </c>
      <c r="R985" s="40">
        <f t="shared" si="111"/>
        <v>-1.1654954459966798E-3</v>
      </c>
      <c r="S985" s="209">
        <v>0</v>
      </c>
    </row>
    <row r="986" spans="1:19" x14ac:dyDescent="0.45">
      <c r="A986" s="16">
        <v>45040</v>
      </c>
      <c r="B986" s="42">
        <f>'Part 2 - CAPM 2.1, 2.2 and 2.3'!N986</f>
        <v>5.4147115067817806E-3</v>
      </c>
      <c r="C986" s="42">
        <f>'Part 2 - CAPM 2.1, 2.2 and 2.3'!O986</f>
        <v>3.8937082489960565E-3</v>
      </c>
      <c r="E986" s="16">
        <v>45040</v>
      </c>
      <c r="F986" s="17">
        <v>6.7500000000000004E-2</v>
      </c>
      <c r="G986" s="41">
        <f t="shared" si="107"/>
        <v>1.7897345526463049E-4</v>
      </c>
      <c r="L986" s="40">
        <f t="shared" si="105"/>
        <v>5.605593515336159E-3</v>
      </c>
      <c r="M986" s="40">
        <f t="shared" si="106"/>
        <v>4.0812451211887767E-3</v>
      </c>
      <c r="O986" s="40">
        <f t="shared" si="108"/>
        <v>5.605593515336159E-3</v>
      </c>
      <c r="P986" s="207">
        <f t="shared" si="109"/>
        <v>1.7897345526463049E-4</v>
      </c>
      <c r="Q986" s="208">
        <f t="shared" si="110"/>
        <v>1.0021992959873915</v>
      </c>
      <c r="R986" s="40">
        <f t="shared" si="111"/>
        <v>5.4147115067817806E-3</v>
      </c>
      <c r="S986" s="209">
        <v>0</v>
      </c>
    </row>
    <row r="987" spans="1:19" x14ac:dyDescent="0.45">
      <c r="A987" s="16">
        <v>45041</v>
      </c>
      <c r="B987" s="42">
        <f>'Part 2 - CAPM 2.1, 2.2 and 2.3'!N987</f>
        <v>1.5323288424350639E-3</v>
      </c>
      <c r="C987" s="42">
        <f>'Part 2 - CAPM 2.1, 2.2 and 2.3'!O987</f>
        <v>2.3171263887291648E-3</v>
      </c>
      <c r="E987" s="16">
        <v>45041</v>
      </c>
      <c r="F987" s="17">
        <v>6.7500000000000004E-2</v>
      </c>
      <c r="G987" s="41">
        <f t="shared" si="107"/>
        <v>1.7897345526463049E-4</v>
      </c>
      <c r="L987" s="40">
        <f t="shared" si="105"/>
        <v>1.7146723423742262E-3</v>
      </c>
      <c r="M987" s="40">
        <f t="shared" si="106"/>
        <v>2.5011958907628063E-3</v>
      </c>
      <c r="O987" s="40">
        <f t="shared" si="108"/>
        <v>1.7146723423742262E-3</v>
      </c>
      <c r="P987" s="207">
        <f t="shared" si="109"/>
        <v>1.7897345526463049E-4</v>
      </c>
      <c r="Q987" s="208">
        <f t="shared" si="110"/>
        <v>1.0021992959873915</v>
      </c>
      <c r="R987" s="40">
        <f t="shared" si="111"/>
        <v>1.5323288424350639E-3</v>
      </c>
      <c r="S987" s="209">
        <v>0</v>
      </c>
    </row>
    <row r="988" spans="1:19" x14ac:dyDescent="0.45">
      <c r="A988" s="16">
        <v>45042</v>
      </c>
      <c r="B988" s="42">
        <f>'Part 2 - CAPM 2.1, 2.2 and 2.3'!N988</f>
        <v>2.4068724386847686E-3</v>
      </c>
      <c r="C988" s="42">
        <f>'Part 2 - CAPM 2.1, 2.2 and 2.3'!O988</f>
        <v>2.931586322342335E-3</v>
      </c>
      <c r="E988" s="16">
        <v>45042</v>
      </c>
      <c r="F988" s="17">
        <v>6.8199999999999997E-2</v>
      </c>
      <c r="G988" s="41">
        <f t="shared" si="107"/>
        <v>1.8076973119018902E-4</v>
      </c>
      <c r="L988" s="40">
        <f t="shared" si="105"/>
        <v>2.5929355947715204E-3</v>
      </c>
      <c r="M988" s="40">
        <f t="shared" si="106"/>
        <v>3.1188034795679434E-3</v>
      </c>
      <c r="O988" s="40">
        <f t="shared" si="108"/>
        <v>2.5929355947715204E-3</v>
      </c>
      <c r="P988" s="207">
        <f t="shared" si="109"/>
        <v>1.8076973119018902E-4</v>
      </c>
      <c r="Q988" s="208">
        <f t="shared" si="110"/>
        <v>1.0021992959873915</v>
      </c>
      <c r="R988" s="40">
        <f t="shared" si="111"/>
        <v>2.4068724386847686E-3</v>
      </c>
      <c r="S988" s="209">
        <v>0</v>
      </c>
    </row>
    <row r="989" spans="1:19" x14ac:dyDescent="0.45">
      <c r="A989" s="16">
        <v>45043</v>
      </c>
      <c r="B989" s="42">
        <f>'Part 2 - CAPM 2.1, 2.2 and 2.3'!N989</f>
        <v>5.1976484590187293E-3</v>
      </c>
      <c r="C989" s="42">
        <f>'Part 2 - CAPM 2.1, 2.2 and 2.3'!O989</f>
        <v>-7.0069648127573953E-3</v>
      </c>
      <c r="E989" s="16">
        <v>45043</v>
      </c>
      <c r="F989" s="17">
        <v>6.83E-2</v>
      </c>
      <c r="G989" s="41">
        <f t="shared" si="107"/>
        <v>1.8102624620452978E-4</v>
      </c>
      <c r="L989" s="40">
        <f t="shared" si="105"/>
        <v>5.3901058726230511E-3</v>
      </c>
      <c r="M989" s="40">
        <f t="shared" si="106"/>
        <v>-6.8413489561493564E-3</v>
      </c>
      <c r="O989" s="40">
        <f t="shared" si="108"/>
        <v>5.3901058726230511E-3</v>
      </c>
      <c r="P989" s="207">
        <f t="shared" si="109"/>
        <v>1.8102624620452978E-4</v>
      </c>
      <c r="Q989" s="208">
        <f t="shared" si="110"/>
        <v>1.0021992959873915</v>
      </c>
      <c r="R989" s="40">
        <f t="shared" si="111"/>
        <v>5.1976484590187293E-3</v>
      </c>
      <c r="S989" s="209">
        <v>0</v>
      </c>
    </row>
    <row r="990" spans="1:19" x14ac:dyDescent="0.45">
      <c r="A990" s="16">
        <v>45044</v>
      </c>
      <c r="B990" s="42">
        <f>'Part 2 - CAPM 2.1, 2.2 and 2.3'!N990</f>
        <v>9.4033224426769996E-3</v>
      </c>
      <c r="C990" s="42">
        <f>'Part 2 - CAPM 2.1, 2.2 and 2.3'!O990</f>
        <v>-7.0549043005374004E-3</v>
      </c>
      <c r="E990" s="16">
        <v>45044</v>
      </c>
      <c r="F990" s="17">
        <v>6.8699999999999997E-2</v>
      </c>
      <c r="G990" s="41">
        <f t="shared" si="107"/>
        <v>1.8205206686028319E-4</v>
      </c>
      <c r="L990" s="40">
        <f t="shared" si="105"/>
        <v>9.6060551988536112E-3</v>
      </c>
      <c r="M990" s="40">
        <f t="shared" si="106"/>
        <v>-6.8883680563967204E-3</v>
      </c>
      <c r="O990" s="40">
        <f t="shared" si="108"/>
        <v>9.6060551988536112E-3</v>
      </c>
      <c r="P990" s="207">
        <f t="shared" si="109"/>
        <v>1.8205206686028319E-4</v>
      </c>
      <c r="Q990" s="208">
        <f t="shared" si="110"/>
        <v>1.0021992959873915</v>
      </c>
      <c r="R990" s="40">
        <f t="shared" si="111"/>
        <v>9.4033224426769996E-3</v>
      </c>
      <c r="S990" s="209">
        <v>0</v>
      </c>
    </row>
    <row r="991" spans="1:19" x14ac:dyDescent="0.45">
      <c r="A991" s="16">
        <v>45048</v>
      </c>
      <c r="B991" s="42">
        <f>'Part 2 - CAPM 2.1, 2.2 and 2.3'!N991</f>
        <v>5.1534475100516843E-3</v>
      </c>
      <c r="C991" s="42">
        <f>'Part 2 - CAPM 2.1, 2.2 and 2.3'!O991</f>
        <v>3.316202316334934E-2</v>
      </c>
      <c r="E991" s="16">
        <v>45048</v>
      </c>
      <c r="F991" s="17">
        <v>6.8600000000000008E-2</v>
      </c>
      <c r="G991" s="41">
        <f t="shared" si="107"/>
        <v>1.8179564759757127E-4</v>
      </c>
      <c r="L991" s="40">
        <f t="shared" si="105"/>
        <v>5.3465771140793449E-3</v>
      </c>
      <c r="M991" s="40">
        <f t="shared" si="106"/>
        <v>3.3416751915423849E-2</v>
      </c>
      <c r="O991" s="40">
        <f t="shared" si="108"/>
        <v>5.3465771140793449E-3</v>
      </c>
      <c r="P991" s="207">
        <f t="shared" si="109"/>
        <v>1.8179564759757127E-4</v>
      </c>
      <c r="Q991" s="208">
        <f t="shared" si="110"/>
        <v>1.0021992959873915</v>
      </c>
      <c r="R991" s="40">
        <f t="shared" si="111"/>
        <v>5.1534475100516843E-3</v>
      </c>
      <c r="S991" s="209">
        <v>0</v>
      </c>
    </row>
    <row r="992" spans="1:19" x14ac:dyDescent="0.45">
      <c r="A992" s="16">
        <v>45049</v>
      </c>
      <c r="B992" s="42">
        <f>'Part 2 - CAPM 2.1, 2.2 and 2.3'!N992</f>
        <v>-1.7737337191282303E-3</v>
      </c>
      <c r="C992" s="42">
        <f>'Part 2 - CAPM 2.1, 2.2 and 2.3'!O992</f>
        <v>-1.9055976650933004E-2</v>
      </c>
      <c r="E992" s="16">
        <v>45049</v>
      </c>
      <c r="F992" s="17">
        <v>6.88E-2</v>
      </c>
      <c r="G992" s="41">
        <f t="shared" si="107"/>
        <v>1.8230846219635666E-4</v>
      </c>
      <c r="L992" s="40">
        <f t="shared" si="105"/>
        <v>-1.5953262223830534E-3</v>
      </c>
      <c r="M992" s="40">
        <f t="shared" si="106"/>
        <v>-1.8915577921720873E-2</v>
      </c>
      <c r="O992" s="40">
        <f t="shared" si="108"/>
        <v>-1.5953262223830534E-3</v>
      </c>
      <c r="P992" s="207">
        <f t="shared" si="109"/>
        <v>1.8230846219635666E-4</v>
      </c>
      <c r="Q992" s="208">
        <f t="shared" si="110"/>
        <v>1.0021992959873915</v>
      </c>
      <c r="R992" s="40">
        <f t="shared" si="111"/>
        <v>-1.7737337191282303E-3</v>
      </c>
      <c r="S992" s="209">
        <v>0</v>
      </c>
    </row>
    <row r="993" spans="1:19" x14ac:dyDescent="0.45">
      <c r="A993" s="16">
        <v>45050</v>
      </c>
      <c r="B993" s="42">
        <f>'Part 2 - CAPM 2.1, 2.2 and 2.3'!N993</f>
        <v>8.2686354774753178E-3</v>
      </c>
      <c r="C993" s="42">
        <f>'Part 2 - CAPM 2.1, 2.2 and 2.3'!O993</f>
        <v>-1.113118266726333E-3</v>
      </c>
      <c r="E993" s="16">
        <v>45050</v>
      </c>
      <c r="F993" s="17">
        <v>6.88E-2</v>
      </c>
      <c r="G993" s="41">
        <f t="shared" si="107"/>
        <v>1.8230846219635666E-4</v>
      </c>
      <c r="L993" s="40">
        <f t="shared" si="105"/>
        <v>8.4691291164984885E-3</v>
      </c>
      <c r="M993" s="40">
        <f t="shared" si="106"/>
        <v>-9.3325788106747988E-4</v>
      </c>
      <c r="O993" s="40">
        <f t="shared" si="108"/>
        <v>8.4691291164984885E-3</v>
      </c>
      <c r="P993" s="207">
        <f t="shared" si="109"/>
        <v>1.8230846219635666E-4</v>
      </c>
      <c r="Q993" s="208">
        <f t="shared" si="110"/>
        <v>1.0021992959873915</v>
      </c>
      <c r="R993" s="40">
        <f t="shared" si="111"/>
        <v>8.2686354774753178E-3</v>
      </c>
      <c r="S993" s="209">
        <v>0</v>
      </c>
    </row>
    <row r="994" spans="1:19" x14ac:dyDescent="0.45">
      <c r="A994" s="16">
        <v>45054</v>
      </c>
      <c r="B994" s="42">
        <f>'Part 2 - CAPM 2.1, 2.2 and 2.3'!N994</f>
        <v>1.2190191491037892E-3</v>
      </c>
      <c r="C994" s="42">
        <f>'Part 2 - CAPM 2.1, 2.2 and 2.3'!O994</f>
        <v>2.4661642992205697E-2</v>
      </c>
      <c r="E994" s="16">
        <v>45054</v>
      </c>
      <c r="F994" s="17">
        <v>6.9099999999999995E-2</v>
      </c>
      <c r="G994" s="41">
        <f t="shared" si="107"/>
        <v>1.830775046887112E-4</v>
      </c>
      <c r="L994" s="40">
        <f t="shared" si="105"/>
        <v>1.4047776377156779E-3</v>
      </c>
      <c r="M994" s="40">
        <f t="shared" si="106"/>
        <v>2.4898958749369648E-2</v>
      </c>
      <c r="O994" s="40">
        <f t="shared" si="108"/>
        <v>1.4047776377156779E-3</v>
      </c>
      <c r="P994" s="207">
        <f t="shared" si="109"/>
        <v>1.830775046887112E-4</v>
      </c>
      <c r="Q994" s="208">
        <f t="shared" si="110"/>
        <v>1.0021992959873915</v>
      </c>
      <c r="R994" s="40">
        <f t="shared" si="111"/>
        <v>1.2190191491037892E-3</v>
      </c>
      <c r="S994" s="209">
        <v>0</v>
      </c>
    </row>
    <row r="995" spans="1:19" x14ac:dyDescent="0.45">
      <c r="A995" s="16">
        <v>45055</v>
      </c>
      <c r="B995" s="42">
        <f>'Part 2 - CAPM 2.1, 2.2 and 2.3'!N995</f>
        <v>-6.0364494150873553E-4</v>
      </c>
      <c r="C995" s="42">
        <f>'Part 2 - CAPM 2.1, 2.2 and 2.3'!O995</f>
        <v>1.3328430529551585E-3</v>
      </c>
      <c r="E995" s="16">
        <v>45055</v>
      </c>
      <c r="F995" s="17">
        <v>6.88E-2</v>
      </c>
      <c r="G995" s="41">
        <f t="shared" si="107"/>
        <v>1.8230846219635666E-4</v>
      </c>
      <c r="L995" s="40">
        <f t="shared" si="105"/>
        <v>-4.2266407321004827E-4</v>
      </c>
      <c r="M995" s="40">
        <f t="shared" si="106"/>
        <v>1.5180828315297021E-3</v>
      </c>
      <c r="O995" s="40">
        <f t="shared" si="108"/>
        <v>-4.2266407321004827E-4</v>
      </c>
      <c r="P995" s="207">
        <f t="shared" si="109"/>
        <v>1.8230846219635666E-4</v>
      </c>
      <c r="Q995" s="208">
        <f t="shared" si="110"/>
        <v>1.0021992959873915</v>
      </c>
      <c r="R995" s="40">
        <f t="shared" si="111"/>
        <v>-6.0364494150873553E-4</v>
      </c>
      <c r="S995" s="209">
        <v>0</v>
      </c>
    </row>
    <row r="996" spans="1:19" x14ac:dyDescent="0.45">
      <c r="A996" s="16">
        <v>45056</v>
      </c>
      <c r="B996" s="42">
        <f>'Part 2 - CAPM 2.1, 2.2 and 2.3'!N996</f>
        <v>2.7632535740269117E-3</v>
      </c>
      <c r="C996" s="42">
        <f>'Part 2 - CAPM 2.1, 2.2 and 2.3'!O996</f>
        <v>1.0103340707800442E-2</v>
      </c>
      <c r="E996" s="16">
        <v>45056</v>
      </c>
      <c r="F996" s="17">
        <v>6.9500000000000006E-2</v>
      </c>
      <c r="G996" s="41">
        <f t="shared" si="107"/>
        <v>1.8410255997558522E-4</v>
      </c>
      <c r="L996" s="40">
        <f t="shared" si="105"/>
        <v>2.9534333464999998E-3</v>
      </c>
      <c r="M996" s="40">
        <f t="shared" si="106"/>
        <v>1.0309663504453942E-2</v>
      </c>
      <c r="O996" s="40">
        <f t="shared" si="108"/>
        <v>2.9534333464999998E-3</v>
      </c>
      <c r="P996" s="207">
        <f t="shared" si="109"/>
        <v>1.8410255997558522E-4</v>
      </c>
      <c r="Q996" s="208">
        <f t="shared" si="110"/>
        <v>1.0021992959873915</v>
      </c>
      <c r="R996" s="40">
        <f t="shared" si="111"/>
        <v>2.7632535740269117E-3</v>
      </c>
      <c r="S996" s="209">
        <v>0</v>
      </c>
    </row>
    <row r="997" spans="1:19" x14ac:dyDescent="0.45">
      <c r="A997" s="16">
        <v>45057</v>
      </c>
      <c r="B997" s="42">
        <f>'Part 2 - CAPM 2.1, 2.2 and 2.3'!N997</f>
        <v>9.79736946556464E-4</v>
      </c>
      <c r="C997" s="42">
        <f>'Part 2 - CAPM 2.1, 2.2 and 2.3'!O997</f>
        <v>4.1487917108175374E-4</v>
      </c>
      <c r="E997" s="16">
        <v>45057</v>
      </c>
      <c r="F997" s="17">
        <v>6.9500000000000006E-2</v>
      </c>
      <c r="G997" s="41">
        <f t="shared" si="107"/>
        <v>1.8410255997558522E-4</v>
      </c>
      <c r="L997" s="40">
        <f t="shared" si="105"/>
        <v>1.1659942380673101E-3</v>
      </c>
      <c r="M997" s="40">
        <f t="shared" si="106"/>
        <v>5.9989417315355141E-4</v>
      </c>
      <c r="O997" s="40">
        <f t="shared" si="108"/>
        <v>1.1659942380673101E-3</v>
      </c>
      <c r="P997" s="207">
        <f t="shared" si="109"/>
        <v>1.8410255997558522E-4</v>
      </c>
      <c r="Q997" s="208">
        <f t="shared" si="110"/>
        <v>1.0021992959873915</v>
      </c>
      <c r="R997" s="40">
        <f t="shared" si="111"/>
        <v>9.79736946556464E-4</v>
      </c>
      <c r="S997" s="209">
        <v>0</v>
      </c>
    </row>
    <row r="998" spans="1:19" x14ac:dyDescent="0.45">
      <c r="A998" s="16">
        <v>45058</v>
      </c>
      <c r="B998" s="42">
        <f>'Part 2 - CAPM 2.1, 2.2 and 2.3'!N998</f>
        <v>-6.168058901765926E-4</v>
      </c>
      <c r="C998" s="42">
        <f>'Part 2 - CAPM 2.1, 2.2 and 2.3'!O998</f>
        <v>-9.4627616440822078E-3</v>
      </c>
      <c r="E998" s="16">
        <v>45058</v>
      </c>
      <c r="F998" s="17">
        <v>6.9500000000000006E-2</v>
      </c>
      <c r="G998" s="41">
        <f t="shared" si="107"/>
        <v>1.8410255997558522E-4</v>
      </c>
      <c r="L998" s="40">
        <f t="shared" si="105"/>
        <v>-4.340598689202722E-4</v>
      </c>
      <c r="M998" s="40">
        <f t="shared" si="106"/>
        <v>-9.2994704978200948E-3</v>
      </c>
      <c r="O998" s="40">
        <f t="shared" si="108"/>
        <v>-4.340598689202722E-4</v>
      </c>
      <c r="P998" s="207">
        <f t="shared" si="109"/>
        <v>1.8410255997558522E-4</v>
      </c>
      <c r="Q998" s="208">
        <f t="shared" si="110"/>
        <v>1.0021992959873915</v>
      </c>
      <c r="R998" s="40">
        <f t="shared" si="111"/>
        <v>-6.168058901765926E-4</v>
      </c>
      <c r="S998" s="209">
        <v>0</v>
      </c>
    </row>
    <row r="999" spans="1:19" x14ac:dyDescent="0.45">
      <c r="A999" s="16">
        <v>45061</v>
      </c>
      <c r="B999" s="42">
        <f>'Part 2 - CAPM 2.1, 2.2 and 2.3'!N999</f>
        <v>4.4904702835667758E-3</v>
      </c>
      <c r="C999" s="42">
        <f>'Part 2 - CAPM 2.1, 2.2 and 2.3'!O999</f>
        <v>4.2012704727513569E-4</v>
      </c>
      <c r="E999" s="16">
        <v>45061</v>
      </c>
      <c r="F999" s="17">
        <v>6.9500000000000006E-2</v>
      </c>
      <c r="G999" s="41">
        <f t="shared" si="107"/>
        <v>1.8410255997558522E-4</v>
      </c>
      <c r="L999" s="40">
        <f t="shared" si="105"/>
        <v>4.6844487168185107E-3</v>
      </c>
      <c r="M999" s="40">
        <f t="shared" si="106"/>
        <v>6.051535909799878E-4</v>
      </c>
      <c r="O999" s="40">
        <f t="shared" si="108"/>
        <v>4.6844487168185107E-3</v>
      </c>
      <c r="P999" s="207">
        <f t="shared" si="109"/>
        <v>1.8410255997558522E-4</v>
      </c>
      <c r="Q999" s="208">
        <f t="shared" si="110"/>
        <v>1.0021992959873915</v>
      </c>
      <c r="R999" s="40">
        <f t="shared" si="111"/>
        <v>4.4904702835667758E-3</v>
      </c>
      <c r="S999" s="209">
        <v>0</v>
      </c>
    </row>
    <row r="1000" spans="1:19" x14ac:dyDescent="0.45">
      <c r="A1000" s="16">
        <v>45062</v>
      </c>
      <c r="B1000" s="42">
        <f>'Part 2 - CAPM 2.1, 2.2 and 2.3'!N1000</f>
        <v>-3.8680360569438087E-3</v>
      </c>
      <c r="C1000" s="42">
        <f>'Part 2 - CAPM 2.1, 2.2 and 2.3'!O1000</f>
        <v>1.4309676118499729E-2</v>
      </c>
      <c r="E1000" s="16">
        <v>45062</v>
      </c>
      <c r="F1000" s="17">
        <v>6.9099999999999995E-2</v>
      </c>
      <c r="G1000" s="41">
        <f t="shared" si="107"/>
        <v>1.830775046887112E-4</v>
      </c>
      <c r="L1000" s="40">
        <f t="shared" si="105"/>
        <v>-3.6934655084342196E-3</v>
      </c>
      <c r="M1000" s="40">
        <f t="shared" si="106"/>
        <v>1.4524224836456729E-2</v>
      </c>
      <c r="O1000" s="40">
        <f t="shared" si="108"/>
        <v>-3.6934655084342196E-3</v>
      </c>
      <c r="P1000" s="207">
        <f t="shared" si="109"/>
        <v>1.830775046887112E-4</v>
      </c>
      <c r="Q1000" s="208">
        <f t="shared" si="110"/>
        <v>1.0021992959873915</v>
      </c>
      <c r="R1000" s="40">
        <f t="shared" si="111"/>
        <v>-3.8680360569438087E-3</v>
      </c>
      <c r="S1000" s="209">
        <v>0</v>
      </c>
    </row>
    <row r="1001" spans="1:19" x14ac:dyDescent="0.45">
      <c r="A1001" s="16">
        <v>45063</v>
      </c>
      <c r="B1001" s="42">
        <f>'Part 2 - CAPM 2.1, 2.2 and 2.3'!N1001</f>
        <v>-4.4454328212946686E-3</v>
      </c>
      <c r="C1001" s="42">
        <f>'Part 2 - CAPM 2.1, 2.2 and 2.3'!O1001</f>
        <v>-4.6463377811459972E-3</v>
      </c>
      <c r="E1001" s="16">
        <v>45063</v>
      </c>
      <c r="F1001" s="17">
        <v>6.8699999999999997E-2</v>
      </c>
      <c r="G1001" s="41">
        <f t="shared" si="107"/>
        <v>1.8205206686028319E-4</v>
      </c>
      <c r="L1001" s="40">
        <f t="shared" si="105"/>
        <v>-4.2731575770004774E-3</v>
      </c>
      <c r="M1001" s="40">
        <f t="shared" si="106"/>
        <v>-4.4745043863238538E-3</v>
      </c>
      <c r="O1001" s="40">
        <f t="shared" si="108"/>
        <v>-4.2731575770004774E-3</v>
      </c>
      <c r="P1001" s="207">
        <f t="shared" si="109"/>
        <v>1.8205206686028319E-4</v>
      </c>
      <c r="Q1001" s="208">
        <f t="shared" si="110"/>
        <v>1.0021992959873915</v>
      </c>
      <c r="R1001" s="40">
        <f t="shared" si="111"/>
        <v>-4.4454328212946686E-3</v>
      </c>
      <c r="S1001" s="209">
        <v>0</v>
      </c>
    </row>
    <row r="1002" spans="1:19" x14ac:dyDescent="0.45">
      <c r="A1002" s="16">
        <v>45064</v>
      </c>
      <c r="B1002" s="42">
        <f>'Part 2 - CAPM 2.1, 2.2 and 2.3'!N1002</f>
        <v>-4.3789028062927553E-3</v>
      </c>
      <c r="C1002" s="42">
        <f>'Part 2 - CAPM 2.1, 2.2 and 2.3'!O1002</f>
        <v>-5.5627051236863253E-3</v>
      </c>
      <c r="E1002" s="16">
        <v>45064</v>
      </c>
      <c r="F1002" s="17">
        <v>6.8499999999999991E-2</v>
      </c>
      <c r="G1002" s="41">
        <f t="shared" si="107"/>
        <v>1.8153920440378002E-4</v>
      </c>
      <c r="L1002" s="40">
        <f t="shared" si="105"/>
        <v>-4.2069941052600328E-3</v>
      </c>
      <c r="M1002" s="40">
        <f t="shared" si="106"/>
        <v>-5.3933999543401114E-3</v>
      </c>
      <c r="O1002" s="40">
        <f t="shared" si="108"/>
        <v>-4.2069941052600328E-3</v>
      </c>
      <c r="P1002" s="207">
        <f t="shared" si="109"/>
        <v>1.8153920440378002E-4</v>
      </c>
      <c r="Q1002" s="208">
        <f t="shared" si="110"/>
        <v>1.0021992959873915</v>
      </c>
      <c r="R1002" s="40">
        <f t="shared" si="111"/>
        <v>-4.3789028062927553E-3</v>
      </c>
      <c r="S1002" s="209">
        <v>0</v>
      </c>
    </row>
    <row r="1003" spans="1:19" x14ac:dyDescent="0.45">
      <c r="A1003" s="16">
        <v>45065</v>
      </c>
      <c r="B1003" s="42">
        <f>'Part 2 - CAPM 2.1, 2.2 and 2.3'!N1003</f>
        <v>2.8114814408117294E-3</v>
      </c>
      <c r="C1003" s="42">
        <f>'Part 2 - CAPM 2.1, 2.2 and 2.3'!O1003</f>
        <v>-8.8963048983841508E-3</v>
      </c>
      <c r="E1003" s="16">
        <v>45065</v>
      </c>
      <c r="F1003" s="17">
        <v>6.7799999999999999E-2</v>
      </c>
      <c r="G1003" s="41">
        <f t="shared" si="107"/>
        <v>1.7974343159732342E-4</v>
      </c>
      <c r="L1003" s="40">
        <f t="shared" si="105"/>
        <v>2.997408152260456E-3</v>
      </c>
      <c r="M1003" s="40">
        <f t="shared" si="106"/>
        <v>-8.7361270744524561E-3</v>
      </c>
      <c r="O1003" s="40">
        <f t="shared" si="108"/>
        <v>2.997408152260456E-3</v>
      </c>
      <c r="P1003" s="207">
        <f t="shared" si="109"/>
        <v>1.7974343159732342E-4</v>
      </c>
      <c r="Q1003" s="208">
        <f t="shared" si="110"/>
        <v>1.0021992959873915</v>
      </c>
      <c r="R1003" s="40">
        <f t="shared" si="111"/>
        <v>2.8114814408117294E-3</v>
      </c>
      <c r="S1003" s="209">
        <v>0</v>
      </c>
    </row>
    <row r="1004" spans="1:19" x14ac:dyDescent="0.45">
      <c r="A1004" s="16">
        <v>45068</v>
      </c>
      <c r="B1004" s="42">
        <f>'Part 2 - CAPM 2.1, 2.2 and 2.3'!N1004</f>
        <v>6.0814580093862571E-3</v>
      </c>
      <c r="C1004" s="42">
        <f>'Part 2 - CAPM 2.1, 2.2 and 2.3'!O1004</f>
        <v>4.0665369500444987E-3</v>
      </c>
      <c r="E1004" s="16">
        <v>45068</v>
      </c>
      <c r="F1004" s="17">
        <v>6.7299999999999999E-2</v>
      </c>
      <c r="G1004" s="41">
        <f t="shared" si="107"/>
        <v>1.7846001781474108E-4</v>
      </c>
      <c r="L1004" s="40">
        <f t="shared" si="105"/>
        <v>6.2732929533985318E-3</v>
      </c>
      <c r="M1004" s="40">
        <f t="shared" si="106"/>
        <v>4.2539404862560522E-3</v>
      </c>
      <c r="O1004" s="40">
        <f t="shared" si="108"/>
        <v>6.2732929533985318E-3</v>
      </c>
      <c r="P1004" s="207">
        <f t="shared" si="109"/>
        <v>1.7846001781474108E-4</v>
      </c>
      <c r="Q1004" s="208">
        <f t="shared" si="110"/>
        <v>1.0021992959873915</v>
      </c>
      <c r="R1004" s="40">
        <f t="shared" si="111"/>
        <v>6.0814580093862571E-3</v>
      </c>
      <c r="S1004" s="209">
        <v>0</v>
      </c>
    </row>
    <row r="1005" spans="1:19" x14ac:dyDescent="0.45">
      <c r="A1005" s="16">
        <v>45069</v>
      </c>
      <c r="B1005" s="42">
        <f>'Part 2 - CAPM 2.1, 2.2 and 2.3'!N1005</f>
        <v>2.4486105415708914E-3</v>
      </c>
      <c r="C1005" s="42">
        <f>'Part 2 - CAPM 2.1, 2.2 and 2.3'!O1005</f>
        <v>-3.8029318373943907E-3</v>
      </c>
      <c r="E1005" s="16">
        <v>45069</v>
      </c>
      <c r="F1005" s="17">
        <v>6.7799999999999999E-2</v>
      </c>
      <c r="G1005" s="41">
        <f t="shared" si="107"/>
        <v>1.7974343159732342E-4</v>
      </c>
      <c r="L1005" s="40">
        <f t="shared" si="105"/>
        <v>2.6337391925069765E-3</v>
      </c>
      <c r="M1005" s="40">
        <f t="shared" si="106"/>
        <v>-3.6315521785273723E-3</v>
      </c>
      <c r="O1005" s="40">
        <f t="shared" si="108"/>
        <v>2.6337391925069765E-3</v>
      </c>
      <c r="P1005" s="207">
        <f t="shared" si="109"/>
        <v>1.7974343159732342E-4</v>
      </c>
      <c r="Q1005" s="208">
        <f t="shared" si="110"/>
        <v>1.0021992959873915</v>
      </c>
      <c r="R1005" s="40">
        <f t="shared" si="111"/>
        <v>2.4486105415708914E-3</v>
      </c>
      <c r="S1005" s="209">
        <v>0</v>
      </c>
    </row>
    <row r="1006" spans="1:19" x14ac:dyDescent="0.45">
      <c r="A1006" s="16">
        <v>45070</v>
      </c>
      <c r="B1006" s="42">
        <f>'Part 2 - CAPM 2.1, 2.2 and 2.3'!N1006</f>
        <v>-2.0322023438421833E-3</v>
      </c>
      <c r="C1006" s="42">
        <f>'Part 2 - CAPM 2.1, 2.2 and 2.3'!O1006</f>
        <v>7.3962707789649931E-3</v>
      </c>
      <c r="E1006" s="16">
        <v>45070</v>
      </c>
      <c r="F1006" s="17">
        <v>6.7699999999999996E-2</v>
      </c>
      <c r="G1006" s="41">
        <f t="shared" si="107"/>
        <v>1.7948679679258284E-4</v>
      </c>
      <c r="L1006" s="40">
        <f t="shared" si="105"/>
        <v>-1.8571849615099801E-3</v>
      </c>
      <c r="M1006" s="40">
        <f t="shared" si="106"/>
        <v>7.5920241644034147E-3</v>
      </c>
      <c r="O1006" s="40">
        <f t="shared" si="108"/>
        <v>-1.8571849615099801E-3</v>
      </c>
      <c r="P1006" s="207">
        <f t="shared" si="109"/>
        <v>1.7948679679258284E-4</v>
      </c>
      <c r="Q1006" s="208">
        <f t="shared" si="110"/>
        <v>1.0021992959873915</v>
      </c>
      <c r="R1006" s="40">
        <f t="shared" si="111"/>
        <v>-2.0322023438421833E-3</v>
      </c>
      <c r="S1006" s="209">
        <v>0</v>
      </c>
    </row>
    <row r="1007" spans="1:19" x14ac:dyDescent="0.45">
      <c r="A1007" s="16">
        <v>45071</v>
      </c>
      <c r="B1007" s="42">
        <f>'Part 2 - CAPM 2.1, 2.2 and 2.3'!N1007</f>
        <v>2.3533906615647378E-3</v>
      </c>
      <c r="C1007" s="42">
        <f>'Part 2 - CAPM 2.1, 2.2 and 2.3'!O1007</f>
        <v>-1.6832461952888235E-3</v>
      </c>
      <c r="E1007" s="16">
        <v>45071</v>
      </c>
      <c r="F1007" s="17">
        <v>6.7699999999999996E-2</v>
      </c>
      <c r="G1007" s="41">
        <f t="shared" si="107"/>
        <v>1.7948679679258284E-4</v>
      </c>
      <c r="L1007" s="40">
        <f t="shared" si="105"/>
        <v>2.5380532609960648E-3</v>
      </c>
      <c r="M1007" s="40">
        <f t="shared" si="106"/>
        <v>-1.5074613550993315E-3</v>
      </c>
      <c r="O1007" s="40">
        <f t="shared" si="108"/>
        <v>2.5380532609960648E-3</v>
      </c>
      <c r="P1007" s="207">
        <f t="shared" si="109"/>
        <v>1.7948679679258284E-4</v>
      </c>
      <c r="Q1007" s="208">
        <f t="shared" si="110"/>
        <v>1.0021992959873915</v>
      </c>
      <c r="R1007" s="40">
        <f t="shared" si="111"/>
        <v>2.3533906615647378E-3</v>
      </c>
      <c r="S1007" s="209">
        <v>0</v>
      </c>
    </row>
    <row r="1008" spans="1:19" x14ac:dyDescent="0.45">
      <c r="A1008" s="16">
        <v>45072</v>
      </c>
      <c r="B1008" s="42">
        <f>'Part 2 - CAPM 2.1, 2.2 and 2.3'!N1008</f>
        <v>8.9173771167687897E-3</v>
      </c>
      <c r="C1008" s="42">
        <f>'Part 2 - CAPM 2.1, 2.2 and 2.3'!O1008</f>
        <v>-1.3733447005486453E-2</v>
      </c>
      <c r="E1008" s="16">
        <v>45072</v>
      </c>
      <c r="F1008" s="17">
        <v>6.7599999999999993E-2</v>
      </c>
      <c r="G1008" s="41">
        <f t="shared" si="107"/>
        <v>1.7923013801657284E-4</v>
      </c>
      <c r="L1008" s="40">
        <f t="shared" si="105"/>
        <v>9.1162192064963288E-3</v>
      </c>
      <c r="M1008" s="40">
        <f t="shared" si="106"/>
        <v>-1.35844207823621E-2</v>
      </c>
      <c r="O1008" s="40">
        <f t="shared" si="108"/>
        <v>9.1162192064963288E-3</v>
      </c>
      <c r="P1008" s="207">
        <f t="shared" si="109"/>
        <v>1.7923013801657284E-4</v>
      </c>
      <c r="Q1008" s="208">
        <f t="shared" si="110"/>
        <v>1.0021992959873915</v>
      </c>
      <c r="R1008" s="40">
        <f t="shared" si="111"/>
        <v>8.9173771167687897E-3</v>
      </c>
      <c r="S1008" s="209">
        <v>0</v>
      </c>
    </row>
    <row r="1009" spans="1:19" x14ac:dyDescent="0.45">
      <c r="A1009" s="16">
        <v>45075</v>
      </c>
      <c r="B1009" s="42">
        <f>'Part 2 - CAPM 2.1, 2.2 and 2.3'!N1009</f>
        <v>4.6373101703266776E-3</v>
      </c>
      <c r="C1009" s="42">
        <f>'Part 2 - CAPM 2.1, 2.2 and 2.3'!O1009</f>
        <v>-2.9186607043050889E-2</v>
      </c>
      <c r="E1009" s="16">
        <v>45075</v>
      </c>
      <c r="F1009" s="17">
        <v>6.7500000000000004E-2</v>
      </c>
      <c r="G1009" s="41">
        <f t="shared" si="107"/>
        <v>1.7897345526463049E-4</v>
      </c>
      <c r="L1009" s="40">
        <f t="shared" si="105"/>
        <v>4.8264824432411972E-3</v>
      </c>
      <c r="M1009" s="40">
        <f t="shared" si="106"/>
        <v>-2.9071823575541614E-2</v>
      </c>
      <c r="O1009" s="40">
        <f t="shared" si="108"/>
        <v>4.8264824432411972E-3</v>
      </c>
      <c r="P1009" s="207">
        <f t="shared" si="109"/>
        <v>1.7897345526463049E-4</v>
      </c>
      <c r="Q1009" s="208">
        <f t="shared" si="110"/>
        <v>1.0021992959873915</v>
      </c>
      <c r="R1009" s="40">
        <f t="shared" si="111"/>
        <v>4.6373101703266776E-3</v>
      </c>
      <c r="S1009" s="209">
        <v>0</v>
      </c>
    </row>
    <row r="1010" spans="1:19" x14ac:dyDescent="0.45">
      <c r="A1010" s="16">
        <v>45076</v>
      </c>
      <c r="B1010" s="42">
        <f>'Part 2 - CAPM 2.1, 2.2 and 2.3'!N1010</f>
        <v>1.539223262409043E-3</v>
      </c>
      <c r="C1010" s="42">
        <f>'Part 2 - CAPM 2.1, 2.2 and 2.3'!O1010</f>
        <v>-1.1223696816797606E-3</v>
      </c>
      <c r="E1010" s="16">
        <v>45076</v>
      </c>
      <c r="F1010" s="17">
        <v>6.7500000000000004E-2</v>
      </c>
      <c r="G1010" s="41">
        <f t="shared" si="107"/>
        <v>1.7897345526463049E-4</v>
      </c>
      <c r="L1010" s="40">
        <f t="shared" si="105"/>
        <v>1.7215819252183893E-3</v>
      </c>
      <c r="M1010" s="40">
        <f t="shared" si="106"/>
        <v>-9.458646495524184E-4</v>
      </c>
      <c r="O1010" s="40">
        <f t="shared" si="108"/>
        <v>1.7215819252183893E-3</v>
      </c>
      <c r="P1010" s="207">
        <f t="shared" si="109"/>
        <v>1.7897345526463049E-4</v>
      </c>
      <c r="Q1010" s="208">
        <f t="shared" si="110"/>
        <v>1.0021992959873915</v>
      </c>
      <c r="R1010" s="40">
        <f t="shared" si="111"/>
        <v>1.539223262409043E-3</v>
      </c>
      <c r="S1010" s="209">
        <v>0</v>
      </c>
    </row>
    <row r="1011" spans="1:19" x14ac:dyDescent="0.45">
      <c r="A1011" s="16">
        <v>45077</v>
      </c>
      <c r="B1011" s="42">
        <f>'Part 2 - CAPM 2.1, 2.2 and 2.3'!N1011</f>
        <v>-2.2713317660795576E-3</v>
      </c>
      <c r="C1011" s="42">
        <f>'Part 2 - CAPM 2.1, 2.2 and 2.3'!O1011</f>
        <v>-2.5045712796162987E-2</v>
      </c>
      <c r="E1011" s="16">
        <v>45077</v>
      </c>
      <c r="F1011" s="17">
        <v>6.7699999999999996E-2</v>
      </c>
      <c r="G1011" s="41">
        <f t="shared" si="107"/>
        <v>1.7948679679258284E-4</v>
      </c>
      <c r="L1011" s="40">
        <f t="shared" si="105"/>
        <v>-2.0968403001261483E-3</v>
      </c>
      <c r="M1011" s="40">
        <f t="shared" si="106"/>
        <v>-2.4921308935024367E-2</v>
      </c>
      <c r="O1011" s="40">
        <f t="shared" si="108"/>
        <v>-2.0968403001261483E-3</v>
      </c>
      <c r="P1011" s="207">
        <f t="shared" si="109"/>
        <v>1.7948679679258284E-4</v>
      </c>
      <c r="Q1011" s="208">
        <f t="shared" si="110"/>
        <v>1.0021992959873915</v>
      </c>
      <c r="R1011" s="40">
        <f t="shared" si="111"/>
        <v>-2.2713317660795576E-3</v>
      </c>
      <c r="S1011" s="209">
        <v>0</v>
      </c>
    </row>
    <row r="1012" spans="1:19" x14ac:dyDescent="0.45">
      <c r="A1012" s="16">
        <v>45078</v>
      </c>
      <c r="B1012" s="42">
        <f>'Part 2 - CAPM 2.1, 2.2 and 2.3'!N1012</f>
        <v>-5.6295755835344572E-4</v>
      </c>
      <c r="C1012" s="42">
        <f>'Part 2 - CAPM 2.1, 2.2 and 2.3'!O1012</f>
        <v>-8.24895253956596E-3</v>
      </c>
      <c r="E1012" s="16">
        <v>45078</v>
      </c>
      <c r="F1012" s="17">
        <v>6.7599999999999993E-2</v>
      </c>
      <c r="G1012" s="41">
        <f t="shared" si="107"/>
        <v>1.7923013801657284E-4</v>
      </c>
      <c r="L1012" s="40">
        <f t="shared" si="105"/>
        <v>-3.8496553063603134E-4</v>
      </c>
      <c r="M1012" s="40">
        <f t="shared" si="106"/>
        <v>-8.0878642897698385E-3</v>
      </c>
      <c r="O1012" s="40">
        <f t="shared" si="108"/>
        <v>-3.8496553063603134E-4</v>
      </c>
      <c r="P1012" s="207">
        <f t="shared" si="109"/>
        <v>1.7923013801657284E-4</v>
      </c>
      <c r="Q1012" s="208">
        <f t="shared" si="110"/>
        <v>1.0021992959873915</v>
      </c>
      <c r="R1012" s="40">
        <f t="shared" si="111"/>
        <v>-5.6295755835344572E-4</v>
      </c>
      <c r="S1012" s="209">
        <v>0</v>
      </c>
    </row>
    <row r="1013" spans="1:19" x14ac:dyDescent="0.45">
      <c r="A1013" s="16">
        <v>45079</v>
      </c>
      <c r="B1013" s="42">
        <f>'Part 2 - CAPM 2.1, 2.2 and 2.3'!N1013</f>
        <v>3.0474777339539062E-3</v>
      </c>
      <c r="C1013" s="42">
        <f>'Part 2 - CAPM 2.1, 2.2 and 2.3'!O1013</f>
        <v>6.6547395287899283E-3</v>
      </c>
      <c r="E1013" s="16">
        <v>45079</v>
      </c>
      <c r="F1013" s="17">
        <v>6.7500000000000004E-2</v>
      </c>
      <c r="G1013" s="41">
        <f t="shared" si="107"/>
        <v>1.7897345526463049E-4</v>
      </c>
      <c r="L1013" s="40">
        <f t="shared" si="105"/>
        <v>3.2331534947704866E-3</v>
      </c>
      <c r="M1013" s="40">
        <f t="shared" si="106"/>
        <v>6.8483487259973627E-3</v>
      </c>
      <c r="O1013" s="40">
        <f t="shared" si="108"/>
        <v>3.2331534947704866E-3</v>
      </c>
      <c r="P1013" s="207">
        <f t="shared" si="109"/>
        <v>1.7897345526463049E-4</v>
      </c>
      <c r="Q1013" s="208">
        <f t="shared" si="110"/>
        <v>1.0021992959873915</v>
      </c>
      <c r="R1013" s="40">
        <f t="shared" si="111"/>
        <v>3.0474777339539062E-3</v>
      </c>
      <c r="S1013" s="209">
        <v>0</v>
      </c>
    </row>
    <row r="1014" spans="1:19" x14ac:dyDescent="0.45">
      <c r="A1014" s="16">
        <v>45082</v>
      </c>
      <c r="B1014" s="42">
        <f>'Part 2 - CAPM 2.1, 2.2 and 2.3'!N1014</f>
        <v>2.8763365820637797E-3</v>
      </c>
      <c r="C1014" s="42">
        <f>'Part 2 - CAPM 2.1, 2.2 and 2.3'!O1014</f>
        <v>4.3464268600134238E-3</v>
      </c>
      <c r="E1014" s="16">
        <v>45082</v>
      </c>
      <c r="F1014" s="17">
        <v>6.7299999999999999E-2</v>
      </c>
      <c r="G1014" s="41">
        <f t="shared" si="107"/>
        <v>1.7846001781474108E-4</v>
      </c>
      <c r="L1014" s="40">
        <f t="shared" si="105"/>
        <v>3.0611225153818413E-3</v>
      </c>
      <c r="M1014" s="40">
        <f t="shared" si="106"/>
        <v>4.5344459569808832E-3</v>
      </c>
      <c r="O1014" s="40">
        <f t="shared" si="108"/>
        <v>3.0611225153818413E-3</v>
      </c>
      <c r="P1014" s="207">
        <f t="shared" si="109"/>
        <v>1.7846001781474108E-4</v>
      </c>
      <c r="Q1014" s="208">
        <f t="shared" si="110"/>
        <v>1.0021992959873915</v>
      </c>
      <c r="R1014" s="40">
        <f t="shared" si="111"/>
        <v>2.8763365820637797E-3</v>
      </c>
      <c r="S1014" s="209">
        <v>0</v>
      </c>
    </row>
    <row r="1015" spans="1:19" x14ac:dyDescent="0.45">
      <c r="A1015" s="16">
        <v>45083</v>
      </c>
      <c r="B1015" s="42">
        <f>'Part 2 - CAPM 2.1, 2.2 and 2.3'!N1015</f>
        <v>1.0127412898408039E-3</v>
      </c>
      <c r="C1015" s="42">
        <f>'Part 2 - CAPM 2.1, 2.2 and 2.3'!O1015</f>
        <v>-1.1440234716525891E-2</v>
      </c>
      <c r="E1015" s="16">
        <v>45083</v>
      </c>
      <c r="F1015" s="17">
        <v>6.7500000000000004E-2</v>
      </c>
      <c r="G1015" s="41">
        <f t="shared" si="107"/>
        <v>1.7897345526463049E-4</v>
      </c>
      <c r="L1015" s="40">
        <f t="shared" si="105"/>
        <v>1.1939420629604469E-3</v>
      </c>
      <c r="M1015" s="40">
        <f t="shared" si="106"/>
        <v>-1.1286421723568134E-2</v>
      </c>
      <c r="O1015" s="40">
        <f t="shared" si="108"/>
        <v>1.1939420629604469E-3</v>
      </c>
      <c r="P1015" s="207">
        <f t="shared" si="109"/>
        <v>1.7897345526463049E-4</v>
      </c>
      <c r="Q1015" s="208">
        <f t="shared" si="110"/>
        <v>1.0021992959873915</v>
      </c>
      <c r="R1015" s="40">
        <f t="shared" si="111"/>
        <v>1.0127412898408039E-3</v>
      </c>
      <c r="S1015" s="209">
        <v>0</v>
      </c>
    </row>
    <row r="1016" spans="1:19" x14ac:dyDescent="0.45">
      <c r="A1016" s="16">
        <v>45084</v>
      </c>
      <c r="B1016" s="42">
        <f>'Part 2 - CAPM 2.1, 2.2 and 2.3'!N1016</f>
        <v>7.9011857547314074E-3</v>
      </c>
      <c r="C1016" s="42">
        <f>'Part 2 - CAPM 2.1, 2.2 and 2.3'!O1016</f>
        <v>1.1226861607457088E-3</v>
      </c>
      <c r="E1016" s="16">
        <v>45084</v>
      </c>
      <c r="F1016" s="17">
        <v>6.7500000000000004E-2</v>
      </c>
      <c r="G1016" s="41">
        <f t="shared" si="107"/>
        <v>1.7897345526463049E-4</v>
      </c>
      <c r="L1016" s="40">
        <f t="shared" si="105"/>
        <v>8.097536256122053E-3</v>
      </c>
      <c r="M1016" s="40">
        <f t="shared" si="106"/>
        <v>1.3041287351787674E-3</v>
      </c>
      <c r="O1016" s="40">
        <f t="shared" si="108"/>
        <v>8.097536256122053E-3</v>
      </c>
      <c r="P1016" s="207">
        <f t="shared" si="109"/>
        <v>1.7897345526463049E-4</v>
      </c>
      <c r="Q1016" s="208">
        <f t="shared" si="110"/>
        <v>1.0021992959873915</v>
      </c>
      <c r="R1016" s="40">
        <f t="shared" si="111"/>
        <v>7.9011857547314074E-3</v>
      </c>
      <c r="S1016" s="209">
        <v>0</v>
      </c>
    </row>
    <row r="1017" spans="1:19" x14ac:dyDescent="0.45">
      <c r="A1017" s="16">
        <v>45085</v>
      </c>
      <c r="B1017" s="42">
        <f>'Part 2 - CAPM 2.1, 2.2 and 2.3'!N1017</f>
        <v>-5.5301144552088394E-3</v>
      </c>
      <c r="C1017" s="42">
        <f>'Part 2 - CAPM 2.1, 2.2 and 2.3'!O1017</f>
        <v>1.4445404246123825E-2</v>
      </c>
      <c r="E1017" s="16">
        <v>45085</v>
      </c>
      <c r="F1017" s="17">
        <v>6.7599999999999993E-2</v>
      </c>
      <c r="G1017" s="41">
        <f t="shared" si="107"/>
        <v>1.7923013801657284E-4</v>
      </c>
      <c r="L1017" s="40">
        <f t="shared" si="105"/>
        <v>-5.3630466757234232E-3</v>
      </c>
      <c r="M1017" s="40">
        <f t="shared" si="106"/>
        <v>1.4656404103735147E-2</v>
      </c>
      <c r="O1017" s="40">
        <f t="shared" si="108"/>
        <v>-5.3630466757234232E-3</v>
      </c>
      <c r="P1017" s="207">
        <f t="shared" si="109"/>
        <v>1.7923013801657284E-4</v>
      </c>
      <c r="Q1017" s="208">
        <f t="shared" si="110"/>
        <v>1.0021992959873915</v>
      </c>
      <c r="R1017" s="40">
        <f t="shared" si="111"/>
        <v>-5.5301144552088394E-3</v>
      </c>
      <c r="S1017" s="209">
        <v>0</v>
      </c>
    </row>
    <row r="1018" spans="1:19" x14ac:dyDescent="0.45">
      <c r="A1018" s="16">
        <v>45086</v>
      </c>
      <c r="B1018" s="42">
        <f>'Part 2 - CAPM 2.1, 2.2 and 2.3'!N1018</f>
        <v>-2.9208834837443757E-3</v>
      </c>
      <c r="C1018" s="42">
        <f>'Part 2 - CAPM 2.1, 2.2 and 2.3'!O1018</f>
        <v>-1.2030607460245877E-2</v>
      </c>
      <c r="E1018" s="16">
        <v>45086</v>
      </c>
      <c r="F1018" s="17">
        <v>6.7599999999999993E-2</v>
      </c>
      <c r="G1018" s="41">
        <f t="shared" si="107"/>
        <v>1.7923013801657284E-4</v>
      </c>
      <c r="L1018" s="40">
        <f t="shared" si="105"/>
        <v>-2.7480772330532401E-3</v>
      </c>
      <c r="M1018" s="40">
        <f t="shared" si="106"/>
        <v>-1.1877836188942505E-2</v>
      </c>
      <c r="O1018" s="40">
        <f t="shared" si="108"/>
        <v>-2.7480772330532401E-3</v>
      </c>
      <c r="P1018" s="207">
        <f t="shared" si="109"/>
        <v>1.7923013801657284E-4</v>
      </c>
      <c r="Q1018" s="208">
        <f t="shared" si="110"/>
        <v>1.0021992959873915</v>
      </c>
      <c r="R1018" s="40">
        <f t="shared" si="111"/>
        <v>-2.9208834837443757E-3</v>
      </c>
      <c r="S1018" s="209">
        <v>0</v>
      </c>
    </row>
    <row r="1019" spans="1:19" x14ac:dyDescent="0.45">
      <c r="A1019" s="16">
        <v>45089</v>
      </c>
      <c r="B1019" s="42">
        <f>'Part 2 - CAPM 2.1, 2.2 and 2.3'!N1019</f>
        <v>3.07722718211937E-3</v>
      </c>
      <c r="C1019" s="42">
        <f>'Part 2 - CAPM 2.1, 2.2 and 2.3'!O1019</f>
        <v>5.0074122821746649E-3</v>
      </c>
      <c r="E1019" s="16">
        <v>45089</v>
      </c>
      <c r="F1019" s="17">
        <v>6.7500000000000004E-2</v>
      </c>
      <c r="G1019" s="41">
        <f t="shared" si="107"/>
        <v>1.7897345526463049E-4</v>
      </c>
      <c r="L1019" s="40">
        <f t="shared" si="105"/>
        <v>3.2629683707779277E-3</v>
      </c>
      <c r="M1019" s="40">
        <f t="shared" si="106"/>
        <v>5.1973985191786972E-3</v>
      </c>
      <c r="O1019" s="40">
        <f t="shared" si="108"/>
        <v>3.2629683707779277E-3</v>
      </c>
      <c r="P1019" s="207">
        <f t="shared" si="109"/>
        <v>1.7897345526463049E-4</v>
      </c>
      <c r="Q1019" s="208">
        <f t="shared" si="110"/>
        <v>1.0021992959873915</v>
      </c>
      <c r="R1019" s="40">
        <f t="shared" si="111"/>
        <v>3.07722718211937E-3</v>
      </c>
      <c r="S1019" s="209">
        <v>0</v>
      </c>
    </row>
    <row r="1020" spans="1:19" x14ac:dyDescent="0.45">
      <c r="A1020" s="16">
        <v>45090</v>
      </c>
      <c r="B1020" s="42">
        <f>'Part 2 - CAPM 2.1, 2.2 and 2.3'!N1020</f>
        <v>7.297395136273338E-3</v>
      </c>
      <c r="C1020" s="42">
        <f>'Part 2 - CAPM 2.1, 2.2 and 2.3'!O1020</f>
        <v>3.6902326485475931E-3</v>
      </c>
      <c r="E1020" s="16">
        <v>45090</v>
      </c>
      <c r="F1020" s="17">
        <v>6.7699999999999996E-2</v>
      </c>
      <c r="G1020" s="41">
        <f t="shared" si="107"/>
        <v>1.7948679679258284E-4</v>
      </c>
      <c r="L1020" s="40">
        <f t="shared" si="105"/>
        <v>7.4929310649075372E-3</v>
      </c>
      <c r="M1020" s="40">
        <f t="shared" si="106"/>
        <v>3.8778353591966681E-3</v>
      </c>
      <c r="O1020" s="40">
        <f t="shared" si="108"/>
        <v>7.4929310649075372E-3</v>
      </c>
      <c r="P1020" s="207">
        <f t="shared" si="109"/>
        <v>1.7948679679258284E-4</v>
      </c>
      <c r="Q1020" s="208">
        <f t="shared" si="110"/>
        <v>1.0021992959873915</v>
      </c>
      <c r="R1020" s="40">
        <f t="shared" si="111"/>
        <v>7.297395136273338E-3</v>
      </c>
      <c r="S1020" s="209">
        <v>0</v>
      </c>
    </row>
    <row r="1021" spans="1:19" x14ac:dyDescent="0.45">
      <c r="A1021" s="16">
        <v>45091</v>
      </c>
      <c r="B1021" s="42">
        <f>'Part 2 - CAPM 2.1, 2.2 and 2.3'!N1021</f>
        <v>2.0544085933445382E-3</v>
      </c>
      <c r="C1021" s="42">
        <f>'Part 2 - CAPM 2.1, 2.2 and 2.3'!O1021</f>
        <v>1.3954788821581902E-2</v>
      </c>
      <c r="E1021" s="16">
        <v>45091</v>
      </c>
      <c r="F1021" s="17">
        <v>6.7699999999999996E-2</v>
      </c>
      <c r="G1021" s="41">
        <f t="shared" si="107"/>
        <v>1.7948679679258284E-4</v>
      </c>
      <c r="L1021" s="40">
        <f t="shared" si="105"/>
        <v>2.2384136427129266E-3</v>
      </c>
      <c r="M1021" s="40">
        <f t="shared" si="106"/>
        <v>1.4164966329434687E-2</v>
      </c>
      <c r="O1021" s="40">
        <f t="shared" si="108"/>
        <v>2.2384136427129266E-3</v>
      </c>
      <c r="P1021" s="207">
        <f t="shared" si="109"/>
        <v>1.7948679679258284E-4</v>
      </c>
      <c r="Q1021" s="208">
        <f t="shared" si="110"/>
        <v>1.0021992959873915</v>
      </c>
      <c r="R1021" s="40">
        <f t="shared" si="111"/>
        <v>2.0544085933445382E-3</v>
      </c>
      <c r="S1021" s="209">
        <v>0</v>
      </c>
    </row>
    <row r="1022" spans="1:19" x14ac:dyDescent="0.45">
      <c r="A1022" s="16">
        <v>45092</v>
      </c>
      <c r="B1022" s="42">
        <f>'Part 2 - CAPM 2.1, 2.2 and 2.3'!N1022</f>
        <v>-1.7845867930921919E-3</v>
      </c>
      <c r="C1022" s="42">
        <f>'Part 2 - CAPM 2.1, 2.2 and 2.3'!O1022</f>
        <v>-1.447538849496271E-3</v>
      </c>
      <c r="E1022" s="16">
        <v>45092</v>
      </c>
      <c r="F1022" s="17">
        <v>6.8099999999999994E-2</v>
      </c>
      <c r="G1022" s="41">
        <f t="shared" si="107"/>
        <v>1.805131922267833E-4</v>
      </c>
      <c r="L1022" s="40">
        <f t="shared" si="105"/>
        <v>-1.6079984354386082E-3</v>
      </c>
      <c r="M1022" s="40">
        <f t="shared" si="106"/>
        <v>-1.2702092236527782E-3</v>
      </c>
      <c r="O1022" s="40">
        <f t="shared" si="108"/>
        <v>-1.6079984354386082E-3</v>
      </c>
      <c r="P1022" s="207">
        <f t="shared" si="109"/>
        <v>1.805131922267833E-4</v>
      </c>
      <c r="Q1022" s="208">
        <f t="shared" si="110"/>
        <v>1.0021992959873915</v>
      </c>
      <c r="R1022" s="40">
        <f t="shared" si="111"/>
        <v>-1.7845867930921919E-3</v>
      </c>
      <c r="S1022" s="209">
        <v>0</v>
      </c>
    </row>
    <row r="1023" spans="1:19" x14ac:dyDescent="0.45">
      <c r="A1023" s="16">
        <v>45093</v>
      </c>
      <c r="B1023" s="42">
        <f>'Part 2 - CAPM 2.1, 2.2 and 2.3'!N1023</f>
        <v>7.492582077462129E-3</v>
      </c>
      <c r="C1023" s="42">
        <f>'Part 2 - CAPM 2.1, 2.2 and 2.3'!O1023</f>
        <v>-4.3025442024380361E-3</v>
      </c>
      <c r="E1023" s="16">
        <v>45093</v>
      </c>
      <c r="F1023" s="17">
        <v>6.7699999999999996E-2</v>
      </c>
      <c r="G1023" s="41">
        <f t="shared" si="107"/>
        <v>1.7948679679258284E-4</v>
      </c>
      <c r="L1023" s="40">
        <f t="shared" si="105"/>
        <v>7.6885472799528764E-3</v>
      </c>
      <c r="M1023" s="40">
        <f t="shared" si="106"/>
        <v>-4.1325199738454499E-3</v>
      </c>
      <c r="O1023" s="40">
        <f t="shared" si="108"/>
        <v>7.6885472799528764E-3</v>
      </c>
      <c r="P1023" s="207">
        <f t="shared" si="109"/>
        <v>1.7948679679258284E-4</v>
      </c>
      <c r="Q1023" s="208">
        <f t="shared" si="110"/>
        <v>1.0021992959873915</v>
      </c>
      <c r="R1023" s="40">
        <f t="shared" si="111"/>
        <v>7.492582077462129E-3</v>
      </c>
      <c r="S1023" s="209">
        <v>0</v>
      </c>
    </row>
    <row r="1024" spans="1:19" x14ac:dyDescent="0.45">
      <c r="A1024" s="16">
        <v>45096</v>
      </c>
      <c r="B1024" s="42">
        <f>'Part 2 - CAPM 2.1, 2.2 and 2.3'!N1024</f>
        <v>-2.6089635746084135E-3</v>
      </c>
      <c r="C1024" s="42">
        <f>'Part 2 - CAPM 2.1, 2.2 and 2.3'!O1024</f>
        <v>4.9152847719640862E-3</v>
      </c>
      <c r="E1024" s="16">
        <v>45096</v>
      </c>
      <c r="F1024" s="17">
        <v>6.8000000000000005E-2</v>
      </c>
      <c r="G1024" s="41">
        <f t="shared" si="107"/>
        <v>1.8025662930987174E-4</v>
      </c>
      <c r="L1024" s="40">
        <f t="shared" si="105"/>
        <v>-2.434444828419429E-3</v>
      </c>
      <c r="M1024" s="40">
        <f t="shared" si="106"/>
        <v>5.1063515673498254E-3</v>
      </c>
      <c r="O1024" s="40">
        <f t="shared" si="108"/>
        <v>-2.434444828419429E-3</v>
      </c>
      <c r="P1024" s="207">
        <f t="shared" si="109"/>
        <v>1.8025662930987174E-4</v>
      </c>
      <c r="Q1024" s="208">
        <f t="shared" si="110"/>
        <v>1.0021992959873915</v>
      </c>
      <c r="R1024" s="40">
        <f t="shared" si="111"/>
        <v>-2.6089635746084135E-3</v>
      </c>
      <c r="S1024" s="209">
        <v>0</v>
      </c>
    </row>
    <row r="1025" spans="1:19" x14ac:dyDescent="0.45">
      <c r="A1025" s="16">
        <v>45097</v>
      </c>
      <c r="B1025" s="42">
        <f>'Part 2 - CAPM 2.1, 2.2 and 2.3'!N1025</f>
        <v>3.4001746343639183E-3</v>
      </c>
      <c r="C1025" s="42">
        <f>'Part 2 - CAPM 2.1, 2.2 and 2.3'!O1025</f>
        <v>-3.6659377803130401E-3</v>
      </c>
      <c r="E1025" s="16">
        <v>45097</v>
      </c>
      <c r="F1025" s="17">
        <v>6.8099999999999994E-2</v>
      </c>
      <c r="G1025" s="41">
        <f t="shared" si="107"/>
        <v>1.805131922267833E-4</v>
      </c>
      <c r="L1025" s="40">
        <f t="shared" si="105"/>
        <v>3.5881658170204885E-3</v>
      </c>
      <c r="M1025" s="40">
        <f t="shared" si="106"/>
        <v>-3.4934870703365265E-3</v>
      </c>
      <c r="O1025" s="40">
        <f t="shared" si="108"/>
        <v>3.5881658170204885E-3</v>
      </c>
      <c r="P1025" s="207">
        <f t="shared" si="109"/>
        <v>1.805131922267833E-4</v>
      </c>
      <c r="Q1025" s="208">
        <f t="shared" si="110"/>
        <v>1.0021992959873915</v>
      </c>
      <c r="R1025" s="40">
        <f t="shared" si="111"/>
        <v>3.4001746343639183E-3</v>
      </c>
      <c r="S1025" s="209">
        <v>0</v>
      </c>
    </row>
    <row r="1026" spans="1:19" x14ac:dyDescent="0.45">
      <c r="A1026" s="16">
        <v>45098</v>
      </c>
      <c r="B1026" s="42">
        <f>'Part 2 - CAPM 2.1, 2.2 and 2.3'!N1026</f>
        <v>2.351385212071642E-3</v>
      </c>
      <c r="C1026" s="42">
        <f>'Part 2 - CAPM 2.1, 2.2 and 2.3'!O1026</f>
        <v>1.8580449610202575E-2</v>
      </c>
      <c r="E1026" s="16">
        <v>45098</v>
      </c>
      <c r="F1026" s="17">
        <v>6.7699999999999996E-2</v>
      </c>
      <c r="G1026" s="41">
        <f t="shared" si="107"/>
        <v>1.7948679679258284E-4</v>
      </c>
      <c r="L1026" s="40">
        <f t="shared" si="105"/>
        <v>2.5360434009259461E-3</v>
      </c>
      <c r="M1026" s="40">
        <f t="shared" si="106"/>
        <v>1.8800800315266809E-2</v>
      </c>
      <c r="O1026" s="40">
        <f t="shared" si="108"/>
        <v>2.5360434009259461E-3</v>
      </c>
      <c r="P1026" s="207">
        <f t="shared" si="109"/>
        <v>1.7948679679258284E-4</v>
      </c>
      <c r="Q1026" s="208">
        <f t="shared" si="110"/>
        <v>1.0021992959873915</v>
      </c>
      <c r="R1026" s="40">
        <f t="shared" si="111"/>
        <v>2.351385212071642E-3</v>
      </c>
      <c r="S1026" s="209">
        <v>0</v>
      </c>
    </row>
    <row r="1027" spans="1:19" x14ac:dyDescent="0.45">
      <c r="A1027" s="16">
        <v>45099</v>
      </c>
      <c r="B1027" s="42">
        <f>'Part 2 - CAPM 2.1, 2.2 and 2.3'!N1027</f>
        <v>-6.345741333482445E-3</v>
      </c>
      <c r="C1027" s="42">
        <f>'Part 2 - CAPM 2.1, 2.2 and 2.3'!O1027</f>
        <v>-7.9819767048080852E-3</v>
      </c>
      <c r="E1027" s="16">
        <v>45099</v>
      </c>
      <c r="F1027" s="17">
        <v>6.7599999999999993E-2</v>
      </c>
      <c r="G1027" s="41">
        <f t="shared" si="107"/>
        <v>1.7923013801657284E-4</v>
      </c>
      <c r="L1027" s="40">
        <f t="shared" ref="L1027:L1090" si="112">G1027+($J$1*(B1027))</f>
        <v>-6.180467358917625E-3</v>
      </c>
      <c r="M1027" s="40">
        <f t="shared" ref="M1027:M1090" si="113">G1027+($J$1*(C1027))</f>
        <v>-7.8203012961298498E-3</v>
      </c>
      <c r="O1027" s="40">
        <f t="shared" si="108"/>
        <v>-6.180467358917625E-3</v>
      </c>
      <c r="P1027" s="207">
        <f t="shared" si="109"/>
        <v>1.7923013801657284E-4</v>
      </c>
      <c r="Q1027" s="208">
        <f t="shared" si="110"/>
        <v>1.0021992959873915</v>
      </c>
      <c r="R1027" s="40">
        <f t="shared" si="111"/>
        <v>-6.345741333482445E-3</v>
      </c>
      <c r="S1027" s="209">
        <v>0</v>
      </c>
    </row>
    <row r="1028" spans="1:19" x14ac:dyDescent="0.45">
      <c r="A1028" s="16">
        <v>45100</v>
      </c>
      <c r="B1028" s="42">
        <f>'Part 2 - CAPM 2.1, 2.2 and 2.3'!N1028</f>
        <v>-8.1708856620927601E-3</v>
      </c>
      <c r="C1028" s="42">
        <f>'Part 2 - CAPM 2.1, 2.2 and 2.3'!O1028</f>
        <v>-1.3075854213143499E-2</v>
      </c>
      <c r="E1028" s="16">
        <v>45100</v>
      </c>
      <c r="F1028" s="17">
        <v>6.7400000000000002E-2</v>
      </c>
      <c r="G1028" s="41">
        <f t="shared" ref="G1028:G1091" si="114">((1+F1028)^(1/365))-1</f>
        <v>1.7871674853209285E-4</v>
      </c>
      <c r="L1028" s="40">
        <f t="shared" si="112"/>
        <v>-8.0101391096107435E-3</v>
      </c>
      <c r="M1028" s="40">
        <f t="shared" si="113"/>
        <v>-1.2925895138314089E-2</v>
      </c>
      <c r="O1028" s="40">
        <f t="shared" ref="O1028:O1091" si="115">P1028+(Q1028*(R1028))+S1028</f>
        <v>-8.0101391096107435E-3</v>
      </c>
      <c r="P1028" s="207">
        <f t="shared" ref="P1028:P1091" si="116">G1028</f>
        <v>1.7871674853209285E-4</v>
      </c>
      <c r="Q1028" s="208">
        <f t="shared" ref="Q1028:Q1091" si="117">$J$1</f>
        <v>1.0021992959873915</v>
      </c>
      <c r="R1028" s="40">
        <f t="shared" ref="R1028:R1091" si="118">B1028</f>
        <v>-8.1708856620927601E-3</v>
      </c>
      <c r="S1028" s="209">
        <v>0</v>
      </c>
    </row>
    <row r="1029" spans="1:19" x14ac:dyDescent="0.45">
      <c r="A1029" s="16">
        <v>45103</v>
      </c>
      <c r="B1029" s="42">
        <f>'Part 2 - CAPM 2.1, 2.2 and 2.3'!N1029</f>
        <v>3.2146282193101553E-3</v>
      </c>
      <c r="C1029" s="42">
        <f>'Part 2 - CAPM 2.1, 2.2 and 2.3'!O1029</f>
        <v>-1.7974343159732342E-4</v>
      </c>
      <c r="E1029" s="16">
        <v>45103</v>
      </c>
      <c r="F1029" s="17">
        <v>6.7799999999999999E-2</v>
      </c>
      <c r="G1029" s="41">
        <f t="shared" si="114"/>
        <v>1.7974343159732342E-4</v>
      </c>
      <c r="L1029" s="40">
        <f t="shared" si="112"/>
        <v>3.4014415698511631E-3</v>
      </c>
      <c r="M1029" s="40">
        <f t="shared" si="113"/>
        <v>-3.9530900787198273E-7</v>
      </c>
      <c r="O1029" s="40">
        <f t="shared" si="115"/>
        <v>3.4014415698511631E-3</v>
      </c>
      <c r="P1029" s="207">
        <f t="shared" si="116"/>
        <v>1.7974343159732342E-4</v>
      </c>
      <c r="Q1029" s="208">
        <f t="shared" si="117"/>
        <v>1.0021992959873915</v>
      </c>
      <c r="R1029" s="40">
        <f t="shared" si="118"/>
        <v>3.2146282193101553E-3</v>
      </c>
      <c r="S1029" s="209">
        <v>0</v>
      </c>
    </row>
    <row r="1030" spans="1:19" x14ac:dyDescent="0.45">
      <c r="A1030" s="16">
        <v>45104</v>
      </c>
      <c r="B1030" s="42">
        <f>'Part 2 - CAPM 2.1, 2.2 and 2.3'!N1030</f>
        <v>5.8795800528715983E-3</v>
      </c>
      <c r="C1030" s="42">
        <f>'Part 2 - CAPM 2.1, 2.2 and 2.3'!O1030</f>
        <v>5.8750685505568421E-3</v>
      </c>
      <c r="E1030" s="16">
        <v>45104</v>
      </c>
      <c r="F1030" s="17">
        <v>6.7799999999999999E-2</v>
      </c>
      <c r="G1030" s="41">
        <f t="shared" si="114"/>
        <v>1.7974343159732342E-4</v>
      </c>
      <c r="L1030" s="40">
        <f t="shared" si="112"/>
        <v>6.0722544212867494E-3</v>
      </c>
      <c r="M1030" s="40">
        <f t="shared" si="113"/>
        <v>6.0677329968430553E-3</v>
      </c>
      <c r="O1030" s="40">
        <f t="shared" si="115"/>
        <v>6.0722544212867494E-3</v>
      </c>
      <c r="P1030" s="207">
        <f t="shared" si="116"/>
        <v>1.7974343159732342E-4</v>
      </c>
      <c r="Q1030" s="208">
        <f t="shared" si="117"/>
        <v>1.0021992959873915</v>
      </c>
      <c r="R1030" s="40">
        <f t="shared" si="118"/>
        <v>5.8795800528715983E-3</v>
      </c>
      <c r="S1030" s="209">
        <v>0</v>
      </c>
    </row>
    <row r="1031" spans="1:19" x14ac:dyDescent="0.45">
      <c r="A1031" s="16">
        <v>45105</v>
      </c>
      <c r="B1031" s="42">
        <f>'Part 2 - CAPM 2.1, 2.2 and 2.3'!N1031</f>
        <v>6.8546241249344136E-3</v>
      </c>
      <c r="C1031" s="42">
        <f>'Part 2 - CAPM 2.1, 2.2 and 2.3'!O1031</f>
        <v>4.254846368846244E-3</v>
      </c>
      <c r="E1031" s="16">
        <v>45105</v>
      </c>
      <c r="F1031" s="17">
        <v>6.7799999999999999E-2</v>
      </c>
      <c r="G1031" s="41">
        <f t="shared" si="114"/>
        <v>1.7974343159732342E-4</v>
      </c>
      <c r="L1031" s="40">
        <f t="shared" si="112"/>
        <v>7.0494429038647829E-3</v>
      </c>
      <c r="M1031" s="40">
        <f t="shared" si="113"/>
        <v>4.4439474669895384E-3</v>
      </c>
      <c r="O1031" s="40">
        <f t="shared" si="115"/>
        <v>7.0494429038647829E-3</v>
      </c>
      <c r="P1031" s="207">
        <f t="shared" si="116"/>
        <v>1.7974343159732342E-4</v>
      </c>
      <c r="Q1031" s="208">
        <f t="shared" si="117"/>
        <v>1.0021992959873915</v>
      </c>
      <c r="R1031" s="40">
        <f t="shared" si="118"/>
        <v>6.8546241249344136E-3</v>
      </c>
      <c r="S1031" s="209">
        <v>0</v>
      </c>
    </row>
    <row r="1032" spans="1:19" x14ac:dyDescent="0.45">
      <c r="A1032" s="16">
        <v>45107</v>
      </c>
      <c r="B1032" s="42">
        <f>'Part 2 - CAPM 2.1, 2.2 and 2.3'!N1032</f>
        <v>9.2078771232919077E-3</v>
      </c>
      <c r="C1032" s="42">
        <f>'Part 2 - CAPM 2.1, 2.2 and 2.3'!O1032</f>
        <v>1.0858040797026401E-2</v>
      </c>
      <c r="E1032" s="16">
        <v>45107</v>
      </c>
      <c r="F1032" s="17">
        <v>6.7699999999999996E-2</v>
      </c>
      <c r="G1032" s="41">
        <f t="shared" si="114"/>
        <v>1.7948679679258284E-4</v>
      </c>
      <c r="L1032" s="40">
        <f t="shared" si="112"/>
        <v>9.4076147672941413E-3</v>
      </c>
      <c r="M1032" s="40">
        <f t="shared" si="113"/>
        <v>1.1061407639374818E-2</v>
      </c>
      <c r="O1032" s="40">
        <f t="shared" si="115"/>
        <v>9.4076147672941413E-3</v>
      </c>
      <c r="P1032" s="207">
        <f t="shared" si="116"/>
        <v>1.7948679679258284E-4</v>
      </c>
      <c r="Q1032" s="208">
        <f t="shared" si="117"/>
        <v>1.0021992959873915</v>
      </c>
      <c r="R1032" s="40">
        <f t="shared" si="118"/>
        <v>9.2078771232919077E-3</v>
      </c>
      <c r="S1032" s="209">
        <v>0</v>
      </c>
    </row>
    <row r="1033" spans="1:19" x14ac:dyDescent="0.45">
      <c r="A1033" s="16">
        <v>45110</v>
      </c>
      <c r="B1033" s="42">
        <f>'Part 2 - CAPM 2.1, 2.2 and 2.3'!N1033</f>
        <v>5.7821687114241382E-3</v>
      </c>
      <c r="C1033" s="42">
        <f>'Part 2 - CAPM 2.1, 2.2 and 2.3'!O1033</f>
        <v>1.60401014751974E-2</v>
      </c>
      <c r="E1033" s="16">
        <v>45110</v>
      </c>
      <c r="F1033" s="17">
        <v>6.7699999999999996E-2</v>
      </c>
      <c r="G1033" s="41">
        <f t="shared" si="114"/>
        <v>1.7948679679258284E-4</v>
      </c>
      <c r="L1033" s="40">
        <f t="shared" si="112"/>
        <v>5.9743722086621773E-3</v>
      </c>
      <c r="M1033" s="40">
        <f t="shared" si="113"/>
        <v>1.6254865202801737E-2</v>
      </c>
      <c r="O1033" s="40">
        <f t="shared" si="115"/>
        <v>5.9743722086621773E-3</v>
      </c>
      <c r="P1033" s="207">
        <f t="shared" si="116"/>
        <v>1.7948679679258284E-4</v>
      </c>
      <c r="Q1033" s="208">
        <f t="shared" si="117"/>
        <v>1.0021992959873915</v>
      </c>
      <c r="R1033" s="40">
        <f t="shared" si="118"/>
        <v>5.7821687114241382E-3</v>
      </c>
      <c r="S1033" s="209">
        <v>0</v>
      </c>
    </row>
    <row r="1034" spans="1:19" x14ac:dyDescent="0.45">
      <c r="A1034" s="16">
        <v>45111</v>
      </c>
      <c r="B1034" s="42">
        <f>'Part 2 - CAPM 2.1, 2.2 and 2.3'!N1034</f>
        <v>1.5216903335596606E-3</v>
      </c>
      <c r="C1034" s="42">
        <f>'Part 2 - CAPM 2.1, 2.2 and 2.3'!O1034</f>
        <v>-1.0614310232670584E-2</v>
      </c>
      <c r="E1034" s="16">
        <v>45111</v>
      </c>
      <c r="F1034" s="17">
        <v>6.7299999999999999E-2</v>
      </c>
      <c r="G1034" s="41">
        <f t="shared" si="114"/>
        <v>1.7846001781474108E-4</v>
      </c>
      <c r="L1034" s="40">
        <f t="shared" si="112"/>
        <v>1.7034969988190519E-3</v>
      </c>
      <c r="M1034" s="40">
        <f t="shared" si="113"/>
        <v>-1.0459194224759485E-2</v>
      </c>
      <c r="O1034" s="40">
        <f t="shared" si="115"/>
        <v>1.7034969988190519E-3</v>
      </c>
      <c r="P1034" s="207">
        <f t="shared" si="116"/>
        <v>1.7846001781474108E-4</v>
      </c>
      <c r="Q1034" s="208">
        <f t="shared" si="117"/>
        <v>1.0021992959873915</v>
      </c>
      <c r="R1034" s="40">
        <f t="shared" si="118"/>
        <v>1.5216903335596606E-3</v>
      </c>
      <c r="S1034" s="209">
        <v>0</v>
      </c>
    </row>
    <row r="1035" spans="1:19" x14ac:dyDescent="0.45">
      <c r="A1035" s="16">
        <v>45112</v>
      </c>
      <c r="B1035" s="42">
        <f>'Part 2 - CAPM 2.1, 2.2 and 2.3'!N1035</f>
        <v>2.307036220720505E-3</v>
      </c>
      <c r="C1035" s="42">
        <f>'Part 2 - CAPM 2.1, 2.2 and 2.3'!O1035</f>
        <v>9.747098294840488E-3</v>
      </c>
      <c r="E1035" s="16">
        <v>45112</v>
      </c>
      <c r="F1035" s="17">
        <v>6.7299999999999999E-2</v>
      </c>
      <c r="G1035" s="41">
        <f t="shared" si="114"/>
        <v>1.7846001781474108E-4</v>
      </c>
      <c r="L1035" s="40">
        <f t="shared" si="112"/>
        <v>2.4905700940382434E-3</v>
      </c>
      <c r="M1035" s="40">
        <f t="shared" si="113"/>
        <v>9.9469950668237828E-3</v>
      </c>
      <c r="O1035" s="40">
        <f t="shared" si="115"/>
        <v>2.4905700940382434E-3</v>
      </c>
      <c r="P1035" s="207">
        <f t="shared" si="116"/>
        <v>1.7846001781474108E-4</v>
      </c>
      <c r="Q1035" s="208">
        <f t="shared" si="117"/>
        <v>1.0021992959873915</v>
      </c>
      <c r="R1035" s="40">
        <f t="shared" si="118"/>
        <v>2.307036220720505E-3</v>
      </c>
      <c r="S1035" s="209">
        <v>0</v>
      </c>
    </row>
    <row r="1036" spans="1:19" x14ac:dyDescent="0.45">
      <c r="A1036" s="16">
        <v>45113</v>
      </c>
      <c r="B1036" s="42">
        <f>'Part 2 - CAPM 2.1, 2.2 and 2.3'!N1036</f>
        <v>5.7165992919456544E-3</v>
      </c>
      <c r="C1036" s="42">
        <f>'Part 2 - CAPM 2.1, 2.2 and 2.3'!O1036</f>
        <v>1.5791542515251306E-2</v>
      </c>
      <c r="E1036" s="16">
        <v>45113</v>
      </c>
      <c r="F1036" s="17">
        <v>6.7500000000000004E-2</v>
      </c>
      <c r="G1036" s="41">
        <f t="shared" si="114"/>
        <v>1.7897345526463049E-4</v>
      </c>
      <c r="L1036" s="40">
        <f t="shared" si="112"/>
        <v>5.9081452410945862E-3</v>
      </c>
      <c r="M1036" s="40">
        <f t="shared" si="113"/>
        <v>1.6005246246604453E-2</v>
      </c>
      <c r="O1036" s="40">
        <f t="shared" si="115"/>
        <v>5.9081452410945862E-3</v>
      </c>
      <c r="P1036" s="207">
        <f t="shared" si="116"/>
        <v>1.7897345526463049E-4</v>
      </c>
      <c r="Q1036" s="208">
        <f t="shared" si="117"/>
        <v>1.0021992959873915</v>
      </c>
      <c r="R1036" s="40">
        <f t="shared" si="118"/>
        <v>5.7165992919456544E-3</v>
      </c>
      <c r="S1036" s="209">
        <v>0</v>
      </c>
    </row>
    <row r="1037" spans="1:19" x14ac:dyDescent="0.45">
      <c r="A1037" s="16">
        <v>45114</v>
      </c>
      <c r="B1037" s="42">
        <f>'Part 2 - CAPM 2.1, 2.2 and 2.3'!N1037</f>
        <v>-7.9741839000431747E-3</v>
      </c>
      <c r="C1037" s="42">
        <f>'Part 2 - CAPM 2.1, 2.2 and 2.3'!O1037</f>
        <v>-1.1665763524465319E-2</v>
      </c>
      <c r="E1037" s="16">
        <v>45114</v>
      </c>
      <c r="F1037" s="17">
        <v>6.7299999999999999E-2</v>
      </c>
      <c r="G1037" s="41">
        <f t="shared" si="114"/>
        <v>1.7846001781474108E-4</v>
      </c>
      <c r="L1037" s="40">
        <f t="shared" si="112"/>
        <v>-7.8132614728825215E-3</v>
      </c>
      <c r="M1037" s="40">
        <f t="shared" si="113"/>
        <v>-1.1512959973559793E-2</v>
      </c>
      <c r="O1037" s="40">
        <f t="shared" si="115"/>
        <v>-7.8132614728825215E-3</v>
      </c>
      <c r="P1037" s="207">
        <f t="shared" si="116"/>
        <v>1.7846001781474108E-4</v>
      </c>
      <c r="Q1037" s="208">
        <f t="shared" si="117"/>
        <v>1.0021992959873915</v>
      </c>
      <c r="R1037" s="40">
        <f t="shared" si="118"/>
        <v>-7.9741839000431747E-3</v>
      </c>
      <c r="S1037" s="209">
        <v>0</v>
      </c>
    </row>
    <row r="1038" spans="1:19" x14ac:dyDescent="0.45">
      <c r="A1038" s="16">
        <v>45117</v>
      </c>
      <c r="B1038" s="42">
        <f>'Part 2 - CAPM 2.1, 2.2 and 2.3'!N1038</f>
        <v>-8.5208346498406461E-4</v>
      </c>
      <c r="C1038" s="42">
        <f>'Part 2 - CAPM 2.1, 2.2 and 2.3'!O1038</f>
        <v>-4.766129418567383E-3</v>
      </c>
      <c r="E1038" s="16">
        <v>45117</v>
      </c>
      <c r="F1038" s="17">
        <v>6.7500000000000004E-2</v>
      </c>
      <c r="G1038" s="41">
        <f t="shared" si="114"/>
        <v>1.7897345526463049E-4</v>
      </c>
      <c r="L1038" s="40">
        <f t="shared" si="112"/>
        <v>-6.7498399346489627E-4</v>
      </c>
      <c r="M1038" s="40">
        <f t="shared" si="113"/>
        <v>-4.5976380926083969E-3</v>
      </c>
      <c r="O1038" s="40">
        <f t="shared" si="115"/>
        <v>-6.7498399346489627E-4</v>
      </c>
      <c r="P1038" s="207">
        <f t="shared" si="116"/>
        <v>1.7897345526463049E-4</v>
      </c>
      <c r="Q1038" s="208">
        <f t="shared" si="117"/>
        <v>1.0021992959873915</v>
      </c>
      <c r="R1038" s="40">
        <f t="shared" si="118"/>
        <v>-8.5208346498406461E-4</v>
      </c>
      <c r="S1038" s="209">
        <v>0</v>
      </c>
    </row>
    <row r="1039" spans="1:19" x14ac:dyDescent="0.45">
      <c r="A1039" s="16">
        <v>45118</v>
      </c>
      <c r="B1039" s="42">
        <f>'Part 2 - CAPM 2.1, 2.2 and 2.3'!N1039</f>
        <v>5.5153707004957225E-3</v>
      </c>
      <c r="C1039" s="42">
        <f>'Part 2 - CAPM 2.1, 2.2 and 2.3'!O1039</f>
        <v>1.1188924233052028E-2</v>
      </c>
      <c r="E1039" s="16">
        <v>45118</v>
      </c>
      <c r="F1039" s="17">
        <v>6.7199999999999996E-2</v>
      </c>
      <c r="G1039" s="41">
        <f t="shared" si="114"/>
        <v>1.7820326310769019E-4</v>
      </c>
      <c r="L1039" s="40">
        <f t="shared" si="112"/>
        <v>5.7057038962539898E-3</v>
      </c>
      <c r="M1039" s="40">
        <f t="shared" si="113"/>
        <v>1.1391735252328698E-2</v>
      </c>
      <c r="O1039" s="40">
        <f t="shared" si="115"/>
        <v>5.7057038962539898E-3</v>
      </c>
      <c r="P1039" s="207">
        <f t="shared" si="116"/>
        <v>1.7820326310769019E-4</v>
      </c>
      <c r="Q1039" s="208">
        <f t="shared" si="117"/>
        <v>1.0021992959873915</v>
      </c>
      <c r="R1039" s="40">
        <f t="shared" si="118"/>
        <v>5.5153707004957225E-3</v>
      </c>
      <c r="S1039" s="209">
        <v>0</v>
      </c>
    </row>
    <row r="1040" spans="1:19" x14ac:dyDescent="0.45">
      <c r="A1040" s="16">
        <v>45119</v>
      </c>
      <c r="B1040" s="42">
        <f>'Part 2 - CAPM 2.1, 2.2 and 2.3'!N1040</f>
        <v>-5.956708267790458E-4</v>
      </c>
      <c r="C1040" s="42">
        <f>'Part 2 - CAPM 2.1, 2.2 and 2.3'!O1040</f>
        <v>1.8351565874194932E-2</v>
      </c>
      <c r="E1040" s="16">
        <v>45119</v>
      </c>
      <c r="F1040" s="17">
        <v>6.7199999999999996E-2</v>
      </c>
      <c r="G1040" s="41">
        <f t="shared" si="114"/>
        <v>1.7820326310769019E-4</v>
      </c>
      <c r="L1040" s="40">
        <f t="shared" si="112"/>
        <v>-4.1877762013049693E-4</v>
      </c>
      <c r="M1040" s="40">
        <f t="shared" si="113"/>
        <v>1.857012966249209E-2</v>
      </c>
      <c r="O1040" s="40">
        <f t="shared" si="115"/>
        <v>-4.1877762013049693E-4</v>
      </c>
      <c r="P1040" s="207">
        <f t="shared" si="116"/>
        <v>1.7820326310769019E-4</v>
      </c>
      <c r="Q1040" s="208">
        <f t="shared" si="117"/>
        <v>1.0021992959873915</v>
      </c>
      <c r="R1040" s="40">
        <f t="shared" si="118"/>
        <v>-5.956708267790458E-4</v>
      </c>
      <c r="S1040" s="209">
        <v>0</v>
      </c>
    </row>
    <row r="1041" spans="1:19" x14ac:dyDescent="0.45">
      <c r="A1041" s="16">
        <v>45120</v>
      </c>
      <c r="B1041" s="42">
        <f>'Part 2 - CAPM 2.1, 2.2 and 2.3'!N1041</f>
        <v>-1.2087872707272705E-3</v>
      </c>
      <c r="C1041" s="42">
        <f>'Part 2 - CAPM 2.1, 2.2 and 2.3'!O1041</f>
        <v>7.165178821354096E-4</v>
      </c>
      <c r="E1041" s="16">
        <v>45120</v>
      </c>
      <c r="F1041" s="17">
        <v>6.7199999999999996E-2</v>
      </c>
      <c r="G1041" s="41">
        <f t="shared" si="114"/>
        <v>1.7820326310769019E-4</v>
      </c>
      <c r="L1041" s="40">
        <f t="shared" si="112"/>
        <v>-1.0332424886137007E-3</v>
      </c>
      <c r="M1041" s="40">
        <f t="shared" si="113"/>
        <v>8.9629698014617449E-4</v>
      </c>
      <c r="O1041" s="40">
        <f t="shared" si="115"/>
        <v>-1.0332424886137007E-3</v>
      </c>
      <c r="P1041" s="207">
        <f t="shared" si="116"/>
        <v>1.7820326310769019E-4</v>
      </c>
      <c r="Q1041" s="208">
        <f t="shared" si="117"/>
        <v>1.0021992959873915</v>
      </c>
      <c r="R1041" s="40">
        <f t="shared" si="118"/>
        <v>-1.2087872707272705E-3</v>
      </c>
      <c r="S1041" s="209">
        <v>0</v>
      </c>
    </row>
    <row r="1042" spans="1:19" x14ac:dyDescent="0.45">
      <c r="A1042" s="16">
        <v>45121</v>
      </c>
      <c r="B1042" s="42">
        <f>'Part 2 - CAPM 2.1, 2.2 and 2.3'!N1042</f>
        <v>8.3363890849829942E-3</v>
      </c>
      <c r="C1042" s="42">
        <f>'Part 2 - CAPM 2.1, 2.2 and 2.3'!O1042</f>
        <v>8.462779553102949E-3</v>
      </c>
      <c r="E1042" s="16">
        <v>45121</v>
      </c>
      <c r="F1042" s="17">
        <v>6.7299999999999999E-2</v>
      </c>
      <c r="G1042" s="41">
        <f t="shared" si="114"/>
        <v>1.7846001781474108E-4</v>
      </c>
      <c r="L1042" s="40">
        <f t="shared" si="112"/>
        <v>8.5331832898616726E-3</v>
      </c>
      <c r="M1042" s="40">
        <f t="shared" si="113"/>
        <v>8.6598517280310084E-3</v>
      </c>
      <c r="O1042" s="40">
        <f t="shared" si="115"/>
        <v>8.5331832898616726E-3</v>
      </c>
      <c r="P1042" s="207">
        <f t="shared" si="116"/>
        <v>1.7846001781474108E-4</v>
      </c>
      <c r="Q1042" s="208">
        <f t="shared" si="117"/>
        <v>1.0021992959873915</v>
      </c>
      <c r="R1042" s="40">
        <f t="shared" si="118"/>
        <v>8.3363890849829942E-3</v>
      </c>
      <c r="S1042" s="209">
        <v>0</v>
      </c>
    </row>
    <row r="1043" spans="1:19" x14ac:dyDescent="0.45">
      <c r="A1043" s="16">
        <v>45124</v>
      </c>
      <c r="B1043" s="42">
        <f>'Part 2 - CAPM 2.1, 2.2 and 2.3'!N1043</f>
        <v>6.1798542534990944E-3</v>
      </c>
      <c r="C1043" s="42">
        <f>'Part 2 - CAPM 2.1, 2.2 and 2.3'!O1043</f>
        <v>-1.7017455586500085E-2</v>
      </c>
      <c r="E1043" s="16">
        <v>45124</v>
      </c>
      <c r="F1043" s="17">
        <v>6.7299999999999999E-2</v>
      </c>
      <c r="G1043" s="41">
        <f t="shared" si="114"/>
        <v>1.7846001781474108E-4</v>
      </c>
      <c r="L1043" s="40">
        <f t="shared" si="112"/>
        <v>6.3719055999762204E-3</v>
      </c>
      <c r="M1043" s="40">
        <f t="shared" si="113"/>
        <v>-1.6876421990472349E-2</v>
      </c>
      <c r="O1043" s="40">
        <f t="shared" si="115"/>
        <v>6.3719055999762204E-3</v>
      </c>
      <c r="P1043" s="207">
        <f t="shared" si="116"/>
        <v>1.7846001781474108E-4</v>
      </c>
      <c r="Q1043" s="208">
        <f t="shared" si="117"/>
        <v>1.0021992959873915</v>
      </c>
      <c r="R1043" s="40">
        <f t="shared" si="118"/>
        <v>6.1798542534990944E-3</v>
      </c>
      <c r="S1043" s="209">
        <v>0</v>
      </c>
    </row>
    <row r="1044" spans="1:19" x14ac:dyDescent="0.45">
      <c r="A1044" s="16">
        <v>45125</v>
      </c>
      <c r="B1044" s="42">
        <f>'Part 2 - CAPM 2.1, 2.2 and 2.3'!N1044</f>
        <v>-1.81680229555399E-4</v>
      </c>
      <c r="C1044" s="42">
        <f>'Part 2 - CAPM 2.1, 2.2 and 2.3'!O1044</f>
        <v>2.8260909437755992E-3</v>
      </c>
      <c r="E1044" s="16">
        <v>45125</v>
      </c>
      <c r="F1044" s="17">
        <v>6.7400000000000002E-2</v>
      </c>
      <c r="G1044" s="41">
        <f t="shared" si="114"/>
        <v>1.7871674853209285E-4</v>
      </c>
      <c r="L1044" s="40">
        <f t="shared" si="112"/>
        <v>-3.3630496231557244E-6</v>
      </c>
      <c r="M1044" s="40">
        <f t="shared" si="113"/>
        <v>3.0110231027803414E-3</v>
      </c>
      <c r="O1044" s="40">
        <f t="shared" si="115"/>
        <v>-3.3630496231557244E-6</v>
      </c>
      <c r="P1044" s="207">
        <f t="shared" si="116"/>
        <v>1.7871674853209285E-4</v>
      </c>
      <c r="Q1044" s="208">
        <f t="shared" si="117"/>
        <v>1.0021992959873915</v>
      </c>
      <c r="R1044" s="40">
        <f t="shared" si="118"/>
        <v>-1.81680229555399E-4</v>
      </c>
      <c r="S1044" s="209">
        <v>0</v>
      </c>
    </row>
    <row r="1045" spans="1:19" x14ac:dyDescent="0.45">
      <c r="A1045" s="16">
        <v>45126</v>
      </c>
      <c r="B1045" s="42">
        <f>'Part 2 - CAPM 2.1, 2.2 and 2.3'!N1045</f>
        <v>4.6517716345878691E-3</v>
      </c>
      <c r="C1045" s="42">
        <f>'Part 2 - CAPM 2.1, 2.2 and 2.3'!O1045</f>
        <v>-1.0774585100659794E-3</v>
      </c>
      <c r="E1045" s="16">
        <v>45126</v>
      </c>
      <c r="F1045" s="17">
        <v>6.7400000000000002E-2</v>
      </c>
      <c r="G1045" s="41">
        <f t="shared" si="114"/>
        <v>1.7871674853209285E-4</v>
      </c>
      <c r="L1045" s="40">
        <f t="shared" si="112"/>
        <v>4.8407190058101729E-3</v>
      </c>
      <c r="M1045" s="40">
        <f t="shared" si="113"/>
        <v>-9.0111141171165545E-4</v>
      </c>
      <c r="O1045" s="40">
        <f t="shared" si="115"/>
        <v>4.8407190058101729E-3</v>
      </c>
      <c r="P1045" s="207">
        <f t="shared" si="116"/>
        <v>1.7871674853209285E-4</v>
      </c>
      <c r="Q1045" s="208">
        <f t="shared" si="117"/>
        <v>1.0021992959873915</v>
      </c>
      <c r="R1045" s="40">
        <f t="shared" si="118"/>
        <v>4.6517716345878691E-3</v>
      </c>
      <c r="S1045" s="209">
        <v>0</v>
      </c>
    </row>
    <row r="1046" spans="1:19" x14ac:dyDescent="0.45">
      <c r="A1046" s="16">
        <v>45127</v>
      </c>
      <c r="B1046" s="42">
        <f>'Part 2 - CAPM 2.1, 2.2 and 2.3'!N1046</f>
        <v>5.0738859588734149E-3</v>
      </c>
      <c r="C1046" s="42">
        <f>'Part 2 - CAPM 2.1, 2.2 and 2.3'!O1046</f>
        <v>2.5199339261305076E-3</v>
      </c>
      <c r="E1046" s="16">
        <v>45127</v>
      </c>
      <c r="F1046" s="17">
        <v>6.7400000000000002E-2</v>
      </c>
      <c r="G1046" s="41">
        <f t="shared" si="114"/>
        <v>1.7871674853209285E-4</v>
      </c>
      <c r="L1046" s="40">
        <f t="shared" si="112"/>
        <v>5.2637616844353405E-3</v>
      </c>
      <c r="M1046" s="40">
        <f t="shared" si="113"/>
        <v>2.7041927552348311E-3</v>
      </c>
      <c r="O1046" s="40">
        <f t="shared" si="115"/>
        <v>5.2637616844353405E-3</v>
      </c>
      <c r="P1046" s="207">
        <f t="shared" si="116"/>
        <v>1.7871674853209285E-4</v>
      </c>
      <c r="Q1046" s="208">
        <f t="shared" si="117"/>
        <v>1.0021992959873915</v>
      </c>
      <c r="R1046" s="40">
        <f t="shared" si="118"/>
        <v>5.0738859588734149E-3</v>
      </c>
      <c r="S1046" s="209">
        <v>0</v>
      </c>
    </row>
    <row r="1047" spans="1:19" x14ac:dyDescent="0.45">
      <c r="A1047" s="16">
        <v>45128</v>
      </c>
      <c r="B1047" s="42">
        <f>'Part 2 - CAPM 2.1, 2.2 and 2.3'!N1047</f>
        <v>-8.290508977624159E-3</v>
      </c>
      <c r="C1047" s="42">
        <f>'Part 2 - CAPM 2.1, 2.2 and 2.3'!O1047</f>
        <v>1.985742514964951E-2</v>
      </c>
      <c r="E1047" s="16">
        <v>45128</v>
      </c>
      <c r="F1047" s="17">
        <v>6.7299999999999999E-2</v>
      </c>
      <c r="G1047" s="41">
        <f t="shared" si="114"/>
        <v>1.7846001781474108E-4</v>
      </c>
      <c r="L1047" s="40">
        <f t="shared" si="112"/>
        <v>-8.1302822429373395E-3</v>
      </c>
      <c r="M1047" s="40">
        <f t="shared" si="113"/>
        <v>2.0079557522915802E-2</v>
      </c>
      <c r="O1047" s="40">
        <f t="shared" si="115"/>
        <v>-8.1302822429373395E-3</v>
      </c>
      <c r="P1047" s="207">
        <f t="shared" si="116"/>
        <v>1.7846001781474108E-4</v>
      </c>
      <c r="Q1047" s="208">
        <f t="shared" si="117"/>
        <v>1.0021992959873915</v>
      </c>
      <c r="R1047" s="40">
        <f t="shared" si="118"/>
        <v>-8.290508977624159E-3</v>
      </c>
      <c r="S1047" s="209">
        <v>0</v>
      </c>
    </row>
    <row r="1048" spans="1:19" x14ac:dyDescent="0.45">
      <c r="A1048" s="16">
        <v>45131</v>
      </c>
      <c r="B1048" s="42">
        <f>'Part 2 - CAPM 2.1, 2.2 and 2.3'!N1048</f>
        <v>-2.4946955231632708E-3</v>
      </c>
      <c r="C1048" s="42">
        <f>'Part 2 - CAPM 2.1, 2.2 and 2.3'!O1048</f>
        <v>2.4598056789084735E-3</v>
      </c>
      <c r="E1048" s="16">
        <v>45131</v>
      </c>
      <c r="F1048" s="17">
        <v>6.7400000000000002E-2</v>
      </c>
      <c r="G1048" s="41">
        <f t="shared" si="114"/>
        <v>1.7871674853209285E-4</v>
      </c>
      <c r="L1048" s="40">
        <f t="shared" si="112"/>
        <v>-2.3214653484850347E-3</v>
      </c>
      <c r="M1048" s="40">
        <f t="shared" si="113"/>
        <v>2.6439322681999526E-3</v>
      </c>
      <c r="O1048" s="40">
        <f t="shared" si="115"/>
        <v>-2.3214653484850347E-3</v>
      </c>
      <c r="P1048" s="207">
        <f t="shared" si="116"/>
        <v>1.7871674853209285E-4</v>
      </c>
      <c r="Q1048" s="208">
        <f t="shared" si="117"/>
        <v>1.0021992959873915</v>
      </c>
      <c r="R1048" s="40">
        <f t="shared" si="118"/>
        <v>-2.4946955231632708E-3</v>
      </c>
      <c r="S1048" s="209">
        <v>0</v>
      </c>
    </row>
    <row r="1049" spans="1:19" x14ac:dyDescent="0.45">
      <c r="A1049" s="16">
        <v>45132</v>
      </c>
      <c r="B1049" s="42">
        <f>'Part 2 - CAPM 2.1, 2.2 and 2.3'!N1049</f>
        <v>1.704120332789908E-3</v>
      </c>
      <c r="C1049" s="42">
        <f>'Part 2 - CAPM 2.1, 2.2 and 2.3'!O1049</f>
        <v>1.1517446414933796E-2</v>
      </c>
      <c r="E1049" s="16">
        <v>45132</v>
      </c>
      <c r="F1049" s="17">
        <v>6.7299999999999999E-2</v>
      </c>
      <c r="G1049" s="41">
        <f t="shared" si="114"/>
        <v>1.7846001781474108E-4</v>
      </c>
      <c r="L1049" s="40">
        <f t="shared" si="112"/>
        <v>1.8863282156145863E-3</v>
      </c>
      <c r="M1049" s="40">
        <f t="shared" si="113"/>
        <v>1.1721236706433899E-2</v>
      </c>
      <c r="O1049" s="40">
        <f t="shared" si="115"/>
        <v>1.8863282156145863E-3</v>
      </c>
      <c r="P1049" s="207">
        <f t="shared" si="116"/>
        <v>1.7846001781474108E-4</v>
      </c>
      <c r="Q1049" s="208">
        <f t="shared" si="117"/>
        <v>1.0021992959873915</v>
      </c>
      <c r="R1049" s="40">
        <f t="shared" si="118"/>
        <v>1.704120332789908E-3</v>
      </c>
      <c r="S1049" s="209">
        <v>0</v>
      </c>
    </row>
    <row r="1050" spans="1:19" x14ac:dyDescent="0.45">
      <c r="A1050" s="16">
        <v>45133</v>
      </c>
      <c r="B1050" s="42">
        <f>'Part 2 - CAPM 2.1, 2.2 and 2.3'!N1050</f>
        <v>4.4434328765469771E-3</v>
      </c>
      <c r="C1050" s="42">
        <f>'Part 2 - CAPM 2.1, 2.2 and 2.3'!O1050</f>
        <v>-4.67734089572621E-4</v>
      </c>
      <c r="E1050" s="16">
        <v>45133</v>
      </c>
      <c r="F1050" s="17">
        <v>6.7400000000000002E-2</v>
      </c>
      <c r="G1050" s="41">
        <f t="shared" si="114"/>
        <v>1.7871674853209285E-4</v>
      </c>
      <c r="L1050" s="40">
        <f t="shared" si="112"/>
        <v>4.6319220491747035E-3</v>
      </c>
      <c r="M1050" s="40">
        <f t="shared" si="113"/>
        <v>-2.9004602674689145E-4</v>
      </c>
      <c r="O1050" s="40">
        <f t="shared" si="115"/>
        <v>4.6319220491747035E-3</v>
      </c>
      <c r="P1050" s="207">
        <f t="shared" si="116"/>
        <v>1.7871674853209285E-4</v>
      </c>
      <c r="Q1050" s="208">
        <f t="shared" si="117"/>
        <v>1.0021992959873915</v>
      </c>
      <c r="R1050" s="40">
        <f t="shared" si="118"/>
        <v>4.4434328765469771E-3</v>
      </c>
      <c r="S1050" s="209">
        <v>0</v>
      </c>
    </row>
    <row r="1051" spans="1:19" x14ac:dyDescent="0.45">
      <c r="A1051" s="16">
        <v>45134</v>
      </c>
      <c r="B1051" s="42">
        <f>'Part 2 - CAPM 2.1, 2.2 and 2.3'!N1051</f>
        <v>-3.4656470575790575E-3</v>
      </c>
      <c r="C1051" s="42">
        <f>'Part 2 - CAPM 2.1, 2.2 and 2.3'!O1051</f>
        <v>-1.1453394970113029E-2</v>
      </c>
      <c r="E1051" s="16">
        <v>45134</v>
      </c>
      <c r="F1051" s="17">
        <v>6.7299999999999999E-2</v>
      </c>
      <c r="G1051" s="41">
        <f t="shared" si="114"/>
        <v>1.7846001781474108E-4</v>
      </c>
      <c r="L1051" s="40">
        <f t="shared" si="112"/>
        <v>-3.2948090234317653E-3</v>
      </c>
      <c r="M1051" s="40">
        <f t="shared" si="113"/>
        <v>-1.1300124357898067E-2</v>
      </c>
      <c r="O1051" s="40">
        <f t="shared" si="115"/>
        <v>-3.2948090234317653E-3</v>
      </c>
      <c r="P1051" s="207">
        <f t="shared" si="116"/>
        <v>1.7846001781474108E-4</v>
      </c>
      <c r="Q1051" s="208">
        <f t="shared" si="117"/>
        <v>1.0021992959873915</v>
      </c>
      <c r="R1051" s="40">
        <f t="shared" si="118"/>
        <v>-3.4656470575790575E-3</v>
      </c>
      <c r="S1051" s="209">
        <v>0</v>
      </c>
    </row>
    <row r="1052" spans="1:19" x14ac:dyDescent="0.45">
      <c r="A1052" s="16">
        <v>45135</v>
      </c>
      <c r="B1052" s="42">
        <f>'Part 2 - CAPM 2.1, 2.2 and 2.3'!N1052</f>
        <v>1.5439212442482197E-3</v>
      </c>
      <c r="C1052" s="42">
        <f>'Part 2 - CAPM 2.1, 2.2 and 2.3'!O1052</f>
        <v>4.4993891178348516E-3</v>
      </c>
      <c r="E1052" s="16">
        <v>45135</v>
      </c>
      <c r="F1052" s="17">
        <v>6.7500000000000004E-2</v>
      </c>
      <c r="G1052" s="41">
        <f t="shared" si="114"/>
        <v>1.7897345526463049E-4</v>
      </c>
      <c r="L1052" s="40">
        <f t="shared" si="112"/>
        <v>1.7262902393101738E-3</v>
      </c>
      <c r="M1052" s="40">
        <f t="shared" si="113"/>
        <v>4.6882580615320493E-3</v>
      </c>
      <c r="O1052" s="40">
        <f t="shared" si="115"/>
        <v>1.7262902393101738E-3</v>
      </c>
      <c r="P1052" s="207">
        <f t="shared" si="116"/>
        <v>1.7897345526463049E-4</v>
      </c>
      <c r="Q1052" s="208">
        <f t="shared" si="117"/>
        <v>1.0021992959873915</v>
      </c>
      <c r="R1052" s="40">
        <f t="shared" si="118"/>
        <v>1.5439212442482197E-3</v>
      </c>
      <c r="S1052" s="209">
        <v>0</v>
      </c>
    </row>
    <row r="1053" spans="1:19" x14ac:dyDescent="0.45">
      <c r="A1053" s="16">
        <v>45138</v>
      </c>
      <c r="B1053" s="42">
        <f>'Part 2 - CAPM 2.1, 2.2 and 2.3'!N1053</f>
        <v>6.3499423834778943E-3</v>
      </c>
      <c r="C1053" s="42">
        <f>'Part 2 - CAPM 2.1, 2.2 and 2.3'!O1053</f>
        <v>3.0380072541339849E-2</v>
      </c>
      <c r="E1053" s="16">
        <v>45138</v>
      </c>
      <c r="F1053" s="17">
        <v>6.7400000000000002E-2</v>
      </c>
      <c r="G1053" s="41">
        <f t="shared" si="114"/>
        <v>1.7871674853209285E-4</v>
      </c>
      <c r="L1053" s="40">
        <f t="shared" si="112"/>
        <v>6.5426245348141378E-3</v>
      </c>
      <c r="M1053" s="40">
        <f t="shared" si="113"/>
        <v>3.0625604061508774E-2</v>
      </c>
      <c r="O1053" s="40">
        <f t="shared" si="115"/>
        <v>6.5426245348141378E-3</v>
      </c>
      <c r="P1053" s="207">
        <f t="shared" si="116"/>
        <v>1.7871674853209285E-4</v>
      </c>
      <c r="Q1053" s="208">
        <f t="shared" si="117"/>
        <v>1.0021992959873915</v>
      </c>
      <c r="R1053" s="40">
        <f t="shared" si="118"/>
        <v>6.3499423834778943E-3</v>
      </c>
      <c r="S1053" s="209">
        <v>0</v>
      </c>
    </row>
    <row r="1054" spans="1:19" x14ac:dyDescent="0.45">
      <c r="A1054" s="16">
        <v>45139</v>
      </c>
      <c r="B1054" s="42">
        <f>'Part 2 - CAPM 2.1, 2.2 and 2.3'!N1054</f>
        <v>-6.3888440197007543E-4</v>
      </c>
      <c r="C1054" s="42">
        <f>'Part 2 - CAPM 2.1, 2.2 and 2.3'!O1054</f>
        <v>-2.1555594483345371E-3</v>
      </c>
      <c r="E1054" s="16">
        <v>45139</v>
      </c>
      <c r="F1054" s="17">
        <v>6.7400000000000002E-2</v>
      </c>
      <c r="G1054" s="41">
        <f t="shared" si="114"/>
        <v>1.7871674853209285E-4</v>
      </c>
      <c r="L1054" s="40">
        <f t="shared" si="112"/>
        <v>-4.6157274933964247E-4</v>
      </c>
      <c r="M1054" s="40">
        <f t="shared" si="113"/>
        <v>-1.9815834130477504E-3</v>
      </c>
      <c r="O1054" s="40">
        <f t="shared" si="115"/>
        <v>-4.6157274933964247E-4</v>
      </c>
      <c r="P1054" s="207">
        <f t="shared" si="116"/>
        <v>1.7871674853209285E-4</v>
      </c>
      <c r="Q1054" s="208">
        <f t="shared" si="117"/>
        <v>1.0021992959873915</v>
      </c>
      <c r="R1054" s="40">
        <f t="shared" si="118"/>
        <v>-6.3888440197007543E-4</v>
      </c>
      <c r="S1054" s="209">
        <v>0</v>
      </c>
    </row>
    <row r="1055" spans="1:19" x14ac:dyDescent="0.45">
      <c r="A1055" s="16">
        <v>45140</v>
      </c>
      <c r="B1055" s="42">
        <f>'Part 2 - CAPM 2.1, 2.2 and 2.3'!N1055</f>
        <v>-1.145068374196073E-2</v>
      </c>
      <c r="C1055" s="42">
        <f>'Part 2 - CAPM 2.1, 2.2 and 2.3'!O1055</f>
        <v>-4.4231989217069657E-3</v>
      </c>
      <c r="E1055" s="16">
        <v>45140</v>
      </c>
      <c r="F1055" s="17">
        <v>6.7400000000000002E-2</v>
      </c>
      <c r="G1055" s="41">
        <f t="shared" si="114"/>
        <v>1.7871674853209285E-4</v>
      </c>
      <c r="L1055" s="40">
        <f t="shared" si="112"/>
        <v>-1.1297150436235222E-2</v>
      </c>
      <c r="M1055" s="40">
        <f t="shared" si="113"/>
        <v>-4.2542100968148179E-3</v>
      </c>
      <c r="O1055" s="40">
        <f t="shared" si="115"/>
        <v>-1.1297150436235222E-2</v>
      </c>
      <c r="P1055" s="207">
        <f t="shared" si="116"/>
        <v>1.7871674853209285E-4</v>
      </c>
      <c r="Q1055" s="208">
        <f t="shared" si="117"/>
        <v>1.0021992959873915</v>
      </c>
      <c r="R1055" s="40">
        <f t="shared" si="118"/>
        <v>-1.145068374196073E-2</v>
      </c>
      <c r="S1055" s="209">
        <v>0</v>
      </c>
    </row>
    <row r="1056" spans="1:19" x14ac:dyDescent="0.45">
      <c r="A1056" s="16">
        <v>45141</v>
      </c>
      <c r="B1056" s="42">
        <f>'Part 2 - CAPM 2.1, 2.2 and 2.3'!N1056</f>
        <v>-5.3184199922098694E-3</v>
      </c>
      <c r="C1056" s="42">
        <f>'Part 2 - CAPM 2.1, 2.2 and 2.3'!O1056</f>
        <v>-2.2059933003149852E-2</v>
      </c>
      <c r="E1056" s="16">
        <v>45141</v>
      </c>
      <c r="F1056" s="17">
        <v>6.7400000000000002E-2</v>
      </c>
      <c r="G1056" s="41">
        <f t="shared" si="114"/>
        <v>1.7871674853209285E-4</v>
      </c>
      <c r="L1056" s="40">
        <f t="shared" si="112"/>
        <v>-5.1514000234259066E-3</v>
      </c>
      <c r="M1056" s="40">
        <f t="shared" si="113"/>
        <v>-2.1929732576753715E-2</v>
      </c>
      <c r="O1056" s="40">
        <f t="shared" si="115"/>
        <v>-5.1514000234259066E-3</v>
      </c>
      <c r="P1056" s="207">
        <f t="shared" si="116"/>
        <v>1.7871674853209285E-4</v>
      </c>
      <c r="Q1056" s="208">
        <f t="shared" si="117"/>
        <v>1.0021992959873915</v>
      </c>
      <c r="R1056" s="40">
        <f t="shared" si="118"/>
        <v>-5.3184199922098694E-3</v>
      </c>
      <c r="S1056" s="209">
        <v>0</v>
      </c>
    </row>
    <row r="1057" spans="1:19" x14ac:dyDescent="0.45">
      <c r="A1057" s="16">
        <v>45142</v>
      </c>
      <c r="B1057" s="42">
        <f>'Part 2 - CAPM 2.1, 2.2 and 2.3'!N1057</f>
        <v>6.8748361908149208E-3</v>
      </c>
      <c r="C1057" s="42">
        <f>'Part 2 - CAPM 2.1, 2.2 and 2.3'!O1057</f>
        <v>7.0847590408720691E-3</v>
      </c>
      <c r="E1057" s="16">
        <v>45142</v>
      </c>
      <c r="F1057" s="17">
        <v>6.7299999999999999E-2</v>
      </c>
      <c r="G1057" s="41">
        <f t="shared" si="114"/>
        <v>1.7846001781474108E-4</v>
      </c>
      <c r="L1057" s="40">
        <f t="shared" si="112"/>
        <v>7.0684160082780953E-3</v>
      </c>
      <c r="M1057" s="40">
        <f t="shared" si="113"/>
        <v>7.2788005408170363E-3</v>
      </c>
      <c r="O1057" s="40">
        <f t="shared" si="115"/>
        <v>7.0684160082780953E-3</v>
      </c>
      <c r="P1057" s="207">
        <f t="shared" si="116"/>
        <v>1.7846001781474108E-4</v>
      </c>
      <c r="Q1057" s="208">
        <f t="shared" si="117"/>
        <v>1.0021992959873915</v>
      </c>
      <c r="R1057" s="40">
        <f t="shared" si="118"/>
        <v>6.8748361908149208E-3</v>
      </c>
      <c r="S1057" s="209">
        <v>0</v>
      </c>
    </row>
    <row r="1058" spans="1:19" x14ac:dyDescent="0.45">
      <c r="A1058" s="16">
        <v>45145</v>
      </c>
      <c r="B1058" s="42">
        <f>'Part 2 - CAPM 2.1, 2.2 and 2.3'!N1058</f>
        <v>3.7137242582564998E-3</v>
      </c>
      <c r="C1058" s="42">
        <f>'Part 2 - CAPM 2.1, 2.2 and 2.3'!O1058</f>
        <v>-2.4864438907997079E-3</v>
      </c>
      <c r="E1058" s="16">
        <v>45145</v>
      </c>
      <c r="F1058" s="17">
        <v>6.7500000000000004E-2</v>
      </c>
      <c r="G1058" s="41">
        <f t="shared" si="114"/>
        <v>1.7897345526463049E-4</v>
      </c>
      <c r="L1058" s="40">
        <f t="shared" si="112"/>
        <v>3.9008652923805923E-3</v>
      </c>
      <c r="M1058" s="40">
        <f t="shared" si="113"/>
        <v>-2.3129388616069876E-3</v>
      </c>
      <c r="O1058" s="40">
        <f t="shared" si="115"/>
        <v>3.9008652923805923E-3</v>
      </c>
      <c r="P1058" s="207">
        <f t="shared" si="116"/>
        <v>1.7897345526463049E-4</v>
      </c>
      <c r="Q1058" s="208">
        <f t="shared" si="117"/>
        <v>1.0021992959873915</v>
      </c>
      <c r="R1058" s="40">
        <f t="shared" si="118"/>
        <v>3.7137242582564998E-3</v>
      </c>
      <c r="S1058" s="209">
        <v>0</v>
      </c>
    </row>
    <row r="1059" spans="1:19" x14ac:dyDescent="0.45">
      <c r="A1059" s="16">
        <v>45146</v>
      </c>
      <c r="B1059" s="42">
        <f>'Part 2 - CAPM 2.1, 2.2 and 2.3'!N1059</f>
        <v>-5.9769564488672158E-4</v>
      </c>
      <c r="C1059" s="42">
        <f>'Part 2 - CAPM 2.1, 2.2 and 2.3'!O1059</f>
        <v>2.1338337144376288E-3</v>
      </c>
      <c r="E1059" s="16">
        <v>45146</v>
      </c>
      <c r="F1059" s="17">
        <v>6.7500000000000004E-2</v>
      </c>
      <c r="G1059" s="41">
        <f t="shared" si="114"/>
        <v>1.7897345526463049E-4</v>
      </c>
      <c r="L1059" s="40">
        <f t="shared" si="112"/>
        <v>-4.2003669925557189E-4</v>
      </c>
      <c r="M1059" s="40">
        <f t="shared" si="113"/>
        <v>2.3175001016281825E-3</v>
      </c>
      <c r="O1059" s="40">
        <f t="shared" si="115"/>
        <v>-4.2003669925557189E-4</v>
      </c>
      <c r="P1059" s="207">
        <f t="shared" si="116"/>
        <v>1.7897345526463049E-4</v>
      </c>
      <c r="Q1059" s="208">
        <f t="shared" si="117"/>
        <v>1.0021992959873915</v>
      </c>
      <c r="R1059" s="40">
        <f t="shared" si="118"/>
        <v>-5.9769564488672158E-4</v>
      </c>
      <c r="S1059" s="209">
        <v>0</v>
      </c>
    </row>
    <row r="1060" spans="1:19" x14ac:dyDescent="0.45">
      <c r="A1060" s="16">
        <v>45147</v>
      </c>
      <c r="B1060" s="42">
        <f>'Part 2 - CAPM 2.1, 2.2 and 2.3'!N1060</f>
        <v>3.0424080217917905E-3</v>
      </c>
      <c r="C1060" s="42">
        <f>'Part 2 - CAPM 2.1, 2.2 and 2.3'!O1060</f>
        <v>2.0299826660108957E-2</v>
      </c>
      <c r="E1060" s="16">
        <v>45147</v>
      </c>
      <c r="F1060" s="17">
        <v>6.7500000000000004E-2</v>
      </c>
      <c r="G1060" s="41">
        <f t="shared" si="114"/>
        <v>1.7897345526463049E-4</v>
      </c>
      <c r="L1060" s="40">
        <f t="shared" si="112"/>
        <v>3.2280726328107554E-3</v>
      </c>
      <c r="M1060" s="40">
        <f t="shared" si="113"/>
        <v>2.0523445442691909E-2</v>
      </c>
      <c r="O1060" s="40">
        <f t="shared" si="115"/>
        <v>3.2280726328107554E-3</v>
      </c>
      <c r="P1060" s="207">
        <f t="shared" si="116"/>
        <v>1.7897345526463049E-4</v>
      </c>
      <c r="Q1060" s="208">
        <f t="shared" si="117"/>
        <v>1.0021992959873915</v>
      </c>
      <c r="R1060" s="40">
        <f t="shared" si="118"/>
        <v>3.0424080217917905E-3</v>
      </c>
      <c r="S1060" s="209">
        <v>0</v>
      </c>
    </row>
    <row r="1061" spans="1:19" x14ac:dyDescent="0.45">
      <c r="A1061" s="16">
        <v>45148</v>
      </c>
      <c r="B1061" s="42">
        <f>'Part 2 - CAPM 2.1, 2.2 and 2.3'!N1061</f>
        <v>-3.943340277033823E-3</v>
      </c>
      <c r="C1061" s="42">
        <f>'Part 2 - CAPM 2.1, 2.2 and 2.3'!O1061</f>
        <v>9.7131078894708428E-3</v>
      </c>
      <c r="E1061" s="16">
        <v>45148</v>
      </c>
      <c r="F1061" s="17">
        <v>6.7699999999999996E-2</v>
      </c>
      <c r="G1061" s="41">
        <f t="shared" si="114"/>
        <v>1.7948679679258284E-4</v>
      </c>
      <c r="L1061" s="40">
        <f t="shared" si="112"/>
        <v>-3.7725260526894405E-3</v>
      </c>
      <c r="M1061" s="40">
        <f t="shared" si="113"/>
        <v>9.9139566854698404E-3</v>
      </c>
      <c r="O1061" s="40">
        <f t="shared" si="115"/>
        <v>-3.7725260526894405E-3</v>
      </c>
      <c r="P1061" s="207">
        <f t="shared" si="116"/>
        <v>1.7948679679258284E-4</v>
      </c>
      <c r="Q1061" s="208">
        <f t="shared" si="117"/>
        <v>1.0021992959873915</v>
      </c>
      <c r="R1061" s="40">
        <f t="shared" si="118"/>
        <v>-3.943340277033823E-3</v>
      </c>
      <c r="S1061" s="209">
        <v>0</v>
      </c>
    </row>
    <row r="1062" spans="1:19" x14ac:dyDescent="0.45">
      <c r="A1062" s="16">
        <v>45149</v>
      </c>
      <c r="B1062" s="42">
        <f>'Part 2 - CAPM 2.1, 2.2 and 2.3'!N1062</f>
        <v>-4.8843690714288459E-3</v>
      </c>
      <c r="C1062" s="42">
        <f>'Part 2 - CAPM 2.1, 2.2 and 2.3'!O1062</f>
        <v>-8.2959155681332879E-3</v>
      </c>
      <c r="E1062" s="16">
        <v>45149</v>
      </c>
      <c r="F1062" s="17">
        <v>6.7699999999999996E-2</v>
      </c>
      <c r="G1062" s="41">
        <f t="shared" si="114"/>
        <v>1.7948679679258284E-4</v>
      </c>
      <c r="L1062" s="40">
        <f t="shared" si="112"/>
        <v>-4.7156244479359954E-3</v>
      </c>
      <c r="M1062" s="40">
        <f t="shared" si="113"/>
        <v>-8.1346739451614389E-3</v>
      </c>
      <c r="O1062" s="40">
        <f t="shared" si="115"/>
        <v>-4.7156244479359954E-3</v>
      </c>
      <c r="P1062" s="207">
        <f t="shared" si="116"/>
        <v>1.7948679679258284E-4</v>
      </c>
      <c r="Q1062" s="208">
        <f t="shared" si="117"/>
        <v>1.0021992959873915</v>
      </c>
      <c r="R1062" s="40">
        <f t="shared" si="118"/>
        <v>-4.8843690714288459E-3</v>
      </c>
      <c r="S1062" s="209">
        <v>0</v>
      </c>
    </row>
    <row r="1063" spans="1:19" x14ac:dyDescent="0.45">
      <c r="A1063" s="16">
        <v>45152</v>
      </c>
      <c r="B1063" s="42">
        <f>'Part 2 - CAPM 2.1, 2.2 and 2.3'!N1063</f>
        <v>-2.2316630822943237E-3</v>
      </c>
      <c r="C1063" s="42">
        <f>'Part 2 - CAPM 2.1, 2.2 and 2.3'!O1063</f>
        <v>4.3351858894377301E-3</v>
      </c>
      <c r="E1063" s="16">
        <v>45152</v>
      </c>
      <c r="F1063" s="17">
        <v>6.7699999999999996E-2</v>
      </c>
      <c r="G1063" s="41">
        <f t="shared" si="114"/>
        <v>1.7948679679258284E-4</v>
      </c>
      <c r="L1063" s="40">
        <f t="shared" si="112"/>
        <v>-2.0570843731638408E-3</v>
      </c>
      <c r="M1063" s="40">
        <f t="shared" si="113"/>
        <v>4.5242070431615496E-3</v>
      </c>
      <c r="O1063" s="40">
        <f t="shared" si="115"/>
        <v>-2.0570843731638408E-3</v>
      </c>
      <c r="P1063" s="207">
        <f t="shared" si="116"/>
        <v>1.7948679679258284E-4</v>
      </c>
      <c r="Q1063" s="208">
        <f t="shared" si="117"/>
        <v>1.0021992959873915</v>
      </c>
      <c r="R1063" s="40">
        <f t="shared" si="118"/>
        <v>-2.2316630822943237E-3</v>
      </c>
      <c r="S1063" s="209">
        <v>0</v>
      </c>
    </row>
    <row r="1064" spans="1:19" x14ac:dyDescent="0.45">
      <c r="A1064" s="16">
        <v>45155</v>
      </c>
      <c r="B1064" s="42">
        <f>'Part 2 - CAPM 2.1, 2.2 and 2.3'!N1064</f>
        <v>-1.5668507807210053E-3</v>
      </c>
      <c r="C1064" s="42">
        <f>'Part 2 - CAPM 2.1, 2.2 and 2.3'!O1064</f>
        <v>-1.5865464488827551E-3</v>
      </c>
      <c r="E1064" s="16">
        <v>45155</v>
      </c>
      <c r="F1064" s="17">
        <v>6.8699999999999997E-2</v>
      </c>
      <c r="G1064" s="41">
        <f t="shared" si="114"/>
        <v>1.8205206686028319E-4</v>
      </c>
      <c r="L1064" s="40">
        <f t="shared" si="112"/>
        <v>-1.3882446824956031E-3</v>
      </c>
      <c r="M1064" s="40">
        <f t="shared" si="113"/>
        <v>-1.40798366726131E-3</v>
      </c>
      <c r="O1064" s="40">
        <f t="shared" si="115"/>
        <v>-1.3882446824956031E-3</v>
      </c>
      <c r="P1064" s="207">
        <f t="shared" si="116"/>
        <v>1.8205206686028319E-4</v>
      </c>
      <c r="Q1064" s="208">
        <f t="shared" si="117"/>
        <v>1.0021992959873915</v>
      </c>
      <c r="R1064" s="40">
        <f t="shared" si="118"/>
        <v>-1.5668507807210053E-3</v>
      </c>
      <c r="S1064" s="209">
        <v>0</v>
      </c>
    </row>
    <row r="1065" spans="1:19" x14ac:dyDescent="0.45">
      <c r="A1065" s="16">
        <v>45156</v>
      </c>
      <c r="B1065" s="42">
        <f>'Part 2 - CAPM 2.1, 2.2 and 2.3'!N1065</f>
        <v>-2.8332262595691391E-3</v>
      </c>
      <c r="C1065" s="42">
        <f>'Part 2 - CAPM 2.1, 2.2 and 2.3'!O1065</f>
        <v>-1.3965199304418885E-2</v>
      </c>
      <c r="E1065" s="16">
        <v>45156</v>
      </c>
      <c r="F1065" s="17">
        <v>6.8600000000000008E-2</v>
      </c>
      <c r="G1065" s="41">
        <f t="shared" si="114"/>
        <v>1.8179564759757127E-4</v>
      </c>
      <c r="L1065" s="40">
        <f t="shared" si="112"/>
        <v>-2.6576617151156104E-3</v>
      </c>
      <c r="M1065" s="40">
        <f t="shared" si="113"/>
        <v>-1.3814117263614646E-2</v>
      </c>
      <c r="O1065" s="40">
        <f t="shared" si="115"/>
        <v>-2.6576617151156104E-3</v>
      </c>
      <c r="P1065" s="207">
        <f t="shared" si="116"/>
        <v>1.8179564759757127E-4</v>
      </c>
      <c r="Q1065" s="208">
        <f t="shared" si="117"/>
        <v>1.0021992959873915</v>
      </c>
      <c r="R1065" s="40">
        <f t="shared" si="118"/>
        <v>-2.8332262595691391E-3</v>
      </c>
      <c r="S1065" s="209">
        <v>0</v>
      </c>
    </row>
    <row r="1066" spans="1:19" x14ac:dyDescent="0.45">
      <c r="A1066" s="16">
        <v>45159</v>
      </c>
      <c r="B1066" s="42">
        <f>'Part 2 - CAPM 2.1, 2.2 and 2.3'!N1066</f>
        <v>5.4484519400784543E-3</v>
      </c>
      <c r="C1066" s="42">
        <f>'Part 2 - CAPM 2.1, 2.2 and 2.3'!O1066</f>
        <v>4.0965842725393369E-3</v>
      </c>
      <c r="E1066" s="16">
        <v>45159</v>
      </c>
      <c r="F1066" s="17">
        <v>6.8600000000000008E-2</v>
      </c>
      <c r="G1066" s="41">
        <f t="shared" si="114"/>
        <v>1.8179564759757127E-4</v>
      </c>
      <c r="L1066" s="40">
        <f t="shared" si="112"/>
        <v>5.6422303461653358E-3</v>
      </c>
      <c r="M1066" s="40">
        <f t="shared" si="113"/>
        <v>4.2873895214895156E-3</v>
      </c>
      <c r="O1066" s="40">
        <f t="shared" si="115"/>
        <v>5.6422303461653358E-3</v>
      </c>
      <c r="P1066" s="207">
        <f t="shared" si="116"/>
        <v>1.8179564759757127E-4</v>
      </c>
      <c r="Q1066" s="208">
        <f t="shared" si="117"/>
        <v>1.0021992959873915</v>
      </c>
      <c r="R1066" s="40">
        <f t="shared" si="118"/>
        <v>5.4484519400784543E-3</v>
      </c>
      <c r="S1066" s="209">
        <v>0</v>
      </c>
    </row>
    <row r="1067" spans="1:19" x14ac:dyDescent="0.45">
      <c r="A1067" s="16">
        <v>45160</v>
      </c>
      <c r="B1067" s="42">
        <f>'Part 2 - CAPM 2.1, 2.2 and 2.3'!N1067</f>
        <v>2.9750903098972577E-3</v>
      </c>
      <c r="C1067" s="42">
        <f>'Part 2 - CAPM 2.1, 2.2 and 2.3'!O1067</f>
        <v>3.8622480113855091E-4</v>
      </c>
      <c r="E1067" s="16">
        <v>45160</v>
      </c>
      <c r="F1067" s="17">
        <v>6.8600000000000008E-2</v>
      </c>
      <c r="G1067" s="41">
        <f t="shared" si="114"/>
        <v>1.8179564759757127E-4</v>
      </c>
      <c r="L1067" s="40">
        <f t="shared" si="112"/>
        <v>3.1634290616755134E-3</v>
      </c>
      <c r="M1067" s="40">
        <f t="shared" si="113"/>
        <v>5.6886987139149732E-4</v>
      </c>
      <c r="O1067" s="40">
        <f t="shared" si="115"/>
        <v>3.1634290616755134E-3</v>
      </c>
      <c r="P1067" s="207">
        <f t="shared" si="116"/>
        <v>1.8179564759757127E-4</v>
      </c>
      <c r="Q1067" s="208">
        <f t="shared" si="117"/>
        <v>1.0021992959873915</v>
      </c>
      <c r="R1067" s="40">
        <f t="shared" si="118"/>
        <v>2.9750903098972577E-3</v>
      </c>
      <c r="S1067" s="209">
        <v>0</v>
      </c>
    </row>
    <row r="1068" spans="1:19" x14ac:dyDescent="0.45">
      <c r="A1068" s="16">
        <v>45161</v>
      </c>
      <c r="B1068" s="42">
        <f>'Part 2 - CAPM 2.1, 2.2 and 2.3'!N1068</f>
        <v>2.4800993258574204E-3</v>
      </c>
      <c r="C1068" s="42">
        <f>'Part 2 - CAPM 2.1, 2.2 and 2.3'!O1068</f>
        <v>-3.871832547966607E-3</v>
      </c>
      <c r="E1068" s="16">
        <v>45161</v>
      </c>
      <c r="F1068" s="17">
        <v>6.8600000000000008E-2</v>
      </c>
      <c r="G1068" s="41">
        <f t="shared" si="114"/>
        <v>1.8179564759757127E-4</v>
      </c>
      <c r="L1068" s="40">
        <f t="shared" si="112"/>
        <v>2.6673494459506825E-3</v>
      </c>
      <c r="M1068" s="40">
        <f t="shared" si="113"/>
        <v>-3.6985522061556307E-3</v>
      </c>
      <c r="O1068" s="40">
        <f t="shared" si="115"/>
        <v>2.6673494459506825E-3</v>
      </c>
      <c r="P1068" s="207">
        <f t="shared" si="116"/>
        <v>1.8179564759757127E-4</v>
      </c>
      <c r="Q1068" s="208">
        <f t="shared" si="117"/>
        <v>1.0021992959873915</v>
      </c>
      <c r="R1068" s="40">
        <f t="shared" si="118"/>
        <v>2.4800993258574204E-3</v>
      </c>
      <c r="S1068" s="209">
        <v>0</v>
      </c>
    </row>
    <row r="1069" spans="1:19" x14ac:dyDescent="0.45">
      <c r="A1069" s="16">
        <v>45162</v>
      </c>
      <c r="B1069" s="42">
        <f>'Part 2 - CAPM 2.1, 2.2 and 2.3'!N1069</f>
        <v>-1.3681316801429089E-3</v>
      </c>
      <c r="C1069" s="42">
        <f>'Part 2 - CAPM 2.1, 2.2 and 2.3'!O1069</f>
        <v>-1.3857522137410065E-2</v>
      </c>
      <c r="E1069" s="16">
        <v>45162</v>
      </c>
      <c r="F1069" s="17">
        <v>6.88E-2</v>
      </c>
      <c r="G1069" s="41">
        <f t="shared" si="114"/>
        <v>1.8230846219635666E-4</v>
      </c>
      <c r="L1069" s="40">
        <f t="shared" si="112"/>
        <v>-1.1888321444609138E-3</v>
      </c>
      <c r="M1069" s="40">
        <f t="shared" si="113"/>
        <v>-1.3705690468045704E-2</v>
      </c>
      <c r="O1069" s="40">
        <f t="shared" si="115"/>
        <v>-1.1888321444609138E-3</v>
      </c>
      <c r="P1069" s="207">
        <f t="shared" si="116"/>
        <v>1.8230846219635666E-4</v>
      </c>
      <c r="Q1069" s="208">
        <f t="shared" si="117"/>
        <v>1.0021992959873915</v>
      </c>
      <c r="R1069" s="40">
        <f t="shared" si="118"/>
        <v>-1.3681316801429089E-3</v>
      </c>
      <c r="S1069" s="209">
        <v>0</v>
      </c>
    </row>
    <row r="1070" spans="1:19" x14ac:dyDescent="0.45">
      <c r="A1070" s="16">
        <v>45163</v>
      </c>
      <c r="B1070" s="42">
        <f>'Part 2 - CAPM 2.1, 2.2 and 2.3'!N1070</f>
        <v>-6.63799014183321E-3</v>
      </c>
      <c r="C1070" s="42">
        <f>'Part 2 - CAPM 2.1, 2.2 and 2.3'!O1070</f>
        <v>9.0611599493153061E-3</v>
      </c>
      <c r="E1070" s="16">
        <v>45163</v>
      </c>
      <c r="F1070" s="17">
        <v>6.8699999999999997E-2</v>
      </c>
      <c r="G1070" s="41">
        <f t="shared" si="114"/>
        <v>1.8205206686028319E-4</v>
      </c>
      <c r="L1070" s="40">
        <f t="shared" si="112"/>
        <v>-6.4705369800562053E-3</v>
      </c>
      <c r="M1070" s="40">
        <f t="shared" si="113"/>
        <v>9.2631401888932322E-3</v>
      </c>
      <c r="O1070" s="40">
        <f t="shared" si="115"/>
        <v>-6.4705369800562053E-3</v>
      </c>
      <c r="P1070" s="207">
        <f t="shared" si="116"/>
        <v>1.8205206686028319E-4</v>
      </c>
      <c r="Q1070" s="208">
        <f t="shared" si="117"/>
        <v>1.0021992959873915</v>
      </c>
      <c r="R1070" s="40">
        <f t="shared" si="118"/>
        <v>-6.63799014183321E-3</v>
      </c>
      <c r="S1070" s="209">
        <v>0</v>
      </c>
    </row>
    <row r="1071" spans="1:19" x14ac:dyDescent="0.45">
      <c r="A1071" s="16">
        <v>45166</v>
      </c>
      <c r="B1071" s="42">
        <f>'Part 2 - CAPM 2.1, 2.2 and 2.3'!N1071</f>
        <v>3.056797384012923E-3</v>
      </c>
      <c r="C1071" s="42">
        <f>'Part 2 - CAPM 2.1, 2.2 and 2.3'!O1071</f>
        <v>2.6817925979368369E-3</v>
      </c>
      <c r="E1071" s="16">
        <v>45166</v>
      </c>
      <c r="F1071" s="17">
        <v>6.8000000000000005E-2</v>
      </c>
      <c r="G1071" s="41">
        <f t="shared" si="114"/>
        <v>1.8025662930987174E-4</v>
      </c>
      <c r="L1071" s="40">
        <f t="shared" si="112"/>
        <v>3.2437768155437236E-3</v>
      </c>
      <c r="M1071" s="40">
        <f t="shared" si="113"/>
        <v>2.8679472829463673E-3</v>
      </c>
      <c r="O1071" s="40">
        <f t="shared" si="115"/>
        <v>3.2437768155437236E-3</v>
      </c>
      <c r="P1071" s="207">
        <f t="shared" si="116"/>
        <v>1.8025662930987174E-4</v>
      </c>
      <c r="Q1071" s="208">
        <f t="shared" si="117"/>
        <v>1.0021992959873915</v>
      </c>
      <c r="R1071" s="40">
        <f t="shared" si="118"/>
        <v>3.056797384012923E-3</v>
      </c>
      <c r="S1071" s="209">
        <v>0</v>
      </c>
    </row>
    <row r="1072" spans="1:19" x14ac:dyDescent="0.45">
      <c r="A1072" s="16">
        <v>45167</v>
      </c>
      <c r="B1072" s="42">
        <f>'Part 2 - CAPM 2.1, 2.2 and 2.3'!N1072</f>
        <v>2.9011700712524889E-3</v>
      </c>
      <c r="C1072" s="42">
        <f>'Part 2 - CAPM 2.1, 2.2 and 2.3'!O1072</f>
        <v>2.6736246492289413E-3</v>
      </c>
      <c r="E1072" s="16">
        <v>45167</v>
      </c>
      <c r="F1072" s="17">
        <v>6.8000000000000005E-2</v>
      </c>
      <c r="G1072" s="41">
        <f t="shared" si="114"/>
        <v>1.8025662930987174E-4</v>
      </c>
      <c r="L1072" s="40">
        <f t="shared" si="112"/>
        <v>3.0878072322588069E-3</v>
      </c>
      <c r="M1072" s="40">
        <f t="shared" si="113"/>
        <v>2.8597613705016534E-3</v>
      </c>
      <c r="O1072" s="40">
        <f t="shared" si="115"/>
        <v>3.0878072322588069E-3</v>
      </c>
      <c r="P1072" s="207">
        <f t="shared" si="116"/>
        <v>1.8025662930987174E-4</v>
      </c>
      <c r="Q1072" s="208">
        <f t="shared" si="117"/>
        <v>1.0021992959873915</v>
      </c>
      <c r="R1072" s="40">
        <f t="shared" si="118"/>
        <v>2.9011700712524889E-3</v>
      </c>
      <c r="S1072" s="209">
        <v>0</v>
      </c>
    </row>
    <row r="1073" spans="1:19" x14ac:dyDescent="0.45">
      <c r="A1073" s="16">
        <v>45168</v>
      </c>
      <c r="B1073" s="42">
        <f>'Part 2 - CAPM 2.1, 2.2 and 2.3'!N1073</f>
        <v>2.2794961052633035E-3</v>
      </c>
      <c r="C1073" s="42">
        <f>'Part 2 - CAPM 2.1, 2.2 and 2.3'!O1073</f>
        <v>1.0354973558267212E-4</v>
      </c>
      <c r="E1073" s="16">
        <v>45168</v>
      </c>
      <c r="F1073" s="17">
        <v>6.83E-2</v>
      </c>
      <c r="G1073" s="41">
        <f t="shared" si="114"/>
        <v>1.8102624620452978E-4</v>
      </c>
      <c r="L1073" s="40">
        <f t="shared" si="112"/>
        <v>2.4655356381054136E-3</v>
      </c>
      <c r="M1073" s="40">
        <f t="shared" si="113"/>
        <v>2.8480371830516435E-4</v>
      </c>
      <c r="O1073" s="40">
        <f t="shared" si="115"/>
        <v>2.4655356381054136E-3</v>
      </c>
      <c r="P1073" s="207">
        <f t="shared" si="116"/>
        <v>1.8102624620452978E-4</v>
      </c>
      <c r="Q1073" s="208">
        <f t="shared" si="117"/>
        <v>1.0021992959873915</v>
      </c>
      <c r="R1073" s="40">
        <f t="shared" si="118"/>
        <v>2.2794961052633035E-3</v>
      </c>
      <c r="S1073" s="209">
        <v>0</v>
      </c>
    </row>
    <row r="1074" spans="1:19" x14ac:dyDescent="0.45">
      <c r="A1074" s="16">
        <v>45169</v>
      </c>
      <c r="B1074" s="42">
        <f>'Part 2 - CAPM 2.1, 2.2 and 2.3'!N1074</f>
        <v>-2.8112765798753198E-3</v>
      </c>
      <c r="C1074" s="42">
        <f>'Part 2 - CAPM 2.1, 2.2 and 2.3'!O1074</f>
        <v>-9.2838407252228104E-3</v>
      </c>
      <c r="E1074" s="16">
        <v>45169</v>
      </c>
      <c r="F1074" s="17">
        <v>6.7900000000000002E-2</v>
      </c>
      <c r="G1074" s="41">
        <f t="shared" si="114"/>
        <v>1.800000424347914E-4</v>
      </c>
      <c r="L1074" s="40">
        <f t="shared" si="112"/>
        <v>-2.6374593667420959E-3</v>
      </c>
      <c r="M1074" s="40">
        <f t="shared" si="113"/>
        <v>-9.1242585964425842E-3</v>
      </c>
      <c r="O1074" s="40">
        <f t="shared" si="115"/>
        <v>-2.6374593667420959E-3</v>
      </c>
      <c r="P1074" s="207">
        <f t="shared" si="116"/>
        <v>1.800000424347914E-4</v>
      </c>
      <c r="Q1074" s="208">
        <f t="shared" si="117"/>
        <v>1.0021992959873915</v>
      </c>
      <c r="R1074" s="40">
        <f t="shared" si="118"/>
        <v>-2.8112765798753198E-3</v>
      </c>
      <c r="S1074" s="209">
        <v>0</v>
      </c>
    </row>
    <row r="1075" spans="1:19" x14ac:dyDescent="0.45">
      <c r="A1075" s="16">
        <v>45170</v>
      </c>
      <c r="B1075" s="42">
        <f>'Part 2 - CAPM 2.1, 2.2 and 2.3'!N1075</f>
        <v>8.697254278215126E-3</v>
      </c>
      <c r="C1075" s="42">
        <f>'Part 2 - CAPM 2.1, 2.2 and 2.3'!O1075</f>
        <v>4.3460026572343956E-2</v>
      </c>
      <c r="E1075" s="16">
        <v>45170</v>
      </c>
      <c r="F1075" s="17">
        <v>6.8099999999999994E-2</v>
      </c>
      <c r="G1075" s="41">
        <f t="shared" si="114"/>
        <v>1.805131922267833E-4</v>
      </c>
      <c r="L1075" s="40">
        <f t="shared" si="112"/>
        <v>8.8968953068773119E-3</v>
      </c>
      <c r="M1075" s="40">
        <f t="shared" si="113"/>
        <v>4.3736121226623223E-2</v>
      </c>
      <c r="O1075" s="40">
        <f t="shared" si="115"/>
        <v>8.8968953068773119E-3</v>
      </c>
      <c r="P1075" s="207">
        <f t="shared" si="116"/>
        <v>1.805131922267833E-4</v>
      </c>
      <c r="Q1075" s="208">
        <f t="shared" si="117"/>
        <v>1.0021992959873915</v>
      </c>
      <c r="R1075" s="40">
        <f t="shared" si="118"/>
        <v>8.697254278215126E-3</v>
      </c>
      <c r="S1075" s="209">
        <v>0</v>
      </c>
    </row>
    <row r="1076" spans="1:19" x14ac:dyDescent="0.45">
      <c r="A1076" s="16">
        <v>45173</v>
      </c>
      <c r="B1076" s="42">
        <f>'Part 2 - CAPM 2.1, 2.2 and 2.3'!N1076</f>
        <v>6.0512399547875987E-3</v>
      </c>
      <c r="C1076" s="42">
        <f>'Part 2 - CAPM 2.1, 2.2 and 2.3'!O1076</f>
        <v>6.4222192991632435E-3</v>
      </c>
      <c r="E1076" s="16">
        <v>45173</v>
      </c>
      <c r="F1076" s="17">
        <v>6.8000000000000005E-2</v>
      </c>
      <c r="G1076" s="41">
        <f t="shared" si="114"/>
        <v>1.8025662930987174E-4</v>
      </c>
      <c r="L1076" s="40">
        <f t="shared" si="112"/>
        <v>6.2448050518487778E-3</v>
      </c>
      <c r="M1076" s="40">
        <f t="shared" si="113"/>
        <v>6.6166002896079134E-3</v>
      </c>
      <c r="O1076" s="40">
        <f t="shared" si="115"/>
        <v>6.2448050518487778E-3</v>
      </c>
      <c r="P1076" s="207">
        <f t="shared" si="116"/>
        <v>1.8025662930987174E-4</v>
      </c>
      <c r="Q1076" s="208">
        <f t="shared" si="117"/>
        <v>1.0021992959873915</v>
      </c>
      <c r="R1076" s="40">
        <f t="shared" si="118"/>
        <v>6.0512399547875987E-3</v>
      </c>
      <c r="S1076" s="209">
        <v>0</v>
      </c>
    </row>
    <row r="1077" spans="1:19" x14ac:dyDescent="0.45">
      <c r="A1077" s="16">
        <v>45174</v>
      </c>
      <c r="B1077" s="42">
        <f>'Part 2 - CAPM 2.1, 2.2 and 2.3'!N1077</f>
        <v>3.9609579135412402E-3</v>
      </c>
      <c r="C1077" s="42">
        <f>'Part 2 - CAPM 2.1, 2.2 and 2.3'!O1077</f>
        <v>6.3963951717827092E-4</v>
      </c>
      <c r="E1077" s="16">
        <v>45174</v>
      </c>
      <c r="F1077" s="17">
        <v>6.8000000000000005E-2</v>
      </c>
      <c r="G1077" s="41">
        <f t="shared" si="114"/>
        <v>1.8025662930987174E-4</v>
      </c>
      <c r="L1077" s="40">
        <f t="shared" si="112"/>
        <v>4.1499258616965904E-3</v>
      </c>
      <c r="M1077" s="40">
        <f t="shared" si="113"/>
        <v>8.2130290311164991E-4</v>
      </c>
      <c r="O1077" s="40">
        <f t="shared" si="115"/>
        <v>4.1499258616965904E-3</v>
      </c>
      <c r="P1077" s="207">
        <f t="shared" si="116"/>
        <v>1.8025662930987174E-4</v>
      </c>
      <c r="Q1077" s="208">
        <f t="shared" si="117"/>
        <v>1.0021992959873915</v>
      </c>
      <c r="R1077" s="40">
        <f t="shared" si="118"/>
        <v>3.9609579135412402E-3</v>
      </c>
      <c r="S1077" s="209">
        <v>0</v>
      </c>
    </row>
    <row r="1078" spans="1:19" x14ac:dyDescent="0.45">
      <c r="A1078" s="16">
        <v>45175</v>
      </c>
      <c r="B1078" s="42">
        <f>'Part 2 - CAPM 2.1, 2.2 and 2.3'!N1078</f>
        <v>1.7030589041643477E-3</v>
      </c>
      <c r="C1078" s="42">
        <f>'Part 2 - CAPM 2.1, 2.2 and 2.3'!O1078</f>
        <v>-4.5384455369146129E-4</v>
      </c>
      <c r="E1078" s="16">
        <v>45175</v>
      </c>
      <c r="F1078" s="17">
        <v>6.8199999999999997E-2</v>
      </c>
      <c r="G1078" s="41">
        <f t="shared" si="114"/>
        <v>1.8076973119018902E-4</v>
      </c>
      <c r="L1078" s="40">
        <f t="shared" si="112"/>
        <v>1.8875741659687569E-3</v>
      </c>
      <c r="M1078" s="40">
        <f t="shared" si="113"/>
        <v>-2.7407296100710542E-4</v>
      </c>
      <c r="O1078" s="40">
        <f t="shared" si="115"/>
        <v>1.8875741659687569E-3</v>
      </c>
      <c r="P1078" s="207">
        <f t="shared" si="116"/>
        <v>1.8076973119018902E-4</v>
      </c>
      <c r="Q1078" s="208">
        <f t="shared" si="117"/>
        <v>1.0021992959873915</v>
      </c>
      <c r="R1078" s="40">
        <f t="shared" si="118"/>
        <v>1.7030589041643477E-3</v>
      </c>
      <c r="S1078" s="209">
        <v>0</v>
      </c>
    </row>
    <row r="1079" spans="1:19" x14ac:dyDescent="0.45">
      <c r="A1079" s="16">
        <v>45176</v>
      </c>
      <c r="B1079" s="42">
        <f>'Part 2 - CAPM 2.1, 2.2 and 2.3'!N1079</f>
        <v>5.6570531963504164E-3</v>
      </c>
      <c r="C1079" s="42">
        <f>'Part 2 - CAPM 2.1, 2.2 and 2.3'!O1079</f>
        <v>-7.2823979231746733E-3</v>
      </c>
      <c r="E1079" s="16">
        <v>45176</v>
      </c>
      <c r="F1079" s="17">
        <v>6.8099999999999994E-2</v>
      </c>
      <c r="G1079" s="41">
        <f t="shared" si="114"/>
        <v>1.805131922267833E-4</v>
      </c>
      <c r="L1079" s="40">
        <f t="shared" si="112"/>
        <v>5.8500079229723938E-3</v>
      </c>
      <c r="M1079" s="40">
        <f t="shared" si="113"/>
        <v>-7.1179008794789167E-3</v>
      </c>
      <c r="O1079" s="40">
        <f t="shared" si="115"/>
        <v>5.8500079229723938E-3</v>
      </c>
      <c r="P1079" s="207">
        <f t="shared" si="116"/>
        <v>1.805131922267833E-4</v>
      </c>
      <c r="Q1079" s="208">
        <f t="shared" si="117"/>
        <v>1.0021992959873915</v>
      </c>
      <c r="R1079" s="40">
        <f t="shared" si="118"/>
        <v>5.6570531963504164E-3</v>
      </c>
      <c r="S1079" s="209">
        <v>0</v>
      </c>
    </row>
    <row r="1080" spans="1:19" x14ac:dyDescent="0.45">
      <c r="A1080" s="16">
        <v>45177</v>
      </c>
      <c r="B1080" s="42">
        <f>'Part 2 - CAPM 2.1, 2.2 and 2.3'!N1080</f>
        <v>5.6825429330096232E-3</v>
      </c>
      <c r="C1080" s="42">
        <f>'Part 2 - CAPM 2.1, 2.2 and 2.3'!O1080</f>
        <v>1.4674031634660807E-2</v>
      </c>
      <c r="E1080" s="16">
        <v>45177</v>
      </c>
      <c r="F1080" s="17">
        <v>6.8499999999999991E-2</v>
      </c>
      <c r="G1080" s="41">
        <f t="shared" si="114"/>
        <v>1.8153920440378002E-4</v>
      </c>
      <c r="L1080" s="40">
        <f t="shared" si="112"/>
        <v>5.8765797312841511E-3</v>
      </c>
      <c r="M1080" s="40">
        <f t="shared" si="113"/>
        <v>1.4887843377957554E-2</v>
      </c>
      <c r="O1080" s="40">
        <f t="shared" si="115"/>
        <v>5.8765797312841511E-3</v>
      </c>
      <c r="P1080" s="207">
        <f t="shared" si="116"/>
        <v>1.8153920440378002E-4</v>
      </c>
      <c r="Q1080" s="208">
        <f t="shared" si="117"/>
        <v>1.0021992959873915</v>
      </c>
      <c r="R1080" s="40">
        <f t="shared" si="118"/>
        <v>5.6825429330096232E-3</v>
      </c>
      <c r="S1080" s="209">
        <v>0</v>
      </c>
    </row>
    <row r="1081" spans="1:19" x14ac:dyDescent="0.45">
      <c r="A1081" s="16">
        <v>45180</v>
      </c>
      <c r="B1081" s="42">
        <f>'Part 2 - CAPM 2.1, 2.2 and 2.3'!N1081</f>
        <v>9.3057771470859627E-3</v>
      </c>
      <c r="C1081" s="42">
        <f>'Part 2 - CAPM 2.1, 2.2 and 2.3'!O1081</f>
        <v>-5.8736258666977964E-3</v>
      </c>
      <c r="E1081" s="16">
        <v>45180</v>
      </c>
      <c r="F1081" s="17">
        <v>6.83E-2</v>
      </c>
      <c r="G1081" s="41">
        <f t="shared" si="114"/>
        <v>1.8102624620452978E-4</v>
      </c>
      <c r="L1081" s="40">
        <f t="shared" si="112"/>
        <v>9.5072695516296383E-3</v>
      </c>
      <c r="M1081" s="40">
        <f t="shared" si="113"/>
        <v>-5.705517462293334E-3</v>
      </c>
      <c r="O1081" s="40">
        <f t="shared" si="115"/>
        <v>9.5072695516296383E-3</v>
      </c>
      <c r="P1081" s="207">
        <f t="shared" si="116"/>
        <v>1.8102624620452978E-4</v>
      </c>
      <c r="Q1081" s="208">
        <f t="shared" si="117"/>
        <v>1.0021992959873915</v>
      </c>
      <c r="R1081" s="40">
        <f t="shared" si="118"/>
        <v>9.3057771470859627E-3</v>
      </c>
      <c r="S1081" s="209">
        <v>0</v>
      </c>
    </row>
    <row r="1082" spans="1:19" x14ac:dyDescent="0.45">
      <c r="A1082" s="16">
        <v>45181</v>
      </c>
      <c r="B1082" s="42">
        <f>'Part 2 - CAPM 2.1, 2.2 and 2.3'!N1082</f>
        <v>-1.1103491906890606E-2</v>
      </c>
      <c r="C1082" s="42">
        <f>'Part 2 - CAPM 2.1, 2.2 and 2.3'!O1082</f>
        <v>-1.3813458828038036E-2</v>
      </c>
      <c r="E1082" s="16">
        <v>45181</v>
      </c>
      <c r="F1082" s="17">
        <v>6.8699999999999997E-2</v>
      </c>
      <c r="G1082" s="41">
        <f t="shared" si="114"/>
        <v>1.8205206686028319E-4</v>
      </c>
      <c r="L1082" s="40">
        <f t="shared" si="112"/>
        <v>-1.0945859705227183E-2</v>
      </c>
      <c r="M1082" s="40">
        <f t="shared" si="113"/>
        <v>-1.3661786645750256E-2</v>
      </c>
      <c r="O1082" s="40">
        <f t="shared" si="115"/>
        <v>-1.0945859705227183E-2</v>
      </c>
      <c r="P1082" s="207">
        <f t="shared" si="116"/>
        <v>1.8205206686028319E-4</v>
      </c>
      <c r="Q1082" s="208">
        <f t="shared" si="117"/>
        <v>1.0021992959873915</v>
      </c>
      <c r="R1082" s="40">
        <f t="shared" si="118"/>
        <v>-1.1103491906890606E-2</v>
      </c>
      <c r="S1082" s="209">
        <v>0</v>
      </c>
    </row>
    <row r="1083" spans="1:19" x14ac:dyDescent="0.45">
      <c r="A1083" s="16">
        <v>45182</v>
      </c>
      <c r="B1083" s="42">
        <f>'Part 2 - CAPM 2.1, 2.2 and 2.3'!N1083</f>
        <v>3.609864846442312E-3</v>
      </c>
      <c r="C1083" s="42">
        <f>'Part 2 - CAPM 2.1, 2.2 and 2.3'!O1083</f>
        <v>1.640220872262773E-2</v>
      </c>
      <c r="E1083" s="16">
        <v>45182</v>
      </c>
      <c r="F1083" s="17">
        <v>6.8499999999999991E-2</v>
      </c>
      <c r="G1083" s="41">
        <f t="shared" si="114"/>
        <v>1.8153920440378002E-4</v>
      </c>
      <c r="L1083" s="40">
        <f t="shared" si="112"/>
        <v>3.7993432121178985E-3</v>
      </c>
      <c r="M1083" s="40">
        <f t="shared" si="113"/>
        <v>1.6619821238859543E-2</v>
      </c>
      <c r="O1083" s="40">
        <f t="shared" si="115"/>
        <v>3.7993432121178985E-3</v>
      </c>
      <c r="P1083" s="207">
        <f t="shared" si="116"/>
        <v>1.8153920440378002E-4</v>
      </c>
      <c r="Q1083" s="208">
        <f t="shared" si="117"/>
        <v>1.0021992959873915</v>
      </c>
      <c r="R1083" s="40">
        <f t="shared" si="118"/>
        <v>3.609864846442312E-3</v>
      </c>
      <c r="S1083" s="209">
        <v>0</v>
      </c>
    </row>
    <row r="1084" spans="1:19" x14ac:dyDescent="0.45">
      <c r="A1084" s="16">
        <v>45183</v>
      </c>
      <c r="B1084" s="42">
        <f>'Part 2 - CAPM 2.1, 2.2 and 2.3'!N1084</f>
        <v>4.1977379026050176E-3</v>
      </c>
      <c r="C1084" s="42">
        <f>'Part 2 - CAPM 2.1, 2.2 and 2.3'!O1084</f>
        <v>2.1569668866858654E-2</v>
      </c>
      <c r="E1084" s="16">
        <v>45183</v>
      </c>
      <c r="F1084" s="17">
        <v>6.8400000000000002E-2</v>
      </c>
      <c r="G1084" s="41">
        <f t="shared" si="114"/>
        <v>1.8128273727402444E-4</v>
      </c>
      <c r="L1084" s="40">
        <f t="shared" si="112"/>
        <v>4.3882527080043631E-3</v>
      </c>
      <c r="M1084" s="40">
        <f t="shared" si="113"/>
        <v>2.1798389690320927E-2</v>
      </c>
      <c r="O1084" s="40">
        <f t="shared" si="115"/>
        <v>4.3882527080043631E-3</v>
      </c>
      <c r="P1084" s="207">
        <f t="shared" si="116"/>
        <v>1.8128273727402444E-4</v>
      </c>
      <c r="Q1084" s="208">
        <f t="shared" si="117"/>
        <v>1.0021992959873915</v>
      </c>
      <c r="R1084" s="40">
        <f t="shared" si="118"/>
        <v>4.1977379026050176E-3</v>
      </c>
      <c r="S1084" s="209">
        <v>0</v>
      </c>
    </row>
    <row r="1085" spans="1:19" x14ac:dyDescent="0.45">
      <c r="A1085" s="16">
        <v>45184</v>
      </c>
      <c r="B1085" s="42">
        <f>'Part 2 - CAPM 2.1, 2.2 and 2.3'!N1085</f>
        <v>3.3572732875573282E-3</v>
      </c>
      <c r="C1085" s="42">
        <f>'Part 2 - CAPM 2.1, 2.2 and 2.3'!O1085</f>
        <v>-6.8342703681936326E-3</v>
      </c>
      <c r="E1085" s="16">
        <v>45184</v>
      </c>
      <c r="F1085" s="17">
        <v>6.8600000000000008E-2</v>
      </c>
      <c r="G1085" s="41">
        <f t="shared" si="114"/>
        <v>1.8179564759757127E-4</v>
      </c>
      <c r="L1085" s="40">
        <f t="shared" si="112"/>
        <v>3.5464525728248013E-3</v>
      </c>
      <c r="M1085" s="40">
        <f t="shared" si="113"/>
        <v>-6.6675053039935784E-3</v>
      </c>
      <c r="O1085" s="40">
        <f t="shared" si="115"/>
        <v>3.5464525728248013E-3</v>
      </c>
      <c r="P1085" s="207">
        <f t="shared" si="116"/>
        <v>1.8179564759757127E-4</v>
      </c>
      <c r="Q1085" s="208">
        <f t="shared" si="117"/>
        <v>1.0021992959873915</v>
      </c>
      <c r="R1085" s="40">
        <f t="shared" si="118"/>
        <v>3.3572732875573282E-3</v>
      </c>
      <c r="S1085" s="209">
        <v>0</v>
      </c>
    </row>
    <row r="1086" spans="1:19" x14ac:dyDescent="0.45">
      <c r="A1086" s="16">
        <v>45187</v>
      </c>
      <c r="B1086" s="42">
        <f>'Part 2 - CAPM 2.1, 2.2 and 2.3'!N1086</f>
        <v>-3.1361446738973719E-3</v>
      </c>
      <c r="C1086" s="42">
        <f>'Part 2 - CAPM 2.1, 2.2 and 2.3'!O1086</f>
        <v>3.5447938434394674E-4</v>
      </c>
      <c r="E1086" s="16">
        <v>45187</v>
      </c>
      <c r="F1086" s="17">
        <v>6.8400000000000002E-2</v>
      </c>
      <c r="G1086" s="41">
        <f t="shared" si="114"/>
        <v>1.8128273727402444E-4</v>
      </c>
      <c r="L1086" s="40">
        <f t="shared" si="112"/>
        <v>-2.9617592470205295E-3</v>
      </c>
      <c r="M1086" s="40">
        <f t="shared" si="113"/>
        <v>5.3654172670557177E-4</v>
      </c>
      <c r="O1086" s="40">
        <f t="shared" si="115"/>
        <v>-2.9617592470205295E-3</v>
      </c>
      <c r="P1086" s="207">
        <f t="shared" si="116"/>
        <v>1.8128273727402444E-4</v>
      </c>
      <c r="Q1086" s="208">
        <f t="shared" si="117"/>
        <v>1.0021992959873915</v>
      </c>
      <c r="R1086" s="40">
        <f t="shared" si="118"/>
        <v>-3.1361446738973719E-3</v>
      </c>
      <c r="S1086" s="209">
        <v>0</v>
      </c>
    </row>
    <row r="1087" spans="1:19" x14ac:dyDescent="0.45">
      <c r="A1087" s="16">
        <v>45189</v>
      </c>
      <c r="B1087" s="42">
        <f>'Part 2 - CAPM 2.1, 2.2 and 2.3'!N1087</f>
        <v>-9.5067197467119963E-3</v>
      </c>
      <c r="C1087" s="42">
        <f>'Part 2 - CAPM 2.1, 2.2 and 2.3'!O1087</f>
        <v>7.5828516925171762E-3</v>
      </c>
      <c r="E1087" s="16">
        <v>45189</v>
      </c>
      <c r="F1087" s="17">
        <v>6.8499999999999991E-2</v>
      </c>
      <c r="G1087" s="41">
        <f t="shared" si="114"/>
        <v>1.8153920440378002E-4</v>
      </c>
      <c r="L1087" s="40">
        <f t="shared" si="112"/>
        <v>-9.3460886329004168E-3</v>
      </c>
      <c r="M1087" s="40">
        <f t="shared" si="113"/>
        <v>7.7810678322212945E-3</v>
      </c>
      <c r="O1087" s="40">
        <f t="shared" si="115"/>
        <v>-9.3460886329004168E-3</v>
      </c>
      <c r="P1087" s="207">
        <f t="shared" si="116"/>
        <v>1.8153920440378002E-4</v>
      </c>
      <c r="Q1087" s="208">
        <f t="shared" si="117"/>
        <v>1.0021992959873915</v>
      </c>
      <c r="R1087" s="40">
        <f t="shared" si="118"/>
        <v>-9.5067197467119963E-3</v>
      </c>
      <c r="S1087" s="209">
        <v>0</v>
      </c>
    </row>
    <row r="1088" spans="1:19" x14ac:dyDescent="0.45">
      <c r="A1088" s="16">
        <v>45190</v>
      </c>
      <c r="B1088" s="42">
        <f>'Part 2 - CAPM 2.1, 2.2 and 2.3'!N1088</f>
        <v>-8.5400167408162288E-3</v>
      </c>
      <c r="C1088" s="42">
        <f>'Part 2 - CAPM 2.1, 2.2 and 2.3'!O1088</f>
        <v>-8.1517836252326861E-3</v>
      </c>
      <c r="E1088" s="16">
        <v>45190</v>
      </c>
      <c r="F1088" s="17">
        <v>6.8499999999999991E-2</v>
      </c>
      <c r="G1088" s="41">
        <f t="shared" si="114"/>
        <v>1.8153920440378002E-4</v>
      </c>
      <c r="L1088" s="40">
        <f t="shared" si="112"/>
        <v>-8.3772595609627829E-3</v>
      </c>
      <c r="M1088" s="40">
        <f t="shared" si="113"/>
        <v>-7.9881726058459637E-3</v>
      </c>
      <c r="O1088" s="40">
        <f t="shared" si="115"/>
        <v>-8.3772595609627829E-3</v>
      </c>
      <c r="P1088" s="207">
        <f t="shared" si="116"/>
        <v>1.8153920440378002E-4</v>
      </c>
      <c r="Q1088" s="208">
        <f t="shared" si="117"/>
        <v>1.0021992959873915</v>
      </c>
      <c r="R1088" s="40">
        <f t="shared" si="118"/>
        <v>-8.5400167408162288E-3</v>
      </c>
      <c r="S1088" s="209">
        <v>0</v>
      </c>
    </row>
    <row r="1089" spans="1:19" x14ac:dyDescent="0.45">
      <c r="A1089" s="16">
        <v>45191</v>
      </c>
      <c r="B1089" s="42">
        <f>'Part 2 - CAPM 2.1, 2.2 and 2.3'!N1089</f>
        <v>-2.6484785762215832E-3</v>
      </c>
      <c r="C1089" s="42">
        <f>'Part 2 - CAPM 2.1, 2.2 and 2.3'!O1089</f>
        <v>-8.7506679636486489E-3</v>
      </c>
      <c r="E1089" s="16">
        <v>45191</v>
      </c>
      <c r="F1089" s="17">
        <v>6.8199999999999997E-2</v>
      </c>
      <c r="G1089" s="41">
        <f t="shared" si="114"/>
        <v>1.8076973119018902E-4</v>
      </c>
      <c r="L1089" s="40">
        <f t="shared" si="112"/>
        <v>-2.4735336333367706E-3</v>
      </c>
      <c r="M1089" s="40">
        <f t="shared" si="113"/>
        <v>-8.5891435413979079E-3</v>
      </c>
      <c r="O1089" s="40">
        <f t="shared" si="115"/>
        <v>-2.4735336333367706E-3</v>
      </c>
      <c r="P1089" s="207">
        <f t="shared" si="116"/>
        <v>1.8076973119018902E-4</v>
      </c>
      <c r="Q1089" s="208">
        <f t="shared" si="117"/>
        <v>1.0021992959873915</v>
      </c>
      <c r="R1089" s="40">
        <f t="shared" si="118"/>
        <v>-2.6484785762215832E-3</v>
      </c>
      <c r="S1089" s="209">
        <v>0</v>
      </c>
    </row>
    <row r="1090" spans="1:19" x14ac:dyDescent="0.45">
      <c r="A1090" s="16">
        <v>45194</v>
      </c>
      <c r="B1090" s="42">
        <f>'Part 2 - CAPM 2.1, 2.2 and 2.3'!N1090</f>
        <v>4.9996349090843909E-4</v>
      </c>
      <c r="C1090" s="42">
        <f>'Part 2 - CAPM 2.1, 2.2 and 2.3'!O1090</f>
        <v>1.9802243260761843E-3</v>
      </c>
      <c r="E1090" s="16">
        <v>45194</v>
      </c>
      <c r="F1090" s="17">
        <v>6.8199999999999997E-2</v>
      </c>
      <c r="G1090" s="41">
        <f t="shared" si="114"/>
        <v>1.8076973119018902E-4</v>
      </c>
      <c r="L1090" s="40">
        <f t="shared" si="112"/>
        <v>6.8183278979802532E-4</v>
      </c>
      <c r="M1090" s="40">
        <f t="shared" si="113"/>
        <v>2.165349156680848E-3</v>
      </c>
      <c r="O1090" s="40">
        <f t="shared" si="115"/>
        <v>6.8183278979802532E-4</v>
      </c>
      <c r="P1090" s="207">
        <f t="shared" si="116"/>
        <v>1.8076973119018902E-4</v>
      </c>
      <c r="Q1090" s="208">
        <f t="shared" si="117"/>
        <v>1.0021992959873915</v>
      </c>
      <c r="R1090" s="40">
        <f t="shared" si="118"/>
        <v>4.9996349090843909E-4</v>
      </c>
      <c r="S1090" s="209">
        <v>0</v>
      </c>
    </row>
    <row r="1091" spans="1:19" x14ac:dyDescent="0.45">
      <c r="A1091" s="16">
        <v>45195</v>
      </c>
      <c r="B1091" s="42">
        <f>'Part 2 - CAPM 2.1, 2.2 and 2.3'!N1091</f>
        <v>6.1364742732792672E-5</v>
      </c>
      <c r="C1091" s="42">
        <f>'Part 2 - CAPM 2.1, 2.2 and 2.3'!O1091</f>
        <v>1.1947584406310784E-2</v>
      </c>
      <c r="E1091" s="16">
        <v>45195</v>
      </c>
      <c r="F1091" s="17">
        <v>6.8600000000000008E-2</v>
      </c>
      <c r="G1091" s="41">
        <f t="shared" si="114"/>
        <v>1.8179564759757127E-4</v>
      </c>
      <c r="L1091" s="40">
        <f t="shared" ref="L1091:L1154" si="119">G1091+($J$1*(B1091))</f>
        <v>2.4329534956282349E-4</v>
      </c>
      <c r="M1091" s="40">
        <f t="shared" ref="M1091:M1154" si="120">G1091+($J$1*(C1091))</f>
        <v>1.2155656328352176E-2</v>
      </c>
      <c r="O1091" s="40">
        <f t="shared" si="115"/>
        <v>2.4329534956282349E-4</v>
      </c>
      <c r="P1091" s="207">
        <f t="shared" si="116"/>
        <v>1.8179564759757127E-4</v>
      </c>
      <c r="Q1091" s="208">
        <f t="shared" si="117"/>
        <v>1.0021992959873915</v>
      </c>
      <c r="R1091" s="40">
        <f t="shared" si="118"/>
        <v>6.1364742732792672E-5</v>
      </c>
      <c r="S1091" s="209">
        <v>0</v>
      </c>
    </row>
    <row r="1092" spans="1:19" x14ac:dyDescent="0.45">
      <c r="A1092" s="16">
        <v>45196</v>
      </c>
      <c r="B1092" s="42">
        <f>'Part 2 - CAPM 2.1, 2.2 and 2.3'!N1092</f>
        <v>3.5715474237845743E-3</v>
      </c>
      <c r="C1092" s="42">
        <f>'Part 2 - CAPM 2.1, 2.2 and 2.3'!O1092</f>
        <v>-2.8451679123995643E-3</v>
      </c>
      <c r="E1092" s="16">
        <v>45196</v>
      </c>
      <c r="F1092" s="17">
        <v>6.8699999999999997E-2</v>
      </c>
      <c r="G1092" s="41">
        <f t="shared" ref="G1092:G1155" si="121">((1+F1092)^(1/365))-1</f>
        <v>1.8205206686028319E-4</v>
      </c>
      <c r="L1092" s="40">
        <f t="shared" si="119"/>
        <v>3.7614543805627653E-3</v>
      </c>
      <c r="M1092" s="40">
        <f t="shared" si="120"/>
        <v>-2.6693732119124768E-3</v>
      </c>
      <c r="O1092" s="40">
        <f t="shared" ref="O1092:O1155" si="122">P1092+(Q1092*(R1092))+S1092</f>
        <v>3.7614543805627653E-3</v>
      </c>
      <c r="P1092" s="207">
        <f t="shared" ref="P1092:P1155" si="123">G1092</f>
        <v>1.8205206686028319E-4</v>
      </c>
      <c r="Q1092" s="208">
        <f t="shared" ref="Q1092:Q1155" si="124">$J$1</f>
        <v>1.0021992959873915</v>
      </c>
      <c r="R1092" s="40">
        <f t="shared" ref="R1092:R1155" si="125">B1092</f>
        <v>3.5715474237845743E-3</v>
      </c>
      <c r="S1092" s="209">
        <v>0</v>
      </c>
    </row>
    <row r="1093" spans="1:19" x14ac:dyDescent="0.45">
      <c r="A1093" s="16">
        <v>45197</v>
      </c>
      <c r="B1093" s="42">
        <f>'Part 2 - CAPM 2.1, 2.2 and 2.3'!N1093</f>
        <v>-1.0051383616428825E-2</v>
      </c>
      <c r="C1093" s="42">
        <f>'Part 2 - CAPM 2.1, 2.2 and 2.3'!O1093</f>
        <v>8.8603872085661205E-4</v>
      </c>
      <c r="E1093" s="16">
        <v>45197</v>
      </c>
      <c r="F1093" s="17">
        <v>6.8699999999999997E-2</v>
      </c>
      <c r="G1093" s="41">
        <f t="shared" si="121"/>
        <v>1.8205206686028319E-4</v>
      </c>
      <c r="L1093" s="40">
        <f t="shared" si="119"/>
        <v>-9.8914375172238864E-3</v>
      </c>
      <c r="M1093" s="40">
        <f t="shared" si="120"/>
        <v>1.0700394491203486E-3</v>
      </c>
      <c r="O1093" s="40">
        <f t="shared" si="122"/>
        <v>-9.8914375172238864E-3</v>
      </c>
      <c r="P1093" s="207">
        <f t="shared" si="123"/>
        <v>1.8205206686028319E-4</v>
      </c>
      <c r="Q1093" s="208">
        <f t="shared" si="124"/>
        <v>1.0021992959873915</v>
      </c>
      <c r="R1093" s="40">
        <f t="shared" si="125"/>
        <v>-1.0051383616428825E-2</v>
      </c>
      <c r="S1093" s="209">
        <v>0</v>
      </c>
    </row>
    <row r="1094" spans="1:19" x14ac:dyDescent="0.45">
      <c r="A1094" s="16">
        <v>45198</v>
      </c>
      <c r="B1094" s="42">
        <f>'Part 2 - CAPM 2.1, 2.2 and 2.3'!N1094</f>
        <v>6.9319140784648431E-3</v>
      </c>
      <c r="C1094" s="42">
        <f>'Part 2 - CAPM 2.1, 2.2 and 2.3'!O1094</f>
        <v>2.3290874046770049E-2</v>
      </c>
      <c r="E1094" s="16">
        <v>45198</v>
      </c>
      <c r="F1094" s="17">
        <v>6.8699999999999997E-2</v>
      </c>
      <c r="G1094" s="41">
        <f t="shared" si="121"/>
        <v>1.8205206686028319E-4</v>
      </c>
      <c r="L1094" s="40">
        <f t="shared" si="119"/>
        <v>7.1292114761428368E-3</v>
      </c>
      <c r="M1094" s="40">
        <f t="shared" si="120"/>
        <v>2.3524149639464236E-2</v>
      </c>
      <c r="O1094" s="40">
        <f t="shared" si="122"/>
        <v>7.1292114761428368E-3</v>
      </c>
      <c r="P1094" s="207">
        <f t="shared" si="123"/>
        <v>1.8205206686028319E-4</v>
      </c>
      <c r="Q1094" s="208">
        <f t="shared" si="124"/>
        <v>1.0021992959873915</v>
      </c>
      <c r="R1094" s="40">
        <f t="shared" si="125"/>
        <v>6.9319140784648431E-3</v>
      </c>
      <c r="S1094" s="209">
        <v>0</v>
      </c>
    </row>
    <row r="1095" spans="1:19" x14ac:dyDescent="0.45">
      <c r="A1095" s="16">
        <v>45202</v>
      </c>
      <c r="B1095" s="42">
        <f>'Part 2 - CAPM 2.1, 2.2 and 2.3'!N1095</f>
        <v>-2.3900636379210497E-3</v>
      </c>
      <c r="C1095" s="42">
        <f>'Part 2 - CAPM 2.1, 2.2 and 2.3'!O1095</f>
        <v>-3.7970966303540993E-2</v>
      </c>
      <c r="E1095" s="16">
        <v>45202</v>
      </c>
      <c r="F1095" s="17">
        <v>6.83E-2</v>
      </c>
      <c r="G1095" s="41">
        <f t="shared" si="121"/>
        <v>1.8102624620452978E-4</v>
      </c>
      <c r="L1095" s="40">
        <f t="shared" si="119"/>
        <v>-2.2142938490850102E-3</v>
      </c>
      <c r="M1095" s="40">
        <f t="shared" si="120"/>
        <v>-3.787344945116522E-2</v>
      </c>
      <c r="O1095" s="40">
        <f t="shared" si="122"/>
        <v>-2.2142938490850102E-3</v>
      </c>
      <c r="P1095" s="207">
        <f t="shared" si="123"/>
        <v>1.8102624620452978E-4</v>
      </c>
      <c r="Q1095" s="208">
        <f t="shared" si="124"/>
        <v>1.0021992959873915</v>
      </c>
      <c r="R1095" s="40">
        <f t="shared" si="125"/>
        <v>-2.3900636379210497E-3</v>
      </c>
      <c r="S1095" s="209">
        <v>0</v>
      </c>
    </row>
    <row r="1096" spans="1:19" x14ac:dyDescent="0.45">
      <c r="A1096" s="16">
        <v>45203</v>
      </c>
      <c r="B1096" s="42">
        <f>'Part 2 - CAPM 2.1, 2.2 and 2.3'!N1096</f>
        <v>-7.7911923943149277E-3</v>
      </c>
      <c r="C1096" s="42">
        <f>'Part 2 - CAPM 2.1, 2.2 and 2.3'!O1096</f>
        <v>-1.0203207676776448E-2</v>
      </c>
      <c r="E1096" s="16">
        <v>45203</v>
      </c>
      <c r="F1096" s="17">
        <v>6.8499999999999991E-2</v>
      </c>
      <c r="G1096" s="41">
        <f t="shared" si="121"/>
        <v>1.8153920440378002E-4</v>
      </c>
      <c r="L1096" s="40">
        <f t="shared" si="119"/>
        <v>-7.6267883280809598E-3</v>
      </c>
      <c r="M1096" s="40">
        <f t="shared" si="120"/>
        <v>-1.0044108346074726E-2</v>
      </c>
      <c r="O1096" s="40">
        <f t="shared" si="122"/>
        <v>-7.6267883280809598E-3</v>
      </c>
      <c r="P1096" s="207">
        <f t="shared" si="123"/>
        <v>1.8153920440378002E-4</v>
      </c>
      <c r="Q1096" s="208">
        <f t="shared" si="124"/>
        <v>1.0021992959873915</v>
      </c>
      <c r="R1096" s="40">
        <f t="shared" si="125"/>
        <v>-7.7911923943149277E-3</v>
      </c>
      <c r="S1096" s="209">
        <v>0</v>
      </c>
    </row>
    <row r="1097" spans="1:19" x14ac:dyDescent="0.45">
      <c r="A1097" s="16">
        <v>45204</v>
      </c>
      <c r="B1097" s="42">
        <f>'Part 2 - CAPM 2.1, 2.2 and 2.3'!N1097</f>
        <v>4.0636744663025632E-3</v>
      </c>
      <c r="C1097" s="42">
        <f>'Part 2 - CAPM 2.1, 2.2 and 2.3'!O1097</f>
        <v>-3.1916279902529585E-3</v>
      </c>
      <c r="E1097" s="16">
        <v>45204</v>
      </c>
      <c r="F1097" s="17">
        <v>6.8699999999999997E-2</v>
      </c>
      <c r="G1097" s="41">
        <f t="shared" si="121"/>
        <v>1.8205206686028319E-4</v>
      </c>
      <c r="L1097" s="40">
        <f t="shared" si="119"/>
        <v>4.2546637561106512E-3</v>
      </c>
      <c r="M1097" s="40">
        <f t="shared" si="120"/>
        <v>-3.0165952580248853E-3</v>
      </c>
      <c r="O1097" s="40">
        <f t="shared" si="122"/>
        <v>4.2546637561106512E-3</v>
      </c>
      <c r="P1097" s="207">
        <f t="shared" si="123"/>
        <v>1.8205206686028319E-4</v>
      </c>
      <c r="Q1097" s="208">
        <f t="shared" si="124"/>
        <v>1.0021992959873915</v>
      </c>
      <c r="R1097" s="40">
        <f t="shared" si="125"/>
        <v>4.0636744663025632E-3</v>
      </c>
      <c r="S1097" s="209">
        <v>0</v>
      </c>
    </row>
    <row r="1098" spans="1:19" x14ac:dyDescent="0.45">
      <c r="A1098" s="16">
        <v>45205</v>
      </c>
      <c r="B1098" s="42">
        <f>'Part 2 - CAPM 2.1, 2.2 and 2.3'!N1098</f>
        <v>5.5051268417731754E-3</v>
      </c>
      <c r="C1098" s="42">
        <f>'Part 2 - CAPM 2.1, 2.2 and 2.3'!O1098</f>
        <v>-4.2986641153247868E-3</v>
      </c>
      <c r="E1098" s="16">
        <v>45205</v>
      </c>
      <c r="F1098" s="17">
        <v>6.88E-2</v>
      </c>
      <c r="G1098" s="41">
        <f t="shared" si="121"/>
        <v>1.8230846219635666E-4</v>
      </c>
      <c r="L1098" s="40">
        <f t="shared" si="119"/>
        <v>5.6995427073427253E-3</v>
      </c>
      <c r="M1098" s="40">
        <f t="shared" si="120"/>
        <v>-4.1258096878684083E-3</v>
      </c>
      <c r="O1098" s="40">
        <f t="shared" si="122"/>
        <v>5.6995427073427253E-3</v>
      </c>
      <c r="P1098" s="207">
        <f t="shared" si="123"/>
        <v>1.8230846219635666E-4</v>
      </c>
      <c r="Q1098" s="208">
        <f t="shared" si="124"/>
        <v>1.0021992959873915</v>
      </c>
      <c r="R1098" s="40">
        <f t="shared" si="125"/>
        <v>5.5051268417731754E-3</v>
      </c>
      <c r="S1098" s="209">
        <v>0</v>
      </c>
    </row>
    <row r="1099" spans="1:19" x14ac:dyDescent="0.45">
      <c r="A1099" s="16">
        <v>45208</v>
      </c>
      <c r="B1099" s="42">
        <f>'Part 2 - CAPM 2.1, 2.2 and 2.3'!N1099</f>
        <v>-9.7757091182007171E-3</v>
      </c>
      <c r="C1099" s="42">
        <f>'Part 2 - CAPM 2.1, 2.2 and 2.3'!O1099</f>
        <v>1.19522519119021E-3</v>
      </c>
      <c r="E1099" s="16">
        <v>45208</v>
      </c>
      <c r="F1099" s="17">
        <v>6.8900000000000003E-2</v>
      </c>
      <c r="G1099" s="41">
        <f t="shared" si="121"/>
        <v>1.8256483361001052E-4</v>
      </c>
      <c r="L1099" s="40">
        <f t="shared" si="119"/>
        <v>-9.6146439624282716E-3</v>
      </c>
      <c r="M1099" s="40">
        <f t="shared" si="120"/>
        <v>1.3804186787672345E-3</v>
      </c>
      <c r="O1099" s="40">
        <f t="shared" si="122"/>
        <v>-9.6146439624282716E-3</v>
      </c>
      <c r="P1099" s="207">
        <f t="shared" si="123"/>
        <v>1.8256483361001052E-4</v>
      </c>
      <c r="Q1099" s="208">
        <f t="shared" si="124"/>
        <v>1.0021992959873915</v>
      </c>
      <c r="R1099" s="40">
        <f t="shared" si="125"/>
        <v>-9.7757091182007171E-3</v>
      </c>
      <c r="S1099" s="209">
        <v>0</v>
      </c>
    </row>
    <row r="1100" spans="1:19" x14ac:dyDescent="0.45">
      <c r="A1100" s="16">
        <v>45209</v>
      </c>
      <c r="B1100" s="42">
        <f>'Part 2 - CAPM 2.1, 2.2 and 2.3'!N1100</f>
        <v>1.0073008947613355E-2</v>
      </c>
      <c r="C1100" s="42">
        <f>'Part 2 - CAPM 2.1, 2.2 and 2.3'!O1100</f>
        <v>9.7241307232742626E-3</v>
      </c>
      <c r="E1100" s="16">
        <v>45209</v>
      </c>
      <c r="F1100" s="17">
        <v>6.88E-2</v>
      </c>
      <c r="G1100" s="41">
        <f t="shared" si="121"/>
        <v>1.8230846219635666E-4</v>
      </c>
      <c r="L1100" s="40">
        <f t="shared" si="119"/>
        <v>1.0277470937969158E-2</v>
      </c>
      <c r="M1100" s="40">
        <f t="shared" si="120"/>
        <v>9.9278254271511872E-3</v>
      </c>
      <c r="O1100" s="40">
        <f t="shared" si="122"/>
        <v>1.0277470937969158E-2</v>
      </c>
      <c r="P1100" s="207">
        <f t="shared" si="123"/>
        <v>1.8230846219635666E-4</v>
      </c>
      <c r="Q1100" s="208">
        <f t="shared" si="124"/>
        <v>1.0021992959873915</v>
      </c>
      <c r="R1100" s="40">
        <f t="shared" si="125"/>
        <v>1.0073008947613355E-2</v>
      </c>
      <c r="S1100" s="209">
        <v>0</v>
      </c>
    </row>
    <row r="1101" spans="1:19" x14ac:dyDescent="0.45">
      <c r="A1101" s="16">
        <v>45210</v>
      </c>
      <c r="B1101" s="42">
        <f>'Part 2 - CAPM 2.1, 2.2 and 2.3'!N1101</f>
        <v>5.8278319970615075E-3</v>
      </c>
      <c r="C1101" s="42">
        <f>'Part 2 - CAPM 2.1, 2.2 and 2.3'!O1101</f>
        <v>-1.5449626537734982E-3</v>
      </c>
      <c r="E1101" s="16">
        <v>45210</v>
      </c>
      <c r="F1101" s="17">
        <v>6.8900000000000003E-2</v>
      </c>
      <c r="G1101" s="41">
        <f t="shared" si="121"/>
        <v>1.8256483361001052E-4</v>
      </c>
      <c r="L1101" s="40">
        <f t="shared" si="119"/>
        <v>6.0232139581978478E-3</v>
      </c>
      <c r="M1101" s="40">
        <f t="shared" si="120"/>
        <v>-1.3657956503286015E-3</v>
      </c>
      <c r="O1101" s="40">
        <f t="shared" si="122"/>
        <v>6.0232139581978478E-3</v>
      </c>
      <c r="P1101" s="207">
        <f t="shared" si="123"/>
        <v>1.8256483361001052E-4</v>
      </c>
      <c r="Q1101" s="208">
        <f t="shared" si="124"/>
        <v>1.0021992959873915</v>
      </c>
      <c r="R1101" s="40">
        <f t="shared" si="125"/>
        <v>5.8278319970615075E-3</v>
      </c>
      <c r="S1101" s="209">
        <v>0</v>
      </c>
    </row>
    <row r="1102" spans="1:19" x14ac:dyDescent="0.45">
      <c r="A1102" s="16">
        <v>45211</v>
      </c>
      <c r="B1102" s="42">
        <f>'Part 2 - CAPM 2.1, 2.2 and 2.3'!N1102</f>
        <v>5.2664924374349112E-4</v>
      </c>
      <c r="C1102" s="42">
        <f>'Part 2 - CAPM 2.1, 2.2 and 2.3'!O1102</f>
        <v>6.3656099239417794E-3</v>
      </c>
      <c r="E1102" s="16">
        <v>45211</v>
      </c>
      <c r="F1102" s="17">
        <v>6.9000000000000006E-2</v>
      </c>
      <c r="G1102" s="41">
        <f t="shared" si="121"/>
        <v>1.8282118110590773E-4</v>
      </c>
      <c r="L1102" s="40">
        <f t="shared" si="119"/>
        <v>7.1062868241792668E-4</v>
      </c>
      <c r="M1102" s="40">
        <f t="shared" si="120"/>
        <v>6.5624309654107125E-3</v>
      </c>
      <c r="O1102" s="40">
        <f t="shared" si="122"/>
        <v>7.1062868241792668E-4</v>
      </c>
      <c r="P1102" s="207">
        <f t="shared" si="123"/>
        <v>1.8282118110590773E-4</v>
      </c>
      <c r="Q1102" s="208">
        <f t="shared" si="124"/>
        <v>1.0021992959873915</v>
      </c>
      <c r="R1102" s="40">
        <f t="shared" si="125"/>
        <v>5.2664924374349112E-4</v>
      </c>
      <c r="S1102" s="209">
        <v>0</v>
      </c>
    </row>
    <row r="1103" spans="1:19" x14ac:dyDescent="0.45">
      <c r="A1103" s="16">
        <v>45212</v>
      </c>
      <c r="B1103" s="42">
        <f>'Part 2 - CAPM 2.1, 2.2 and 2.3'!N1103</f>
        <v>-1.8676952030467094E-3</v>
      </c>
      <c r="C1103" s="42">
        <f>'Part 2 - CAPM 2.1, 2.2 and 2.3'!O1103</f>
        <v>2.2568643705341957E-3</v>
      </c>
      <c r="E1103" s="16">
        <v>45212</v>
      </c>
      <c r="F1103" s="17">
        <v>6.9000000000000006E-2</v>
      </c>
      <c r="G1103" s="41">
        <f t="shared" si="121"/>
        <v>1.8282118110590773E-4</v>
      </c>
      <c r="L1103" s="40">
        <f t="shared" si="119"/>
        <v>-1.6889816365065328E-3</v>
      </c>
      <c r="M1103" s="40">
        <f t="shared" si="120"/>
        <v>2.4446490643943064E-3</v>
      </c>
      <c r="O1103" s="40">
        <f t="shared" si="122"/>
        <v>-1.6889816365065328E-3</v>
      </c>
      <c r="P1103" s="207">
        <f t="shared" si="123"/>
        <v>1.8282118110590773E-4</v>
      </c>
      <c r="Q1103" s="208">
        <f t="shared" si="124"/>
        <v>1.0021992959873915</v>
      </c>
      <c r="R1103" s="40">
        <f t="shared" si="125"/>
        <v>-1.8676952030467094E-3</v>
      </c>
      <c r="S1103" s="209">
        <v>0</v>
      </c>
    </row>
    <row r="1104" spans="1:19" x14ac:dyDescent="0.45">
      <c r="A1104" s="16">
        <v>45215</v>
      </c>
      <c r="B1104" s="42">
        <f>'Part 2 - CAPM 2.1, 2.2 and 2.3'!N1104</f>
        <v>-2.9925100159281187E-5</v>
      </c>
      <c r="C1104" s="42">
        <f>'Part 2 - CAPM 2.1, 2.2 and 2.3'!O1104</f>
        <v>8.7414341013515376E-3</v>
      </c>
      <c r="E1104" s="16">
        <v>45215</v>
      </c>
      <c r="F1104" s="17">
        <v>6.88E-2</v>
      </c>
      <c r="G1104" s="41">
        <f t="shared" si="121"/>
        <v>1.8230846219635666E-4</v>
      </c>
      <c r="L1104" s="40">
        <f t="shared" si="119"/>
        <v>1.5231754788437287E-4</v>
      </c>
      <c r="M1104" s="40">
        <f t="shared" si="120"/>
        <v>8.9429675644910438E-3</v>
      </c>
      <c r="O1104" s="40">
        <f t="shared" si="122"/>
        <v>1.5231754788437287E-4</v>
      </c>
      <c r="P1104" s="207">
        <f t="shared" si="123"/>
        <v>1.8230846219635666E-4</v>
      </c>
      <c r="Q1104" s="208">
        <f t="shared" si="124"/>
        <v>1.0021992959873915</v>
      </c>
      <c r="R1104" s="40">
        <f t="shared" si="125"/>
        <v>-2.9925100159281187E-5</v>
      </c>
      <c r="S1104" s="209">
        <v>0</v>
      </c>
    </row>
    <row r="1105" spans="1:19" x14ac:dyDescent="0.45">
      <c r="A1105" s="16">
        <v>45216</v>
      </c>
      <c r="B1105" s="42">
        <f>'Part 2 - CAPM 2.1, 2.2 and 2.3'!N1105</f>
        <v>4.1125227917564247E-3</v>
      </c>
      <c r="C1105" s="42">
        <f>'Part 2 - CAPM 2.1, 2.2 and 2.3'!O1105</f>
        <v>-1.7904564118077818E-3</v>
      </c>
      <c r="E1105" s="16">
        <v>45216</v>
      </c>
      <c r="F1105" s="17">
        <v>6.88E-2</v>
      </c>
      <c r="G1105" s="41">
        <f t="shared" si="121"/>
        <v>1.8230846219635666E-4</v>
      </c>
      <c r="L1105" s="40">
        <f t="shared" si="119"/>
        <v>4.3038759088267478E-3</v>
      </c>
      <c r="M1105" s="40">
        <f t="shared" si="120"/>
        <v>-1.6120856932135136E-3</v>
      </c>
      <c r="O1105" s="40">
        <f t="shared" si="122"/>
        <v>4.3038759088267478E-3</v>
      </c>
      <c r="P1105" s="207">
        <f t="shared" si="123"/>
        <v>1.8230846219635666E-4</v>
      </c>
      <c r="Q1105" s="208">
        <f t="shared" si="124"/>
        <v>1.0021992959873915</v>
      </c>
      <c r="R1105" s="40">
        <f t="shared" si="125"/>
        <v>4.1125227917564247E-3</v>
      </c>
      <c r="S1105" s="209">
        <v>0</v>
      </c>
    </row>
    <row r="1106" spans="1:19" x14ac:dyDescent="0.45">
      <c r="A1106" s="16">
        <v>45217</v>
      </c>
      <c r="B1106" s="42">
        <f>'Part 2 - CAPM 2.1, 2.2 and 2.3'!N1106</f>
        <v>-7.2642069502023912E-3</v>
      </c>
      <c r="C1106" s="42">
        <f>'Part 2 - CAPM 2.1, 2.2 and 2.3'!O1106</f>
        <v>3.5758244281348947E-3</v>
      </c>
      <c r="E1106" s="16">
        <v>45217</v>
      </c>
      <c r="F1106" s="17">
        <v>6.8900000000000003E-2</v>
      </c>
      <c r="G1106" s="41">
        <f t="shared" si="121"/>
        <v>1.8256483361001052E-4</v>
      </c>
      <c r="L1106" s="40">
        <f t="shared" si="119"/>
        <v>-7.0976182577895423E-3</v>
      </c>
      <c r="M1106" s="40">
        <f t="shared" si="120"/>
        <v>3.7662535580613192E-3</v>
      </c>
      <c r="O1106" s="40">
        <f t="shared" si="122"/>
        <v>-7.0976182577895423E-3</v>
      </c>
      <c r="P1106" s="207">
        <f t="shared" si="123"/>
        <v>1.8256483361001052E-4</v>
      </c>
      <c r="Q1106" s="208">
        <f t="shared" si="124"/>
        <v>1.0021992959873915</v>
      </c>
      <c r="R1106" s="40">
        <f t="shared" si="125"/>
        <v>-7.2642069502023912E-3</v>
      </c>
      <c r="S1106" s="209">
        <v>0</v>
      </c>
    </row>
    <row r="1107" spans="1:19" x14ac:dyDescent="0.45">
      <c r="A1107" s="16">
        <v>45218</v>
      </c>
      <c r="B1107" s="42">
        <f>'Part 2 - CAPM 2.1, 2.2 and 2.3'!N1107</f>
        <v>-2.1150937701688126E-3</v>
      </c>
      <c r="C1107" s="42">
        <f>'Part 2 - CAPM 2.1, 2.2 and 2.3'!O1107</f>
        <v>-3.6604555521831416E-3</v>
      </c>
      <c r="E1107" s="16">
        <v>45218</v>
      </c>
      <c r="F1107" s="17">
        <v>6.93E-2</v>
      </c>
      <c r="G1107" s="41">
        <f t="shared" si="121"/>
        <v>1.8359008013191236E-4</v>
      </c>
      <c r="L1107" s="40">
        <f t="shared" si="119"/>
        <v>-1.9361554072785895E-3</v>
      </c>
      <c r="M1107" s="40">
        <f t="shared" si="120"/>
        <v>-3.4849158972591709E-3</v>
      </c>
      <c r="O1107" s="40">
        <f t="shared" si="122"/>
        <v>-1.9361554072785895E-3</v>
      </c>
      <c r="P1107" s="207">
        <f t="shared" si="123"/>
        <v>1.8359008013191236E-4</v>
      </c>
      <c r="Q1107" s="208">
        <f t="shared" si="124"/>
        <v>1.0021992959873915</v>
      </c>
      <c r="R1107" s="40">
        <f t="shared" si="125"/>
        <v>-2.1150937701688126E-3</v>
      </c>
      <c r="S1107" s="209">
        <v>0</v>
      </c>
    </row>
    <row r="1108" spans="1:19" x14ac:dyDescent="0.45">
      <c r="A1108" s="16">
        <v>45219</v>
      </c>
      <c r="B1108" s="42">
        <f>'Part 2 - CAPM 2.1, 2.2 and 2.3'!N1108</f>
        <v>-6.0615254372850856E-3</v>
      </c>
      <c r="C1108" s="42">
        <f>'Part 2 - CAPM 2.1, 2.2 and 2.3'!O1108</f>
        <v>-7.2035873284271603E-4</v>
      </c>
      <c r="E1108" s="16">
        <v>45219</v>
      </c>
      <c r="F1108" s="17">
        <v>6.93E-2</v>
      </c>
      <c r="G1108" s="41">
        <f t="shared" si="121"/>
        <v>1.8359008013191236E-4</v>
      </c>
      <c r="L1108" s="40">
        <f t="shared" si="119"/>
        <v>-5.8912664457248659E-3</v>
      </c>
      <c r="M1108" s="40">
        <f t="shared" si="120"/>
        <v>-5.3835293478142715E-4</v>
      </c>
      <c r="O1108" s="40">
        <f t="shared" si="122"/>
        <v>-5.8912664457248659E-3</v>
      </c>
      <c r="P1108" s="207">
        <f t="shared" si="123"/>
        <v>1.8359008013191236E-4</v>
      </c>
      <c r="Q1108" s="208">
        <f t="shared" si="124"/>
        <v>1.0021992959873915</v>
      </c>
      <c r="R1108" s="40">
        <f t="shared" si="125"/>
        <v>-6.0615254372850856E-3</v>
      </c>
      <c r="S1108" s="209">
        <v>0</v>
      </c>
    </row>
    <row r="1109" spans="1:19" x14ac:dyDescent="0.45">
      <c r="A1109" s="16">
        <v>45222</v>
      </c>
      <c r="B1109" s="42">
        <f>'Part 2 - CAPM 2.1, 2.2 and 2.3'!N1109</f>
        <v>-1.8781686978512055E-2</v>
      </c>
      <c r="C1109" s="42">
        <f>'Part 2 - CAPM 2.1, 2.2 and 2.3'!O1109</f>
        <v>-7.4338586085958992E-3</v>
      </c>
      <c r="E1109" s="16">
        <v>45222</v>
      </c>
      <c r="F1109" s="17">
        <v>6.93E-2</v>
      </c>
      <c r="G1109" s="41">
        <f t="shared" si="121"/>
        <v>1.8359008013191236E-4</v>
      </c>
      <c r="L1109" s="40">
        <f t="shared" si="119"/>
        <v>-1.8639403387188429E-2</v>
      </c>
      <c r="M1109" s="40">
        <f t="shared" si="120"/>
        <v>-7.2666177838727076E-3</v>
      </c>
      <c r="O1109" s="40">
        <f t="shared" si="122"/>
        <v>-1.8639403387188429E-2</v>
      </c>
      <c r="P1109" s="207">
        <f t="shared" si="123"/>
        <v>1.8359008013191236E-4</v>
      </c>
      <c r="Q1109" s="208">
        <f t="shared" si="124"/>
        <v>1.0021992959873915</v>
      </c>
      <c r="R1109" s="40">
        <f t="shared" si="125"/>
        <v>-1.8781686978512055E-2</v>
      </c>
      <c r="S1109" s="209">
        <v>0</v>
      </c>
    </row>
    <row r="1110" spans="1:19" x14ac:dyDescent="0.45">
      <c r="A1110" s="16">
        <v>45224</v>
      </c>
      <c r="B1110" s="42">
        <f>'Part 2 - CAPM 2.1, 2.2 and 2.3'!N1110</f>
        <v>-7.7567010951894036E-3</v>
      </c>
      <c r="C1110" s="42">
        <f>'Part 2 - CAPM 2.1, 2.2 and 2.3'!O1110</f>
        <v>-2.8884859416412442E-3</v>
      </c>
      <c r="E1110" s="16">
        <v>45224</v>
      </c>
      <c r="F1110" s="17">
        <v>6.93E-2</v>
      </c>
      <c r="G1110" s="41">
        <f t="shared" si="121"/>
        <v>1.8359008013191236E-4</v>
      </c>
      <c r="L1110" s="40">
        <f t="shared" si="119"/>
        <v>-7.5901702966515369E-3</v>
      </c>
      <c r="M1110" s="40">
        <f t="shared" si="120"/>
        <v>-2.7112484970504202E-3</v>
      </c>
      <c r="O1110" s="40">
        <f t="shared" si="122"/>
        <v>-7.5901702966515369E-3</v>
      </c>
      <c r="P1110" s="207">
        <f t="shared" si="123"/>
        <v>1.8359008013191236E-4</v>
      </c>
      <c r="Q1110" s="208">
        <f t="shared" si="124"/>
        <v>1.0021992959873915</v>
      </c>
      <c r="R1110" s="40">
        <f t="shared" si="125"/>
        <v>-7.7567010951894036E-3</v>
      </c>
      <c r="S1110" s="209">
        <v>0</v>
      </c>
    </row>
    <row r="1111" spans="1:19" x14ac:dyDescent="0.45">
      <c r="A1111" s="16">
        <v>45225</v>
      </c>
      <c r="B1111" s="42">
        <f>'Part 2 - CAPM 2.1, 2.2 and 2.3'!N1111</f>
        <v>-1.2435391903433816E-2</v>
      </c>
      <c r="C1111" s="42">
        <f>'Part 2 - CAPM 2.1, 2.2 and 2.3'!O1111</f>
        <v>-1.8897992032939012E-2</v>
      </c>
      <c r="E1111" s="16">
        <v>45225</v>
      </c>
      <c r="F1111" s="17">
        <v>6.93E-2</v>
      </c>
      <c r="G1111" s="41">
        <f t="shared" si="121"/>
        <v>1.8359008013191236E-4</v>
      </c>
      <c r="L1111" s="40">
        <f t="shared" si="119"/>
        <v>-1.2279150930816767E-2</v>
      </c>
      <c r="M1111" s="40">
        <f t="shared" si="120"/>
        <v>-1.8755964230854898E-2</v>
      </c>
      <c r="O1111" s="40">
        <f t="shared" si="122"/>
        <v>-1.2279150930816767E-2</v>
      </c>
      <c r="P1111" s="207">
        <f t="shared" si="123"/>
        <v>1.8359008013191236E-4</v>
      </c>
      <c r="Q1111" s="208">
        <f t="shared" si="124"/>
        <v>1.0021992959873915</v>
      </c>
      <c r="R1111" s="40">
        <f t="shared" si="125"/>
        <v>-1.2435391903433816E-2</v>
      </c>
      <c r="S1111" s="209">
        <v>0</v>
      </c>
    </row>
    <row r="1112" spans="1:19" x14ac:dyDescent="0.45">
      <c r="A1112" s="16">
        <v>45226</v>
      </c>
      <c r="B1112" s="42">
        <f>'Part 2 - CAPM 2.1, 2.2 and 2.3'!N1112</f>
        <v>1.2500542073664696E-2</v>
      </c>
      <c r="C1112" s="42">
        <f>'Part 2 - CAPM 2.1, 2.2 and 2.3'!O1112</f>
        <v>2.1098373946381487E-2</v>
      </c>
      <c r="E1112" s="16">
        <v>45226</v>
      </c>
      <c r="F1112" s="17">
        <v>6.9500000000000006E-2</v>
      </c>
      <c r="G1112" s="41">
        <f t="shared" si="121"/>
        <v>1.8410255997558522E-4</v>
      </c>
      <c r="L1112" s="40">
        <f t="shared" si="119"/>
        <v>1.2712137025663111E-2</v>
      </c>
      <c r="M1112" s="40">
        <f t="shared" si="120"/>
        <v>2.1328878075517834E-2</v>
      </c>
      <c r="O1112" s="40">
        <f t="shared" si="122"/>
        <v>1.2712137025663111E-2</v>
      </c>
      <c r="P1112" s="207">
        <f t="shared" si="123"/>
        <v>1.8410255997558522E-4</v>
      </c>
      <c r="Q1112" s="208">
        <f t="shared" si="124"/>
        <v>1.0021992959873915</v>
      </c>
      <c r="R1112" s="40">
        <f t="shared" si="125"/>
        <v>1.2500542073664696E-2</v>
      </c>
      <c r="S1112" s="209">
        <v>0</v>
      </c>
    </row>
    <row r="1113" spans="1:19" x14ac:dyDescent="0.45">
      <c r="A1113" s="16">
        <v>45229</v>
      </c>
      <c r="B1113" s="42">
        <f>'Part 2 - CAPM 2.1, 2.2 and 2.3'!N1113</f>
        <v>3.4342249250482342E-3</v>
      </c>
      <c r="C1113" s="42">
        <f>'Part 2 - CAPM 2.1, 2.2 and 2.3'!O1113</f>
        <v>2.1738181757207334E-2</v>
      </c>
      <c r="E1113" s="16">
        <v>45229</v>
      </c>
      <c r="F1113" s="17">
        <v>6.9199999999999998E-2</v>
      </c>
      <c r="G1113" s="41">
        <f t="shared" si="121"/>
        <v>1.8333380436241775E-4</v>
      </c>
      <c r="L1113" s="40">
        <f t="shared" si="119"/>
        <v>3.6251116065081105E-3</v>
      </c>
      <c r="M1113" s="40">
        <f t="shared" si="120"/>
        <v>2.1969324257481566E-2</v>
      </c>
      <c r="O1113" s="40">
        <f t="shared" si="122"/>
        <v>3.6251116065081105E-3</v>
      </c>
      <c r="P1113" s="207">
        <f t="shared" si="123"/>
        <v>1.8333380436241775E-4</v>
      </c>
      <c r="Q1113" s="208">
        <f t="shared" si="124"/>
        <v>1.0021992959873915</v>
      </c>
      <c r="R1113" s="40">
        <f t="shared" si="125"/>
        <v>3.4342249250482342E-3</v>
      </c>
      <c r="S1113" s="209">
        <v>0</v>
      </c>
    </row>
    <row r="1114" spans="1:19" x14ac:dyDescent="0.45">
      <c r="A1114" s="16">
        <v>45230</v>
      </c>
      <c r="B1114" s="42">
        <f>'Part 2 - CAPM 2.1, 2.2 and 2.3'!N1114</f>
        <v>-1.6696332939236658E-3</v>
      </c>
      <c r="C1114" s="42">
        <f>'Part 2 - CAPM 2.1, 2.2 and 2.3'!O1114</f>
        <v>-1.4219863281153985E-2</v>
      </c>
      <c r="E1114" s="16">
        <v>45230</v>
      </c>
      <c r="F1114" s="17">
        <v>6.9400000000000003E-2</v>
      </c>
      <c r="G1114" s="41">
        <f t="shared" si="121"/>
        <v>1.8384633200141387E-4</v>
      </c>
      <c r="L1114" s="40">
        <f t="shared" si="119"/>
        <v>-1.4894589797259936E-3</v>
      </c>
      <c r="M1114" s="40">
        <f t="shared" si="120"/>
        <v>-1.4067290637408069E-2</v>
      </c>
      <c r="O1114" s="40">
        <f t="shared" si="122"/>
        <v>-1.4894589797259936E-3</v>
      </c>
      <c r="P1114" s="207">
        <f t="shared" si="123"/>
        <v>1.8384633200141387E-4</v>
      </c>
      <c r="Q1114" s="208">
        <f t="shared" si="124"/>
        <v>1.0021992959873915</v>
      </c>
      <c r="R1114" s="40">
        <f t="shared" si="125"/>
        <v>-1.6696332939236658E-3</v>
      </c>
      <c r="S1114" s="209">
        <v>0</v>
      </c>
    </row>
    <row r="1115" spans="1:19" x14ac:dyDescent="0.45">
      <c r="A1115" s="16">
        <v>45231</v>
      </c>
      <c r="B1115" s="42">
        <f>'Part 2 - CAPM 2.1, 2.2 and 2.3'!N1115</f>
        <v>-4.2398721092846356E-3</v>
      </c>
      <c r="C1115" s="42">
        <f>'Part 2 - CAPM 2.1, 2.2 and 2.3'!O1115</f>
        <v>2.7710164200022962E-3</v>
      </c>
      <c r="E1115" s="16">
        <v>45231</v>
      </c>
      <c r="F1115" s="17">
        <v>6.93E-2</v>
      </c>
      <c r="G1115" s="41">
        <f t="shared" si="121"/>
        <v>1.8359008013191236E-4</v>
      </c>
      <c r="L1115" s="40">
        <f t="shared" si="119"/>
        <v>-4.065606762869726E-3</v>
      </c>
      <c r="M1115" s="40">
        <f t="shared" si="120"/>
        <v>2.9607007854277156E-3</v>
      </c>
      <c r="O1115" s="40">
        <f t="shared" si="122"/>
        <v>-4.065606762869726E-3</v>
      </c>
      <c r="P1115" s="207">
        <f t="shared" si="123"/>
        <v>1.8359008013191236E-4</v>
      </c>
      <c r="Q1115" s="208">
        <f t="shared" si="124"/>
        <v>1.0021992959873915</v>
      </c>
      <c r="R1115" s="40">
        <f t="shared" si="125"/>
        <v>-4.2398721092846356E-3</v>
      </c>
      <c r="S1115" s="209">
        <v>0</v>
      </c>
    </row>
    <row r="1116" spans="1:19" x14ac:dyDescent="0.45">
      <c r="A1116" s="16">
        <v>45232</v>
      </c>
      <c r="B1116" s="42">
        <f>'Part 2 - CAPM 2.1, 2.2 and 2.3'!N1116</f>
        <v>9.2493804779823687E-3</v>
      </c>
      <c r="C1116" s="42">
        <f>'Part 2 - CAPM 2.1, 2.2 and 2.3'!O1116</f>
        <v>-2.8621957576188636E-3</v>
      </c>
      <c r="E1116" s="16">
        <v>45232</v>
      </c>
      <c r="F1116" s="17">
        <v>6.9500000000000006E-2</v>
      </c>
      <c r="G1116" s="41">
        <f t="shared" si="121"/>
        <v>1.8410255997558522E-4</v>
      </c>
      <c r="L1116" s="40">
        <f t="shared" si="119"/>
        <v>9.4538251633290386E-3</v>
      </c>
      <c r="M1116" s="40">
        <f t="shared" si="120"/>
        <v>-2.6843880132881386E-3</v>
      </c>
      <c r="O1116" s="40">
        <f t="shared" si="122"/>
        <v>9.4538251633290386E-3</v>
      </c>
      <c r="P1116" s="207">
        <f t="shared" si="123"/>
        <v>1.8410255997558522E-4</v>
      </c>
      <c r="Q1116" s="208">
        <f t="shared" si="124"/>
        <v>1.0021992959873915</v>
      </c>
      <c r="R1116" s="40">
        <f t="shared" si="125"/>
        <v>9.2493804779823687E-3</v>
      </c>
      <c r="S1116" s="209">
        <v>0</v>
      </c>
    </row>
    <row r="1117" spans="1:19" x14ac:dyDescent="0.45">
      <c r="A1117" s="16">
        <v>45233</v>
      </c>
      <c r="B1117" s="42">
        <f>'Part 2 - CAPM 2.1, 2.2 and 2.3'!N1117</f>
        <v>6.3371989769558483E-3</v>
      </c>
      <c r="C1117" s="42">
        <f>'Part 2 - CAPM 2.1, 2.2 and 2.3'!O1117</f>
        <v>2.0224060705330598E-2</v>
      </c>
      <c r="E1117" s="16">
        <v>45233</v>
      </c>
      <c r="F1117" s="17">
        <v>6.9500000000000006E-2</v>
      </c>
      <c r="G1117" s="41">
        <f t="shared" si="121"/>
        <v>1.8410255997558522E-4</v>
      </c>
      <c r="L1117" s="40">
        <f t="shared" si="119"/>
        <v>6.5352389132127542E-3</v>
      </c>
      <c r="M1117" s="40">
        <f t="shared" si="120"/>
        <v>2.045264196086418E-2</v>
      </c>
      <c r="O1117" s="40">
        <f t="shared" si="122"/>
        <v>6.5352389132127542E-3</v>
      </c>
      <c r="P1117" s="207">
        <f t="shared" si="123"/>
        <v>1.8410255997558522E-4</v>
      </c>
      <c r="Q1117" s="208">
        <f t="shared" si="124"/>
        <v>1.0021992959873915</v>
      </c>
      <c r="R1117" s="40">
        <f t="shared" si="125"/>
        <v>6.3371989769558483E-3</v>
      </c>
      <c r="S1117" s="209">
        <v>0</v>
      </c>
    </row>
    <row r="1118" spans="1:19" x14ac:dyDescent="0.45">
      <c r="A1118" s="16">
        <v>45236</v>
      </c>
      <c r="B1118" s="42">
        <f>'Part 2 - CAPM 2.1, 2.2 and 2.3'!N1118</f>
        <v>9.1364773278659189E-3</v>
      </c>
      <c r="C1118" s="42">
        <f>'Part 2 - CAPM 2.1, 2.2 and 2.3'!O1118</f>
        <v>1.7184830972499725E-2</v>
      </c>
      <c r="E1118" s="16">
        <v>45236</v>
      </c>
      <c r="F1118" s="17">
        <v>6.93E-2</v>
      </c>
      <c r="G1118" s="41">
        <f t="shared" si="121"/>
        <v>1.8359008013191236E-4</v>
      </c>
      <c r="L1118" s="40">
        <f t="shared" si="119"/>
        <v>9.3401612259239007E-3</v>
      </c>
      <c r="M1118" s="40">
        <f t="shared" si="120"/>
        <v>1.7406215582433458E-2</v>
      </c>
      <c r="O1118" s="40">
        <f t="shared" si="122"/>
        <v>9.3401612259239007E-3</v>
      </c>
      <c r="P1118" s="207">
        <f t="shared" si="123"/>
        <v>1.8359008013191236E-4</v>
      </c>
      <c r="Q1118" s="208">
        <f t="shared" si="124"/>
        <v>1.0021992959873915</v>
      </c>
      <c r="R1118" s="40">
        <f t="shared" si="125"/>
        <v>9.1364773278659189E-3</v>
      </c>
      <c r="S1118" s="209">
        <v>0</v>
      </c>
    </row>
    <row r="1119" spans="1:19" x14ac:dyDescent="0.45">
      <c r="A1119" s="16">
        <v>45237</v>
      </c>
      <c r="B1119" s="42">
        <f>'Part 2 - CAPM 2.1, 2.2 and 2.3'!N1119</f>
        <v>1.4714794444434117E-3</v>
      </c>
      <c r="C1119" s="42">
        <f>'Part 2 - CAPM 2.1, 2.2 and 2.3'!O1119</f>
        <v>-7.0092065436896738E-4</v>
      </c>
      <c r="E1119" s="16">
        <v>45237</v>
      </c>
      <c r="F1119" s="17">
        <v>6.93E-2</v>
      </c>
      <c r="G1119" s="41">
        <f t="shared" si="121"/>
        <v>1.8359008013191236E-4</v>
      </c>
      <c r="L1119" s="40">
        <f t="shared" si="119"/>
        <v>1.6583057434130177E-3</v>
      </c>
      <c r="M1119" s="40">
        <f t="shared" si="120"/>
        <v>-5.1887210621968851E-4</v>
      </c>
      <c r="O1119" s="40">
        <f t="shared" si="122"/>
        <v>1.6583057434130177E-3</v>
      </c>
      <c r="P1119" s="207">
        <f t="shared" si="123"/>
        <v>1.8359008013191236E-4</v>
      </c>
      <c r="Q1119" s="208">
        <f t="shared" si="124"/>
        <v>1.0021992959873915</v>
      </c>
      <c r="R1119" s="40">
        <f t="shared" si="125"/>
        <v>1.4714794444434117E-3</v>
      </c>
      <c r="S1119" s="209">
        <v>0</v>
      </c>
    </row>
    <row r="1120" spans="1:19" x14ac:dyDescent="0.45">
      <c r="A1120" s="16">
        <v>45238</v>
      </c>
      <c r="B1120" s="42">
        <f>'Part 2 - CAPM 2.1, 2.2 and 2.3'!N1120</f>
        <v>3.999609631291391E-3</v>
      </c>
      <c r="C1120" s="42">
        <f>'Part 2 - CAPM 2.1, 2.2 and 2.3'!O1120</f>
        <v>1.0944774309102073E-2</v>
      </c>
      <c r="E1120" s="16">
        <v>45238</v>
      </c>
      <c r="F1120" s="17">
        <v>6.93E-2</v>
      </c>
      <c r="G1120" s="41">
        <f t="shared" si="121"/>
        <v>1.8359008013191236E-4</v>
      </c>
      <c r="L1120" s="40">
        <f t="shared" si="119"/>
        <v>4.1919960368365355E-3</v>
      </c>
      <c r="M1120" s="40">
        <f t="shared" si="120"/>
        <v>1.1152435187454899E-2</v>
      </c>
      <c r="O1120" s="40">
        <f t="shared" si="122"/>
        <v>4.1919960368365355E-3</v>
      </c>
      <c r="P1120" s="207">
        <f t="shared" si="123"/>
        <v>1.8359008013191236E-4</v>
      </c>
      <c r="Q1120" s="208">
        <f t="shared" si="124"/>
        <v>1.0021992959873915</v>
      </c>
      <c r="R1120" s="40">
        <f t="shared" si="125"/>
        <v>3.999609631291391E-3</v>
      </c>
      <c r="S1120" s="209">
        <v>0</v>
      </c>
    </row>
    <row r="1121" spans="1:19" x14ac:dyDescent="0.45">
      <c r="A1121" s="16">
        <v>45239</v>
      </c>
      <c r="B1121" s="42">
        <f>'Part 2 - CAPM 2.1, 2.2 and 2.3'!N1121</f>
        <v>-2.5477344644718085E-3</v>
      </c>
      <c r="C1121" s="42">
        <f>'Part 2 - CAPM 2.1, 2.2 and 2.3'!O1121</f>
        <v>-1.3749241776076181E-2</v>
      </c>
      <c r="E1121" s="16">
        <v>45239</v>
      </c>
      <c r="F1121" s="17">
        <v>6.9400000000000003E-2</v>
      </c>
      <c r="G1121" s="41">
        <f t="shared" si="121"/>
        <v>1.8384633200141387E-4</v>
      </c>
      <c r="L1121" s="40">
        <f t="shared" si="119"/>
        <v>-2.3694913546550467E-3</v>
      </c>
      <c r="M1121" s="40">
        <f t="shared" si="120"/>
        <v>-1.3595634096342568E-2</v>
      </c>
      <c r="O1121" s="40">
        <f t="shared" si="122"/>
        <v>-2.3694913546550467E-3</v>
      </c>
      <c r="P1121" s="207">
        <f t="shared" si="123"/>
        <v>1.8384633200141387E-4</v>
      </c>
      <c r="Q1121" s="208">
        <f t="shared" si="124"/>
        <v>1.0021992959873915</v>
      </c>
      <c r="R1121" s="40">
        <f t="shared" si="125"/>
        <v>-2.5477344644718085E-3</v>
      </c>
      <c r="S1121" s="209">
        <v>0</v>
      </c>
    </row>
    <row r="1122" spans="1:19" x14ac:dyDescent="0.45">
      <c r="A1122" s="16">
        <v>45240</v>
      </c>
      <c r="B1122" s="42">
        <f>'Part 2 - CAPM 2.1, 2.2 and 2.3'!N1122</f>
        <v>2.0056082789201369E-3</v>
      </c>
      <c r="C1122" s="42">
        <f>'Part 2 - CAPM 2.1, 2.2 and 2.3'!O1122</f>
        <v>1.6422277176042267E-2</v>
      </c>
      <c r="E1122" s="16">
        <v>45240</v>
      </c>
      <c r="F1122" s="17">
        <v>6.9400000000000003E-2</v>
      </c>
      <c r="G1122" s="41">
        <f t="shared" si="121"/>
        <v>1.8384633200141387E-4</v>
      </c>
      <c r="L1122" s="40">
        <f t="shared" si="119"/>
        <v>2.193865537161659E-3</v>
      </c>
      <c r="M1122" s="40">
        <f t="shared" si="120"/>
        <v>1.6642240956340783E-2</v>
      </c>
      <c r="O1122" s="40">
        <f t="shared" si="122"/>
        <v>2.193865537161659E-3</v>
      </c>
      <c r="P1122" s="207">
        <f t="shared" si="123"/>
        <v>1.8384633200141387E-4</v>
      </c>
      <c r="Q1122" s="208">
        <f t="shared" si="124"/>
        <v>1.0021992959873915</v>
      </c>
      <c r="R1122" s="40">
        <f t="shared" si="125"/>
        <v>2.0056082789201369E-3</v>
      </c>
      <c r="S1122" s="209">
        <v>0</v>
      </c>
    </row>
    <row r="1123" spans="1:19" x14ac:dyDescent="0.45">
      <c r="A1123" s="16">
        <v>45243</v>
      </c>
      <c r="B1123" s="42">
        <f>'Part 2 - CAPM 2.1, 2.2 and 2.3'!N1123</f>
        <v>3.4089819192184095E-3</v>
      </c>
      <c r="C1123" s="42">
        <f>'Part 2 - CAPM 2.1, 2.2 and 2.3'!O1123</f>
        <v>-6.9431085471705609E-4</v>
      </c>
      <c r="E1123" s="16">
        <v>45243</v>
      </c>
      <c r="F1123" s="17">
        <v>6.9400000000000003E-2</v>
      </c>
      <c r="G1123" s="41">
        <f t="shared" si="121"/>
        <v>1.8384633200141387E-4</v>
      </c>
      <c r="L1123" s="40">
        <f t="shared" si="119"/>
        <v>3.6003256114758506E-3</v>
      </c>
      <c r="M1123" s="40">
        <f t="shared" si="120"/>
        <v>-5.1199151779242379E-4</v>
      </c>
      <c r="O1123" s="40">
        <f t="shared" si="122"/>
        <v>3.6003256114758506E-3</v>
      </c>
      <c r="P1123" s="207">
        <f t="shared" si="123"/>
        <v>1.8384633200141387E-4</v>
      </c>
      <c r="Q1123" s="208">
        <f t="shared" si="124"/>
        <v>1.0021992959873915</v>
      </c>
      <c r="R1123" s="40">
        <f t="shared" si="125"/>
        <v>3.4089819192184095E-3</v>
      </c>
      <c r="S1123" s="209">
        <v>0</v>
      </c>
    </row>
    <row r="1124" spans="1:19" x14ac:dyDescent="0.45">
      <c r="A1124" s="16">
        <v>45245</v>
      </c>
      <c r="B1124" s="42">
        <f>'Part 2 - CAPM 2.1, 2.2 and 2.3'!N1124</f>
        <v>1.075551585221832E-2</v>
      </c>
      <c r="C1124" s="42">
        <f>'Part 2 - CAPM 2.1, 2.2 and 2.3'!O1124</f>
        <v>1.8713243423443104E-2</v>
      </c>
      <c r="E1124" s="16">
        <v>45245</v>
      </c>
      <c r="F1124" s="17">
        <v>6.93E-2</v>
      </c>
      <c r="G1124" s="41">
        <f t="shared" si="121"/>
        <v>1.8359008013191236E-4</v>
      </c>
      <c r="L1124" s="40">
        <f t="shared" si="119"/>
        <v>1.0962760495206343E-2</v>
      </c>
      <c r="M1124" s="40">
        <f t="shared" si="120"/>
        <v>1.8937989464747278E-2</v>
      </c>
      <c r="O1124" s="40">
        <f t="shared" si="122"/>
        <v>1.0962760495206343E-2</v>
      </c>
      <c r="P1124" s="207">
        <f t="shared" si="123"/>
        <v>1.8359008013191236E-4</v>
      </c>
      <c r="Q1124" s="208">
        <f t="shared" si="124"/>
        <v>1.0021992959873915</v>
      </c>
      <c r="R1124" s="40">
        <f t="shared" si="125"/>
        <v>1.075551585221832E-2</v>
      </c>
      <c r="S1124" s="209">
        <v>0</v>
      </c>
    </row>
    <row r="1125" spans="1:19" x14ac:dyDescent="0.45">
      <c r="A1125" s="16">
        <v>45246</v>
      </c>
      <c r="B1125" s="42">
        <f>'Part 2 - CAPM 2.1, 2.2 and 2.3'!N1125</f>
        <v>4.6741753477712112E-3</v>
      </c>
      <c r="C1125" s="42">
        <f>'Part 2 - CAPM 2.1, 2.2 and 2.3'!O1125</f>
        <v>1.134523197500599E-2</v>
      </c>
      <c r="E1125" s="16">
        <v>45246</v>
      </c>
      <c r="F1125" s="17">
        <v>6.93E-2</v>
      </c>
      <c r="G1125" s="41">
        <f t="shared" si="121"/>
        <v>1.8359008013191236E-4</v>
      </c>
      <c r="L1125" s="40">
        <f t="shared" si="119"/>
        <v>4.8680453229898411E-3</v>
      </c>
      <c r="M1125" s="40">
        <f t="shared" si="120"/>
        <v>1.155377357829656E-2</v>
      </c>
      <c r="O1125" s="40">
        <f t="shared" si="122"/>
        <v>4.8680453229898411E-3</v>
      </c>
      <c r="P1125" s="207">
        <f t="shared" si="123"/>
        <v>1.8359008013191236E-4</v>
      </c>
      <c r="Q1125" s="208">
        <f t="shared" si="124"/>
        <v>1.0021992959873915</v>
      </c>
      <c r="R1125" s="40">
        <f t="shared" si="125"/>
        <v>4.6741753477712112E-3</v>
      </c>
      <c r="S1125" s="209">
        <v>0</v>
      </c>
    </row>
    <row r="1126" spans="1:19" x14ac:dyDescent="0.45">
      <c r="A1126" s="16">
        <v>45247</v>
      </c>
      <c r="B1126" s="42">
        <f>'Part 2 - CAPM 2.1, 2.2 and 2.3'!N1126</f>
        <v>2.3702936726516125E-4</v>
      </c>
      <c r="C1126" s="42">
        <f>'Part 2 - CAPM 2.1, 2.2 and 2.3'!O1126</f>
        <v>-2.7190527642074514E-2</v>
      </c>
      <c r="E1126" s="16">
        <v>45247</v>
      </c>
      <c r="F1126" s="17">
        <v>6.93E-2</v>
      </c>
      <c r="G1126" s="41">
        <f t="shared" si="121"/>
        <v>1.8359008013191236E-4</v>
      </c>
      <c r="L1126" s="40">
        <f t="shared" si="119"/>
        <v>4.2114074513339387E-4</v>
      </c>
      <c r="M1126" s="40">
        <f t="shared" si="120"/>
        <v>-2.7066737580280876E-2</v>
      </c>
      <c r="O1126" s="40">
        <f t="shared" si="122"/>
        <v>4.2114074513339387E-4</v>
      </c>
      <c r="P1126" s="207">
        <f t="shared" si="123"/>
        <v>1.8359008013191236E-4</v>
      </c>
      <c r="Q1126" s="208">
        <f t="shared" si="124"/>
        <v>1.0021992959873915</v>
      </c>
      <c r="R1126" s="40">
        <f t="shared" si="125"/>
        <v>2.3702936726516125E-4</v>
      </c>
      <c r="S1126" s="209">
        <v>0</v>
      </c>
    </row>
    <row r="1127" spans="1:19" x14ac:dyDescent="0.45">
      <c r="A1127" s="16">
        <v>45250</v>
      </c>
      <c r="B1127" s="42">
        <f>'Part 2 - CAPM 2.1, 2.2 and 2.3'!N1127</f>
        <v>-1.7096274030197341E-3</v>
      </c>
      <c r="C1127" s="42">
        <f>'Part 2 - CAPM 2.1, 2.2 and 2.3'!O1127</f>
        <v>7.4553168441497016E-3</v>
      </c>
      <c r="E1127" s="16">
        <v>45250</v>
      </c>
      <c r="F1127" s="17">
        <v>6.9500000000000006E-2</v>
      </c>
      <c r="G1127" s="41">
        <f t="shared" si="121"/>
        <v>1.8410255997558522E-4</v>
      </c>
      <c r="L1127" s="40">
        <f t="shared" si="119"/>
        <v>-1.5292848197315449E-3</v>
      </c>
      <c r="M1127" s="40">
        <f t="shared" si="120"/>
        <v>7.6558158525453579E-3</v>
      </c>
      <c r="O1127" s="40">
        <f t="shared" si="122"/>
        <v>-1.5292848197315449E-3</v>
      </c>
      <c r="P1127" s="207">
        <f t="shared" si="123"/>
        <v>1.8410255997558522E-4</v>
      </c>
      <c r="Q1127" s="208">
        <f t="shared" si="124"/>
        <v>1.0021992959873915</v>
      </c>
      <c r="R1127" s="40">
        <f t="shared" si="125"/>
        <v>-1.7096274030197341E-3</v>
      </c>
      <c r="S1127" s="209">
        <v>0</v>
      </c>
    </row>
    <row r="1128" spans="1:19" x14ac:dyDescent="0.45">
      <c r="A1128" s="16">
        <v>45251</v>
      </c>
      <c r="B1128" s="42">
        <f>'Part 2 - CAPM 2.1, 2.2 and 2.3'!N1128</f>
        <v>2.8858345333429391E-3</v>
      </c>
      <c r="C1128" s="42">
        <f>'Part 2 - CAPM 2.1, 2.2 and 2.3'!O1128</f>
        <v>-3.3795424268340535E-2</v>
      </c>
      <c r="E1128" s="16">
        <v>45251</v>
      </c>
      <c r="F1128" s="17">
        <v>6.9500000000000006E-2</v>
      </c>
      <c r="G1128" s="41">
        <f t="shared" si="121"/>
        <v>1.8410255997558522E-4</v>
      </c>
      <c r="L1128" s="40">
        <f t="shared" si="119"/>
        <v>3.0762838976279815E-3</v>
      </c>
      <c r="M1128" s="40">
        <f t="shared" si="120"/>
        <v>-3.3685647849350506E-2</v>
      </c>
      <c r="O1128" s="40">
        <f t="shared" si="122"/>
        <v>3.0762838976279815E-3</v>
      </c>
      <c r="P1128" s="207">
        <f t="shared" si="123"/>
        <v>1.8410255997558522E-4</v>
      </c>
      <c r="Q1128" s="208">
        <f t="shared" si="124"/>
        <v>1.0021992959873915</v>
      </c>
      <c r="R1128" s="40">
        <f t="shared" si="125"/>
        <v>2.8858345333429391E-3</v>
      </c>
      <c r="S1128" s="209">
        <v>0</v>
      </c>
    </row>
    <row r="1129" spans="1:19" x14ac:dyDescent="0.45">
      <c r="A1129" s="16">
        <v>45252</v>
      </c>
      <c r="B1129" s="42">
        <f>'Part 2 - CAPM 2.1, 2.2 and 2.3'!N1129</f>
        <v>-1.7817340999262181E-4</v>
      </c>
      <c r="C1129" s="42">
        <f>'Part 2 - CAPM 2.1, 2.2 and 2.3'!O1129</f>
        <v>-1.2298714366038648E-3</v>
      </c>
      <c r="E1129" s="16">
        <v>45252</v>
      </c>
      <c r="F1129" s="17">
        <v>6.9400000000000003E-2</v>
      </c>
      <c r="G1129" s="41">
        <f t="shared" si="121"/>
        <v>1.8384633200141387E-4</v>
      </c>
      <c r="L1129" s="40">
        <f t="shared" si="119"/>
        <v>5.2810659431354117E-6</v>
      </c>
      <c r="M1129" s="40">
        <f t="shared" si="120"/>
        <v>-1.0487299559179813E-3</v>
      </c>
      <c r="O1129" s="40">
        <f t="shared" si="122"/>
        <v>5.2810659431354117E-6</v>
      </c>
      <c r="P1129" s="207">
        <f t="shared" si="123"/>
        <v>1.8384633200141387E-4</v>
      </c>
      <c r="Q1129" s="208">
        <f t="shared" si="124"/>
        <v>1.0021992959873915</v>
      </c>
      <c r="R1129" s="40">
        <f t="shared" si="125"/>
        <v>-1.7817340999262181E-4</v>
      </c>
      <c r="S1129" s="209">
        <v>0</v>
      </c>
    </row>
    <row r="1130" spans="1:19" x14ac:dyDescent="0.45">
      <c r="A1130" s="16">
        <v>45253</v>
      </c>
      <c r="B1130" s="42">
        <f>'Part 2 - CAPM 2.1, 2.2 and 2.3'!N1130</f>
        <v>4.7962554976083681E-4</v>
      </c>
      <c r="C1130" s="42">
        <f>'Part 2 - CAPM 2.1, 2.2 and 2.3'!O1130</f>
        <v>-2.016563292959849E-3</v>
      </c>
      <c r="E1130" s="16">
        <v>45253</v>
      </c>
      <c r="F1130" s="17">
        <v>6.9500000000000006E-2</v>
      </c>
      <c r="G1130" s="41">
        <f t="shared" si="121"/>
        <v>1.8410255997558522E-4</v>
      </c>
      <c r="L1130" s="40">
        <f t="shared" si="119"/>
        <v>6.6478294828346157E-4</v>
      </c>
      <c r="M1130" s="40">
        <f t="shared" si="120"/>
        <v>-1.8368957525427914E-3</v>
      </c>
      <c r="O1130" s="40">
        <f t="shared" si="122"/>
        <v>6.6478294828346157E-4</v>
      </c>
      <c r="P1130" s="207">
        <f t="shared" si="123"/>
        <v>1.8410255997558522E-4</v>
      </c>
      <c r="Q1130" s="208">
        <f t="shared" si="124"/>
        <v>1.0021992959873915</v>
      </c>
      <c r="R1130" s="40">
        <f t="shared" si="125"/>
        <v>4.7962554976083681E-4</v>
      </c>
      <c r="S1130" s="209">
        <v>0</v>
      </c>
    </row>
    <row r="1131" spans="1:19" x14ac:dyDescent="0.45">
      <c r="A1131" s="16">
        <v>45254</v>
      </c>
      <c r="B1131" s="42">
        <f>'Part 2 - CAPM 2.1, 2.2 and 2.3'!N1131</f>
        <v>4.8331649804710266E-5</v>
      </c>
      <c r="C1131" s="42">
        <f>'Part 2 - CAPM 2.1, 2.2 and 2.3'!O1131</f>
        <v>-9.6254872964036536E-3</v>
      </c>
      <c r="E1131" s="16">
        <v>45254</v>
      </c>
      <c r="F1131" s="17">
        <v>6.9500000000000006E-2</v>
      </c>
      <c r="G1131" s="41">
        <f t="shared" si="121"/>
        <v>1.8410255997558522E-4</v>
      </c>
      <c r="L1131" s="40">
        <f t="shared" si="119"/>
        <v>2.32540505383775E-4</v>
      </c>
      <c r="M1131" s="40">
        <f t="shared" si="120"/>
        <v>-9.462554032015737E-3</v>
      </c>
      <c r="O1131" s="40">
        <f t="shared" si="122"/>
        <v>2.32540505383775E-4</v>
      </c>
      <c r="P1131" s="207">
        <f t="shared" si="123"/>
        <v>1.8410255997558522E-4</v>
      </c>
      <c r="Q1131" s="208">
        <f t="shared" si="124"/>
        <v>1.0021992959873915</v>
      </c>
      <c r="R1131" s="40">
        <f t="shared" si="125"/>
        <v>4.8331649804710266E-5</v>
      </c>
      <c r="S1131" s="209">
        <v>0</v>
      </c>
    </row>
    <row r="1132" spans="1:19" x14ac:dyDescent="0.45">
      <c r="A1132" s="16">
        <v>45258</v>
      </c>
      <c r="B1132" s="42">
        <f>'Part 2 - CAPM 2.1, 2.2 and 2.3'!N1132</f>
        <v>5.3873543505013194E-3</v>
      </c>
      <c r="C1132" s="42">
        <f>'Part 2 - CAPM 2.1, 2.2 and 2.3'!O1132</f>
        <v>2.682145740825314E-2</v>
      </c>
      <c r="E1132" s="16">
        <v>45258</v>
      </c>
      <c r="F1132" s="17">
        <v>6.9500000000000006E-2</v>
      </c>
      <c r="G1132" s="41">
        <f t="shared" si="121"/>
        <v>1.8410255997558522E-4</v>
      </c>
      <c r="L1132" s="40">
        <f t="shared" si="119"/>
        <v>5.5833052972826189E-3</v>
      </c>
      <c r="M1132" s="40">
        <f t="shared" si="120"/>
        <v>2.7064548291882689E-2</v>
      </c>
      <c r="O1132" s="40">
        <f t="shared" si="122"/>
        <v>5.5833052972826189E-3</v>
      </c>
      <c r="P1132" s="207">
        <f t="shared" si="123"/>
        <v>1.8410255997558522E-4</v>
      </c>
      <c r="Q1132" s="208">
        <f t="shared" si="124"/>
        <v>1.0021992959873915</v>
      </c>
      <c r="R1132" s="40">
        <f t="shared" si="125"/>
        <v>5.3873543505013194E-3</v>
      </c>
      <c r="S1132" s="209">
        <v>0</v>
      </c>
    </row>
    <row r="1133" spans="1:19" x14ac:dyDescent="0.45">
      <c r="A1133" s="16">
        <v>45259</v>
      </c>
      <c r="B1133" s="42">
        <f>'Part 2 - CAPM 2.1, 2.2 and 2.3'!N1133</f>
        <v>8.963016937847847E-3</v>
      </c>
      <c r="C1133" s="42">
        <f>'Part 2 - CAPM 2.1, 2.2 and 2.3'!O1133</f>
        <v>-1.0239008764916284E-2</v>
      </c>
      <c r="E1133" s="16">
        <v>45259</v>
      </c>
      <c r="F1133" s="17">
        <v>6.9800000000000001E-2</v>
      </c>
      <c r="G1133" s="41">
        <f t="shared" si="121"/>
        <v>1.8487110056986111E-4</v>
      </c>
      <c r="L1133" s="40">
        <f t="shared" si="119"/>
        <v>9.1676003656040398E-3</v>
      </c>
      <c r="M1133" s="40">
        <f t="shared" si="120"/>
        <v>-1.0076656275237969E-2</v>
      </c>
      <c r="O1133" s="40">
        <f t="shared" si="122"/>
        <v>9.1676003656040398E-3</v>
      </c>
      <c r="P1133" s="207">
        <f t="shared" si="123"/>
        <v>1.8487110056986111E-4</v>
      </c>
      <c r="Q1133" s="208">
        <f t="shared" si="124"/>
        <v>1.0021992959873915</v>
      </c>
      <c r="R1133" s="40">
        <f t="shared" si="125"/>
        <v>8.963016937847847E-3</v>
      </c>
      <c r="S1133" s="209">
        <v>0</v>
      </c>
    </row>
    <row r="1134" spans="1:19" x14ac:dyDescent="0.45">
      <c r="A1134" s="16">
        <v>45260</v>
      </c>
      <c r="B1134" s="42">
        <f>'Part 2 - CAPM 2.1, 2.2 and 2.3'!N1134</f>
        <v>4.4981576011934336E-3</v>
      </c>
      <c r="C1134" s="42">
        <f>'Part 2 - CAPM 2.1, 2.2 and 2.3'!O1134</f>
        <v>1.5179456100326597E-2</v>
      </c>
      <c r="E1134" s="16">
        <v>45260</v>
      </c>
      <c r="F1134" s="17">
        <v>6.9900000000000004E-2</v>
      </c>
      <c r="G1134" s="41">
        <f t="shared" si="121"/>
        <v>1.8512723300667666E-4</v>
      </c>
      <c r="L1134" s="40">
        <f t="shared" si="119"/>
        <v>4.69317761416307E-3</v>
      </c>
      <c r="M1134" s="40">
        <f t="shared" si="120"/>
        <v>1.5397967450225508E-2</v>
      </c>
      <c r="O1134" s="40">
        <f t="shared" si="122"/>
        <v>4.69317761416307E-3</v>
      </c>
      <c r="P1134" s="207">
        <f t="shared" si="123"/>
        <v>1.8512723300667666E-4</v>
      </c>
      <c r="Q1134" s="208">
        <f t="shared" si="124"/>
        <v>1.0021992959873915</v>
      </c>
      <c r="R1134" s="40">
        <f t="shared" si="125"/>
        <v>4.4981576011934336E-3</v>
      </c>
      <c r="S1134" s="209">
        <v>0</v>
      </c>
    </row>
    <row r="1135" spans="1:19" x14ac:dyDescent="0.45">
      <c r="A1135" s="16">
        <v>45261</v>
      </c>
      <c r="B1135" s="42">
        <f>'Part 2 - CAPM 2.1, 2.2 and 2.3'!N1135</f>
        <v>6.8976480302926227E-3</v>
      </c>
      <c r="C1135" s="42">
        <f>'Part 2 - CAPM 2.1, 2.2 and 2.3'!O1135</f>
        <v>-2.2366792565071646E-3</v>
      </c>
      <c r="E1135" s="16">
        <v>45261</v>
      </c>
      <c r="F1135" s="17">
        <v>6.9800000000000001E-2</v>
      </c>
      <c r="G1135" s="41">
        <f t="shared" si="121"/>
        <v>1.8487110056986111E-4</v>
      </c>
      <c r="L1135" s="40">
        <f t="shared" si="119"/>
        <v>7.0976891004979458E-3</v>
      </c>
      <c r="M1135" s="40">
        <f t="shared" si="120"/>
        <v>-2.0567272756512214E-3</v>
      </c>
      <c r="O1135" s="40">
        <f t="shared" si="122"/>
        <v>7.0976891004979458E-3</v>
      </c>
      <c r="P1135" s="207">
        <f t="shared" si="123"/>
        <v>1.8487110056986111E-4</v>
      </c>
      <c r="Q1135" s="208">
        <f t="shared" si="124"/>
        <v>1.0021992959873915</v>
      </c>
      <c r="R1135" s="40">
        <f t="shared" si="125"/>
        <v>6.8976480302926227E-3</v>
      </c>
      <c r="S1135" s="209">
        <v>0</v>
      </c>
    </row>
    <row r="1136" spans="1:19" x14ac:dyDescent="0.45">
      <c r="A1136" s="16">
        <v>45264</v>
      </c>
      <c r="B1136" s="42">
        <f>'Part 2 - CAPM 2.1, 2.2 and 2.3'!N1136</f>
        <v>1.8205609900349331E-2</v>
      </c>
      <c r="C1136" s="42">
        <f>'Part 2 - CAPM 2.1, 2.2 and 2.3'!O1136</f>
        <v>3.836563005594517E-2</v>
      </c>
      <c r="E1136" s="16">
        <v>45264</v>
      </c>
      <c r="F1136" s="17">
        <v>6.9800000000000001E-2</v>
      </c>
      <c r="G1136" s="41">
        <f t="shared" si="121"/>
        <v>1.8487110056986111E-4</v>
      </c>
      <c r="L1136" s="40">
        <f t="shared" si="119"/>
        <v>1.8430520525721045E-2</v>
      </c>
      <c r="M1136" s="40">
        <f t="shared" si="120"/>
        <v>3.863487853275082E-2</v>
      </c>
      <c r="O1136" s="40">
        <f t="shared" si="122"/>
        <v>1.8430520525721045E-2</v>
      </c>
      <c r="P1136" s="207">
        <f t="shared" si="123"/>
        <v>1.8487110056986111E-4</v>
      </c>
      <c r="Q1136" s="208">
        <f t="shared" si="124"/>
        <v>1.0021992959873915</v>
      </c>
      <c r="R1136" s="40">
        <f t="shared" si="125"/>
        <v>1.8205609900349331E-2</v>
      </c>
      <c r="S1136" s="209">
        <v>0</v>
      </c>
    </row>
    <row r="1137" spans="1:19" x14ac:dyDescent="0.45">
      <c r="A1137" s="16">
        <v>45265</v>
      </c>
      <c r="B1137" s="42">
        <f>'Part 2 - CAPM 2.1, 2.2 and 2.3'!N1137</f>
        <v>7.406531994532682E-3</v>
      </c>
      <c r="C1137" s="42">
        <f>'Part 2 - CAPM 2.1, 2.2 and 2.3'!O1137</f>
        <v>-1.8487110056986111E-4</v>
      </c>
      <c r="E1137" s="16">
        <v>45265</v>
      </c>
      <c r="F1137" s="17">
        <v>6.9800000000000001E-2</v>
      </c>
      <c r="G1137" s="41">
        <f t="shared" si="121"/>
        <v>1.8487110056986111E-4</v>
      </c>
      <c r="L1137" s="40">
        <f t="shared" si="119"/>
        <v>7.6076922511986063E-3</v>
      </c>
      <c r="M1137" s="40">
        <f t="shared" si="120"/>
        <v>-4.0658626966795378E-7</v>
      </c>
      <c r="O1137" s="40">
        <f t="shared" si="122"/>
        <v>7.6076922511986063E-3</v>
      </c>
      <c r="P1137" s="207">
        <f t="shared" si="123"/>
        <v>1.8487110056986111E-4</v>
      </c>
      <c r="Q1137" s="208">
        <f t="shared" si="124"/>
        <v>1.0021992959873915</v>
      </c>
      <c r="R1137" s="40">
        <f t="shared" si="125"/>
        <v>7.406531994532682E-3</v>
      </c>
      <c r="S1137" s="209">
        <v>0</v>
      </c>
    </row>
    <row r="1138" spans="1:19" x14ac:dyDescent="0.45">
      <c r="A1138" s="16">
        <v>45266</v>
      </c>
      <c r="B1138" s="42">
        <f>'Part 2 - CAPM 2.1, 2.2 and 2.3'!N1138</f>
        <v>4.7350802444496576E-3</v>
      </c>
      <c r="C1138" s="42">
        <f>'Part 2 - CAPM 2.1, 2.2 and 2.3'!O1138</f>
        <v>-6.7954194252312495E-4</v>
      </c>
      <c r="E1138" s="16">
        <v>45266</v>
      </c>
      <c r="F1138" s="17">
        <v>6.9699999999999998E-2</v>
      </c>
      <c r="G1138" s="41">
        <f t="shared" si="121"/>
        <v>1.8461494425525693E-4</v>
      </c>
      <c r="L1138" s="40">
        <f t="shared" si="119"/>
        <v>4.9301090316865095E-3</v>
      </c>
      <c r="M1138" s="40">
        <f t="shared" si="120"/>
        <v>-4.9642151213532344E-4</v>
      </c>
      <c r="O1138" s="40">
        <f t="shared" si="122"/>
        <v>4.9301090316865095E-3</v>
      </c>
      <c r="P1138" s="207">
        <f t="shared" si="123"/>
        <v>1.8461494425525693E-4</v>
      </c>
      <c r="Q1138" s="208">
        <f t="shared" si="124"/>
        <v>1.0021992959873915</v>
      </c>
      <c r="R1138" s="40">
        <f t="shared" si="125"/>
        <v>4.7350802444496576E-3</v>
      </c>
      <c r="S1138" s="209">
        <v>0</v>
      </c>
    </row>
    <row r="1139" spans="1:19" x14ac:dyDescent="0.45">
      <c r="A1139" s="16">
        <v>45267</v>
      </c>
      <c r="B1139" s="42">
        <f>'Part 2 - CAPM 2.1, 2.2 and 2.3'!N1139</f>
        <v>1.0918954947191403E-3</v>
      </c>
      <c r="C1139" s="42">
        <f>'Part 2 - CAPM 2.1, 2.2 and 2.3'!O1139</f>
        <v>-1.5287619305571015E-2</v>
      </c>
      <c r="E1139" s="16">
        <v>45267</v>
      </c>
      <c r="F1139" s="17">
        <v>6.9800000000000001E-2</v>
      </c>
      <c r="G1139" s="41">
        <f t="shared" si="121"/>
        <v>1.8487110056986111E-4</v>
      </c>
      <c r="L1139" s="40">
        <f t="shared" si="119"/>
        <v>1.279167996669188E-3</v>
      </c>
      <c r="M1139" s="40">
        <f t="shared" si="120"/>
        <v>-1.5136370204796665E-2</v>
      </c>
      <c r="O1139" s="40">
        <f t="shared" si="122"/>
        <v>1.279167996669188E-3</v>
      </c>
      <c r="P1139" s="207">
        <f t="shared" si="123"/>
        <v>1.8487110056986111E-4</v>
      </c>
      <c r="Q1139" s="208">
        <f t="shared" si="124"/>
        <v>1.0021992959873915</v>
      </c>
      <c r="R1139" s="40">
        <f t="shared" si="125"/>
        <v>1.0918954947191403E-3</v>
      </c>
      <c r="S1139" s="209">
        <v>0</v>
      </c>
    </row>
    <row r="1140" spans="1:19" x14ac:dyDescent="0.45">
      <c r="A1140" s="16">
        <v>45268</v>
      </c>
      <c r="B1140" s="42">
        <f>'Part 2 - CAPM 2.1, 2.2 and 2.3'!N1140</f>
        <v>-2.0332766917544956E-4</v>
      </c>
      <c r="C1140" s="42">
        <f>'Part 2 - CAPM 2.1, 2.2 and 2.3'!O1140</f>
        <v>-1.501618859935841E-2</v>
      </c>
      <c r="E1140" s="16">
        <v>45268</v>
      </c>
      <c r="F1140" s="17">
        <v>6.9699999999999998E-2</v>
      </c>
      <c r="G1140" s="41">
        <f t="shared" si="121"/>
        <v>1.8461494425525693E-4</v>
      </c>
      <c r="L1140" s="40">
        <f t="shared" si="119"/>
        <v>-1.9159902647135867E-5</v>
      </c>
      <c r="M1140" s="40">
        <f t="shared" si="120"/>
        <v>-1.4864598698435637E-2</v>
      </c>
      <c r="O1140" s="40">
        <f t="shared" si="122"/>
        <v>-1.9159902647135867E-5</v>
      </c>
      <c r="P1140" s="207">
        <f t="shared" si="123"/>
        <v>1.8461494425525693E-4</v>
      </c>
      <c r="Q1140" s="208">
        <f t="shared" si="124"/>
        <v>1.0021992959873915</v>
      </c>
      <c r="R1140" s="40">
        <f t="shared" si="125"/>
        <v>-2.0332766917544956E-4</v>
      </c>
      <c r="S1140" s="209">
        <v>0</v>
      </c>
    </row>
    <row r="1141" spans="1:19" x14ac:dyDescent="0.45">
      <c r="A1141" s="16">
        <v>45271</v>
      </c>
      <c r="B1141" s="42">
        <f>'Part 2 - CAPM 2.1, 2.2 and 2.3'!N1141</f>
        <v>3.382074893442263E-3</v>
      </c>
      <c r="C1141" s="42">
        <f>'Part 2 - CAPM 2.1, 2.2 and 2.3'!O1141</f>
        <v>9.257081415528487E-3</v>
      </c>
      <c r="E1141" s="16">
        <v>45271</v>
      </c>
      <c r="F1141" s="17">
        <v>6.9500000000000006E-2</v>
      </c>
      <c r="G1141" s="41">
        <f t="shared" si="121"/>
        <v>1.8410255997558522E-4</v>
      </c>
      <c r="L1141" s="40">
        <f t="shared" si="119"/>
        <v>3.5736156371600535E-3</v>
      </c>
      <c r="M1141" s="40">
        <f t="shared" si="120"/>
        <v>9.4615430375162013E-3</v>
      </c>
      <c r="O1141" s="40">
        <f t="shared" si="122"/>
        <v>3.5736156371600535E-3</v>
      </c>
      <c r="P1141" s="207">
        <f t="shared" si="123"/>
        <v>1.8410255997558522E-4</v>
      </c>
      <c r="Q1141" s="208">
        <f t="shared" si="124"/>
        <v>1.0021992959873915</v>
      </c>
      <c r="R1141" s="40">
        <f t="shared" si="125"/>
        <v>3.382074893442263E-3</v>
      </c>
      <c r="S1141" s="209">
        <v>0</v>
      </c>
    </row>
    <row r="1142" spans="1:19" x14ac:dyDescent="0.45">
      <c r="A1142" s="16">
        <v>45272</v>
      </c>
      <c r="B1142" s="42">
        <f>'Part 2 - CAPM 2.1, 2.2 and 2.3'!N1142</f>
        <v>-4.6278281225912068E-3</v>
      </c>
      <c r="C1142" s="42">
        <f>'Part 2 - CAPM 2.1, 2.2 and 2.3'!O1142</f>
        <v>-1.2318083093901392E-2</v>
      </c>
      <c r="E1142" s="16">
        <v>45272</v>
      </c>
      <c r="F1142" s="17">
        <v>6.9699999999999998E-2</v>
      </c>
      <c r="G1142" s="41">
        <f t="shared" si="121"/>
        <v>1.8461494425525693E-4</v>
      </c>
      <c r="L1142" s="40">
        <f t="shared" si="119"/>
        <v>-4.4533911421563025E-3</v>
      </c>
      <c r="M1142" s="40">
        <f t="shared" si="120"/>
        <v>-1.2160559260366908E-2</v>
      </c>
      <c r="O1142" s="40">
        <f t="shared" si="122"/>
        <v>-4.4533911421563025E-3</v>
      </c>
      <c r="P1142" s="207">
        <f t="shared" si="123"/>
        <v>1.8461494425525693E-4</v>
      </c>
      <c r="Q1142" s="208">
        <f t="shared" si="124"/>
        <v>1.0021992959873915</v>
      </c>
      <c r="R1142" s="40">
        <f t="shared" si="125"/>
        <v>-4.6278281225912068E-3</v>
      </c>
      <c r="S1142" s="209">
        <v>0</v>
      </c>
    </row>
    <row r="1143" spans="1:19" x14ac:dyDescent="0.45">
      <c r="A1143" s="16">
        <v>45273</v>
      </c>
      <c r="B1143" s="42">
        <f>'Part 2 - CAPM 2.1, 2.2 and 2.3'!N1143</f>
        <v>3.2750464209865961E-3</v>
      </c>
      <c r="C1143" s="42">
        <f>'Part 2 - CAPM 2.1, 2.2 and 2.3'!O1143</f>
        <v>-1.1699456295329974E-2</v>
      </c>
      <c r="E1143" s="16">
        <v>45273</v>
      </c>
      <c r="F1143" s="17">
        <v>6.9699999999999998E-2</v>
      </c>
      <c r="G1143" s="41">
        <f t="shared" si="121"/>
        <v>1.8461494425525693E-4</v>
      </c>
      <c r="L1143" s="40">
        <f t="shared" si="119"/>
        <v>3.4668641616940497E-3</v>
      </c>
      <c r="M1143" s="40">
        <f t="shared" si="120"/>
        <v>-1.15405719183597E-2</v>
      </c>
      <c r="O1143" s="40">
        <f t="shared" si="122"/>
        <v>3.4668641616940497E-3</v>
      </c>
      <c r="P1143" s="207">
        <f t="shared" si="123"/>
        <v>1.8461494425525693E-4</v>
      </c>
      <c r="Q1143" s="208">
        <f t="shared" si="124"/>
        <v>1.0021992959873915</v>
      </c>
      <c r="R1143" s="40">
        <f t="shared" si="125"/>
        <v>3.2750464209865961E-3</v>
      </c>
      <c r="S1143" s="209">
        <v>0</v>
      </c>
    </row>
    <row r="1144" spans="1:19" x14ac:dyDescent="0.45">
      <c r="A1144" s="16">
        <v>45274</v>
      </c>
      <c r="B1144" s="42">
        <f>'Part 2 - CAPM 2.1, 2.2 and 2.3'!N1144</f>
        <v>1.1675288894812655E-2</v>
      </c>
      <c r="C1144" s="42">
        <f>'Part 2 - CAPM 2.1, 2.2 and 2.3'!O1144</f>
        <v>1.4311378073749641E-2</v>
      </c>
      <c r="E1144" s="16">
        <v>45274</v>
      </c>
      <c r="F1144" s="17">
        <v>6.9900000000000004E-2</v>
      </c>
      <c r="G1144" s="41">
        <f t="shared" si="121"/>
        <v>1.8512723300667666E-4</v>
      </c>
      <c r="L1144" s="40">
        <f t="shared" si="119"/>
        <v>1.188609354383733E-2</v>
      </c>
      <c r="M1144" s="40">
        <f t="shared" si="120"/>
        <v>1.452798026312796E-2</v>
      </c>
      <c r="O1144" s="40">
        <f t="shared" si="122"/>
        <v>1.188609354383733E-2</v>
      </c>
      <c r="P1144" s="207">
        <f t="shared" si="123"/>
        <v>1.8512723300667666E-4</v>
      </c>
      <c r="Q1144" s="208">
        <f t="shared" si="124"/>
        <v>1.0021992959873915</v>
      </c>
      <c r="R1144" s="40">
        <f t="shared" si="125"/>
        <v>1.1675288894812655E-2</v>
      </c>
      <c r="S1144" s="209">
        <v>0</v>
      </c>
    </row>
    <row r="1145" spans="1:19" x14ac:dyDescent="0.45">
      <c r="A1145" s="16">
        <v>45275</v>
      </c>
      <c r="B1145" s="42">
        <f>'Part 2 - CAPM 2.1, 2.2 and 2.3'!N1145</f>
        <v>8.8403799034887202E-3</v>
      </c>
      <c r="C1145" s="42">
        <f>'Part 2 - CAPM 2.1, 2.2 and 2.3'!O1145</f>
        <v>2.5844482882644255E-2</v>
      </c>
      <c r="E1145" s="16">
        <v>45275</v>
      </c>
      <c r="F1145" s="17">
        <v>6.8900000000000003E-2</v>
      </c>
      <c r="G1145" s="41">
        <f t="shared" si="121"/>
        <v>1.8256483361001052E-4</v>
      </c>
      <c r="L1145" s="40">
        <f t="shared" si="119"/>
        <v>9.0423873491474911E-3</v>
      </c>
      <c r="M1145" s="40">
        <f t="shared" si="120"/>
        <v>2.6083887383754275E-2</v>
      </c>
      <c r="O1145" s="40">
        <f t="shared" si="122"/>
        <v>9.0423873491474911E-3</v>
      </c>
      <c r="P1145" s="207">
        <f t="shared" si="123"/>
        <v>1.8256483361001052E-4</v>
      </c>
      <c r="Q1145" s="208">
        <f t="shared" si="124"/>
        <v>1.0021992959873915</v>
      </c>
      <c r="R1145" s="40">
        <f t="shared" si="125"/>
        <v>8.8403799034887202E-3</v>
      </c>
      <c r="S1145" s="209">
        <v>0</v>
      </c>
    </row>
    <row r="1146" spans="1:19" x14ac:dyDescent="0.45">
      <c r="A1146" s="16">
        <v>45278</v>
      </c>
      <c r="B1146" s="42">
        <f>'Part 2 - CAPM 2.1, 2.2 and 2.3'!N1146</f>
        <v>3.6485455699361092E-4</v>
      </c>
      <c r="C1146" s="42">
        <f>'Part 2 - CAPM 2.1, 2.2 and 2.3'!O1146</f>
        <v>-1.0380058620296107E-2</v>
      </c>
      <c r="E1146" s="16">
        <v>45278</v>
      </c>
      <c r="F1146" s="17">
        <v>6.93E-2</v>
      </c>
      <c r="G1146" s="41">
        <f t="shared" si="121"/>
        <v>1.8359008013191236E-4</v>
      </c>
      <c r="L1146" s="40">
        <f t="shared" si="119"/>
        <v>5.4924706028870078E-4</v>
      </c>
      <c r="M1146" s="40">
        <f t="shared" si="120"/>
        <v>-1.02192973614367E-2</v>
      </c>
      <c r="O1146" s="40">
        <f t="shared" si="122"/>
        <v>5.4924706028870078E-4</v>
      </c>
      <c r="P1146" s="207">
        <f t="shared" si="123"/>
        <v>1.8359008013191236E-4</v>
      </c>
      <c r="Q1146" s="208">
        <f t="shared" si="124"/>
        <v>1.0021992959873915</v>
      </c>
      <c r="R1146" s="40">
        <f t="shared" si="125"/>
        <v>3.6485455699361092E-4</v>
      </c>
      <c r="S1146" s="209">
        <v>0</v>
      </c>
    </row>
    <row r="1147" spans="1:19" x14ac:dyDescent="0.45">
      <c r="A1147" s="16">
        <v>45279</v>
      </c>
      <c r="B1147" s="42">
        <f>'Part 2 - CAPM 2.1, 2.2 and 2.3'!N1147</f>
        <v>5.3109486322556164E-4</v>
      </c>
      <c r="C1147" s="42">
        <f>'Part 2 - CAPM 2.1, 2.2 and 2.3'!O1147</f>
        <v>6.3485607566073866E-3</v>
      </c>
      <c r="E1147" s="16">
        <v>45279</v>
      </c>
      <c r="F1147" s="17">
        <v>6.9500000000000006E-2</v>
      </c>
      <c r="G1147" s="41">
        <f t="shared" si="121"/>
        <v>1.8410255997558522E-4</v>
      </c>
      <c r="L1147" s="40">
        <f t="shared" si="119"/>
        <v>7.1636545800276305E-4</v>
      </c>
      <c r="M1147" s="40">
        <f t="shared" si="120"/>
        <v>6.54662568078069E-3</v>
      </c>
      <c r="O1147" s="40">
        <f t="shared" si="122"/>
        <v>7.1636545800276305E-4</v>
      </c>
      <c r="P1147" s="207">
        <f t="shared" si="123"/>
        <v>1.8410255997558522E-4</v>
      </c>
      <c r="Q1147" s="208">
        <f t="shared" si="124"/>
        <v>1.0021992959873915</v>
      </c>
      <c r="R1147" s="40">
        <f t="shared" si="125"/>
        <v>5.3109486322556164E-4</v>
      </c>
      <c r="S1147" s="209">
        <v>0</v>
      </c>
    </row>
    <row r="1148" spans="1:19" x14ac:dyDescent="0.45">
      <c r="A1148" s="16">
        <v>45280</v>
      </c>
      <c r="B1148" s="42">
        <f>'Part 2 - CAPM 2.1, 2.2 and 2.3'!N1148</f>
        <v>-2.0519521647669996E-2</v>
      </c>
      <c r="C1148" s="42">
        <f>'Part 2 - CAPM 2.1, 2.2 and 2.3'!O1148</f>
        <v>1.429341147556582E-2</v>
      </c>
      <c r="E1148" s="16">
        <v>45280</v>
      </c>
      <c r="F1148" s="17">
        <v>6.9800000000000001E-2</v>
      </c>
      <c r="G1148" s="41">
        <f t="shared" si="121"/>
        <v>1.8487110056986111E-4</v>
      </c>
      <c r="L1148" s="40">
        <f t="shared" si="119"/>
        <v>-2.0379779048723051E-2</v>
      </c>
      <c r="M1148" s="40">
        <f t="shared" si="120"/>
        <v>1.450971801864003E-2</v>
      </c>
      <c r="O1148" s="40">
        <f t="shared" si="122"/>
        <v>-2.0379779048723051E-2</v>
      </c>
      <c r="P1148" s="207">
        <f t="shared" si="123"/>
        <v>1.8487110056986111E-4</v>
      </c>
      <c r="Q1148" s="208">
        <f t="shared" si="124"/>
        <v>1.0021992959873915</v>
      </c>
      <c r="R1148" s="40">
        <f t="shared" si="125"/>
        <v>-2.0519521647669996E-2</v>
      </c>
      <c r="S1148" s="209">
        <v>0</v>
      </c>
    </row>
    <row r="1149" spans="1:19" x14ac:dyDescent="0.45">
      <c r="A1149" s="16">
        <v>45281</v>
      </c>
      <c r="B1149" s="42">
        <f>'Part 2 - CAPM 2.1, 2.2 and 2.3'!N1149</f>
        <v>8.4607293508754209E-3</v>
      </c>
      <c r="C1149" s="42">
        <f>'Part 2 - CAPM 2.1, 2.2 and 2.3'!O1149</f>
        <v>-2.8910516774443883E-3</v>
      </c>
      <c r="E1149" s="16">
        <v>45281</v>
      </c>
      <c r="F1149" s="17">
        <v>6.9599999999999995E-2</v>
      </c>
      <c r="G1149" s="41">
        <f t="shared" si="121"/>
        <v>1.8435876405864526E-4</v>
      </c>
      <c r="L1149" s="40">
        <f t="shared" si="119"/>
        <v>8.663695763045853E-3</v>
      </c>
      <c r="M1149" s="40">
        <f t="shared" si="120"/>
        <v>-2.7130511917392883E-3</v>
      </c>
      <c r="O1149" s="40">
        <f t="shared" si="122"/>
        <v>8.663695763045853E-3</v>
      </c>
      <c r="P1149" s="207">
        <f t="shared" si="123"/>
        <v>1.8435876405864526E-4</v>
      </c>
      <c r="Q1149" s="208">
        <f t="shared" si="124"/>
        <v>1.0021992959873915</v>
      </c>
      <c r="R1149" s="40">
        <f t="shared" si="125"/>
        <v>8.4607293508754209E-3</v>
      </c>
      <c r="S1149" s="209">
        <v>0</v>
      </c>
    </row>
    <row r="1150" spans="1:19" x14ac:dyDescent="0.45">
      <c r="A1150" s="16">
        <v>45282</v>
      </c>
      <c r="B1150" s="42">
        <f>'Part 2 - CAPM 2.1, 2.2 and 2.3'!N1150</f>
        <v>5.7757478512552784E-3</v>
      </c>
      <c r="C1150" s="42">
        <f>'Part 2 - CAPM 2.1, 2.2 and 2.3'!O1150</f>
        <v>6.230386289398742E-3</v>
      </c>
      <c r="E1150" s="16">
        <v>45282</v>
      </c>
      <c r="F1150" s="17">
        <v>6.9699999999999998E-2</v>
      </c>
      <c r="G1150" s="41">
        <f t="shared" si="121"/>
        <v>1.8461494425525693E-4</v>
      </c>
      <c r="L1150" s="40">
        <f t="shared" si="119"/>
        <v>5.9730653745839867E-3</v>
      </c>
      <c r="M1150" s="40">
        <f t="shared" si="120"/>
        <v>6.4287036972201731E-3</v>
      </c>
      <c r="O1150" s="40">
        <f t="shared" si="122"/>
        <v>5.9730653745839867E-3</v>
      </c>
      <c r="P1150" s="207">
        <f t="shared" si="123"/>
        <v>1.8461494425525693E-4</v>
      </c>
      <c r="Q1150" s="208">
        <f t="shared" si="124"/>
        <v>1.0021992959873915</v>
      </c>
      <c r="R1150" s="40">
        <f t="shared" si="125"/>
        <v>5.7757478512552784E-3</v>
      </c>
      <c r="S1150" s="209">
        <v>0</v>
      </c>
    </row>
    <row r="1151" spans="1:19" x14ac:dyDescent="0.45">
      <c r="A1151" s="16">
        <v>45286</v>
      </c>
      <c r="B1151" s="42">
        <f>'Part 2 - CAPM 2.1, 2.2 and 2.3'!N1151</f>
        <v>4.7559109360538606E-3</v>
      </c>
      <c r="C1151" s="42">
        <f>'Part 2 - CAPM 2.1, 2.2 and 2.3'!O1151</f>
        <v>1.6485625402443218E-2</v>
      </c>
      <c r="E1151" s="16">
        <v>45286</v>
      </c>
      <c r="F1151" s="17">
        <v>6.9900000000000004E-2</v>
      </c>
      <c r="G1151" s="41">
        <f t="shared" si="121"/>
        <v>1.8512723300667666E-4</v>
      </c>
      <c r="L1151" s="40">
        <f t="shared" si="119"/>
        <v>4.9514978248985922E-3</v>
      </c>
      <c r="M1151" s="40">
        <f t="shared" si="120"/>
        <v>1.6707009405247129E-2</v>
      </c>
      <c r="O1151" s="40">
        <f t="shared" si="122"/>
        <v>4.9514978248985922E-3</v>
      </c>
      <c r="P1151" s="207">
        <f t="shared" si="123"/>
        <v>1.8512723300667666E-4</v>
      </c>
      <c r="Q1151" s="208">
        <f t="shared" si="124"/>
        <v>1.0021992959873915</v>
      </c>
      <c r="R1151" s="40">
        <f t="shared" si="125"/>
        <v>4.7559109360538606E-3</v>
      </c>
      <c r="S1151" s="209">
        <v>0</v>
      </c>
    </row>
    <row r="1152" spans="1:19" x14ac:dyDescent="0.45">
      <c r="A1152" s="16">
        <v>45287</v>
      </c>
      <c r="B1152" s="42">
        <f>'Part 2 - CAPM 2.1, 2.2 and 2.3'!N1152</f>
        <v>7.5495309705125848E-3</v>
      </c>
      <c r="C1152" s="42">
        <f>'Part 2 - CAPM 2.1, 2.2 and 2.3'!O1152</f>
        <v>-8.8655891424707523E-3</v>
      </c>
      <c r="E1152" s="16">
        <v>45287</v>
      </c>
      <c r="F1152" s="17">
        <v>6.9699999999999998E-2</v>
      </c>
      <c r="G1152" s="41">
        <f t="shared" si="121"/>
        <v>1.8461494425525693E-4</v>
      </c>
      <c r="L1152" s="40">
        <f t="shared" si="119"/>
        <v>7.7507495679379783E-3</v>
      </c>
      <c r="M1152" s="40">
        <f t="shared" si="120"/>
        <v>-8.7004722528423936E-3</v>
      </c>
      <c r="O1152" s="40">
        <f t="shared" si="122"/>
        <v>7.7507495679379783E-3</v>
      </c>
      <c r="P1152" s="207">
        <f t="shared" si="123"/>
        <v>1.8461494425525693E-4</v>
      </c>
      <c r="Q1152" s="208">
        <f t="shared" si="124"/>
        <v>1.0021992959873915</v>
      </c>
      <c r="R1152" s="40">
        <f t="shared" si="125"/>
        <v>7.5495309705125848E-3</v>
      </c>
      <c r="S1152" s="209">
        <v>0</v>
      </c>
    </row>
    <row r="1153" spans="1:19" x14ac:dyDescent="0.45">
      <c r="A1153" s="16">
        <v>45288</v>
      </c>
      <c r="B1153" s="42">
        <f>'Part 2 - CAPM 2.1, 2.2 and 2.3'!N1153</f>
        <v>5.1169971496997091E-3</v>
      </c>
      <c r="C1153" s="42">
        <f>'Part 2 - CAPM 2.1, 2.2 and 2.3'!O1153</f>
        <v>1.3194381201886379E-2</v>
      </c>
      <c r="E1153" s="16">
        <v>45288</v>
      </c>
      <c r="F1153" s="17">
        <v>6.9599999999999995E-2</v>
      </c>
      <c r="G1153" s="41">
        <f t="shared" si="121"/>
        <v>1.8435876405864526E-4</v>
      </c>
      <c r="L1153" s="40">
        <f t="shared" si="119"/>
        <v>5.312609705057183E-3</v>
      </c>
      <c r="M1153" s="40">
        <f t="shared" si="120"/>
        <v>1.3407758315578448E-2</v>
      </c>
      <c r="O1153" s="40">
        <f t="shared" si="122"/>
        <v>5.312609705057183E-3</v>
      </c>
      <c r="P1153" s="207">
        <f t="shared" si="123"/>
        <v>1.8435876405864526E-4</v>
      </c>
      <c r="Q1153" s="208">
        <f t="shared" si="124"/>
        <v>1.0021992959873915</v>
      </c>
      <c r="R1153" s="40">
        <f t="shared" si="125"/>
        <v>5.1169971496997091E-3</v>
      </c>
      <c r="S1153" s="209">
        <v>0</v>
      </c>
    </row>
    <row r="1154" spans="1:19" x14ac:dyDescent="0.45">
      <c r="A1154" s="16">
        <v>45289</v>
      </c>
      <c r="B1154" s="42">
        <f>'Part 2 - CAPM 2.1, 2.2 and 2.3'!N1154</f>
        <v>1.3584755185088431E-3</v>
      </c>
      <c r="C1154" s="42">
        <f>'Part 2 - CAPM 2.1, 2.2 and 2.3'!O1154</f>
        <v>-1.5785317580529815E-2</v>
      </c>
      <c r="E1154" s="16">
        <v>45289</v>
      </c>
      <c r="F1154" s="17">
        <v>6.9000000000000006E-2</v>
      </c>
      <c r="G1154" s="41">
        <f t="shared" si="121"/>
        <v>1.8282118110590773E-4</v>
      </c>
      <c r="L1154" s="40">
        <f t="shared" si="119"/>
        <v>1.544284389371577E-3</v>
      </c>
      <c r="M1154" s="40">
        <f t="shared" si="120"/>
        <v>-1.5637212985038468E-2</v>
      </c>
      <c r="O1154" s="40">
        <f t="shared" si="122"/>
        <v>1.544284389371577E-3</v>
      </c>
      <c r="P1154" s="207">
        <f t="shared" si="123"/>
        <v>1.8282118110590773E-4</v>
      </c>
      <c r="Q1154" s="208">
        <f t="shared" si="124"/>
        <v>1.0021992959873915</v>
      </c>
      <c r="R1154" s="40">
        <f t="shared" si="125"/>
        <v>1.3584755185088431E-3</v>
      </c>
      <c r="S1154" s="209">
        <v>0</v>
      </c>
    </row>
    <row r="1155" spans="1:19" x14ac:dyDescent="0.45">
      <c r="A1155" s="16">
        <v>45292</v>
      </c>
      <c r="B1155" s="42">
        <f>'Part 2 - CAPM 2.1, 2.2 and 2.3'!N1155</f>
        <v>1.8929300581133641E-3</v>
      </c>
      <c r="C1155" s="42">
        <f>'Part 2 - CAPM 2.1, 2.2 and 2.3'!O1155</f>
        <v>1.2792114587812388E-3</v>
      </c>
      <c r="E1155" s="16">
        <v>45292</v>
      </c>
      <c r="F1155" s="17">
        <v>6.9400000000000003E-2</v>
      </c>
      <c r="G1155" s="41">
        <f t="shared" si="121"/>
        <v>1.8384633200141387E-4</v>
      </c>
      <c r="L1155" s="40">
        <f t="shared" ref="L1155:L1213" si="126">G1155+($J$1*(B1155))</f>
        <v>2.0809395035959995E-3</v>
      </c>
      <c r="M1155" s="40">
        <f t="shared" ref="M1155:M1213" si="127">G1155+($J$1*(C1155))</f>
        <v>1.4658711554109756E-3</v>
      </c>
      <c r="O1155" s="40">
        <f t="shared" si="122"/>
        <v>2.0809395035959995E-3</v>
      </c>
      <c r="P1155" s="207">
        <f t="shared" si="123"/>
        <v>1.8384633200141387E-4</v>
      </c>
      <c r="Q1155" s="208">
        <f t="shared" si="124"/>
        <v>1.0021992959873915</v>
      </c>
      <c r="R1155" s="40">
        <f t="shared" si="125"/>
        <v>1.8929300581133641E-3</v>
      </c>
      <c r="S1155" s="209">
        <v>0</v>
      </c>
    </row>
    <row r="1156" spans="1:19" x14ac:dyDescent="0.45">
      <c r="A1156" s="16">
        <v>45293</v>
      </c>
      <c r="B1156" s="42">
        <f>'Part 2 - CAPM 2.1, 2.2 and 2.3'!N1156</f>
        <v>-2.8082080723761172E-3</v>
      </c>
      <c r="C1156" s="42">
        <f>'Part 2 - CAPM 2.1, 2.2 and 2.3'!O1156</f>
        <v>8.0949587389575299E-3</v>
      </c>
      <c r="E1156" s="16">
        <v>45293</v>
      </c>
      <c r="F1156" s="17">
        <v>6.93E-2</v>
      </c>
      <c r="G1156" s="41">
        <f t="shared" ref="G1156:G1213" si="128">((1+F1156)^(1/365))-1</f>
        <v>1.8359008013191236E-4</v>
      </c>
      <c r="L1156" s="40">
        <f t="shared" si="126"/>
        <v>-2.630794072989542E-3</v>
      </c>
      <c r="M1156" s="40">
        <f t="shared" si="127"/>
        <v>8.2963520293621324E-3</v>
      </c>
      <c r="O1156" s="40">
        <f t="shared" ref="O1156:O1213" si="129">P1156+(Q1156*(R1156))+S1156</f>
        <v>-2.630794072989542E-3</v>
      </c>
      <c r="P1156" s="207">
        <f t="shared" ref="P1156:P1213" si="130">G1156</f>
        <v>1.8359008013191236E-4</v>
      </c>
      <c r="Q1156" s="208">
        <f t="shared" ref="Q1156:Q1213" si="131">$J$1</f>
        <v>1.0021992959873915</v>
      </c>
      <c r="R1156" s="40">
        <f t="shared" ref="R1156:R1213" si="132">B1156</f>
        <v>-2.8082080723761172E-3</v>
      </c>
      <c r="S1156" s="209">
        <v>0</v>
      </c>
    </row>
    <row r="1157" spans="1:19" x14ac:dyDescent="0.45">
      <c r="A1157" s="16">
        <v>45294</v>
      </c>
      <c r="B1157" s="42">
        <f>'Part 2 - CAPM 2.1, 2.2 and 2.3'!N1157</f>
        <v>-2.8228394518618177E-3</v>
      </c>
      <c r="C1157" s="42">
        <f>'Part 2 - CAPM 2.1, 2.2 and 2.3'!O1157</f>
        <v>5.6121114412396814E-3</v>
      </c>
      <c r="E1157" s="16">
        <v>45294</v>
      </c>
      <c r="F1157" s="17">
        <v>6.93E-2</v>
      </c>
      <c r="G1157" s="41">
        <f t="shared" si="128"/>
        <v>1.8359008013191236E-4</v>
      </c>
      <c r="L1157" s="40">
        <f t="shared" si="126"/>
        <v>-2.6454576312094353E-3</v>
      </c>
      <c r="M1157" s="40">
        <f t="shared" si="127"/>
        <v>5.8080442155451061E-3</v>
      </c>
      <c r="O1157" s="40">
        <f t="shared" si="129"/>
        <v>-2.6454576312094353E-3</v>
      </c>
      <c r="P1157" s="207">
        <f t="shared" si="130"/>
        <v>1.8359008013191236E-4</v>
      </c>
      <c r="Q1157" s="208">
        <f t="shared" si="131"/>
        <v>1.0021992959873915</v>
      </c>
      <c r="R1157" s="40">
        <f t="shared" si="132"/>
        <v>-2.8228394518618177E-3</v>
      </c>
      <c r="S1157" s="209">
        <v>0</v>
      </c>
    </row>
    <row r="1158" spans="1:19" x14ac:dyDescent="0.45">
      <c r="A1158" s="16">
        <v>45295</v>
      </c>
      <c r="B1158" s="42">
        <f>'Part 2 - CAPM 2.1, 2.2 and 2.3'!N1158</f>
        <v>8.8050898641596799E-3</v>
      </c>
      <c r="C1158" s="42">
        <f>'Part 2 - CAPM 2.1, 2.2 and 2.3'!O1158</f>
        <v>3.0547934153108247E-2</v>
      </c>
      <c r="E1158" s="16">
        <v>45295</v>
      </c>
      <c r="F1158" s="17">
        <v>6.9599999999999995E-2</v>
      </c>
      <c r="G1158" s="41">
        <f t="shared" si="128"/>
        <v>1.8435876405864526E-4</v>
      </c>
      <c r="L1158" s="40">
        <f t="shared" si="126"/>
        <v>9.0088136270251931E-3</v>
      </c>
      <c r="M1158" s="40">
        <f t="shared" si="127"/>
        <v>3.0799476866172924E-2</v>
      </c>
      <c r="O1158" s="40">
        <f t="shared" si="129"/>
        <v>9.0088136270251931E-3</v>
      </c>
      <c r="P1158" s="207">
        <f t="shared" si="130"/>
        <v>1.8435876405864526E-4</v>
      </c>
      <c r="Q1158" s="208">
        <f t="shared" si="131"/>
        <v>1.0021992959873915</v>
      </c>
      <c r="R1158" s="40">
        <f t="shared" si="132"/>
        <v>8.8050898641596799E-3</v>
      </c>
      <c r="S1158" s="209">
        <v>0</v>
      </c>
    </row>
    <row r="1159" spans="1:19" x14ac:dyDescent="0.45">
      <c r="A1159" s="16">
        <v>45296</v>
      </c>
      <c r="B1159" s="42">
        <f>'Part 2 - CAPM 2.1, 2.2 and 2.3'!N1159</f>
        <v>2.3418369012535439E-3</v>
      </c>
      <c r="C1159" s="42">
        <f>'Part 2 - CAPM 2.1, 2.2 and 2.3'!O1159</f>
        <v>8.2021541546688469E-3</v>
      </c>
      <c r="E1159" s="16">
        <v>45296</v>
      </c>
      <c r="F1159" s="17">
        <v>6.93E-2</v>
      </c>
      <c r="G1159" s="41">
        <f t="shared" si="128"/>
        <v>1.8359008013191236E-4</v>
      </c>
      <c r="L1159" s="40">
        <f t="shared" si="126"/>
        <v>2.5305773738855085E-3</v>
      </c>
      <c r="M1159" s="40">
        <f t="shared" si="127"/>
        <v>8.4037831995210886E-3</v>
      </c>
      <c r="O1159" s="40">
        <f t="shared" si="129"/>
        <v>2.5305773738855085E-3</v>
      </c>
      <c r="P1159" s="207">
        <f t="shared" si="130"/>
        <v>1.8359008013191236E-4</v>
      </c>
      <c r="Q1159" s="208">
        <f t="shared" si="131"/>
        <v>1.0021992959873915</v>
      </c>
      <c r="R1159" s="40">
        <f t="shared" si="132"/>
        <v>2.3418369012535439E-3</v>
      </c>
      <c r="S1159" s="209">
        <v>0</v>
      </c>
    </row>
    <row r="1160" spans="1:19" x14ac:dyDescent="0.45">
      <c r="A1160" s="16">
        <v>45299</v>
      </c>
      <c r="B1160" s="42">
        <f>'Part 2 - CAPM 2.1, 2.2 and 2.3'!N1160</f>
        <v>-9.0097638465108532E-3</v>
      </c>
      <c r="C1160" s="42">
        <f>'Part 2 - CAPM 2.1, 2.2 and 2.3'!O1160</f>
        <v>6.7459043700313455E-3</v>
      </c>
      <c r="E1160" s="16">
        <v>45299</v>
      </c>
      <c r="F1160" s="17">
        <v>6.9500000000000006E-2</v>
      </c>
      <c r="G1160" s="41">
        <f t="shared" si="128"/>
        <v>1.8410255997558522E-4</v>
      </c>
      <c r="L1160" s="40">
        <f t="shared" si="126"/>
        <v>-8.845476424010245E-3</v>
      </c>
      <c r="M1160" s="40">
        <f t="shared" si="127"/>
        <v>6.9448431704192681E-3</v>
      </c>
      <c r="O1160" s="40">
        <f t="shared" si="129"/>
        <v>-8.845476424010245E-3</v>
      </c>
      <c r="P1160" s="207">
        <f t="shared" si="130"/>
        <v>1.8410255997558522E-4</v>
      </c>
      <c r="Q1160" s="208">
        <f t="shared" si="131"/>
        <v>1.0021992959873915</v>
      </c>
      <c r="R1160" s="40">
        <f t="shared" si="132"/>
        <v>-9.0097638465108532E-3</v>
      </c>
      <c r="S1160" s="209">
        <v>0</v>
      </c>
    </row>
    <row r="1161" spans="1:19" x14ac:dyDescent="0.45">
      <c r="A1161" s="16">
        <v>45300</v>
      </c>
      <c r="B1161" s="42">
        <f>'Part 2 - CAPM 2.1, 2.2 and 2.3'!N1161</f>
        <v>1.9708913428025453E-3</v>
      </c>
      <c r="C1161" s="42">
        <f>'Part 2 - CAPM 2.1, 2.2 and 2.3'!O1161</f>
        <v>-6.1490295601127083E-3</v>
      </c>
      <c r="E1161" s="16">
        <v>45300</v>
      </c>
      <c r="F1161" s="17">
        <v>6.9599999999999995E-2</v>
      </c>
      <c r="G1161" s="41">
        <f t="shared" si="128"/>
        <v>1.8435876405864526E-4</v>
      </c>
      <c r="L1161" s="40">
        <f t="shared" si="126"/>
        <v>2.1595846802830009E-3</v>
      </c>
      <c r="M1161" s="40">
        <f t="shared" si="127"/>
        <v>-5.9781943320919712E-3</v>
      </c>
      <c r="O1161" s="40">
        <f t="shared" si="129"/>
        <v>2.1595846802830009E-3</v>
      </c>
      <c r="P1161" s="207">
        <f t="shared" si="130"/>
        <v>1.8435876405864526E-4</v>
      </c>
      <c r="Q1161" s="208">
        <f t="shared" si="131"/>
        <v>1.0021992959873915</v>
      </c>
      <c r="R1161" s="40">
        <f t="shared" si="132"/>
        <v>1.9708913428025453E-3</v>
      </c>
      <c r="S1161" s="209">
        <v>0</v>
      </c>
    </row>
    <row r="1162" spans="1:19" x14ac:dyDescent="0.45">
      <c r="A1162" s="16">
        <v>45301</v>
      </c>
      <c r="B1162" s="42">
        <f>'Part 2 - CAPM 2.1, 2.2 and 2.3'!N1162</f>
        <v>2.811599518635419E-3</v>
      </c>
      <c r="C1162" s="42">
        <f>'Part 2 - CAPM 2.1, 2.2 and 2.3'!O1162</f>
        <v>-2.1185974272943997E-2</v>
      </c>
      <c r="E1162" s="16">
        <v>45301</v>
      </c>
      <c r="F1162" s="17">
        <v>6.9599999999999995E-2</v>
      </c>
      <c r="G1162" s="41">
        <f t="shared" si="128"/>
        <v>1.8435876405864526E-4</v>
      </c>
      <c r="L1162" s="40">
        <f t="shared" si="126"/>
        <v>3.002141822233551E-3</v>
      </c>
      <c r="M1162" s="40">
        <f t="shared" si="127"/>
        <v>-2.1048209737092819E-2</v>
      </c>
      <c r="O1162" s="40">
        <f t="shared" si="129"/>
        <v>3.002141822233551E-3</v>
      </c>
      <c r="P1162" s="207">
        <f t="shared" si="130"/>
        <v>1.8435876405864526E-4</v>
      </c>
      <c r="Q1162" s="208">
        <f t="shared" si="131"/>
        <v>1.0021992959873915</v>
      </c>
      <c r="R1162" s="40">
        <f t="shared" si="132"/>
        <v>2.811599518635419E-3</v>
      </c>
      <c r="S1162" s="209">
        <v>0</v>
      </c>
    </row>
    <row r="1163" spans="1:19" x14ac:dyDescent="0.45">
      <c r="A1163" s="16">
        <v>45302</v>
      </c>
      <c r="B1163" s="42">
        <f>'Part 2 - CAPM 2.1, 2.2 and 2.3'!N1163</f>
        <v>3.2230350089677159E-3</v>
      </c>
      <c r="C1163" s="42">
        <f>'Part 2 - CAPM 2.1, 2.2 and 2.3'!O1163</f>
        <v>-1.362791857476764E-3</v>
      </c>
      <c r="E1163" s="16">
        <v>45302</v>
      </c>
      <c r="F1163" s="17">
        <v>6.9500000000000006E-2</v>
      </c>
      <c r="G1163" s="41">
        <f t="shared" si="128"/>
        <v>1.8410255997558522E-4</v>
      </c>
      <c r="L1163" s="40">
        <f t="shared" si="126"/>
        <v>3.4142259769057463E-3</v>
      </c>
      <c r="M1163" s="40">
        <f t="shared" si="127"/>
        <v>-1.1816864801649774E-3</v>
      </c>
      <c r="O1163" s="40">
        <f t="shared" si="129"/>
        <v>3.4142259769057463E-3</v>
      </c>
      <c r="P1163" s="207">
        <f t="shared" si="130"/>
        <v>1.8410255997558522E-4</v>
      </c>
      <c r="Q1163" s="208">
        <f t="shared" si="131"/>
        <v>1.0021992959873915</v>
      </c>
      <c r="R1163" s="40">
        <f t="shared" si="132"/>
        <v>3.2230350089677159E-3</v>
      </c>
      <c r="S1163" s="209">
        <v>0</v>
      </c>
    </row>
    <row r="1164" spans="1:19" x14ac:dyDescent="0.45">
      <c r="A1164" s="16">
        <v>45303</v>
      </c>
      <c r="B1164" s="42">
        <f>'Part 2 - CAPM 2.1, 2.2 and 2.3'!N1164</f>
        <v>8.0495125459635972E-3</v>
      </c>
      <c r="C1164" s="42">
        <f>'Part 2 - CAPM 2.1, 2.2 and 2.3'!O1164</f>
        <v>5.4335604780123593E-2</v>
      </c>
      <c r="E1164" s="16">
        <v>45303</v>
      </c>
      <c r="F1164" s="17">
        <v>6.9500000000000006E-2</v>
      </c>
      <c r="G1164" s="41">
        <f t="shared" si="128"/>
        <v>1.8410255997558522E-4</v>
      </c>
      <c r="L1164" s="40">
        <f t="shared" si="126"/>
        <v>8.2513183665819789E-3</v>
      </c>
      <c r="M1164" s="40">
        <f t="shared" si="127"/>
        <v>5.4639207417664599E-2</v>
      </c>
      <c r="O1164" s="40">
        <f t="shared" si="129"/>
        <v>8.2513183665819789E-3</v>
      </c>
      <c r="P1164" s="207">
        <f t="shared" si="130"/>
        <v>1.8410255997558522E-4</v>
      </c>
      <c r="Q1164" s="208">
        <f t="shared" si="131"/>
        <v>1.0021992959873915</v>
      </c>
      <c r="R1164" s="40">
        <f t="shared" si="132"/>
        <v>8.0495125459635972E-3</v>
      </c>
      <c r="S1164" s="209">
        <v>0</v>
      </c>
    </row>
    <row r="1165" spans="1:19" x14ac:dyDescent="0.45">
      <c r="A1165" s="16">
        <v>45306</v>
      </c>
      <c r="B1165" s="42">
        <f>'Part 2 - CAPM 2.1, 2.2 and 2.3'!N1165</f>
        <v>6.9035524112585501E-3</v>
      </c>
      <c r="C1165" s="42">
        <f>'Part 2 - CAPM 2.1, 2.2 and 2.3'!O1165</f>
        <v>4.5026282399737903E-2</v>
      </c>
      <c r="E1165" s="16">
        <v>45306</v>
      </c>
      <c r="F1165" s="17">
        <v>6.9500000000000006E-2</v>
      </c>
      <c r="G1165" s="41">
        <f t="shared" si="128"/>
        <v>1.8410255997558522E-4</v>
      </c>
      <c r="L1165" s="40">
        <f t="shared" si="126"/>
        <v>7.1028379263509637E-3</v>
      </c>
      <c r="M1165" s="40">
        <f t="shared" si="127"/>
        <v>4.5309411081922393E-2</v>
      </c>
      <c r="O1165" s="40">
        <f t="shared" si="129"/>
        <v>7.1028379263509637E-3</v>
      </c>
      <c r="P1165" s="207">
        <f t="shared" si="130"/>
        <v>1.8410255997558522E-4</v>
      </c>
      <c r="Q1165" s="208">
        <f t="shared" si="131"/>
        <v>1.0021992959873915</v>
      </c>
      <c r="R1165" s="40">
        <f t="shared" si="132"/>
        <v>6.9035524112585501E-3</v>
      </c>
      <c r="S1165" s="209">
        <v>0</v>
      </c>
    </row>
    <row r="1166" spans="1:19" x14ac:dyDescent="0.45">
      <c r="A1166" s="16">
        <v>45307</v>
      </c>
      <c r="B1166" s="42">
        <f>'Part 2 - CAPM 2.1, 2.2 and 2.3'!N1166</f>
        <v>-3.1013057071458986E-3</v>
      </c>
      <c r="C1166" s="42">
        <f>'Part 2 - CAPM 2.1, 2.2 and 2.3'!O1166</f>
        <v>6.6676334497490011E-3</v>
      </c>
      <c r="E1166" s="16">
        <v>45307</v>
      </c>
      <c r="F1166" s="17">
        <v>6.9699999999999998E-2</v>
      </c>
      <c r="G1166" s="41">
        <f t="shared" si="128"/>
        <v>1.8461494425525693E-4</v>
      </c>
      <c r="L1166" s="40">
        <f t="shared" si="126"/>
        <v>-2.9235114520880421E-3</v>
      </c>
      <c r="M1166" s="40">
        <f t="shared" si="127"/>
        <v>6.8669124934956889E-3</v>
      </c>
      <c r="O1166" s="40">
        <f t="shared" si="129"/>
        <v>-2.9235114520880421E-3</v>
      </c>
      <c r="P1166" s="207">
        <f t="shared" si="130"/>
        <v>1.8461494425525693E-4</v>
      </c>
      <c r="Q1166" s="208">
        <f t="shared" si="131"/>
        <v>1.0021992959873915</v>
      </c>
      <c r="R1166" s="40">
        <f t="shared" si="132"/>
        <v>-3.1013057071458986E-3</v>
      </c>
      <c r="S1166" s="209">
        <v>0</v>
      </c>
    </row>
    <row r="1167" spans="1:19" x14ac:dyDescent="0.45">
      <c r="A1167" s="16">
        <v>45308</v>
      </c>
      <c r="B1167" s="42">
        <f>'Part 2 - CAPM 2.1, 2.2 and 2.3'!N1167</f>
        <v>-1.7329438216675517E-2</v>
      </c>
      <c r="C1167" s="42">
        <f>'Part 2 - CAPM 2.1, 2.2 and 2.3'!O1167</f>
        <v>-1.3157305452361732E-2</v>
      </c>
      <c r="E1167" s="16">
        <v>45308</v>
      </c>
      <c r="F1167" s="17">
        <v>6.9500000000000006E-2</v>
      </c>
      <c r="G1167" s="41">
        <f t="shared" si="128"/>
        <v>1.8410255997558522E-4</v>
      </c>
      <c r="L1167" s="40">
        <f t="shared" si="126"/>
        <v>-1.7183448220633616E-2</v>
      </c>
      <c r="M1167" s="40">
        <f t="shared" si="127"/>
        <v>-1.3002139701472411E-2</v>
      </c>
      <c r="O1167" s="40">
        <f t="shared" si="129"/>
        <v>-1.7183448220633616E-2</v>
      </c>
      <c r="P1167" s="207">
        <f t="shared" si="130"/>
        <v>1.8410255997558522E-4</v>
      </c>
      <c r="Q1167" s="208">
        <f t="shared" si="131"/>
        <v>1.0021992959873915</v>
      </c>
      <c r="R1167" s="40">
        <f t="shared" si="132"/>
        <v>-1.7329438216675517E-2</v>
      </c>
      <c r="S1167" s="209">
        <v>0</v>
      </c>
    </row>
    <row r="1168" spans="1:19" x14ac:dyDescent="0.45">
      <c r="A1168" s="16">
        <v>45309</v>
      </c>
      <c r="B1168" s="42">
        <f>'Part 2 - CAPM 2.1, 2.2 and 2.3'!N1168</f>
        <v>-3.9208360940259541E-3</v>
      </c>
      <c r="C1168" s="42">
        <f>'Part 2 - CAPM 2.1, 2.2 and 2.3'!O1168</f>
        <v>6.2789968781762576E-3</v>
      </c>
      <c r="E1168" s="16">
        <v>45309</v>
      </c>
      <c r="F1168" s="17">
        <v>6.9900000000000004E-2</v>
      </c>
      <c r="G1168" s="41">
        <f t="shared" si="128"/>
        <v>1.8512723300667666E-4</v>
      </c>
      <c r="L1168" s="40">
        <f t="shared" si="126"/>
        <v>-3.7443319401080886E-3</v>
      </c>
      <c r="M1168" s="40">
        <f t="shared" si="127"/>
        <v>6.4779334838219512E-3</v>
      </c>
      <c r="O1168" s="40">
        <f t="shared" si="129"/>
        <v>-3.7443319401080886E-3</v>
      </c>
      <c r="P1168" s="207">
        <f t="shared" si="130"/>
        <v>1.8512723300667666E-4</v>
      </c>
      <c r="Q1168" s="208">
        <f t="shared" si="131"/>
        <v>1.0021992959873915</v>
      </c>
      <c r="R1168" s="40">
        <f t="shared" si="132"/>
        <v>-3.9208360940259541E-3</v>
      </c>
      <c r="S1168" s="209">
        <v>0</v>
      </c>
    </row>
    <row r="1169" spans="1:19" x14ac:dyDescent="0.45">
      <c r="A1169" s="16">
        <v>45310</v>
      </c>
      <c r="B1169" s="42">
        <f>'Part 2 - CAPM 2.1, 2.2 and 2.3'!N1169</f>
        <v>9.6833765735458276E-3</v>
      </c>
      <c r="C1169" s="42">
        <f>'Part 2 - CAPM 2.1, 2.2 and 2.3'!O1169</f>
        <v>3.6209392937598756E-2</v>
      </c>
      <c r="E1169" s="16">
        <v>45310</v>
      </c>
      <c r="F1169" s="17">
        <v>7.0000000000000007E-2</v>
      </c>
      <c r="G1169" s="41">
        <f t="shared" si="128"/>
        <v>1.8538334157058856E-4</v>
      </c>
      <c r="L1169" s="40">
        <f t="shared" si="126"/>
        <v>9.8900565263590166E-3</v>
      </c>
      <c r="M1169" s="40">
        <f t="shared" si="127"/>
        <v>3.6474411451762889E-2</v>
      </c>
      <c r="O1169" s="40">
        <f t="shared" si="129"/>
        <v>9.8900565263590166E-3</v>
      </c>
      <c r="P1169" s="207">
        <f t="shared" si="130"/>
        <v>1.8538334157058856E-4</v>
      </c>
      <c r="Q1169" s="208">
        <f t="shared" si="131"/>
        <v>1.0021992959873915</v>
      </c>
      <c r="R1169" s="40">
        <f t="shared" si="132"/>
        <v>9.6833765735458276E-3</v>
      </c>
      <c r="S1169" s="209">
        <v>0</v>
      </c>
    </row>
    <row r="1170" spans="1:19" x14ac:dyDescent="0.45">
      <c r="A1170" s="16">
        <v>45314</v>
      </c>
      <c r="B1170" s="42">
        <f>'Part 2 - CAPM 2.1, 2.2 and 2.3'!N1170</f>
        <v>-2.0584078595827015E-2</v>
      </c>
      <c r="C1170" s="42">
        <f>'Part 2 - CAPM 2.1, 2.2 and 2.3'!O1170</f>
        <v>-5.0381367679195502E-2</v>
      </c>
      <c r="E1170" s="16">
        <v>45314</v>
      </c>
      <c r="F1170" s="17">
        <v>6.9900000000000004E-2</v>
      </c>
      <c r="G1170" s="41">
        <f t="shared" si="128"/>
        <v>1.8512723300667666E-4</v>
      </c>
      <c r="L1170" s="40">
        <f t="shared" si="126"/>
        <v>-2.0444221844280294E-2</v>
      </c>
      <c r="M1170" s="40">
        <f t="shared" si="127"/>
        <v>-5.0307043985964979E-2</v>
      </c>
      <c r="O1170" s="40">
        <f t="shared" si="129"/>
        <v>-2.0444221844280294E-2</v>
      </c>
      <c r="P1170" s="207">
        <f t="shared" si="130"/>
        <v>1.8512723300667666E-4</v>
      </c>
      <c r="Q1170" s="208">
        <f t="shared" si="131"/>
        <v>1.0021992959873915</v>
      </c>
      <c r="R1170" s="40">
        <f t="shared" si="132"/>
        <v>-2.0584078595827015E-2</v>
      </c>
      <c r="S1170" s="209">
        <v>0</v>
      </c>
    </row>
    <row r="1171" spans="1:19" x14ac:dyDescent="0.45">
      <c r="A1171" s="16">
        <v>45315</v>
      </c>
      <c r="B1171" s="42">
        <f>'Part 2 - CAPM 2.1, 2.2 and 2.3'!N1171</f>
        <v>1.2547574541657525E-2</v>
      </c>
      <c r="C1171" s="42">
        <f>'Part 2 - CAPM 2.1, 2.2 and 2.3'!O1171</f>
        <v>1.9171114611273396E-2</v>
      </c>
      <c r="E1171" s="16">
        <v>45315</v>
      </c>
      <c r="F1171" s="17">
        <v>6.9900000000000004E-2</v>
      </c>
      <c r="G1171" s="41">
        <f t="shared" si="128"/>
        <v>1.8512723300667666E-4</v>
      </c>
      <c r="L1171" s="40">
        <f t="shared" si="126"/>
        <v>1.2760297605005166E-2</v>
      </c>
      <c r="M1171" s="40">
        <f t="shared" si="127"/>
        <v>1.939840479971847E-2</v>
      </c>
      <c r="O1171" s="40">
        <f t="shared" si="129"/>
        <v>1.2760297605005166E-2</v>
      </c>
      <c r="P1171" s="207">
        <f t="shared" si="130"/>
        <v>1.8512723300667666E-4</v>
      </c>
      <c r="Q1171" s="208">
        <f t="shared" si="131"/>
        <v>1.0021992959873915</v>
      </c>
      <c r="R1171" s="40">
        <f t="shared" si="132"/>
        <v>1.2547574541657525E-2</v>
      </c>
      <c r="S1171" s="209">
        <v>0</v>
      </c>
    </row>
    <row r="1172" spans="1:19" x14ac:dyDescent="0.45">
      <c r="A1172" s="16">
        <v>45316</v>
      </c>
      <c r="B1172" s="42">
        <f>'Part 2 - CAPM 2.1, 2.2 and 2.3'!N1172</f>
        <v>-3.1680033568781871E-3</v>
      </c>
      <c r="C1172" s="42">
        <f>'Part 2 - CAPM 2.1, 2.2 and 2.3'!O1172</f>
        <v>-1.4662880719659046E-3</v>
      </c>
      <c r="E1172" s="16">
        <v>45316</v>
      </c>
      <c r="F1172" s="17">
        <v>7.0300000000000001E-2</v>
      </c>
      <c r="G1172" s="41">
        <f t="shared" si="128"/>
        <v>1.8615152406753488E-4</v>
      </c>
      <c r="L1172" s="40">
        <f t="shared" si="126"/>
        <v>-2.9888192098814774E-3</v>
      </c>
      <c r="M1172" s="40">
        <f t="shared" si="127"/>
        <v>-1.2833613493714044E-3</v>
      </c>
      <c r="O1172" s="40">
        <f t="shared" si="129"/>
        <v>-2.9888192098814774E-3</v>
      </c>
      <c r="P1172" s="207">
        <f t="shared" si="130"/>
        <v>1.8615152406753488E-4</v>
      </c>
      <c r="Q1172" s="208">
        <f t="shared" si="131"/>
        <v>1.0021992959873915</v>
      </c>
      <c r="R1172" s="40">
        <f t="shared" si="132"/>
        <v>-3.1680033568781871E-3</v>
      </c>
      <c r="S1172" s="209">
        <v>0</v>
      </c>
    </row>
    <row r="1173" spans="1:19" x14ac:dyDescent="0.45">
      <c r="A1173" s="16">
        <v>45320</v>
      </c>
      <c r="B1173" s="42">
        <f>'Part 2 - CAPM 2.1, 2.2 and 2.3'!N1173</f>
        <v>1.6244778973413553E-2</v>
      </c>
      <c r="C1173" s="42">
        <f>'Part 2 - CAPM 2.1, 2.2 and 2.3'!O1173</f>
        <v>7.8642902439317569E-2</v>
      </c>
      <c r="E1173" s="16">
        <v>45320</v>
      </c>
      <c r="F1173" s="17">
        <v>7.0400000000000004E-2</v>
      </c>
      <c r="G1173" s="41">
        <f t="shared" si="128"/>
        <v>1.8640753718313086E-4</v>
      </c>
      <c r="L1173" s="40">
        <f t="shared" si="126"/>
        <v>1.6466913587808975E-2</v>
      </c>
      <c r="M1173" s="40">
        <f t="shared" si="127"/>
        <v>7.9002268996272315E-2</v>
      </c>
      <c r="O1173" s="40">
        <f t="shared" si="129"/>
        <v>1.6466913587808975E-2</v>
      </c>
      <c r="P1173" s="207">
        <f t="shared" si="130"/>
        <v>1.8640753718313086E-4</v>
      </c>
      <c r="Q1173" s="208">
        <f t="shared" si="131"/>
        <v>1.0021992959873915</v>
      </c>
      <c r="R1173" s="40">
        <f t="shared" si="132"/>
        <v>1.6244778973413553E-2</v>
      </c>
      <c r="S1173" s="209">
        <v>0</v>
      </c>
    </row>
    <row r="1174" spans="1:19" x14ac:dyDescent="0.45">
      <c r="A1174" s="16">
        <v>45321</v>
      </c>
      <c r="B1174" s="42">
        <f>'Part 2 - CAPM 2.1, 2.2 and 2.3'!N1174</f>
        <v>-7.1594412507484956E-3</v>
      </c>
      <c r="C1174" s="42">
        <f>'Part 2 - CAPM 2.1, 2.2 and 2.3'!O1174</f>
        <v>-1.3255714467876245E-2</v>
      </c>
      <c r="E1174" s="16">
        <v>45321</v>
      </c>
      <c r="F1174" s="17">
        <v>7.0400000000000004E-2</v>
      </c>
      <c r="G1174" s="41">
        <f t="shared" si="128"/>
        <v>1.8640753718313086E-4</v>
      </c>
      <c r="L1174" s="40">
        <f t="shared" si="126"/>
        <v>-6.9887794439801015E-3</v>
      </c>
      <c r="M1174" s="40">
        <f t="shared" si="127"/>
        <v>-1.3098460170332322E-2</v>
      </c>
      <c r="O1174" s="40">
        <f t="shared" si="129"/>
        <v>-6.9887794439801015E-3</v>
      </c>
      <c r="P1174" s="207">
        <f t="shared" si="130"/>
        <v>1.8640753718313086E-4</v>
      </c>
      <c r="Q1174" s="208">
        <f t="shared" si="131"/>
        <v>1.0021992959873915</v>
      </c>
      <c r="R1174" s="40">
        <f t="shared" si="132"/>
        <v>-7.1594412507484956E-3</v>
      </c>
      <c r="S1174" s="209">
        <v>0</v>
      </c>
    </row>
    <row r="1175" spans="1:19" x14ac:dyDescent="0.45">
      <c r="A1175" s="16">
        <v>45322</v>
      </c>
      <c r="B1175" s="42">
        <f>'Part 2 - CAPM 2.1, 2.2 and 2.3'!N1175</f>
        <v>1.145646931091272E-2</v>
      </c>
      <c r="C1175" s="42">
        <f>'Part 2 - CAPM 2.1, 2.2 and 2.3'!O1175</f>
        <v>1.2052757791869885E-2</v>
      </c>
      <c r="E1175" s="16">
        <v>45322</v>
      </c>
      <c r="F1175" s="17">
        <v>7.0400000000000004E-2</v>
      </c>
      <c r="G1175" s="41">
        <f t="shared" si="128"/>
        <v>1.8640753718313086E-4</v>
      </c>
      <c r="L1175" s="40">
        <f t="shared" si="126"/>
        <v>1.1668073015081016E-2</v>
      </c>
      <c r="M1175" s="40">
        <f t="shared" si="127"/>
        <v>1.2265672910901677E-2</v>
      </c>
      <c r="O1175" s="40">
        <f t="shared" si="129"/>
        <v>1.1668073015081016E-2</v>
      </c>
      <c r="P1175" s="207">
        <f t="shared" si="130"/>
        <v>1.8640753718313086E-4</v>
      </c>
      <c r="Q1175" s="208">
        <f t="shared" si="131"/>
        <v>1.0021992959873915</v>
      </c>
      <c r="R1175" s="40">
        <f t="shared" si="132"/>
        <v>1.145646931091272E-2</v>
      </c>
      <c r="S1175" s="209">
        <v>0</v>
      </c>
    </row>
    <row r="1176" spans="1:19" x14ac:dyDescent="0.45">
      <c r="A1176" s="16">
        <v>45323</v>
      </c>
      <c r="B1176" s="42">
        <f>'Part 2 - CAPM 2.1, 2.2 and 2.3'!N1176</f>
        <v>-1.4362749754851293E-3</v>
      </c>
      <c r="C1176" s="42">
        <f>'Part 2 - CAPM 2.1, 2.2 and 2.3'!O1176</f>
        <v>-1.8422284643228697E-2</v>
      </c>
      <c r="E1176" s="16">
        <v>45323</v>
      </c>
      <c r="F1176" s="17">
        <v>7.0400000000000004E-2</v>
      </c>
      <c r="G1176" s="41">
        <f t="shared" si="128"/>
        <v>1.8640753718313086E-4</v>
      </c>
      <c r="L1176" s="40">
        <f t="shared" si="126"/>
        <v>-1.2530262320923737E-3</v>
      </c>
      <c r="M1176" s="40">
        <f t="shared" si="127"/>
        <v>-1.8276393162740004E-2</v>
      </c>
      <c r="O1176" s="40">
        <f t="shared" si="129"/>
        <v>-1.2530262320923737E-3</v>
      </c>
      <c r="P1176" s="207">
        <f t="shared" si="130"/>
        <v>1.8640753718313086E-4</v>
      </c>
      <c r="Q1176" s="208">
        <f t="shared" si="131"/>
        <v>1.0021992959873915</v>
      </c>
      <c r="R1176" s="40">
        <f t="shared" si="132"/>
        <v>-1.4362749754851293E-3</v>
      </c>
      <c r="S1176" s="209">
        <v>0</v>
      </c>
    </row>
    <row r="1177" spans="1:19" x14ac:dyDescent="0.45">
      <c r="A1177" s="16">
        <v>45324</v>
      </c>
      <c r="B1177" s="42">
        <f>'Part 2 - CAPM 2.1, 2.2 and 2.3'!N1177</f>
        <v>6.5617223686831472E-3</v>
      </c>
      <c r="C1177" s="42">
        <f>'Part 2 - CAPM 2.1, 2.2 and 2.3'!O1177</f>
        <v>3.8578489733981758E-2</v>
      </c>
      <c r="E1177" s="16">
        <v>45324</v>
      </c>
      <c r="F1177" s="17">
        <v>7.0199999999999999E-2</v>
      </c>
      <c r="G1177" s="41">
        <f t="shared" si="128"/>
        <v>1.8589548709635473E-4</v>
      </c>
      <c r="L1177" s="40">
        <f t="shared" si="126"/>
        <v>6.7620490254553245E-3</v>
      </c>
      <c r="M1177" s="40">
        <f t="shared" si="127"/>
        <v>3.8849230738749685E-2</v>
      </c>
      <c r="O1177" s="40">
        <f t="shared" si="129"/>
        <v>6.7620490254553245E-3</v>
      </c>
      <c r="P1177" s="207">
        <f t="shared" si="130"/>
        <v>1.8589548709635473E-4</v>
      </c>
      <c r="Q1177" s="208">
        <f t="shared" si="131"/>
        <v>1.0021992959873915</v>
      </c>
      <c r="R1177" s="40">
        <f t="shared" si="132"/>
        <v>6.5617223686831472E-3</v>
      </c>
      <c r="S1177" s="209">
        <v>0</v>
      </c>
    </row>
    <row r="1178" spans="1:19" x14ac:dyDescent="0.45">
      <c r="A1178" s="16">
        <v>45327</v>
      </c>
      <c r="B1178" s="42">
        <f>'Part 2 - CAPM 2.1, 2.2 and 2.3'!N1178</f>
        <v>-3.0639866688130638E-3</v>
      </c>
      <c r="C1178" s="42">
        <f>'Part 2 - CAPM 2.1, 2.2 and 2.3'!O1178</f>
        <v>2.1971282878264782E-2</v>
      </c>
      <c r="E1178" s="16">
        <v>45327</v>
      </c>
      <c r="F1178" s="17">
        <v>7.0300000000000001E-2</v>
      </c>
      <c r="G1178" s="41">
        <f t="shared" si="128"/>
        <v>1.8615152406753488E-4</v>
      </c>
      <c r="L1178" s="40">
        <f t="shared" si="126"/>
        <v>-2.8845737583316705E-3</v>
      </c>
      <c r="M1178" s="40">
        <f t="shared" si="127"/>
        <v>2.2205755756604328E-2</v>
      </c>
      <c r="O1178" s="40">
        <f t="shared" si="129"/>
        <v>-2.8845737583316705E-3</v>
      </c>
      <c r="P1178" s="207">
        <f t="shared" si="130"/>
        <v>1.8615152406753488E-4</v>
      </c>
      <c r="Q1178" s="208">
        <f t="shared" si="131"/>
        <v>1.0021992959873915</v>
      </c>
      <c r="R1178" s="40">
        <f t="shared" si="132"/>
        <v>-3.0639866688130638E-3</v>
      </c>
      <c r="S1178" s="209">
        <v>0</v>
      </c>
    </row>
    <row r="1179" spans="1:19" x14ac:dyDescent="0.45">
      <c r="A1179" s="16">
        <v>45328</v>
      </c>
      <c r="B1179" s="42">
        <f>'Part 2 - CAPM 2.1, 2.2 and 2.3'!N1179</f>
        <v>8.8923401756699876E-3</v>
      </c>
      <c r="C1179" s="42">
        <f>'Part 2 - CAPM 2.1, 2.2 and 2.3'!O1179</f>
        <v>3.5371427365356589E-2</v>
      </c>
      <c r="E1179" s="16">
        <v>45328</v>
      </c>
      <c r="F1179" s="17">
        <v>7.0499999999999993E-2</v>
      </c>
      <c r="G1179" s="41">
        <f t="shared" si="128"/>
        <v>1.8666352644802764E-4</v>
      </c>
      <c r="L1179" s="40">
        <f t="shared" si="126"/>
        <v>9.0985605901848874E-3</v>
      </c>
      <c r="M1179" s="40">
        <f t="shared" si="127"/>
        <v>3.563588313007756E-2</v>
      </c>
      <c r="O1179" s="40">
        <f t="shared" si="129"/>
        <v>9.0985605901848874E-3</v>
      </c>
      <c r="P1179" s="207">
        <f t="shared" si="130"/>
        <v>1.8666352644802764E-4</v>
      </c>
      <c r="Q1179" s="208">
        <f t="shared" si="131"/>
        <v>1.0021992959873915</v>
      </c>
      <c r="R1179" s="40">
        <f t="shared" si="132"/>
        <v>8.8923401756699876E-3</v>
      </c>
      <c r="S1179" s="209">
        <v>0</v>
      </c>
    </row>
    <row r="1180" spans="1:19" x14ac:dyDescent="0.45">
      <c r="A1180" s="16">
        <v>45329</v>
      </c>
      <c r="B1180" s="42">
        <f>'Part 2 - CAPM 2.1, 2.2 and 2.3'!N1180</f>
        <v>3.5974636253677567E-3</v>
      </c>
      <c r="C1180" s="42">
        <f>'Part 2 - CAPM 2.1, 2.2 and 2.3'!O1180</f>
        <v>-1.6551195740125738E-3</v>
      </c>
      <c r="E1180" s="16">
        <v>45329</v>
      </c>
      <c r="F1180" s="17">
        <v>7.0300000000000001E-2</v>
      </c>
      <c r="G1180" s="41">
        <f t="shared" si="128"/>
        <v>1.8615152406753488E-4</v>
      </c>
      <c r="L1180" s="40">
        <f t="shared" si="126"/>
        <v>3.7915270367513501E-3</v>
      </c>
      <c r="M1180" s="40">
        <f t="shared" si="127"/>
        <v>-1.4726081477828179E-3</v>
      </c>
      <c r="O1180" s="40">
        <f t="shared" si="129"/>
        <v>3.7915270367513501E-3</v>
      </c>
      <c r="P1180" s="207">
        <f t="shared" si="130"/>
        <v>1.8615152406753488E-4</v>
      </c>
      <c r="Q1180" s="208">
        <f t="shared" si="131"/>
        <v>1.0021992959873915</v>
      </c>
      <c r="R1180" s="40">
        <f t="shared" si="132"/>
        <v>3.5974636253677567E-3</v>
      </c>
      <c r="S1180" s="209">
        <v>0</v>
      </c>
    </row>
    <row r="1181" spans="1:19" x14ac:dyDescent="0.45">
      <c r="A1181" s="16">
        <v>45330</v>
      </c>
      <c r="B1181" s="42">
        <f>'Part 2 - CAPM 2.1, 2.2 and 2.3'!N1181</f>
        <v>-6.2531768084994957E-3</v>
      </c>
      <c r="C1181" s="42">
        <f>'Part 2 - CAPM 2.1, 2.2 and 2.3'!O1181</f>
        <v>4.4108708739974507E-3</v>
      </c>
      <c r="E1181" s="16">
        <v>45330</v>
      </c>
      <c r="F1181" s="17">
        <v>7.0400000000000004E-2</v>
      </c>
      <c r="G1181" s="41">
        <f t="shared" si="128"/>
        <v>1.8640753718313086E-4</v>
      </c>
      <c r="L1181" s="40">
        <f t="shared" si="126"/>
        <v>-6.0805218579797473E-3</v>
      </c>
      <c r="M1181" s="40">
        <f t="shared" si="127"/>
        <v>4.6069792217946666E-3</v>
      </c>
      <c r="O1181" s="40">
        <f t="shared" si="129"/>
        <v>-6.0805218579797473E-3</v>
      </c>
      <c r="P1181" s="207">
        <f t="shared" si="130"/>
        <v>1.8640753718313086E-4</v>
      </c>
      <c r="Q1181" s="208">
        <f t="shared" si="131"/>
        <v>1.0021992959873915</v>
      </c>
      <c r="R1181" s="40">
        <f t="shared" si="132"/>
        <v>-6.2531768084994957E-3</v>
      </c>
      <c r="S1181" s="209">
        <v>0</v>
      </c>
    </row>
    <row r="1182" spans="1:19" x14ac:dyDescent="0.45">
      <c r="A1182" s="16">
        <v>45331</v>
      </c>
      <c r="B1182" s="42">
        <f>'Part 2 - CAPM 2.1, 2.2 and 2.3'!N1182</f>
        <v>-1.4894628353587774E-3</v>
      </c>
      <c r="C1182" s="42">
        <f>'Part 2 - CAPM 2.1, 2.2 and 2.3'!O1182</f>
        <v>-2.0687707445722181E-2</v>
      </c>
      <c r="E1182" s="16">
        <v>45331</v>
      </c>
      <c r="F1182" s="17">
        <v>7.0300000000000001E-2</v>
      </c>
      <c r="G1182" s="41">
        <f t="shared" si="128"/>
        <v>1.8615152406753488E-4</v>
      </c>
      <c r="L1182" s="40">
        <f t="shared" si="126"/>
        <v>-1.306587080928416E-3</v>
      </c>
      <c r="M1182" s="40">
        <f t="shared" si="127"/>
        <v>-2.0547054313628355E-2</v>
      </c>
      <c r="O1182" s="40">
        <f t="shared" si="129"/>
        <v>-1.306587080928416E-3</v>
      </c>
      <c r="P1182" s="207">
        <f t="shared" si="130"/>
        <v>1.8615152406753488E-4</v>
      </c>
      <c r="Q1182" s="208">
        <f t="shared" si="131"/>
        <v>1.0021992959873915</v>
      </c>
      <c r="R1182" s="40">
        <f t="shared" si="132"/>
        <v>-1.4894628353587774E-3</v>
      </c>
      <c r="S1182" s="209">
        <v>0</v>
      </c>
    </row>
    <row r="1183" spans="1:19" x14ac:dyDescent="0.45">
      <c r="A1183" s="16">
        <v>45334</v>
      </c>
      <c r="B1183" s="42">
        <f>'Part 2 - CAPM 2.1, 2.2 and 2.3'!N1183</f>
        <v>-1.4528505010428733E-2</v>
      </c>
      <c r="C1183" s="42">
        <f>'Part 2 - CAPM 2.1, 2.2 and 2.3'!O1183</f>
        <v>-3.6253920155382785E-2</v>
      </c>
      <c r="E1183" s="16">
        <v>45334</v>
      </c>
      <c r="F1183" s="17">
        <v>7.0199999999999999E-2</v>
      </c>
      <c r="G1183" s="41">
        <f t="shared" si="128"/>
        <v>1.8589548709635473E-4</v>
      </c>
      <c r="L1183" s="40">
        <f t="shared" si="126"/>
        <v>-1.4374562006104612E-2</v>
      </c>
      <c r="M1183" s="40">
        <f t="shared" si="127"/>
        <v>-3.6147757769411377E-2</v>
      </c>
      <c r="O1183" s="40">
        <f t="shared" si="129"/>
        <v>-1.4374562006104612E-2</v>
      </c>
      <c r="P1183" s="207">
        <f t="shared" si="130"/>
        <v>1.8589548709635473E-4</v>
      </c>
      <c r="Q1183" s="208">
        <f t="shared" si="131"/>
        <v>1.0021992959873915</v>
      </c>
      <c r="R1183" s="40">
        <f t="shared" si="132"/>
        <v>-1.4528505010428733E-2</v>
      </c>
      <c r="S1183" s="209">
        <v>0</v>
      </c>
    </row>
    <row r="1184" spans="1:19" x14ac:dyDescent="0.45">
      <c r="A1184" s="16">
        <v>45335</v>
      </c>
      <c r="B1184" s="42">
        <f>'Part 2 - CAPM 2.1, 2.2 and 2.3'!N1184</f>
        <v>5.2877445481452371E-3</v>
      </c>
      <c r="C1184" s="42">
        <f>'Part 2 - CAPM 2.1, 2.2 and 2.3'!O1184</f>
        <v>6.0178034972586496E-3</v>
      </c>
      <c r="E1184" s="16">
        <v>45335</v>
      </c>
      <c r="F1184" s="17">
        <v>7.0300000000000001E-2</v>
      </c>
      <c r="G1184" s="41">
        <f t="shared" si="128"/>
        <v>1.8615152406753488E-4</v>
      </c>
      <c r="L1184" s="40">
        <f t="shared" si="126"/>
        <v>5.4855253875798595E-3</v>
      </c>
      <c r="M1184" s="40">
        <f t="shared" si="127"/>
        <v>6.2171899524106162E-3</v>
      </c>
      <c r="O1184" s="40">
        <f t="shared" si="129"/>
        <v>5.4855253875798595E-3</v>
      </c>
      <c r="P1184" s="207">
        <f t="shared" si="130"/>
        <v>1.8615152406753488E-4</v>
      </c>
      <c r="Q1184" s="208">
        <f t="shared" si="131"/>
        <v>1.0021992959873915</v>
      </c>
      <c r="R1184" s="40">
        <f t="shared" si="132"/>
        <v>5.2877445481452371E-3</v>
      </c>
      <c r="S1184" s="209">
        <v>0</v>
      </c>
    </row>
    <row r="1185" spans="1:19" x14ac:dyDescent="0.45">
      <c r="A1185" s="16">
        <v>45336</v>
      </c>
      <c r="B1185" s="42">
        <f>'Part 2 - CAPM 2.1, 2.2 and 2.3'!N1185</f>
        <v>6.8598261186493953E-3</v>
      </c>
      <c r="C1185" s="42">
        <f>'Part 2 - CAPM 2.1, 2.2 and 2.3'!O1185</f>
        <v>3.5844164989929712E-2</v>
      </c>
      <c r="E1185" s="16">
        <v>45336</v>
      </c>
      <c r="F1185" s="17">
        <v>7.0499999999999993E-2</v>
      </c>
      <c r="G1185" s="41">
        <f t="shared" si="128"/>
        <v>1.8666352644802764E-4</v>
      </c>
      <c r="L1185" s="40">
        <f t="shared" si="126"/>
        <v>7.0615764331543726E-3</v>
      </c>
      <c r="M1185" s="40">
        <f t="shared" si="127"/>
        <v>3.6109660444611495E-2</v>
      </c>
      <c r="O1185" s="40">
        <f t="shared" si="129"/>
        <v>7.0615764331543726E-3</v>
      </c>
      <c r="P1185" s="207">
        <f t="shared" si="130"/>
        <v>1.8666352644802764E-4</v>
      </c>
      <c r="Q1185" s="208">
        <f t="shared" si="131"/>
        <v>1.0021992959873915</v>
      </c>
      <c r="R1185" s="40">
        <f t="shared" si="132"/>
        <v>6.8598261186493953E-3</v>
      </c>
      <c r="S1185" s="209">
        <v>0</v>
      </c>
    </row>
    <row r="1186" spans="1:19" x14ac:dyDescent="0.45">
      <c r="A1186" s="16">
        <v>45337</v>
      </c>
      <c r="B1186" s="42">
        <f>'Part 2 - CAPM 2.1, 2.2 and 2.3'!N1186</f>
        <v>5.5704478803747497E-3</v>
      </c>
      <c r="C1186" s="42">
        <f>'Part 2 - CAPM 2.1, 2.2 and 2.3'!O1186</f>
        <v>3.1243246027940097E-2</v>
      </c>
      <c r="E1186" s="16">
        <v>45337</v>
      </c>
      <c r="F1186" s="17">
        <v>7.0599999999999996E-2</v>
      </c>
      <c r="G1186" s="41">
        <f t="shared" si="128"/>
        <v>1.8691949186644408E-4</v>
      </c>
      <c r="L1186" s="40">
        <f t="shared" si="126"/>
        <v>5.769618435912476E-3</v>
      </c>
      <c r="M1186" s="40">
        <f t="shared" si="127"/>
        <v>3.149887866542888E-2</v>
      </c>
      <c r="O1186" s="40">
        <f t="shared" si="129"/>
        <v>5.769618435912476E-3</v>
      </c>
      <c r="P1186" s="207">
        <f t="shared" si="130"/>
        <v>1.8691949186644408E-4</v>
      </c>
      <c r="Q1186" s="208">
        <f t="shared" si="131"/>
        <v>1.0021992959873915</v>
      </c>
      <c r="R1186" s="40">
        <f t="shared" si="132"/>
        <v>5.5704478803747497E-3</v>
      </c>
      <c r="S1186" s="209">
        <v>0</v>
      </c>
    </row>
    <row r="1187" spans="1:19" x14ac:dyDescent="0.45">
      <c r="A1187" s="16">
        <v>45338</v>
      </c>
      <c r="B1187" s="42">
        <f>'Part 2 - CAPM 2.1, 2.2 and 2.3'!N1187</f>
        <v>6.1965275700235729E-3</v>
      </c>
      <c r="C1187" s="42">
        <f>'Part 2 - CAPM 2.1, 2.2 and 2.3'!O1187</f>
        <v>-9.5627904647820443E-3</v>
      </c>
      <c r="E1187" s="16">
        <v>45338</v>
      </c>
      <c r="F1187" s="17">
        <v>7.0499999999999993E-2</v>
      </c>
      <c r="G1187" s="41">
        <f t="shared" si="128"/>
        <v>1.8666352644802764E-4</v>
      </c>
      <c r="L1187" s="40">
        <f t="shared" si="126"/>
        <v>6.3968190946921142E-3</v>
      </c>
      <c r="M1187" s="40">
        <f t="shared" si="127"/>
        <v>-9.3971583450314783E-3</v>
      </c>
      <c r="O1187" s="40">
        <f t="shared" si="129"/>
        <v>6.3968190946921142E-3</v>
      </c>
      <c r="P1187" s="207">
        <f t="shared" si="130"/>
        <v>1.8666352644802764E-4</v>
      </c>
      <c r="Q1187" s="208">
        <f t="shared" si="131"/>
        <v>1.0021992959873915</v>
      </c>
      <c r="R1187" s="40">
        <f t="shared" si="132"/>
        <v>6.1965275700235729E-3</v>
      </c>
      <c r="S1187" s="209">
        <v>0</v>
      </c>
    </row>
    <row r="1188" spans="1:19" x14ac:dyDescent="0.45">
      <c r="A1188" s="16">
        <v>45342</v>
      </c>
      <c r="B1188" s="42">
        <f>'Part 2 - CAPM 2.1, 2.2 and 2.3'!N1188</f>
        <v>5.1193304771391052E-3</v>
      </c>
      <c r="C1188" s="42">
        <f>'Part 2 - CAPM 2.1, 2.2 and 2.3'!O1188</f>
        <v>6.7297168386760906E-3</v>
      </c>
      <c r="E1188" s="16">
        <v>45342</v>
      </c>
      <c r="F1188" s="17">
        <v>7.0599999999999996E-2</v>
      </c>
      <c r="G1188" s="41">
        <f t="shared" si="128"/>
        <v>1.8691949186644408E-4</v>
      </c>
      <c r="L1188" s="40">
        <f t="shared" si="126"/>
        <v>5.3175088919820528E-3</v>
      </c>
      <c r="M1188" s="40">
        <f t="shared" si="127"/>
        <v>6.9314369697821166E-3</v>
      </c>
      <c r="O1188" s="40">
        <f t="shared" si="129"/>
        <v>5.3175088919820528E-3</v>
      </c>
      <c r="P1188" s="207">
        <f t="shared" si="130"/>
        <v>1.8691949186644408E-4</v>
      </c>
      <c r="Q1188" s="208">
        <f t="shared" si="131"/>
        <v>1.0021992959873915</v>
      </c>
      <c r="R1188" s="40">
        <f t="shared" si="132"/>
        <v>5.1193304771391052E-3</v>
      </c>
      <c r="S1188" s="209">
        <v>0</v>
      </c>
    </row>
    <row r="1189" spans="1:19" x14ac:dyDescent="0.45">
      <c r="A1189" s="16">
        <v>45343</v>
      </c>
      <c r="B1189" s="42">
        <f>'Part 2 - CAPM 2.1, 2.2 and 2.3'!N1189</f>
        <v>-7.2706166292833699E-3</v>
      </c>
      <c r="C1189" s="42">
        <f>'Part 2 - CAPM 2.1, 2.2 and 2.3'!O1189</f>
        <v>-1.3382870323392235E-2</v>
      </c>
      <c r="E1189" s="16">
        <v>45343</v>
      </c>
      <c r="F1189" s="17">
        <v>7.0599999999999996E-2</v>
      </c>
      <c r="G1189" s="41">
        <f t="shared" si="128"/>
        <v>1.8691949186644408E-4</v>
      </c>
      <c r="L1189" s="40">
        <f t="shared" si="126"/>
        <v>-7.0996873753955709E-3</v>
      </c>
      <c r="M1189" s="40">
        <f t="shared" si="127"/>
        <v>-1.3225383724527808E-2</v>
      </c>
      <c r="O1189" s="40">
        <f t="shared" si="129"/>
        <v>-7.0996873753955709E-3</v>
      </c>
      <c r="P1189" s="207">
        <f t="shared" si="130"/>
        <v>1.8691949186644408E-4</v>
      </c>
      <c r="Q1189" s="208">
        <f t="shared" si="131"/>
        <v>1.0021992959873915</v>
      </c>
      <c r="R1189" s="40">
        <f t="shared" si="132"/>
        <v>-7.2706166292833699E-3</v>
      </c>
      <c r="S1189" s="209">
        <v>0</v>
      </c>
    </row>
    <row r="1190" spans="1:19" x14ac:dyDescent="0.45">
      <c r="A1190" s="16">
        <v>45344</v>
      </c>
      <c r="B1190" s="42">
        <f>'Part 2 - CAPM 2.1, 2.2 and 2.3'!N1190</f>
        <v>7.546229961824775E-3</v>
      </c>
      <c r="C1190" s="42">
        <f>'Part 2 - CAPM 2.1, 2.2 and 2.3'!O1190</f>
        <v>6.2247671385089248E-3</v>
      </c>
      <c r="E1190" s="16">
        <v>45344</v>
      </c>
      <c r="F1190" s="17">
        <v>7.0499999999999993E-2</v>
      </c>
      <c r="G1190" s="41">
        <f t="shared" si="128"/>
        <v>1.8666352644802764E-4</v>
      </c>
      <c r="L1190" s="40">
        <f t="shared" si="126"/>
        <v>7.7494898815477775E-3</v>
      </c>
      <c r="M1190" s="40">
        <f t="shared" si="127"/>
        <v>6.4251207703471215E-3</v>
      </c>
      <c r="O1190" s="40">
        <f t="shared" si="129"/>
        <v>7.7494898815477775E-3</v>
      </c>
      <c r="P1190" s="207">
        <f t="shared" si="130"/>
        <v>1.8666352644802764E-4</v>
      </c>
      <c r="Q1190" s="208">
        <f t="shared" si="131"/>
        <v>1.0021992959873915</v>
      </c>
      <c r="R1190" s="40">
        <f t="shared" si="132"/>
        <v>7.546229961824775E-3</v>
      </c>
      <c r="S1190" s="209">
        <v>0</v>
      </c>
    </row>
    <row r="1191" spans="1:19" x14ac:dyDescent="0.45">
      <c r="A1191" s="16">
        <v>45345</v>
      </c>
      <c r="B1191" s="42">
        <f>'Part 2 - CAPM 2.1, 2.2 and 2.3'!N1191</f>
        <v>1.2701533164252428E-3</v>
      </c>
      <c r="C1191" s="42">
        <f>'Part 2 - CAPM 2.1, 2.2 and 2.3'!O1191</f>
        <v>-9.2875008034775143E-3</v>
      </c>
      <c r="E1191" s="16">
        <v>45345</v>
      </c>
      <c r="F1191" s="17">
        <v>7.0499999999999993E-2</v>
      </c>
      <c r="G1191" s="41">
        <f t="shared" si="128"/>
        <v>1.8666352644802764E-4</v>
      </c>
      <c r="L1191" s="40">
        <f t="shared" si="126"/>
        <v>1.4596102859654565E-3</v>
      </c>
      <c r="M1191" s="40">
        <f t="shared" si="127"/>
        <v>-9.1212632402794709E-3</v>
      </c>
      <c r="O1191" s="40">
        <f t="shared" si="129"/>
        <v>1.4596102859654565E-3</v>
      </c>
      <c r="P1191" s="207">
        <f t="shared" si="130"/>
        <v>1.8666352644802764E-4</v>
      </c>
      <c r="Q1191" s="208">
        <f t="shared" si="131"/>
        <v>1.0021992959873915</v>
      </c>
      <c r="R1191" s="40">
        <f t="shared" si="132"/>
        <v>1.2701533164252428E-3</v>
      </c>
      <c r="S1191" s="209">
        <v>0</v>
      </c>
    </row>
    <row r="1192" spans="1:19" x14ac:dyDescent="0.45">
      <c r="A1192" s="16">
        <v>45348</v>
      </c>
      <c r="B1192" s="42">
        <f>'Part 2 - CAPM 2.1, 2.2 and 2.3'!N1192</f>
        <v>-3.0263710329156731E-3</v>
      </c>
      <c r="C1192" s="42">
        <f>'Part 2 - CAPM 2.1, 2.2 and 2.3'!O1192</f>
        <v>-8.8192533122248111E-3</v>
      </c>
      <c r="E1192" s="16">
        <v>45348</v>
      </c>
      <c r="F1192" s="17">
        <v>7.0199999999999999E-2</v>
      </c>
      <c r="G1192" s="41">
        <f t="shared" si="128"/>
        <v>1.8589548709635473E-4</v>
      </c>
      <c r="L1192" s="40">
        <f t="shared" si="126"/>
        <v>-2.8471314314883677E-3</v>
      </c>
      <c r="M1192" s="40">
        <f t="shared" si="127"/>
        <v>-8.6527539735498215E-3</v>
      </c>
      <c r="O1192" s="40">
        <f t="shared" si="129"/>
        <v>-2.8471314314883677E-3</v>
      </c>
      <c r="P1192" s="207">
        <f t="shared" si="130"/>
        <v>1.8589548709635473E-4</v>
      </c>
      <c r="Q1192" s="208">
        <f t="shared" si="131"/>
        <v>1.0021992959873915</v>
      </c>
      <c r="R1192" s="40">
        <f t="shared" si="132"/>
        <v>-3.0263710329156731E-3</v>
      </c>
      <c r="S1192" s="209">
        <v>0</v>
      </c>
    </row>
    <row r="1193" spans="1:19" x14ac:dyDescent="0.45">
      <c r="A1193" s="16">
        <v>45349</v>
      </c>
      <c r="B1193" s="42">
        <f>'Part 2 - CAPM 2.1, 2.2 and 2.3'!N1193</f>
        <v>1.643210250519502E-3</v>
      </c>
      <c r="C1193" s="42">
        <f>'Part 2 - CAPM 2.1, 2.2 and 2.3'!O1193</f>
        <v>-2.0387767174094916E-3</v>
      </c>
      <c r="E1193" s="16">
        <v>45349</v>
      </c>
      <c r="F1193" s="17">
        <v>7.0199999999999999E-2</v>
      </c>
      <c r="G1193" s="41">
        <f t="shared" si="128"/>
        <v>1.8589548709635473E-4</v>
      </c>
      <c r="L1193" s="40">
        <f t="shared" si="126"/>
        <v>1.8327196433262649E-3</v>
      </c>
      <c r="M1193" s="40">
        <f t="shared" si="127"/>
        <v>-1.8573651037669227E-3</v>
      </c>
      <c r="O1193" s="40">
        <f t="shared" si="129"/>
        <v>1.8327196433262649E-3</v>
      </c>
      <c r="P1193" s="207">
        <f t="shared" si="130"/>
        <v>1.8589548709635473E-4</v>
      </c>
      <c r="Q1193" s="208">
        <f t="shared" si="131"/>
        <v>1.0021992959873915</v>
      </c>
      <c r="R1193" s="40">
        <f t="shared" si="132"/>
        <v>1.643210250519502E-3</v>
      </c>
      <c r="S1193" s="209">
        <v>0</v>
      </c>
    </row>
    <row r="1194" spans="1:19" x14ac:dyDescent="0.45">
      <c r="A1194" s="16">
        <v>45350</v>
      </c>
      <c r="B1194" s="42">
        <f>'Part 2 - CAPM 2.1, 2.2 and 2.3'!N1194</f>
        <v>-1.3610526041020725E-2</v>
      </c>
      <c r="C1194" s="42">
        <f>'Part 2 - CAPM 2.1, 2.2 and 2.3'!O1194</f>
        <v>-1.3550124504307317E-2</v>
      </c>
      <c r="E1194" s="16">
        <v>45350</v>
      </c>
      <c r="F1194" s="17">
        <v>6.9699999999999998E-2</v>
      </c>
      <c r="G1194" s="41">
        <f t="shared" si="128"/>
        <v>1.8461494425525693E-4</v>
      </c>
      <c r="L1194" s="40">
        <f t="shared" si="126"/>
        <v>-1.3455844672073773E-2</v>
      </c>
      <c r="M1194" s="40">
        <f t="shared" si="127"/>
        <v>-1.3395310294503039E-2</v>
      </c>
      <c r="O1194" s="40">
        <f t="shared" si="129"/>
        <v>-1.3455844672073773E-2</v>
      </c>
      <c r="P1194" s="207">
        <f t="shared" si="130"/>
        <v>1.8461494425525693E-4</v>
      </c>
      <c r="Q1194" s="208">
        <f t="shared" si="131"/>
        <v>1.0021992959873915</v>
      </c>
      <c r="R1194" s="40">
        <f t="shared" si="132"/>
        <v>-1.3610526041020725E-2</v>
      </c>
      <c r="S1194" s="209">
        <v>0</v>
      </c>
    </row>
    <row r="1195" spans="1:19" x14ac:dyDescent="0.45">
      <c r="A1195" s="16">
        <v>45351</v>
      </c>
      <c r="B1195" s="42">
        <f>'Part 2 - CAPM 2.1, 2.2 and 2.3'!N1195</f>
        <v>3.2963866358909893E-3</v>
      </c>
      <c r="C1195" s="42">
        <f>'Part 2 - CAPM 2.1, 2.2 and 2.3'!O1195</f>
        <v>-4.5099401863850893E-3</v>
      </c>
      <c r="E1195" s="16">
        <v>45351</v>
      </c>
      <c r="F1195" s="17">
        <v>6.8900000000000003E-2</v>
      </c>
      <c r="G1195" s="41">
        <f t="shared" si="128"/>
        <v>1.8256483361001052E-4</v>
      </c>
      <c r="L1195" s="40">
        <f t="shared" si="126"/>
        <v>3.4862011994022061E-3</v>
      </c>
      <c r="M1195" s="40">
        <f t="shared" si="127"/>
        <v>-4.3372940461303714E-3</v>
      </c>
      <c r="O1195" s="40">
        <f t="shared" si="129"/>
        <v>3.4862011994022061E-3</v>
      </c>
      <c r="P1195" s="207">
        <f t="shared" si="130"/>
        <v>1.8256483361001052E-4</v>
      </c>
      <c r="Q1195" s="208">
        <f t="shared" si="131"/>
        <v>1.0021992959873915</v>
      </c>
      <c r="R1195" s="40">
        <f t="shared" si="132"/>
        <v>3.2963866358909893E-3</v>
      </c>
      <c r="S1195" s="209">
        <v>0</v>
      </c>
    </row>
    <row r="1196" spans="1:19" x14ac:dyDescent="0.45">
      <c r="A1196" s="16">
        <v>45352</v>
      </c>
      <c r="B1196" s="42">
        <f>'Part 2 - CAPM 2.1, 2.2 and 2.3'!N1196</f>
        <v>1.2746464709173112E-2</v>
      </c>
      <c r="C1196" s="42">
        <f>'Part 2 - CAPM 2.1, 2.2 and 2.3'!O1196</f>
        <v>2.2303951305666533E-2</v>
      </c>
      <c r="E1196" s="16">
        <v>45352</v>
      </c>
      <c r="F1196" s="17">
        <v>6.9000000000000006E-2</v>
      </c>
      <c r="G1196" s="41">
        <f t="shared" si="128"/>
        <v>1.8282118110590773E-4</v>
      </c>
      <c r="L1196" s="40">
        <f t="shared" si="126"/>
        <v>1.2957319138967333E-2</v>
      </c>
      <c r="M1196" s="40">
        <f t="shared" si="127"/>
        <v>2.253582547738197E-2</v>
      </c>
      <c r="O1196" s="40">
        <f t="shared" si="129"/>
        <v>1.2957319138967333E-2</v>
      </c>
      <c r="P1196" s="207">
        <f t="shared" si="130"/>
        <v>1.8282118110590773E-4</v>
      </c>
      <c r="Q1196" s="208">
        <f t="shared" si="131"/>
        <v>1.0021992959873915</v>
      </c>
      <c r="R1196" s="40">
        <f t="shared" si="132"/>
        <v>1.2746464709173112E-2</v>
      </c>
      <c r="S1196" s="209">
        <v>0</v>
      </c>
    </row>
    <row r="1197" spans="1:19" x14ac:dyDescent="0.45">
      <c r="A1197" s="16">
        <v>45355</v>
      </c>
      <c r="B1197" s="42">
        <f>'Part 2 - CAPM 2.1, 2.2 and 2.3'!N1197</f>
        <v>3.8589875835993966E-3</v>
      </c>
      <c r="C1197" s="42">
        <f>'Part 2 - CAPM 2.1, 2.2 and 2.3'!O1197</f>
        <v>3.1789087893002305E-2</v>
      </c>
      <c r="E1197" s="16">
        <v>45355</v>
      </c>
      <c r="F1197" s="17">
        <v>6.9000000000000006E-2</v>
      </c>
      <c r="G1197" s="41">
        <f t="shared" si="128"/>
        <v>1.8282118110590773E-4</v>
      </c>
      <c r="L1197" s="40">
        <f t="shared" si="126"/>
        <v>4.0502958206133088E-3</v>
      </c>
      <c r="M1197" s="40">
        <f t="shared" si="127"/>
        <v>3.2041822687554129E-2</v>
      </c>
      <c r="O1197" s="40">
        <f t="shared" si="129"/>
        <v>4.0502958206133088E-3</v>
      </c>
      <c r="P1197" s="207">
        <f t="shared" si="130"/>
        <v>1.8282118110590773E-4</v>
      </c>
      <c r="Q1197" s="208">
        <f t="shared" si="131"/>
        <v>1.0021992959873915</v>
      </c>
      <c r="R1197" s="40">
        <f t="shared" si="132"/>
        <v>3.8589875835993966E-3</v>
      </c>
      <c r="S1197" s="209">
        <v>0</v>
      </c>
    </row>
    <row r="1198" spans="1:19" x14ac:dyDescent="0.45">
      <c r="A1198" s="16">
        <v>45356</v>
      </c>
      <c r="B1198" s="42">
        <f>'Part 2 - CAPM 2.1, 2.2 and 2.3'!N1198</f>
        <v>-2.6334292177127975E-3</v>
      </c>
      <c r="C1198" s="42">
        <f>'Part 2 - CAPM 2.1, 2.2 and 2.3'!O1198</f>
        <v>1.6112715272583154E-2</v>
      </c>
      <c r="E1198" s="16">
        <v>45356</v>
      </c>
      <c r="F1198" s="17">
        <v>6.9400000000000003E-2</v>
      </c>
      <c r="G1198" s="41">
        <f t="shared" si="128"/>
        <v>1.8384633200141387E-4</v>
      </c>
      <c r="L1198" s="40">
        <f t="shared" si="126"/>
        <v>-2.4553745760229791E-3</v>
      </c>
      <c r="M1198" s="40">
        <f t="shared" si="127"/>
        <v>1.6331998234629542E-2</v>
      </c>
      <c r="O1198" s="40">
        <f t="shared" si="129"/>
        <v>-2.4553745760229791E-3</v>
      </c>
      <c r="P1198" s="207">
        <f t="shared" si="130"/>
        <v>1.8384633200141387E-4</v>
      </c>
      <c r="Q1198" s="208">
        <f t="shared" si="131"/>
        <v>1.0021992959873915</v>
      </c>
      <c r="R1198" s="40">
        <f t="shared" si="132"/>
        <v>-2.6334292177127975E-3</v>
      </c>
      <c r="S1198" s="209">
        <v>0</v>
      </c>
    </row>
    <row r="1199" spans="1:19" x14ac:dyDescent="0.45">
      <c r="A1199" s="16">
        <v>45357</v>
      </c>
      <c r="B1199" s="42">
        <f>'Part 2 - CAPM 2.1, 2.2 and 2.3'!N1199</f>
        <v>-3.0379418179027405E-4</v>
      </c>
      <c r="C1199" s="42">
        <f>'Part 2 - CAPM 2.1, 2.2 and 2.3'!O1199</f>
        <v>-1.251839184224645E-2</v>
      </c>
      <c r="E1199" s="16">
        <v>45357</v>
      </c>
      <c r="F1199" s="17">
        <v>6.93E-2</v>
      </c>
      <c r="G1199" s="41">
        <f t="shared" si="128"/>
        <v>1.8359008013191236E-4</v>
      </c>
      <c r="L1199" s="40">
        <f t="shared" si="126"/>
        <v>-1.2087223498336594E-4</v>
      </c>
      <c r="M1199" s="40">
        <f t="shared" si="127"/>
        <v>-1.2362333411061785E-2</v>
      </c>
      <c r="O1199" s="40">
        <f t="shared" si="129"/>
        <v>-1.2087223498336594E-4</v>
      </c>
      <c r="P1199" s="207">
        <f t="shared" si="130"/>
        <v>1.8359008013191236E-4</v>
      </c>
      <c r="Q1199" s="208">
        <f t="shared" si="131"/>
        <v>1.0021992959873915</v>
      </c>
      <c r="R1199" s="40">
        <f t="shared" si="132"/>
        <v>-3.0379418179027405E-4</v>
      </c>
      <c r="S1199" s="209">
        <v>0</v>
      </c>
    </row>
    <row r="1200" spans="1:19" x14ac:dyDescent="0.45">
      <c r="A1200" s="16">
        <v>45358</v>
      </c>
      <c r="B1200" s="42">
        <f>'Part 2 - CAPM 2.1, 2.2 and 2.3'!N1200</f>
        <v>2.527973524406632E-3</v>
      </c>
      <c r="C1200" s="42">
        <f>'Part 2 - CAPM 2.1, 2.2 and 2.3'!O1200</f>
        <v>-7.85479918176267E-3</v>
      </c>
      <c r="E1200" s="16">
        <v>45358</v>
      </c>
      <c r="F1200" s="17">
        <v>6.9099999999999995E-2</v>
      </c>
      <c r="G1200" s="41">
        <f t="shared" si="128"/>
        <v>1.830775046887112E-4</v>
      </c>
      <c r="L1200" s="40">
        <f t="shared" si="126"/>
        <v>2.7166107911238027E-3</v>
      </c>
      <c r="M1200" s="40">
        <f t="shared" si="127"/>
        <v>-7.6889967053961755E-3</v>
      </c>
      <c r="O1200" s="40">
        <f t="shared" si="129"/>
        <v>2.7166107911238027E-3</v>
      </c>
      <c r="P1200" s="207">
        <f t="shared" si="130"/>
        <v>1.830775046887112E-4</v>
      </c>
      <c r="Q1200" s="208">
        <f t="shared" si="131"/>
        <v>1.0021992959873915</v>
      </c>
      <c r="R1200" s="40">
        <f t="shared" si="132"/>
        <v>2.527973524406632E-3</v>
      </c>
      <c r="S1200" s="209">
        <v>0</v>
      </c>
    </row>
    <row r="1201" spans="1:19" x14ac:dyDescent="0.45">
      <c r="A1201" s="16">
        <v>45362</v>
      </c>
      <c r="B1201" s="42">
        <f>'Part 2 - CAPM 2.1, 2.2 and 2.3'!N1201</f>
        <v>-7.3304553812801893E-3</v>
      </c>
      <c r="C1201" s="42">
        <f>'Part 2 - CAPM 2.1, 2.2 and 2.3'!O1201</f>
        <v>-1.4926232042406368E-2</v>
      </c>
      <c r="E1201" s="16">
        <v>45362</v>
      </c>
      <c r="F1201" s="17">
        <v>6.9199999999999998E-2</v>
      </c>
      <c r="G1201" s="41">
        <f t="shared" si="128"/>
        <v>1.8333380436241775E-4</v>
      </c>
      <c r="L1201" s="40">
        <f t="shared" si="126"/>
        <v>-7.1632434180235738E-3</v>
      </c>
      <c r="M1201" s="40">
        <f t="shared" si="127"/>
        <v>-1.477572544028169E-2</v>
      </c>
      <c r="O1201" s="40">
        <f t="shared" si="129"/>
        <v>-7.1632434180235738E-3</v>
      </c>
      <c r="P1201" s="207">
        <f t="shared" si="130"/>
        <v>1.8333380436241775E-4</v>
      </c>
      <c r="Q1201" s="208">
        <f t="shared" si="131"/>
        <v>1.0021992959873915</v>
      </c>
      <c r="R1201" s="40">
        <f t="shared" si="132"/>
        <v>-7.3304553812801893E-3</v>
      </c>
      <c r="S1201" s="209">
        <v>0</v>
      </c>
    </row>
    <row r="1202" spans="1:19" x14ac:dyDescent="0.45">
      <c r="A1202" s="16">
        <v>45363</v>
      </c>
      <c r="B1202" s="42">
        <f>'Part 2 - CAPM 2.1, 2.2 and 2.3'!N1202</f>
        <v>-5.966558426118102E-3</v>
      </c>
      <c r="C1202" s="42">
        <f>'Part 2 - CAPM 2.1, 2.2 and 2.3'!O1202</f>
        <v>-1.3321250964996955E-2</v>
      </c>
      <c r="E1202" s="16">
        <v>45363</v>
      </c>
      <c r="F1202" s="17">
        <v>6.8900000000000003E-2</v>
      </c>
      <c r="G1202" s="41">
        <f t="shared" si="128"/>
        <v>1.8256483361001052E-4</v>
      </c>
      <c r="L1202" s="40">
        <f t="shared" si="126"/>
        <v>-5.7971158205131906E-3</v>
      </c>
      <c r="M1202" s="40">
        <f t="shared" si="127"/>
        <v>-1.3167983505181299E-2</v>
      </c>
      <c r="O1202" s="40">
        <f t="shared" si="129"/>
        <v>-5.7971158205131906E-3</v>
      </c>
      <c r="P1202" s="207">
        <f t="shared" si="130"/>
        <v>1.8256483361001052E-4</v>
      </c>
      <c r="Q1202" s="208">
        <f t="shared" si="131"/>
        <v>1.0021992959873915</v>
      </c>
      <c r="R1202" s="40">
        <f t="shared" si="132"/>
        <v>-5.966558426118102E-3</v>
      </c>
      <c r="S1202" s="209">
        <v>0</v>
      </c>
    </row>
    <row r="1203" spans="1:19" x14ac:dyDescent="0.45">
      <c r="A1203" s="16">
        <v>45364</v>
      </c>
      <c r="B1203" s="42">
        <f>'Part 2 - CAPM 2.1, 2.2 and 2.3'!N1203</f>
        <v>-2.6214984065462982E-2</v>
      </c>
      <c r="C1203" s="42">
        <f>'Part 2 - CAPM 2.1, 2.2 and 2.3'!O1203</f>
        <v>-5.5841361528357294E-2</v>
      </c>
      <c r="E1203" s="16">
        <v>45364</v>
      </c>
      <c r="F1203" s="17">
        <v>6.9099999999999995E-2</v>
      </c>
      <c r="G1203" s="41">
        <f t="shared" si="128"/>
        <v>1.830775046887112E-4</v>
      </c>
      <c r="L1203" s="40">
        <f t="shared" si="126"/>
        <v>-2.6089561070038979E-2</v>
      </c>
      <c r="M1203" s="40">
        <f t="shared" si="127"/>
        <v>-5.578109570600838E-2</v>
      </c>
      <c r="O1203" s="40">
        <f t="shared" si="129"/>
        <v>-2.6089561070038979E-2</v>
      </c>
      <c r="P1203" s="207">
        <f t="shared" si="130"/>
        <v>1.830775046887112E-4</v>
      </c>
      <c r="Q1203" s="208">
        <f t="shared" si="131"/>
        <v>1.0021992959873915</v>
      </c>
      <c r="R1203" s="40">
        <f t="shared" si="132"/>
        <v>-2.6214984065462982E-2</v>
      </c>
      <c r="S1203" s="209">
        <v>0</v>
      </c>
    </row>
    <row r="1204" spans="1:19" x14ac:dyDescent="0.45">
      <c r="A1204" s="16">
        <v>45365</v>
      </c>
      <c r="B1204" s="42">
        <f>'Part 2 - CAPM 2.1, 2.2 and 2.3'!N1204</f>
        <v>1.356276959171133E-2</v>
      </c>
      <c r="C1204" s="42">
        <f>'Part 2 - CAPM 2.1, 2.2 and 2.3'!O1204</f>
        <v>3.07551071525538E-2</v>
      </c>
      <c r="E1204" s="16">
        <v>45365</v>
      </c>
      <c r="F1204" s="17">
        <v>6.9000000000000006E-2</v>
      </c>
      <c r="G1204" s="41">
        <f t="shared" si="128"/>
        <v>1.8282118110590773E-4</v>
      </c>
      <c r="L1204" s="40">
        <f t="shared" si="126"/>
        <v>1.3775419317558204E-2</v>
      </c>
      <c r="M1204" s="40">
        <f t="shared" si="127"/>
        <v>3.1005567917412116E-2</v>
      </c>
      <c r="O1204" s="40">
        <f t="shared" si="129"/>
        <v>1.3775419317558204E-2</v>
      </c>
      <c r="P1204" s="207">
        <f t="shared" si="130"/>
        <v>1.8282118110590773E-4</v>
      </c>
      <c r="Q1204" s="208">
        <f t="shared" si="131"/>
        <v>1.0021992959873915</v>
      </c>
      <c r="R1204" s="40">
        <f t="shared" si="132"/>
        <v>1.356276959171133E-2</v>
      </c>
      <c r="S1204" s="209">
        <v>0</v>
      </c>
    </row>
    <row r="1205" spans="1:19" x14ac:dyDescent="0.45">
      <c r="A1205" s="16">
        <v>45366</v>
      </c>
      <c r="B1205" s="42">
        <f>'Part 2 - CAPM 2.1, 2.2 and 2.3'!N1205</f>
        <v>-4.7589502665429271E-3</v>
      </c>
      <c r="C1205" s="42">
        <f>'Part 2 - CAPM 2.1, 2.2 and 2.3'!O1205</f>
        <v>-1.7276325556213452E-2</v>
      </c>
      <c r="E1205" s="16">
        <v>45366</v>
      </c>
      <c r="F1205" s="17">
        <v>6.88E-2</v>
      </c>
      <c r="G1205" s="41">
        <f t="shared" si="128"/>
        <v>1.8230846219635666E-4</v>
      </c>
      <c r="L1205" s="40">
        <f t="shared" si="126"/>
        <v>-4.5871081445719745E-3</v>
      </c>
      <c r="M1205" s="40">
        <f t="shared" si="127"/>
        <v>-1.7132012847489747E-2</v>
      </c>
      <c r="O1205" s="40">
        <f t="shared" si="129"/>
        <v>-4.5871081445719745E-3</v>
      </c>
      <c r="P1205" s="207">
        <f t="shared" si="130"/>
        <v>1.8230846219635666E-4</v>
      </c>
      <c r="Q1205" s="208">
        <f t="shared" si="131"/>
        <v>1.0021992959873915</v>
      </c>
      <c r="R1205" s="40">
        <f t="shared" si="132"/>
        <v>-4.7589502665429271E-3</v>
      </c>
      <c r="S1205" s="209">
        <v>0</v>
      </c>
    </row>
    <row r="1206" spans="1:19" x14ac:dyDescent="0.45">
      <c r="A1206" s="16">
        <v>45369</v>
      </c>
      <c r="B1206" s="42">
        <f>'Part 2 - CAPM 2.1, 2.2 and 2.3'!N1206</f>
        <v>7.2083920283675979E-4</v>
      </c>
      <c r="C1206" s="42">
        <f>'Part 2 - CAPM 2.1, 2.2 and 2.3'!O1206</f>
        <v>1.0832440686762992E-2</v>
      </c>
      <c r="E1206" s="16">
        <v>45369</v>
      </c>
      <c r="F1206" s="17">
        <v>6.8699999999999997E-2</v>
      </c>
      <c r="G1206" s="41">
        <f t="shared" si="128"/>
        <v>1.8205206686028319E-4</v>
      </c>
      <c r="L1206" s="40">
        <f t="shared" si="126"/>
        <v>9.044766084633964E-4</v>
      </c>
      <c r="M1206" s="40">
        <f t="shared" si="127"/>
        <v>1.1038316496959331E-2</v>
      </c>
      <c r="O1206" s="40">
        <f t="shared" si="129"/>
        <v>9.044766084633964E-4</v>
      </c>
      <c r="P1206" s="207">
        <f t="shared" si="130"/>
        <v>1.8205206686028319E-4</v>
      </c>
      <c r="Q1206" s="208">
        <f t="shared" si="131"/>
        <v>1.0021992959873915</v>
      </c>
      <c r="R1206" s="40">
        <f t="shared" si="132"/>
        <v>7.2083920283675979E-4</v>
      </c>
      <c r="S1206" s="209">
        <v>0</v>
      </c>
    </row>
    <row r="1207" spans="1:19" x14ac:dyDescent="0.45">
      <c r="A1207" s="16">
        <v>45370</v>
      </c>
      <c r="B1207" s="42">
        <f>'Part 2 - CAPM 2.1, 2.2 and 2.3'!N1207</f>
        <v>-1.1901491065806985E-2</v>
      </c>
      <c r="C1207" s="42">
        <f>'Part 2 - CAPM 2.1, 2.2 and 2.3'!O1207</f>
        <v>-9.1652324949949258E-3</v>
      </c>
      <c r="E1207" s="16">
        <v>45370</v>
      </c>
      <c r="F1207" s="17">
        <v>6.8699999999999997E-2</v>
      </c>
      <c r="G1207" s="41">
        <f t="shared" si="128"/>
        <v>1.8205206686028319E-4</v>
      </c>
      <c r="L1207" s="40">
        <f t="shared" si="126"/>
        <v>-1.1745613900491707E-2</v>
      </c>
      <c r="M1207" s="40">
        <f t="shared" si="127"/>
        <v>-9.0033374871843954E-3</v>
      </c>
      <c r="O1207" s="40">
        <f t="shared" si="129"/>
        <v>-1.1745613900491707E-2</v>
      </c>
      <c r="P1207" s="207">
        <f t="shared" si="130"/>
        <v>1.8205206686028319E-4</v>
      </c>
      <c r="Q1207" s="208">
        <f t="shared" si="131"/>
        <v>1.0021992959873915</v>
      </c>
      <c r="R1207" s="40">
        <f t="shared" si="132"/>
        <v>-1.1901491065806985E-2</v>
      </c>
      <c r="S1207" s="209">
        <v>0</v>
      </c>
    </row>
    <row r="1208" spans="1:19" x14ac:dyDescent="0.45">
      <c r="A1208" s="16">
        <v>45371</v>
      </c>
      <c r="B1208" s="42">
        <f>'Part 2 - CAPM 2.1, 2.2 and 2.3'!N1208</f>
        <v>9.127585689370837E-4</v>
      </c>
      <c r="C1208" s="42">
        <f>'Part 2 - CAPM 2.1, 2.2 and 2.3'!O1208</f>
        <v>1.755990075882671E-2</v>
      </c>
      <c r="E1208" s="16">
        <v>45371</v>
      </c>
      <c r="F1208" s="17">
        <v>6.93E-2</v>
      </c>
      <c r="G1208" s="41">
        <f t="shared" si="128"/>
        <v>1.8359008013191236E-4</v>
      </c>
      <c r="L1208" s="40">
        <f t="shared" si="126"/>
        <v>1.0983560753271165E-3</v>
      </c>
      <c r="M1208" s="40">
        <f t="shared" si="127"/>
        <v>1.7782110258236502E-2</v>
      </c>
      <c r="O1208" s="40">
        <f t="shared" si="129"/>
        <v>1.0983560753271165E-3</v>
      </c>
      <c r="P1208" s="207">
        <f t="shared" si="130"/>
        <v>1.8359008013191236E-4</v>
      </c>
      <c r="Q1208" s="208">
        <f t="shared" si="131"/>
        <v>1.0021992959873915</v>
      </c>
      <c r="R1208" s="40">
        <f t="shared" si="132"/>
        <v>9.127585689370837E-4</v>
      </c>
      <c r="S1208" s="209">
        <v>0</v>
      </c>
    </row>
    <row r="1209" spans="1:19" x14ac:dyDescent="0.45">
      <c r="A1209" s="16">
        <v>45372</v>
      </c>
      <c r="B1209" s="42">
        <f>'Part 2 - CAPM 2.1, 2.2 and 2.3'!N1209</f>
        <v>1.3333342439096882E-2</v>
      </c>
      <c r="C1209" s="42">
        <f>'Part 2 - CAPM 2.1, 2.2 and 2.3'!O1209</f>
        <v>-3.5938501748524836E-3</v>
      </c>
      <c r="E1209" s="16">
        <v>45372</v>
      </c>
      <c r="F1209" s="17">
        <v>6.9000000000000006E-2</v>
      </c>
      <c r="G1209" s="41">
        <f t="shared" si="128"/>
        <v>1.8282118110590773E-4</v>
      </c>
      <c r="L1209" s="40">
        <f t="shared" si="126"/>
        <v>1.3545487586727613E-2</v>
      </c>
      <c r="M1209" s="40">
        <f t="shared" si="127"/>
        <v>-3.4189329340154153E-3</v>
      </c>
      <c r="O1209" s="40">
        <f t="shared" si="129"/>
        <v>1.3545487586727613E-2</v>
      </c>
      <c r="P1209" s="207">
        <f t="shared" si="130"/>
        <v>1.8282118110590773E-4</v>
      </c>
      <c r="Q1209" s="208">
        <f t="shared" si="131"/>
        <v>1.0021992959873915</v>
      </c>
      <c r="R1209" s="40">
        <f t="shared" si="132"/>
        <v>1.3333342439096882E-2</v>
      </c>
      <c r="S1209" s="209">
        <v>0</v>
      </c>
    </row>
    <row r="1210" spans="1:19" x14ac:dyDescent="0.45">
      <c r="A1210" s="16">
        <v>45373</v>
      </c>
      <c r="B1210" s="42">
        <f>'Part 2 - CAPM 2.1, 2.2 and 2.3'!N1210</f>
        <v>4.7030082927845491E-3</v>
      </c>
      <c r="C1210" s="42">
        <f>'Part 2 - CAPM 2.1, 2.2 and 2.3'!O1210</f>
        <v>9.5884924517626894E-4</v>
      </c>
      <c r="E1210" s="16">
        <v>45373</v>
      </c>
      <c r="F1210" s="17">
        <v>6.8699999999999997E-2</v>
      </c>
      <c r="G1210" s="41">
        <f t="shared" si="128"/>
        <v>1.8205206686028319E-4</v>
      </c>
      <c r="L1210" s="40">
        <f t="shared" si="126"/>
        <v>4.8954036669118222E-3</v>
      </c>
      <c r="M1210" s="40">
        <f t="shared" si="127"/>
        <v>1.1430101053339818E-3</v>
      </c>
      <c r="O1210" s="40">
        <f t="shared" si="129"/>
        <v>4.8954036669118222E-3</v>
      </c>
      <c r="P1210" s="207">
        <f t="shared" si="130"/>
        <v>1.8205206686028319E-4</v>
      </c>
      <c r="Q1210" s="208">
        <f t="shared" si="131"/>
        <v>1.0021992959873915</v>
      </c>
      <c r="R1210" s="40">
        <f t="shared" si="132"/>
        <v>4.7030082927845491E-3</v>
      </c>
      <c r="S1210" s="209">
        <v>0</v>
      </c>
    </row>
    <row r="1211" spans="1:19" x14ac:dyDescent="0.45">
      <c r="A1211" s="16">
        <v>45377</v>
      </c>
      <c r="B1211" s="42">
        <f>'Part 2 - CAPM 2.1, 2.2 and 2.3'!N1211</f>
        <v>3.4879748182839302E-4</v>
      </c>
      <c r="C1211" s="42">
        <f>'Part 2 - CAPM 2.1, 2.2 and 2.3'!O1211</f>
        <v>8.363162215007134E-3</v>
      </c>
      <c r="E1211" s="16">
        <v>45377</v>
      </c>
      <c r="F1211" s="17">
        <v>6.9400000000000003E-2</v>
      </c>
      <c r="G1211" s="41">
        <f t="shared" si="128"/>
        <v>1.8384633200141387E-4</v>
      </c>
      <c r="L1211" s="40">
        <f t="shared" si="126"/>
        <v>5.3341092273200431E-4</v>
      </c>
      <c r="M1211" s="40">
        <f t="shared" si="127"/>
        <v>8.5654016161099168E-3</v>
      </c>
      <c r="O1211" s="40">
        <f t="shared" si="129"/>
        <v>5.3341092273200431E-4</v>
      </c>
      <c r="P1211" s="207">
        <f t="shared" si="130"/>
        <v>1.8384633200141387E-4</v>
      </c>
      <c r="Q1211" s="208">
        <f t="shared" si="131"/>
        <v>1.0021992959873915</v>
      </c>
      <c r="R1211" s="40">
        <f t="shared" si="132"/>
        <v>3.4879748182839302E-4</v>
      </c>
      <c r="S1211" s="209">
        <v>0</v>
      </c>
    </row>
    <row r="1212" spans="1:19" x14ac:dyDescent="0.45">
      <c r="A1212" s="16">
        <v>45378</v>
      </c>
      <c r="B1212" s="42">
        <f>'Part 2 - CAPM 2.1, 2.2 and 2.3'!N1212</f>
        <v>3.9418018713306153E-3</v>
      </c>
      <c r="C1212" s="42">
        <f>'Part 2 - CAPM 2.1, 2.2 and 2.3'!O1212</f>
        <v>-1.4308908729565991E-2</v>
      </c>
      <c r="E1212" s="16">
        <v>45378</v>
      </c>
      <c r="F1212" s="17">
        <v>6.9699999999999998E-2</v>
      </c>
      <c r="G1212" s="41">
        <f t="shared" si="128"/>
        <v>1.8461494425525693E-4</v>
      </c>
      <c r="L1212" s="40">
        <f t="shared" si="126"/>
        <v>4.1350860046245825E-3</v>
      </c>
      <c r="M1212" s="40">
        <f t="shared" si="127"/>
        <v>-1.4155763310863621E-2</v>
      </c>
      <c r="O1212" s="40">
        <f t="shared" si="129"/>
        <v>4.1350860046245825E-3</v>
      </c>
      <c r="P1212" s="207">
        <f t="shared" si="130"/>
        <v>1.8461494425525693E-4</v>
      </c>
      <c r="Q1212" s="208">
        <f t="shared" si="131"/>
        <v>1.0021992959873915</v>
      </c>
      <c r="R1212" s="40">
        <f t="shared" si="132"/>
        <v>3.9418018713306153E-3</v>
      </c>
      <c r="S1212" s="209">
        <v>0</v>
      </c>
    </row>
    <row r="1213" spans="1:19" x14ac:dyDescent="0.45">
      <c r="A1213" s="16">
        <v>45379</v>
      </c>
      <c r="B1213" s="42">
        <f>'Part 2 - CAPM 2.1, 2.2 and 2.3'!N1213</f>
        <v>8.1450317423664136E-3</v>
      </c>
      <c r="C1213" s="42">
        <f>'Part 2 - CAPM 2.1, 2.2 and 2.3'!O1213</f>
        <v>2.3882872421213144E-2</v>
      </c>
      <c r="E1213" s="16">
        <v>45379</v>
      </c>
      <c r="F1213" s="17">
        <v>7.0199999999999999E-2</v>
      </c>
      <c r="G1213" s="41">
        <f t="shared" si="128"/>
        <v>1.8589548709635473E-4</v>
      </c>
      <c r="L1213" s="40">
        <f t="shared" si="126"/>
        <v>8.3488405650909321E-3</v>
      </c>
      <c r="M1213" s="40">
        <f t="shared" si="127"/>
        <v>2.4121293413792856E-2</v>
      </c>
      <c r="O1213" s="40">
        <f t="shared" si="129"/>
        <v>8.3488405650909321E-3</v>
      </c>
      <c r="P1213" s="207">
        <f t="shared" si="130"/>
        <v>1.8589548709635473E-4</v>
      </c>
      <c r="Q1213" s="208">
        <f t="shared" si="131"/>
        <v>1.0021992959873915</v>
      </c>
      <c r="R1213" s="40">
        <f t="shared" si="132"/>
        <v>8.1450317423664136E-3</v>
      </c>
      <c r="S1213" s="209">
        <v>0</v>
      </c>
    </row>
  </sheetData>
  <mergeCells count="5">
    <mergeCell ref="A1:C1"/>
    <mergeCell ref="E1:G1"/>
    <mergeCell ref="L1:L2"/>
    <mergeCell ref="M1:M2"/>
    <mergeCell ref="O1:S1"/>
  </mergeCells>
  <conditionalFormatting sqref="A3:A1213">
    <cfRule type="duplicateValues" dxfId="3" priority="3"/>
  </conditionalFormatting>
  <conditionalFormatting sqref="B3:B1213">
    <cfRule type="duplicateValues" dxfId="2" priority="4"/>
  </conditionalFormatting>
  <conditionalFormatting sqref="C3:C1213">
    <cfRule type="duplicateValues" dxfId="1" priority="2"/>
  </conditionalFormatting>
  <conditionalFormatting sqref="E3:E121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 Page</vt:lpstr>
      <vt:lpstr>Read Me</vt:lpstr>
      <vt:lpstr>Contents</vt:lpstr>
      <vt:lpstr>Nifty 100 List</vt:lpstr>
      <vt:lpstr>1. Part 1 - Summary</vt:lpstr>
      <vt:lpstr>1. Part 1A - 3FS</vt:lpstr>
      <vt:lpstr>1. Part 1B - DCF</vt:lpstr>
      <vt:lpstr>ITC Limited Income Statement</vt:lpstr>
      <vt:lpstr>ITC Limited Balance Sheet</vt:lpstr>
      <vt:lpstr>Part 2 - CAPM 2.1, 2.2 and 2.3</vt:lpstr>
      <vt:lpstr>Part 2 - CAPM - 2.4</vt:lpstr>
      <vt:lpstr>Part 2 - CAPM 2.5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ABHIMANYU BABBAR</dc:creator>
  <cp:lastModifiedBy>ABHIMANYU BABBAR</cp:lastModifiedBy>
  <dcterms:created xsi:type="dcterms:W3CDTF">2025-03-04T09:43:36Z</dcterms:created>
  <dcterms:modified xsi:type="dcterms:W3CDTF">2026-03-03T12:11:17Z</dcterms:modified>
</cp:coreProperties>
</file>