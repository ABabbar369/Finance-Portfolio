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Important Documents\SIBMH Study Material\IIM Ranchi Course\ASSIGNMENT\Fixed Income\"/>
    </mc:Choice>
  </mc:AlternateContent>
  <xr:revisionPtr revIDLastSave="0" documentId="13_ncr:1_{5CCC047F-DBDF-472E-87DA-55EDC635BB05}" xr6:coauthVersionLast="47" xr6:coauthVersionMax="47" xr10:uidLastSave="{00000000-0000-0000-0000-000000000000}"/>
  <bookViews>
    <workbookView xWindow="-98" yWindow="-98" windowWidth="21795" windowHeight="12975" xr2:uid="{D1A5D217-C11B-47BA-A313-157BF5C01088}"/>
  </bookViews>
  <sheets>
    <sheet name="Details" sheetId="5" r:id="rId1"/>
    <sheet name="NSE Factsheet Details" sheetId="3" r:id="rId2"/>
    <sheet name="Part 1" sheetId="2" r:id="rId3"/>
    <sheet name="Part 2" sheetId="6" r:id="rId4"/>
    <sheet name="Part 2a" sheetId="7" r:id="rId5"/>
    <sheet name="Part 2b" sheetId="8" r:id="rId6"/>
    <sheet name="Part 3"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D3" i="2"/>
  <c r="D4" i="2"/>
  <c r="D5" i="2"/>
  <c r="M4" i="2"/>
  <c r="N4" i="2" s="1"/>
  <c r="M5" i="2"/>
  <c r="M3" i="2"/>
  <c r="N3" i="2" s="1"/>
  <c r="C27" i="2"/>
  <c r="C26" i="2"/>
  <c r="C25" i="2"/>
  <c r="C24" i="2"/>
  <c r="B6" i="2"/>
  <c r="C21" i="2"/>
  <c r="C22" i="2"/>
  <c r="C20" i="2"/>
  <c r="C13" i="2"/>
  <c r="C14" i="2"/>
  <c r="C12" i="2"/>
  <c r="C17" i="2"/>
  <c r="C18" i="2"/>
  <c r="C16" i="2"/>
  <c r="C3" i="2"/>
  <c r="O3" i="2" l="1"/>
  <c r="O5" i="2"/>
  <c r="B22" i="2" s="1"/>
  <c r="D22" i="2" s="1"/>
  <c r="N5" i="2"/>
  <c r="O4" i="2"/>
  <c r="B21" i="2" s="1"/>
  <c r="D21" i="2" s="1"/>
  <c r="D6" i="2"/>
  <c r="E4" i="2" s="1"/>
  <c r="B13" i="2"/>
  <c r="D13" i="2" s="1"/>
  <c r="B12" i="2"/>
  <c r="D12" i="2" s="1"/>
  <c r="B14" i="2"/>
  <c r="D14" i="2" s="1"/>
  <c r="B17" i="2"/>
  <c r="D17" i="2" s="1"/>
  <c r="C5" i="2"/>
  <c r="C4" i="2"/>
  <c r="F4" i="2" l="1"/>
  <c r="B18" i="2"/>
  <c r="D18" i="2" s="1"/>
  <c r="B26" i="2"/>
  <c r="B20" i="2"/>
  <c r="D20" i="2" s="1"/>
  <c r="B16" i="2"/>
  <c r="D16" i="2" s="1"/>
  <c r="D26" i="2"/>
  <c r="E3" i="2"/>
  <c r="E5" i="2"/>
  <c r="F5" i="2" s="1"/>
  <c r="B24" i="2" l="1"/>
  <c r="D24" i="2" s="1"/>
  <c r="B27" i="2"/>
  <c r="D27" i="2" s="1"/>
  <c r="B25" i="2"/>
  <c r="D25" i="2" s="1"/>
</calcChain>
</file>

<file path=xl/sharedStrings.xml><?xml version="1.0" encoding="utf-8"?>
<sst xmlns="http://schemas.openxmlformats.org/spreadsheetml/2006/main" count="108" uniqueCount="93">
  <si>
    <t xml:space="preserve">ISIN </t>
  </si>
  <si>
    <t xml:space="preserve">Outstanding Amount </t>
  </si>
  <si>
    <t>Weight</t>
  </si>
  <si>
    <t>Value</t>
  </si>
  <si>
    <t>Total Weightage</t>
  </si>
  <si>
    <t>Maturity Date</t>
  </si>
  <si>
    <t>Settlement Date</t>
  </si>
  <si>
    <t>Frequency</t>
  </si>
  <si>
    <t>Last Price</t>
  </si>
  <si>
    <t>Coupon</t>
  </si>
  <si>
    <t xml:space="preserve">Yield </t>
  </si>
  <si>
    <t xml:space="preserve">Duration </t>
  </si>
  <si>
    <t>NIFTY Medium Duration G-Sec Index (3 to 4 years)</t>
  </si>
  <si>
    <t>Index Name</t>
  </si>
  <si>
    <t>NIFTY Medium Duration G-Sec Index</t>
  </si>
  <si>
    <t>Average Coupon %</t>
  </si>
  <si>
    <t>Average Yield %</t>
  </si>
  <si>
    <t>Average Macaulay Duration</t>
  </si>
  <si>
    <t>Average Maturity</t>
  </si>
  <si>
    <t>3M</t>
  </si>
  <si>
    <t>6M</t>
  </si>
  <si>
    <t>1 Year</t>
  </si>
  <si>
    <t>3 Year</t>
  </si>
  <si>
    <t>Since Inception</t>
  </si>
  <si>
    <t>Duration</t>
  </si>
  <si>
    <t>Macaulay Duration</t>
  </si>
  <si>
    <t>https://www.ccilindia.com/documents/d/ccil/Outstanding_Government_Debt%20Rakshitra-pdf</t>
  </si>
  <si>
    <t>Name</t>
  </si>
  <si>
    <t>Abhimanyu Babbar</t>
  </si>
  <si>
    <t>Outlook on Indian Fixed Income Markets</t>
  </si>
  <si>
    <t>The Indian bond market is going through some changes due to both global and local factors. As we move into 2025, there are both challenges and opportunities. Rising US interest rates, pressure on the Indian rupee, and tight liquidity in the banking system are some concerns. However, reports from Axis Mutual Fund and HSBC Mutual Fund suggest that things are still looking positive for bond investors.</t>
  </si>
  <si>
    <t>Global and Domestic Economic Factors</t>
  </si>
  <si>
    <t>In India, inflation is a key concern. Prices went up for a short while but are expected to settle at around 4.5% in the coming months, thanks to good crop production and lower food costs. The Reserve Bank of India is also likely to lower interest rates slowly, which can help businesses and consumers by making borrowing cheaper. The RBI is also taking steps to ensure enough money is available in the financial system.</t>
  </si>
  <si>
    <t>Banking and Liquidity Trends</t>
  </si>
  <si>
    <t>Opportunities and Risks in the Bond Market</t>
  </si>
  <si>
    <t>Conclusion</t>
  </si>
  <si>
    <t>One big factor affecting Indian bonds is the rise in US interest rates. Even though the US central bank has cut rates, their bond yields have gone up due to inflation and strong economic growth. However, this has not impacted Indian Government Bonds as much as before, since India's economy is on a different path. Also, India's government is working on reducing its fiscal deficit, which helps stabilize bond yields.</t>
  </si>
  <si>
    <t>We see India's bond market at an interesting stage. While global challenges exist, India's careful financial management, strong economic indicators, and RBI's proactive approach are providing stability. With possible rate cuts, improved liquidity, and growing foreign investments, 2025 looks promising for fixed-income investments. Investors should focus on long-term bonds and high-rated corporate securities to make the most of upcoming opportunities in the bond market.</t>
  </si>
  <si>
    <t>Despite some uncertainty, the long-term outlook for Indian bonds remains strong. Demand for government bonds is expected to stay high, thanks to investment from both foreign and local institutions. Additionally, Indian bonds are set to be included in major global bond indices, like the JP Morgan GBI-EM and Bloomberg Global Bond Index, bringing in an estimated USD 35-40 billion by 2026. This will increase foreign investment and market stability. Global uncertainties remain, especially regarding US policies and trade decisions. However, India's economic position is relatively stable. While the rupee has weakened slightly, it has performed better than most other emerging market currencies. Additionally, India's trade deficit is under control, reducing the risk of major financial problems.</t>
  </si>
  <si>
    <t>Comparison between Calculated Value and NSE Factsheet:</t>
  </si>
  <si>
    <t>Particulars</t>
  </si>
  <si>
    <t>Calculated</t>
  </si>
  <si>
    <t>NSE Factsheet</t>
  </si>
  <si>
    <t>IN0020230101 (Bond 1)</t>
  </si>
  <si>
    <t>IN0020220011 (Bond 2)</t>
  </si>
  <si>
    <t>IN0020240050 (Bond 3)</t>
  </si>
  <si>
    <t>Duration:</t>
  </si>
  <si>
    <t>Bond 1</t>
  </si>
  <si>
    <t>Bond 2</t>
  </si>
  <si>
    <t>Bond 3</t>
  </si>
  <si>
    <t>Yield</t>
  </si>
  <si>
    <t>Yield:</t>
  </si>
  <si>
    <t>Macaulay Duration:</t>
  </si>
  <si>
    <t>Index - Averages:</t>
  </si>
  <si>
    <t>Variance (B-C)</t>
  </si>
  <si>
    <t>Computation of Yield, Duration and Macaulay Duration</t>
  </si>
  <si>
    <t>Analysis of UTI Nifty SDL Plus AAA PSU Bond Apr 2026 75:25 Index Fund:</t>
  </si>
  <si>
    <t>Fund Overview:</t>
  </si>
  <si>
    <t>The UTI Nifty SDL Plus AAA PSU Bond Apr 2026 75:25 Index Fund is an open-ended target maturity index fund that invests in the constituents of the Nifty SDL Plus AAA PSU Bond Apr 2026 75:25 Index. The fund aims to replicate the performance of the underlying index by allocating its assets as follows:</t>
  </si>
  <si>
    <t>This allocation strategy provides investors with exposure to sovereign and high-quality PSU debt instruments, aiming for stable and predictable returns.</t>
  </si>
  <si>
    <t>1. Categorization of Holdings in Various Asset Classes:</t>
  </si>
  <si>
    <r>
      <rPr>
        <b/>
        <sz val="10"/>
        <color theme="1"/>
        <rFont val="Times New Roman"/>
        <family val="1"/>
      </rPr>
      <t>State Development Loans (SDLs):</t>
    </r>
    <r>
      <rPr>
        <sz val="10"/>
        <color theme="1"/>
        <rFont val="Times New Roman"/>
        <family val="1"/>
      </rPr>
      <t xml:space="preserve"> Approximately 75% of the portfolio is invested in SDLs.</t>
    </r>
  </si>
  <si>
    <r>
      <rPr>
        <b/>
        <sz val="10"/>
        <color theme="1"/>
        <rFont val="Times New Roman"/>
        <family val="1"/>
      </rPr>
      <t>AAA-rated Public Sector Undertaking (PSU) Bonds:</t>
    </r>
    <r>
      <rPr>
        <sz val="10"/>
        <color theme="1"/>
        <rFont val="Times New Roman"/>
        <family val="1"/>
      </rPr>
      <t xml:space="preserve"> The remaining 25% is allocated to AAA-rated PSU bonds.</t>
    </r>
  </si>
  <si>
    <t>2. Explanation of Fixed Income Instruments in the Portfolio</t>
  </si>
  <si>
    <t>a. State Development Loans (SDLs):</t>
  </si>
  <si>
    <t>Characteristics:</t>
  </si>
  <si>
    <t>b. AAA-rated PSU Bonds:</t>
  </si>
  <si>
    <t>Derivatives Exposure:</t>
  </si>
  <si>
    <t>As per the fund's Key Information Memorandum (KIM), there is no mention of derivatives being utilized within the portfolio. The fund focuses on direct investments in SDLs and AAA-rated PSU bonds to achieve its investment objectives.</t>
  </si>
  <si>
    <r>
      <rPr>
        <b/>
        <sz val="10"/>
        <color theme="1"/>
        <rFont val="Times New Roman"/>
        <family val="1"/>
      </rPr>
      <t>Issuer:</t>
    </r>
    <r>
      <rPr>
        <sz val="10"/>
        <color theme="1"/>
        <rFont val="Times New Roman"/>
        <family val="1"/>
      </rPr>
      <t xml:space="preserve"> State Governments of India</t>
    </r>
  </si>
  <si>
    <r>
      <rPr>
        <b/>
        <sz val="10"/>
        <color theme="1"/>
        <rFont val="Times New Roman"/>
        <family val="1"/>
      </rPr>
      <t>Tenure:</t>
    </r>
    <r>
      <rPr>
        <sz val="10"/>
        <color theme="1"/>
        <rFont val="Times New Roman"/>
        <family val="1"/>
      </rPr>
      <t xml:space="preserve"> Typically ranges from 10 to 30 years</t>
    </r>
  </si>
  <si>
    <r>
      <rPr>
        <b/>
        <sz val="10"/>
        <color theme="1"/>
        <rFont val="Times New Roman"/>
        <family val="1"/>
      </rPr>
      <t xml:space="preserve">Interest Payments: </t>
    </r>
    <r>
      <rPr>
        <sz val="10"/>
        <color theme="1"/>
        <rFont val="Times New Roman"/>
        <family val="1"/>
      </rPr>
      <t>Fixed coupon payments, usually made semi-annually</t>
    </r>
  </si>
  <si>
    <r>
      <rPr>
        <b/>
        <sz val="10"/>
        <color theme="1"/>
        <rFont val="Times New Roman"/>
        <family val="1"/>
      </rPr>
      <t>Credit Risk:</t>
    </r>
    <r>
      <rPr>
        <sz val="10"/>
        <color theme="1"/>
        <rFont val="Times New Roman"/>
        <family val="1"/>
      </rPr>
      <t xml:space="preserve"> Considered low, as they are backed by the respective state governments</t>
    </r>
  </si>
  <si>
    <r>
      <rPr>
        <b/>
        <sz val="10"/>
        <color theme="1"/>
        <rFont val="Times New Roman"/>
        <family val="1"/>
      </rPr>
      <t>Role in Portfolio:</t>
    </r>
    <r>
      <rPr>
        <sz val="10"/>
        <color theme="1"/>
        <rFont val="Times New Roman"/>
        <family val="1"/>
      </rPr>
      <t xml:space="preserve"> SDLs offer a sovereign guarantee, providing safety of principal and regular income, which aligns with the fund's objective of capital preservation and steady returns.</t>
    </r>
  </si>
  <si>
    <r>
      <rPr>
        <b/>
        <sz val="10"/>
        <color theme="1"/>
        <rFont val="Times New Roman"/>
        <family val="1"/>
      </rPr>
      <t xml:space="preserve">Issuer: </t>
    </r>
    <r>
      <rPr>
        <sz val="10"/>
        <color theme="1"/>
        <rFont val="Times New Roman"/>
        <family val="1"/>
      </rPr>
      <t>Public Sector Undertakings (PSUs) owned by the Central Government</t>
    </r>
  </si>
  <si>
    <r>
      <rPr>
        <b/>
        <sz val="10"/>
        <color theme="1"/>
        <rFont val="Times New Roman"/>
        <family val="1"/>
      </rPr>
      <t>Tenure:</t>
    </r>
    <r>
      <rPr>
        <sz val="10"/>
        <color theme="1"/>
        <rFont val="Times New Roman"/>
        <family val="1"/>
      </rPr>
      <t xml:space="preserve"> Varies, commonly between 5 to 15 years</t>
    </r>
  </si>
  <si>
    <r>
      <rPr>
        <b/>
        <sz val="10"/>
        <color theme="1"/>
        <rFont val="Times New Roman"/>
        <family val="1"/>
      </rPr>
      <t xml:space="preserve">Interest Payments: </t>
    </r>
    <r>
      <rPr>
        <sz val="10"/>
        <color theme="1"/>
        <rFont val="Times New Roman"/>
        <family val="1"/>
      </rPr>
      <t>Fixed coupon payments, typically on a semi-annual basis</t>
    </r>
  </si>
  <si>
    <r>
      <rPr>
        <b/>
        <sz val="10"/>
        <color theme="1"/>
        <rFont val="Times New Roman"/>
        <family val="1"/>
      </rPr>
      <t>Credit Risk</t>
    </r>
    <r>
      <rPr>
        <sz val="10"/>
        <color theme="1"/>
        <rFont val="Times New Roman"/>
        <family val="1"/>
      </rPr>
      <t>: Minimal, as indicated by the AAA rating, reflecting the highest level of creditworthiness</t>
    </r>
  </si>
  <si>
    <r>
      <rPr>
        <b/>
        <sz val="10"/>
        <color theme="1"/>
        <rFont val="Times New Roman"/>
        <family val="1"/>
      </rPr>
      <t xml:space="preserve">Role in Portfolio: </t>
    </r>
    <r>
      <rPr>
        <sz val="10"/>
        <color theme="1"/>
        <rFont val="Times New Roman"/>
        <family val="1"/>
      </rPr>
      <t>These bonds enhance the portfolio's yield while maintaining a high credit quality, contributing to the fund's goal of offering superior risk-adjusted returns.</t>
    </r>
  </si>
  <si>
    <t>Performance Metrics:</t>
  </si>
  <si>
    <t>Fund's Annualized Return: 6.80%</t>
  </si>
  <si>
    <t>Benchmark's Annualized Return: 6.75%</t>
  </si>
  <si>
    <t>Analysis:</t>
  </si>
  <si>
    <t>Conclusion:</t>
  </si>
  <si>
    <t>The UTI Nifty SDL Plus AAA PSU Bond Apr 2026 75:25 Index Fund offers a well-structured portfolio comprising sovereign and high-quality PSU debt instruments. Its performance, slightly surpassing the benchmark, reflects prudent portfolio management in a stable interest rate environment. Investors seeking predictable income with minimal credit risk may find this fund aligns well with their investment objectives.</t>
  </si>
  <si>
    <r>
      <rPr>
        <b/>
        <sz val="10"/>
        <color theme="1"/>
        <rFont val="Times New Roman"/>
        <family val="1"/>
      </rPr>
      <t xml:space="preserve">Benchmark Index: </t>
    </r>
    <r>
      <rPr>
        <sz val="10"/>
        <color theme="1"/>
        <rFont val="Times New Roman"/>
        <family val="1"/>
      </rPr>
      <t>Nifty SDL Plus AAA PSU Bond Apr 2026 75:25 Index</t>
    </r>
  </si>
  <si>
    <r>
      <rPr>
        <b/>
        <sz val="10"/>
        <color theme="1"/>
        <rFont val="Times New Roman"/>
        <family val="1"/>
      </rPr>
      <t>Interest Rate Movements:</t>
    </r>
    <r>
      <rPr>
        <sz val="10"/>
        <color theme="1"/>
        <rFont val="Times New Roman"/>
        <family val="1"/>
      </rPr>
      <t xml:space="preserve"> The Reserve Bank of India (RBI) has maintained the policy repo rate at 6.25% as of February 25, 2025. Stable interest rates contribute to predictable returns from fixed-income instruments. The fund's slight outperformance relative to the benchmark can be attributed to effective duration management and strategic selection of securities that have benefited from the current interest rate environment.</t>
    </r>
  </si>
  <si>
    <r>
      <rPr>
        <b/>
        <sz val="10"/>
        <color theme="1"/>
        <rFont val="Times New Roman"/>
        <family val="1"/>
      </rPr>
      <t>Credit Spread Dynamics:</t>
    </r>
    <r>
      <rPr>
        <sz val="10"/>
        <color theme="1"/>
        <rFont val="Times New Roman"/>
        <family val="1"/>
      </rPr>
      <t xml:space="preserve"> The high credit quality of the portfolio's holdings minimizes exposure to credit spread volatility. The consistent demand for sovereign and AAA-rated instruments has kept credit spreads tight, supporting the fund's performance.</t>
    </r>
  </si>
  <si>
    <r>
      <rPr>
        <b/>
        <sz val="10"/>
        <color theme="1"/>
        <rFont val="Times New Roman"/>
        <family val="1"/>
      </rPr>
      <t xml:space="preserve">Duration Management: </t>
    </r>
    <r>
      <rPr>
        <sz val="10"/>
        <color theme="1"/>
        <rFont val="Times New Roman"/>
        <family val="1"/>
      </rPr>
      <t>The fund's duration is closely aligned with the benchmark, maturing in April 2026. This alignment ensures that the fund's sensitivity to interest rate changes mirrors that of the benchmark, reducing tracking error and contributing to performance stability.</t>
    </r>
  </si>
  <si>
    <t>3. Performance Analysis Relative to Benchmark (As of February 26, 2025)</t>
  </si>
  <si>
    <t>Fund seeks to track Nifty SDL Plus AAA PSU Bond Apr 2026 75:25 Index. Investors will have good liquidity throughout the term as it’s an open-ended fund without any lock-in period.</t>
  </si>
  <si>
    <t>Face Value</t>
  </si>
  <si>
    <t>The amount of money available in the banking system has decreased, shifting from a surplus to a deficit of ₹1.5 trillion. This has happened due to factors like high credit demand, cash in circulation, and foreign exchange outflows. However, the RBI is expected to take steps such as foreign exchange swaps and liquidity injections to stabilize the situation. A recent ₹2 trillion dividend transfer from RBI should help improve liquidity, but further actions may still be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</si>
</sst>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00"/>
    <numFmt numFmtId="165" formatCode="0.00000000"/>
    <numFmt numFmtId="166" formatCode="0.000000%"/>
    <numFmt numFmtId="167" formatCode="0.00000000%"/>
    <numFmt numFmtId="168" formatCode="0.0000000000"/>
    <numFmt numFmtId="169" formatCode="0.000000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u/>
      <sz val="11"/>
      <color theme="10"/>
      <name val="Calibri"/>
      <family val="2"/>
      <scheme val="minor"/>
    </font>
    <font>
      <b/>
      <u/>
      <sz val="10"/>
      <color theme="10"/>
      <name val="Times New Roman"/>
      <family val="1"/>
    </font>
    <font>
      <b/>
      <sz val="14"/>
      <color theme="1"/>
      <name val="Times New Roman"/>
      <family val="1"/>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1"/>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rgb="FF92D05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57">
    <xf numFmtId="0" fontId="0" fillId="0" borderId="0" xfId="0"/>
    <xf numFmtId="0" fontId="18" fillId="0" borderId="0" xfId="0" applyFont="1"/>
    <xf numFmtId="0" fontId="18" fillId="0" borderId="10" xfId="0" applyFont="1" applyBorder="1"/>
    <xf numFmtId="10" fontId="18" fillId="0" borderId="10" xfId="0" applyNumberFormat="1" applyFont="1" applyBorder="1"/>
    <xf numFmtId="3" fontId="18" fillId="0" borderId="10" xfId="0" applyNumberFormat="1" applyFont="1" applyBorder="1"/>
    <xf numFmtId="14" fontId="18" fillId="0" borderId="10" xfId="0" applyNumberFormat="1" applyFont="1" applyBorder="1"/>
    <xf numFmtId="0" fontId="19" fillId="33" borderId="10" xfId="0" applyFont="1" applyFill="1" applyBorder="1" applyAlignment="1">
      <alignment horizontal="center"/>
    </xf>
    <xf numFmtId="2" fontId="18" fillId="0" borderId="10" xfId="0" applyNumberFormat="1" applyFont="1" applyBorder="1"/>
    <xf numFmtId="0" fontId="19" fillId="35" borderId="10" xfId="0" applyFont="1" applyFill="1" applyBorder="1" applyAlignment="1">
      <alignment horizontal="center"/>
    </xf>
    <xf numFmtId="0" fontId="18" fillId="37" borderId="0" xfId="0" applyFont="1" applyFill="1"/>
    <xf numFmtId="0" fontId="18" fillId="0" borderId="15" xfId="0" applyFont="1" applyBorder="1"/>
    <xf numFmtId="0" fontId="19" fillId="0" borderId="14" xfId="0" applyFont="1" applyBorder="1"/>
    <xf numFmtId="0" fontId="18" fillId="0" borderId="14" xfId="0" applyFont="1" applyBorder="1"/>
    <xf numFmtId="0" fontId="18" fillId="0" borderId="16" xfId="0" applyFont="1" applyBorder="1"/>
    <xf numFmtId="0" fontId="18" fillId="0" borderId="17" xfId="0" applyFont="1" applyBorder="1"/>
    <xf numFmtId="0" fontId="18" fillId="0" borderId="18" xfId="0" applyFont="1" applyBorder="1"/>
    <xf numFmtId="0" fontId="19" fillId="38" borderId="10" xfId="0" applyFont="1" applyFill="1" applyBorder="1" applyAlignment="1">
      <alignment horizontal="center"/>
    </xf>
    <xf numFmtId="164" fontId="18" fillId="0" borderId="10" xfId="0" applyNumberFormat="1" applyFont="1" applyBorder="1"/>
    <xf numFmtId="165" fontId="18" fillId="0" borderId="10" xfId="0" applyNumberFormat="1" applyFont="1" applyBorder="1"/>
    <xf numFmtId="166" fontId="18" fillId="0" borderId="10" xfId="0" applyNumberFormat="1" applyFont="1" applyBorder="1"/>
    <xf numFmtId="0" fontId="19" fillId="39" borderId="19" xfId="0" applyFont="1" applyFill="1" applyBorder="1"/>
    <xf numFmtId="0" fontId="18" fillId="39" borderId="20" xfId="0" applyFont="1" applyFill="1" applyBorder="1"/>
    <xf numFmtId="0" fontId="18" fillId="39" borderId="21" xfId="0" applyFont="1" applyFill="1" applyBorder="1"/>
    <xf numFmtId="167" fontId="18" fillId="0" borderId="10" xfId="0" applyNumberFormat="1" applyFont="1" applyBorder="1"/>
    <xf numFmtId="168" fontId="18" fillId="0" borderId="10" xfId="0" applyNumberFormat="1" applyFont="1" applyBorder="1"/>
    <xf numFmtId="169" fontId="18" fillId="0" borderId="10" xfId="0" applyNumberFormat="1" applyFont="1" applyBorder="1"/>
    <xf numFmtId="3" fontId="19" fillId="34" borderId="10" xfId="0" applyNumberFormat="1" applyFont="1" applyFill="1" applyBorder="1"/>
    <xf numFmtId="4" fontId="19" fillId="34" borderId="10" xfId="0" applyNumberFormat="1" applyFont="1" applyFill="1" applyBorder="1"/>
    <xf numFmtId="0" fontId="18" fillId="0" borderId="24" xfId="0" applyFont="1" applyBorder="1"/>
    <xf numFmtId="0" fontId="19" fillId="0" borderId="0" xfId="0" applyFont="1"/>
    <xf numFmtId="0" fontId="18" fillId="0" borderId="25" xfId="0" applyFont="1" applyBorder="1"/>
    <xf numFmtId="0" fontId="18" fillId="0" borderId="22" xfId="0" applyFont="1" applyBorder="1"/>
    <xf numFmtId="0" fontId="18" fillId="0" borderId="26" xfId="0" applyFont="1" applyBorder="1"/>
    <xf numFmtId="0" fontId="19" fillId="0" borderId="24" xfId="0" applyFont="1" applyBorder="1"/>
    <xf numFmtId="0" fontId="18" fillId="0" borderId="23" xfId="0" applyFont="1" applyBorder="1"/>
    <xf numFmtId="0" fontId="19" fillId="42" borderId="10" xfId="0" applyFont="1" applyFill="1" applyBorder="1" applyAlignment="1">
      <alignment horizontal="center"/>
    </xf>
    <xf numFmtId="10" fontId="18" fillId="42" borderId="10" xfId="0" applyNumberFormat="1" applyFont="1" applyFill="1" applyBorder="1"/>
    <xf numFmtId="0" fontId="18" fillId="42" borderId="10" xfId="0" applyFont="1" applyFill="1" applyBorder="1"/>
    <xf numFmtId="0" fontId="18" fillId="0" borderId="14" xfId="0" applyFont="1" applyBorder="1" applyAlignment="1">
      <alignment vertical="center" wrapText="1"/>
    </xf>
    <xf numFmtId="0" fontId="18" fillId="0" borderId="0" xfId="0" applyFont="1" applyAlignment="1">
      <alignment vertical="center" wrapText="1"/>
    </xf>
    <xf numFmtId="0" fontId="22" fillId="34" borderId="11" xfId="0" applyFont="1" applyFill="1" applyBorder="1" applyAlignment="1">
      <alignment horizontal="center"/>
    </xf>
    <xf numFmtId="0" fontId="22" fillId="34" borderId="12" xfId="0" applyFont="1" applyFill="1" applyBorder="1" applyAlignment="1">
      <alignment horizontal="center"/>
    </xf>
    <xf numFmtId="0" fontId="22" fillId="34" borderId="13" xfId="0" applyFont="1" applyFill="1" applyBorder="1" applyAlignment="1">
      <alignment horizontal="center"/>
    </xf>
    <xf numFmtId="0" fontId="18" fillId="0" borderId="14" xfId="0" applyFont="1" applyBorder="1" applyAlignment="1">
      <alignment horizontal="left" vertical="center" wrapText="1"/>
    </xf>
    <xf numFmtId="0" fontId="18" fillId="0" borderId="0" xfId="0" applyFont="1" applyAlignment="1">
      <alignment horizontal="left" vertical="center" wrapText="1"/>
    </xf>
    <xf numFmtId="0" fontId="19" fillId="34" borderId="10" xfId="0" applyFont="1" applyFill="1" applyBorder="1" applyAlignment="1">
      <alignment horizontal="center" vertical="center"/>
    </xf>
    <xf numFmtId="0" fontId="21" fillId="36" borderId="10" xfId="42" applyFont="1" applyFill="1" applyBorder="1" applyAlignment="1">
      <alignment horizontal="center" vertical="center" wrapText="1"/>
    </xf>
    <xf numFmtId="0" fontId="19" fillId="34" borderId="10" xfId="0" applyFont="1" applyFill="1" applyBorder="1" applyAlignment="1">
      <alignment horizontal="center"/>
    </xf>
    <xf numFmtId="0" fontId="22" fillId="34" borderId="10" xfId="0" applyFont="1" applyFill="1" applyBorder="1" applyAlignment="1">
      <alignment horizontal="center"/>
    </xf>
    <xf numFmtId="0" fontId="22" fillId="40" borderId="10" xfId="0" applyFont="1" applyFill="1" applyBorder="1" applyAlignment="1">
      <alignment horizontal="center"/>
    </xf>
    <xf numFmtId="0" fontId="18" fillId="0" borderId="24" xfId="0" applyFont="1" applyBorder="1" applyAlignment="1">
      <alignment horizontal="left" vertical="center" wrapText="1"/>
    </xf>
    <xf numFmtId="0" fontId="18" fillId="0" borderId="25" xfId="0" applyFont="1" applyBorder="1" applyAlignment="1">
      <alignment horizontal="left" vertical="center" wrapText="1"/>
    </xf>
    <xf numFmtId="0" fontId="18" fillId="0" borderId="24" xfId="0" applyFont="1" applyBorder="1" applyAlignment="1">
      <alignment horizontal="left" wrapText="1"/>
    </xf>
    <xf numFmtId="0" fontId="18" fillId="0" borderId="0" xfId="0" applyFont="1" applyAlignment="1">
      <alignment horizontal="left" wrapText="1"/>
    </xf>
    <xf numFmtId="0" fontId="18" fillId="0" borderId="25" xfId="0" applyFont="1" applyBorder="1" applyAlignment="1">
      <alignment horizontal="left" wrapText="1"/>
    </xf>
    <xf numFmtId="0" fontId="22" fillId="38" borderId="10" xfId="0" applyFont="1" applyFill="1" applyBorder="1" applyAlignment="1">
      <alignment horizontal="center"/>
    </xf>
    <xf numFmtId="0" fontId="22" fillId="41" borderId="10" xfId="0"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3A2ECFA6-7B31-43C5-8659-B8C20078A01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ccilindia.com/documents/d/ccil/Outstanding_Government_Debt%20Rakshitr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F0C8-83C9-45DE-9E20-D2703FEA591D}">
  <dimension ref="A1:A2"/>
  <sheetViews>
    <sheetView showGridLines="0" tabSelected="1" zoomScale="400" zoomScaleNormal="400" workbookViewId="0">
      <selection activeCell="B3" sqref="B3"/>
    </sheetView>
  </sheetViews>
  <sheetFormatPr defaultColWidth="8.73046875" defaultRowHeight="13.15" x14ac:dyDescent="0.4"/>
  <cols>
    <col min="1" max="1" width="14.73046875" style="9" bestFit="1" customWidth="1"/>
    <col min="2" max="16384" width="8.73046875" style="9"/>
  </cols>
  <sheetData>
    <row r="1" spans="1:1" x14ac:dyDescent="0.4">
      <c r="A1" s="8" t="s">
        <v>27</v>
      </c>
    </row>
    <row r="2" spans="1:1" x14ac:dyDescent="0.4">
      <c r="A2" s="2"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F78D0-834B-416E-AE4B-8C7CE7197267}">
  <dimension ref="A1:J16"/>
  <sheetViews>
    <sheetView showGridLines="0" zoomScale="103" workbookViewId="0">
      <selection activeCell="D4" sqref="D4"/>
    </sheetView>
  </sheetViews>
  <sheetFormatPr defaultColWidth="8.73046875" defaultRowHeight="13.15" x14ac:dyDescent="0.4"/>
  <cols>
    <col min="1" max="1" width="39.19921875" style="9" bestFit="1" customWidth="1"/>
    <col min="2" max="2" width="20.46484375" style="9" customWidth="1"/>
    <col min="3" max="3" width="18.19921875" style="9" customWidth="1"/>
    <col min="4" max="4" width="24.9296875" style="9" customWidth="1"/>
    <col min="5" max="5" width="14.73046875" style="9" customWidth="1"/>
    <col min="6" max="7" width="4.46484375" style="9" bestFit="1" customWidth="1"/>
    <col min="8" max="9" width="5.73046875" style="9" bestFit="1" customWidth="1"/>
    <col min="10" max="10" width="16.796875" style="9" customWidth="1"/>
    <col min="11" max="16384" width="8.73046875" style="9"/>
  </cols>
  <sheetData>
    <row r="1" spans="1:10" x14ac:dyDescent="0.4">
      <c r="A1" s="45" t="s">
        <v>12</v>
      </c>
      <c r="B1" s="45"/>
      <c r="C1" s="45"/>
      <c r="D1" s="45"/>
      <c r="E1" s="45"/>
      <c r="F1" s="45"/>
      <c r="G1" s="45"/>
      <c r="H1" s="45"/>
      <c r="I1" s="45"/>
      <c r="J1" s="45"/>
    </row>
    <row r="2" spans="1:10" x14ac:dyDescent="0.4">
      <c r="A2" s="45"/>
      <c r="B2" s="45"/>
      <c r="C2" s="45"/>
      <c r="D2" s="45"/>
      <c r="E2" s="45"/>
      <c r="F2" s="45"/>
      <c r="G2" s="45"/>
      <c r="H2" s="45"/>
      <c r="I2" s="45"/>
      <c r="J2" s="45"/>
    </row>
    <row r="3" spans="1:10" x14ac:dyDescent="0.4">
      <c r="A3" s="6" t="s">
        <v>13</v>
      </c>
      <c r="B3" s="6" t="s">
        <v>15</v>
      </c>
      <c r="C3" s="6" t="s">
        <v>16</v>
      </c>
      <c r="D3" s="6" t="s">
        <v>17</v>
      </c>
      <c r="E3" s="6" t="s">
        <v>18</v>
      </c>
      <c r="F3" s="6" t="s">
        <v>19</v>
      </c>
      <c r="G3" s="6" t="s">
        <v>20</v>
      </c>
      <c r="H3" s="6" t="s">
        <v>21</v>
      </c>
      <c r="I3" s="6" t="s">
        <v>22</v>
      </c>
      <c r="J3" s="6" t="s">
        <v>23</v>
      </c>
    </row>
    <row r="4" spans="1:10" x14ac:dyDescent="0.4">
      <c r="A4" s="2" t="s">
        <v>14</v>
      </c>
      <c r="B4" s="3">
        <v>7.1499999999999994E-2</v>
      </c>
      <c r="C4" s="3">
        <v>6.7400000000000002E-2</v>
      </c>
      <c r="D4" s="7">
        <v>3.6</v>
      </c>
      <c r="E4" s="7">
        <v>4.1399999999999997</v>
      </c>
      <c r="F4" s="7">
        <v>2.14</v>
      </c>
      <c r="G4" s="7">
        <v>4.1500000000000004</v>
      </c>
      <c r="H4" s="7">
        <v>8.5299999999999994</v>
      </c>
      <c r="I4" s="7">
        <v>6.27</v>
      </c>
      <c r="J4" s="7">
        <v>7.01</v>
      </c>
    </row>
    <row r="5" spans="1:10" x14ac:dyDescent="0.4">
      <c r="A5" s="1"/>
      <c r="B5" s="1"/>
      <c r="C5" s="1"/>
      <c r="D5" s="1"/>
      <c r="E5" s="1"/>
      <c r="F5" s="1"/>
      <c r="G5" s="1"/>
      <c r="H5" s="1"/>
      <c r="I5" s="1"/>
      <c r="J5" s="1"/>
    </row>
    <row r="6" spans="1:10" x14ac:dyDescent="0.4">
      <c r="A6" s="1"/>
      <c r="B6" s="1"/>
      <c r="C6" s="1"/>
      <c r="D6" s="1"/>
      <c r="E6" s="1"/>
      <c r="F6" s="1"/>
      <c r="G6" s="1"/>
      <c r="H6" s="1"/>
      <c r="I6" s="1"/>
      <c r="J6" s="1"/>
    </row>
    <row r="7" spans="1:10" x14ac:dyDescent="0.4">
      <c r="A7" s="1"/>
      <c r="B7" s="1"/>
      <c r="C7" s="1"/>
      <c r="D7" s="1"/>
      <c r="E7" s="1"/>
      <c r="F7" s="1"/>
      <c r="G7" s="1"/>
      <c r="H7" s="1"/>
      <c r="I7" s="1"/>
      <c r="J7" s="1"/>
    </row>
    <row r="8" spans="1:10" x14ac:dyDescent="0.4">
      <c r="A8" s="1"/>
      <c r="B8" s="1"/>
      <c r="C8" s="1"/>
      <c r="D8" s="1"/>
      <c r="E8" s="1"/>
      <c r="F8" s="1"/>
      <c r="G8" s="1"/>
      <c r="H8" s="1"/>
      <c r="I8" s="1"/>
      <c r="J8" s="1"/>
    </row>
    <row r="9" spans="1:10" ht="31.05" customHeight="1" x14ac:dyDescent="0.4">
      <c r="A9" s="46" t="s">
        <v>26</v>
      </c>
      <c r="B9" s="46"/>
      <c r="C9" s="46"/>
      <c r="D9" s="1"/>
      <c r="E9" s="1"/>
      <c r="F9" s="1"/>
      <c r="G9" s="1"/>
      <c r="H9" s="1"/>
      <c r="I9" s="1"/>
      <c r="J9" s="1"/>
    </row>
    <row r="10" spans="1:10" x14ac:dyDescent="0.4">
      <c r="A10" s="8" t="s">
        <v>50</v>
      </c>
      <c r="B10" s="8" t="s">
        <v>24</v>
      </c>
      <c r="C10" s="8" t="s">
        <v>25</v>
      </c>
      <c r="D10" s="1"/>
      <c r="E10" s="1"/>
      <c r="F10" s="1"/>
      <c r="G10" s="1"/>
      <c r="H10" s="1"/>
      <c r="I10" s="1"/>
      <c r="J10" s="1"/>
    </row>
    <row r="11" spans="1:10" x14ac:dyDescent="0.4">
      <c r="A11" s="3">
        <v>6.7199999999999996E-2</v>
      </c>
      <c r="B11" s="2">
        <v>3.3534000000000002</v>
      </c>
      <c r="C11" s="2">
        <v>3.2443</v>
      </c>
      <c r="D11" s="1"/>
      <c r="E11" s="1"/>
      <c r="F11" s="1"/>
      <c r="G11" s="1"/>
      <c r="H11" s="1"/>
      <c r="I11" s="1"/>
      <c r="J11" s="1"/>
    </row>
    <row r="12" spans="1:10" x14ac:dyDescent="0.4">
      <c r="A12" s="3">
        <v>6.7299999999999999E-2</v>
      </c>
      <c r="B12" s="2">
        <v>3.7317999999999998</v>
      </c>
      <c r="C12" s="2">
        <v>3.6103000000000001</v>
      </c>
      <c r="D12" s="1"/>
      <c r="E12" s="1"/>
      <c r="F12" s="1"/>
      <c r="G12" s="1"/>
      <c r="H12" s="1"/>
      <c r="I12" s="1"/>
      <c r="J12" s="1"/>
    </row>
    <row r="13" spans="1:10" x14ac:dyDescent="0.4">
      <c r="A13" s="3">
        <v>6.7299999999999999E-2</v>
      </c>
      <c r="B13" s="2">
        <v>3.8603000000000001</v>
      </c>
      <c r="C13" s="2">
        <v>3.7347000000000001</v>
      </c>
      <c r="D13" s="1"/>
      <c r="E13" s="1"/>
      <c r="F13" s="1"/>
      <c r="G13" s="1"/>
      <c r="H13" s="1"/>
      <c r="I13" s="1"/>
      <c r="J13" s="1"/>
    </row>
    <row r="14" spans="1:10" x14ac:dyDescent="0.4">
      <c r="A14" s="1"/>
      <c r="B14" s="1"/>
      <c r="C14" s="1"/>
      <c r="D14" s="1"/>
      <c r="E14" s="1"/>
      <c r="F14" s="1"/>
      <c r="G14" s="1"/>
      <c r="H14" s="1"/>
      <c r="I14" s="1"/>
      <c r="J14" s="1"/>
    </row>
    <row r="15" spans="1:10" x14ac:dyDescent="0.4">
      <c r="A15" s="1"/>
      <c r="B15" s="1"/>
      <c r="C15" s="1"/>
      <c r="D15" s="1"/>
      <c r="E15" s="1"/>
      <c r="F15" s="1"/>
      <c r="G15" s="1"/>
      <c r="H15" s="1"/>
      <c r="I15" s="1"/>
      <c r="J15" s="1"/>
    </row>
    <row r="16" spans="1:10" x14ac:dyDescent="0.4">
      <c r="A16" s="1"/>
      <c r="B16" s="1"/>
      <c r="C16" s="1"/>
      <c r="D16" s="1"/>
      <c r="E16" s="1"/>
      <c r="F16" s="1"/>
      <c r="G16" s="1"/>
      <c r="H16" s="1"/>
      <c r="I16" s="1"/>
      <c r="J16" s="1"/>
    </row>
  </sheetData>
  <mergeCells count="2">
    <mergeCell ref="A1:J2"/>
    <mergeCell ref="A9:C9"/>
  </mergeCells>
  <hyperlinks>
    <hyperlink ref="A9" r:id="rId1" xr:uid="{592B2BE0-F09A-46BF-BD8E-CD250ADD68D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33E3C-7CDE-488E-960E-8AD2300F0622}">
  <dimension ref="A1:O27"/>
  <sheetViews>
    <sheetView showGridLines="0" zoomScale="77" workbookViewId="0">
      <selection activeCell="H3" sqref="H3"/>
    </sheetView>
  </sheetViews>
  <sheetFormatPr defaultColWidth="19.9296875" defaultRowHeight="13.15" x14ac:dyDescent="0.4"/>
  <cols>
    <col min="1" max="1" width="20" style="9" bestFit="1" customWidth="1"/>
    <col min="2" max="2" width="22.53125" style="9" bestFit="1" customWidth="1"/>
    <col min="3" max="3" width="15.46484375" style="9" customWidth="1"/>
    <col min="4" max="4" width="18.9296875" style="9" bestFit="1" customWidth="1"/>
    <col min="5" max="5" width="11.796875" style="9" bestFit="1" customWidth="1"/>
    <col min="6" max="6" width="14.46484375" style="9" bestFit="1" customWidth="1"/>
    <col min="7" max="7" width="12.46484375" style="9" bestFit="1" customWidth="1"/>
    <col min="8" max="8" width="14" style="9" bestFit="1" customWidth="1"/>
    <col min="9" max="9" width="9.53125" style="9" bestFit="1" customWidth="1"/>
    <col min="10" max="10" width="9.33203125" style="9" bestFit="1" customWidth="1"/>
    <col min="11" max="11" width="9.796875" style="9" bestFit="1" customWidth="1"/>
    <col min="12" max="12" width="7.19921875" style="9" bestFit="1" customWidth="1"/>
    <col min="13" max="13" width="7.06640625" style="9" bestFit="1" customWidth="1"/>
    <col min="14" max="14" width="16" style="9" customWidth="1"/>
    <col min="15" max="15" width="19.06640625" style="9" customWidth="1"/>
    <col min="16" max="16384" width="19.9296875" style="9"/>
  </cols>
  <sheetData>
    <row r="1" spans="1:15" ht="17.25" x14ac:dyDescent="0.45">
      <c r="A1" s="48" t="s">
        <v>55</v>
      </c>
      <c r="B1" s="48"/>
      <c r="C1" s="48"/>
      <c r="D1" s="48"/>
      <c r="E1" s="48"/>
      <c r="F1" s="48"/>
      <c r="G1" s="48"/>
      <c r="H1" s="48"/>
      <c r="I1" s="48"/>
      <c r="J1" s="48"/>
      <c r="K1" s="48"/>
      <c r="L1" s="48"/>
      <c r="M1" s="48"/>
      <c r="N1" s="48"/>
      <c r="O1" s="48"/>
    </row>
    <row r="2" spans="1:15" x14ac:dyDescent="0.4">
      <c r="A2" s="6" t="s">
        <v>0</v>
      </c>
      <c r="B2" s="6" t="s">
        <v>1</v>
      </c>
      <c r="C2" s="6" t="s">
        <v>2</v>
      </c>
      <c r="D2" s="6" t="s">
        <v>3</v>
      </c>
      <c r="E2" s="6" t="s">
        <v>2</v>
      </c>
      <c r="F2" s="6" t="s">
        <v>4</v>
      </c>
      <c r="G2" s="6" t="s">
        <v>5</v>
      </c>
      <c r="H2" s="6" t="s">
        <v>6</v>
      </c>
      <c r="I2" s="6" t="s">
        <v>7</v>
      </c>
      <c r="J2" s="6" t="s">
        <v>8</v>
      </c>
      <c r="K2" s="6" t="s">
        <v>91</v>
      </c>
      <c r="L2" s="6" t="s">
        <v>9</v>
      </c>
      <c r="M2" s="35" t="s">
        <v>10</v>
      </c>
      <c r="N2" s="35" t="s">
        <v>11</v>
      </c>
      <c r="O2" s="35" t="s">
        <v>25</v>
      </c>
    </row>
    <row r="3" spans="1:15" x14ac:dyDescent="0.4">
      <c r="A3" s="2" t="s">
        <v>43</v>
      </c>
      <c r="B3" s="4">
        <v>750000000000</v>
      </c>
      <c r="C3" s="2">
        <f>B3/$B$6</f>
        <v>0.23321025325358621</v>
      </c>
      <c r="D3" s="4">
        <f>(B3*J3)/K3</f>
        <v>765975000000</v>
      </c>
      <c r="E3" s="2">
        <f>D3/$D$6</f>
        <v>0.23469155537677458</v>
      </c>
      <c r="F3" s="2">
        <f>AVERAGE(C3,E3)</f>
        <v>0.2339509043151804</v>
      </c>
      <c r="G3" s="5">
        <v>47049</v>
      </c>
      <c r="H3" s="5">
        <v>45657</v>
      </c>
      <c r="I3" s="2">
        <v>2</v>
      </c>
      <c r="J3" s="2">
        <v>102.13</v>
      </c>
      <c r="K3" s="7">
        <v>100</v>
      </c>
      <c r="L3" s="3">
        <v>7.3700000000000002E-2</v>
      </c>
      <c r="M3" s="36">
        <f>YIELD(H3,G3,L3,J3,K3,2,1)</f>
        <v>6.7227434393576063E-2</v>
      </c>
      <c r="N3" s="37">
        <f>DURATION(H3,G3,L3,M3,2,1)</f>
        <v>3.3527358325294441</v>
      </c>
      <c r="O3" s="37">
        <f>MDURATION(H3,G3,L3,M3,2,1)</f>
        <v>3.2437029199092198</v>
      </c>
    </row>
    <row r="4" spans="1:15" x14ac:dyDescent="0.4">
      <c r="A4" s="2" t="s">
        <v>44</v>
      </c>
      <c r="B4" s="4">
        <v>1585982100000</v>
      </c>
      <c r="C4" s="2">
        <f>B4/$B$6</f>
        <v>0.49315638292887265</v>
      </c>
      <c r="D4" s="4">
        <f t="shared" ref="D4:D5" si="0">(B4*J4)/K4</f>
        <v>1607392858350</v>
      </c>
      <c r="E4" s="2">
        <f>D4/$D$6</f>
        <v>0.49249848889021314</v>
      </c>
      <c r="F4" s="2">
        <f t="shared" ref="F4:F5" si="1">AVERAGE(C4,E4)</f>
        <v>0.49282743590954292</v>
      </c>
      <c r="G4" s="5">
        <v>47226</v>
      </c>
      <c r="H4" s="5">
        <v>45657</v>
      </c>
      <c r="I4" s="2">
        <v>2</v>
      </c>
      <c r="J4" s="2">
        <v>101.35</v>
      </c>
      <c r="K4" s="7">
        <v>100</v>
      </c>
      <c r="L4" s="3">
        <v>7.0999999999999994E-2</v>
      </c>
      <c r="M4" s="36">
        <f t="shared" ref="M4:M5" si="2">YIELD(H4,G4,L4,J4,K4,2,1)</f>
        <v>6.7291287456307122E-2</v>
      </c>
      <c r="N4" s="37">
        <f t="shared" ref="N4:N5" si="3">DURATION(H4,G4,L4,M4,2,1)</f>
        <v>3.7312634318893818</v>
      </c>
      <c r="O4" s="37">
        <f t="shared" ref="O4:O5" si="4">MDURATION(H4,G4,L4,M4,2,1)</f>
        <v>3.6098090816031103</v>
      </c>
    </row>
    <row r="5" spans="1:15" x14ac:dyDescent="0.4">
      <c r="A5" s="2" t="s">
        <v>45</v>
      </c>
      <c r="B5" s="4">
        <v>880000000000</v>
      </c>
      <c r="C5" s="2">
        <f>B5/$B$6</f>
        <v>0.27363336381754116</v>
      </c>
      <c r="D5" s="4">
        <f t="shared" si="0"/>
        <v>890384000000</v>
      </c>
      <c r="E5" s="2">
        <f>D5/$D$6</f>
        <v>0.27280995573301225</v>
      </c>
      <c r="F5" s="2">
        <f t="shared" si="1"/>
        <v>0.27322165977527668</v>
      </c>
      <c r="G5" s="5">
        <v>47272</v>
      </c>
      <c r="H5" s="5">
        <v>45657</v>
      </c>
      <c r="I5" s="2">
        <v>2</v>
      </c>
      <c r="J5" s="2">
        <v>101.18</v>
      </c>
      <c r="K5" s="7">
        <v>100</v>
      </c>
      <c r="L5" s="3">
        <v>7.0400000000000004E-2</v>
      </c>
      <c r="M5" s="36">
        <f t="shared" si="2"/>
        <v>6.7251450728078033E-2</v>
      </c>
      <c r="N5" s="37">
        <f t="shared" si="3"/>
        <v>3.8611934942515087</v>
      </c>
      <c r="O5" s="37">
        <f t="shared" si="4"/>
        <v>3.7355818450548055</v>
      </c>
    </row>
    <row r="6" spans="1:15" x14ac:dyDescent="0.4">
      <c r="A6" s="28"/>
      <c r="B6" s="27">
        <f>SUM(B3:B5)</f>
        <v>3215982100000</v>
      </c>
      <c r="C6" s="29"/>
      <c r="D6" s="26">
        <f>SUM(D3:D5)</f>
        <v>3263751858350</v>
      </c>
      <c r="E6" s="29"/>
      <c r="F6" s="29"/>
      <c r="G6" s="1"/>
      <c r="H6" s="1"/>
      <c r="I6" s="1"/>
      <c r="J6" s="1"/>
      <c r="K6" s="1"/>
      <c r="L6" s="1"/>
      <c r="M6" s="1"/>
      <c r="N6" s="1"/>
      <c r="O6" s="30"/>
    </row>
    <row r="7" spans="1:15" x14ac:dyDescent="0.4">
      <c r="A7" s="28"/>
      <c r="B7" s="1"/>
      <c r="C7" s="1"/>
      <c r="D7" s="1"/>
      <c r="E7" s="1"/>
      <c r="F7" s="1"/>
      <c r="G7" s="1"/>
      <c r="H7" s="1"/>
      <c r="I7" s="1"/>
      <c r="J7" s="1"/>
      <c r="K7" s="1"/>
      <c r="L7" s="1"/>
      <c r="M7" s="1"/>
      <c r="N7" s="1"/>
      <c r="O7" s="30"/>
    </row>
    <row r="8" spans="1:15" x14ac:dyDescent="0.4">
      <c r="A8" s="28"/>
      <c r="B8" s="1"/>
      <c r="C8" s="1"/>
      <c r="D8" s="1"/>
      <c r="E8" s="1"/>
      <c r="F8" s="1"/>
      <c r="G8" s="1"/>
      <c r="H8" s="1"/>
      <c r="I8" s="1"/>
      <c r="J8" s="1"/>
      <c r="K8" s="1"/>
      <c r="L8" s="1"/>
      <c r="M8" s="1"/>
      <c r="N8" s="1"/>
      <c r="O8" s="30"/>
    </row>
    <row r="9" spans="1:15" x14ac:dyDescent="0.4">
      <c r="A9" s="47" t="s">
        <v>39</v>
      </c>
      <c r="B9" s="47"/>
      <c r="C9" s="47"/>
      <c r="D9" s="47"/>
      <c r="E9" s="1"/>
      <c r="F9" s="1"/>
      <c r="G9" s="1"/>
      <c r="H9" s="1"/>
      <c r="I9" s="1"/>
      <c r="J9" s="1"/>
      <c r="K9" s="1"/>
      <c r="L9" s="1"/>
      <c r="M9" s="1"/>
      <c r="N9" s="1"/>
      <c r="O9" s="30"/>
    </row>
    <row r="10" spans="1:15" x14ac:dyDescent="0.4">
      <c r="A10" s="16" t="s">
        <v>40</v>
      </c>
      <c r="B10" s="16" t="s">
        <v>41</v>
      </c>
      <c r="C10" s="16" t="s">
        <v>42</v>
      </c>
      <c r="D10" s="16" t="s">
        <v>54</v>
      </c>
      <c r="E10" s="1"/>
      <c r="F10" s="1"/>
      <c r="G10" s="1"/>
      <c r="H10" s="1"/>
      <c r="I10" s="1"/>
      <c r="J10" s="1"/>
      <c r="K10" s="1"/>
      <c r="L10" s="1"/>
      <c r="M10" s="1"/>
      <c r="N10" s="1"/>
      <c r="O10" s="30"/>
    </row>
    <row r="11" spans="1:15" x14ac:dyDescent="0.4">
      <c r="A11" s="20" t="s">
        <v>51</v>
      </c>
      <c r="B11" s="21"/>
      <c r="C11" s="21"/>
      <c r="D11" s="22"/>
      <c r="E11" s="1"/>
      <c r="F11" s="1"/>
      <c r="G11" s="1"/>
      <c r="H11" s="1"/>
      <c r="I11" s="1"/>
      <c r="J11" s="1"/>
      <c r="K11" s="1"/>
      <c r="L11" s="1"/>
      <c r="M11" s="1"/>
      <c r="N11" s="1"/>
      <c r="O11" s="30"/>
    </row>
    <row r="12" spans="1:15" x14ac:dyDescent="0.4">
      <c r="A12" s="2" t="s">
        <v>47</v>
      </c>
      <c r="B12" s="23">
        <f>M3</f>
        <v>6.7227434393576063E-2</v>
      </c>
      <c r="C12" s="23">
        <f>'NSE Factsheet Details'!A11</f>
        <v>6.7199999999999996E-2</v>
      </c>
      <c r="D12" s="23">
        <f>B12-C12</f>
        <v>2.7434393576067362E-5</v>
      </c>
      <c r="E12" s="1"/>
      <c r="F12" s="1"/>
      <c r="G12" s="1"/>
      <c r="H12" s="1"/>
      <c r="I12" s="1"/>
      <c r="J12" s="1"/>
      <c r="K12" s="1"/>
      <c r="L12" s="1"/>
      <c r="M12" s="1"/>
      <c r="N12" s="1"/>
      <c r="O12" s="30"/>
    </row>
    <row r="13" spans="1:15" x14ac:dyDescent="0.4">
      <c r="A13" s="2" t="s">
        <v>48</v>
      </c>
      <c r="B13" s="23">
        <f t="shared" ref="B13:B14" si="5">M4</f>
        <v>6.7291287456307122E-2</v>
      </c>
      <c r="C13" s="23">
        <f>'NSE Factsheet Details'!A12</f>
        <v>6.7299999999999999E-2</v>
      </c>
      <c r="D13" s="23">
        <f t="shared" ref="D13:D14" si="6">B13-C13</f>
        <v>-8.7125436928764399E-6</v>
      </c>
      <c r="E13" s="1"/>
      <c r="F13" s="1"/>
      <c r="G13" s="1"/>
      <c r="H13" s="1"/>
      <c r="I13" s="1"/>
      <c r="J13" s="1"/>
      <c r="K13" s="1"/>
      <c r="L13" s="1"/>
      <c r="M13" s="1"/>
      <c r="N13" s="1"/>
      <c r="O13" s="30"/>
    </row>
    <row r="14" spans="1:15" x14ac:dyDescent="0.4">
      <c r="A14" s="2" t="s">
        <v>49</v>
      </c>
      <c r="B14" s="23">
        <f t="shared" si="5"/>
        <v>6.7251450728078033E-2</v>
      </c>
      <c r="C14" s="23">
        <f>'NSE Factsheet Details'!A13</f>
        <v>6.7299999999999999E-2</v>
      </c>
      <c r="D14" s="23">
        <f t="shared" si="6"/>
        <v>-4.8549271921966008E-5</v>
      </c>
      <c r="E14" s="1"/>
      <c r="F14" s="1"/>
      <c r="G14" s="1"/>
      <c r="H14" s="1"/>
      <c r="I14" s="1"/>
      <c r="J14" s="1"/>
      <c r="K14" s="1"/>
      <c r="L14" s="1"/>
      <c r="M14" s="1"/>
      <c r="N14" s="1"/>
      <c r="O14" s="30"/>
    </row>
    <row r="15" spans="1:15" x14ac:dyDescent="0.4">
      <c r="A15" s="20" t="s">
        <v>46</v>
      </c>
      <c r="B15" s="21"/>
      <c r="C15" s="21"/>
      <c r="D15" s="22"/>
      <c r="E15" s="1"/>
      <c r="F15" s="1"/>
      <c r="G15" s="1"/>
      <c r="H15" s="1"/>
      <c r="I15" s="1"/>
      <c r="J15" s="1"/>
      <c r="K15" s="1"/>
      <c r="L15" s="1"/>
      <c r="M15" s="1"/>
      <c r="N15" s="1"/>
      <c r="O15" s="30"/>
    </row>
    <row r="16" spans="1:15" x14ac:dyDescent="0.4">
      <c r="A16" s="2" t="s">
        <v>47</v>
      </c>
      <c r="B16" s="2">
        <f>N3</f>
        <v>3.3527358325294441</v>
      </c>
      <c r="C16" s="2">
        <f>'NSE Factsheet Details'!B11</f>
        <v>3.3534000000000002</v>
      </c>
      <c r="D16" s="18">
        <f>B16-C16</f>
        <v>-6.6416747055608738E-4</v>
      </c>
      <c r="E16" s="1"/>
      <c r="F16" s="1"/>
      <c r="G16" s="1"/>
      <c r="H16" s="1"/>
      <c r="I16" s="1"/>
      <c r="J16" s="1"/>
      <c r="K16" s="1"/>
      <c r="L16" s="1"/>
      <c r="M16" s="1"/>
      <c r="N16" s="1"/>
      <c r="O16" s="30"/>
    </row>
    <row r="17" spans="1:15" x14ac:dyDescent="0.4">
      <c r="A17" s="2" t="s">
        <v>48</v>
      </c>
      <c r="B17" s="2">
        <f t="shared" ref="B17:B18" si="7">N4</f>
        <v>3.7312634318893818</v>
      </c>
      <c r="C17" s="2">
        <f>'NSE Factsheet Details'!B12</f>
        <v>3.7317999999999998</v>
      </c>
      <c r="D17" s="18">
        <f t="shared" ref="D17:D18" si="8">B17-C17</f>
        <v>-5.3656811061797427E-4</v>
      </c>
      <c r="E17" s="1"/>
      <c r="F17" s="1"/>
      <c r="G17" s="1"/>
      <c r="H17" s="1"/>
      <c r="I17" s="1"/>
      <c r="J17" s="1"/>
      <c r="K17" s="1"/>
      <c r="L17" s="1"/>
      <c r="M17" s="1"/>
      <c r="N17" s="1"/>
      <c r="O17" s="30"/>
    </row>
    <row r="18" spans="1:15" x14ac:dyDescent="0.4">
      <c r="A18" s="2" t="s">
        <v>49</v>
      </c>
      <c r="B18" s="2">
        <f t="shared" si="7"/>
        <v>3.8611934942515087</v>
      </c>
      <c r="C18" s="2">
        <f>'NSE Factsheet Details'!B13</f>
        <v>3.8603000000000001</v>
      </c>
      <c r="D18" s="18">
        <f t="shared" si="8"/>
        <v>8.9349425150864192E-4</v>
      </c>
      <c r="E18" s="1"/>
      <c r="F18" s="1"/>
      <c r="G18" s="1"/>
      <c r="H18" s="1"/>
      <c r="I18" s="1"/>
      <c r="J18" s="1"/>
      <c r="K18" s="1"/>
      <c r="L18" s="1"/>
      <c r="M18" s="1"/>
      <c r="N18" s="1"/>
      <c r="O18" s="30"/>
    </row>
    <row r="19" spans="1:15" x14ac:dyDescent="0.4">
      <c r="A19" s="20" t="s">
        <v>52</v>
      </c>
      <c r="B19" s="21"/>
      <c r="C19" s="21"/>
      <c r="D19" s="22"/>
      <c r="E19" s="1"/>
      <c r="F19" s="1"/>
      <c r="G19" s="1"/>
      <c r="H19" s="1"/>
      <c r="I19" s="1"/>
      <c r="J19" s="1"/>
      <c r="K19" s="1"/>
      <c r="L19" s="1"/>
      <c r="M19" s="1"/>
      <c r="N19" s="1"/>
      <c r="O19" s="30"/>
    </row>
    <row r="20" spans="1:15" x14ac:dyDescent="0.4">
      <c r="A20" s="2" t="s">
        <v>47</v>
      </c>
      <c r="B20" s="2">
        <f>O3</f>
        <v>3.2437029199092198</v>
      </c>
      <c r="C20" s="2">
        <f>'NSE Factsheet Details'!C11</f>
        <v>3.2443</v>
      </c>
      <c r="D20" s="17">
        <f>B20-C20</f>
        <v>-5.9708009078018875E-4</v>
      </c>
      <c r="E20" s="1"/>
      <c r="F20" s="1"/>
      <c r="G20" s="1"/>
      <c r="H20" s="1"/>
      <c r="I20" s="1"/>
      <c r="J20" s="1"/>
      <c r="K20" s="1"/>
      <c r="L20" s="1"/>
      <c r="M20" s="1"/>
      <c r="N20" s="1"/>
      <c r="O20" s="30"/>
    </row>
    <row r="21" spans="1:15" x14ac:dyDescent="0.4">
      <c r="A21" s="2" t="s">
        <v>48</v>
      </c>
      <c r="B21" s="2">
        <f t="shared" ref="B21:B22" si="9">O4</f>
        <v>3.6098090816031103</v>
      </c>
      <c r="C21" s="2">
        <f>'NSE Factsheet Details'!C12</f>
        <v>3.6103000000000001</v>
      </c>
      <c r="D21" s="17">
        <f t="shared" ref="D21:D22" si="10">B21-C21</f>
        <v>-4.9091839688975014E-4</v>
      </c>
      <c r="E21" s="1"/>
      <c r="F21" s="1"/>
      <c r="G21" s="1"/>
      <c r="H21" s="1"/>
      <c r="I21" s="1"/>
      <c r="J21" s="1"/>
      <c r="K21" s="1"/>
      <c r="L21" s="1"/>
      <c r="M21" s="1"/>
      <c r="N21" s="1"/>
      <c r="O21" s="30"/>
    </row>
    <row r="22" spans="1:15" x14ac:dyDescent="0.4">
      <c r="A22" s="2" t="s">
        <v>49</v>
      </c>
      <c r="B22" s="2">
        <f t="shared" si="9"/>
        <v>3.7355818450548055</v>
      </c>
      <c r="C22" s="2">
        <f>'NSE Factsheet Details'!C13</f>
        <v>3.7347000000000001</v>
      </c>
      <c r="D22" s="17">
        <f t="shared" si="10"/>
        <v>8.8184505480537467E-4</v>
      </c>
      <c r="E22" s="1"/>
      <c r="F22" s="1"/>
      <c r="G22" s="1"/>
      <c r="H22" s="1"/>
      <c r="I22" s="1"/>
      <c r="J22" s="1"/>
      <c r="K22" s="1"/>
      <c r="L22" s="1"/>
      <c r="M22" s="1"/>
      <c r="N22" s="1"/>
      <c r="O22" s="30"/>
    </row>
    <row r="23" spans="1:15" x14ac:dyDescent="0.4">
      <c r="A23" s="20" t="s">
        <v>53</v>
      </c>
      <c r="B23" s="21"/>
      <c r="C23" s="21"/>
      <c r="D23" s="22"/>
      <c r="E23" s="1"/>
      <c r="F23" s="1"/>
      <c r="G23" s="1"/>
      <c r="H23" s="1"/>
      <c r="I23" s="1"/>
      <c r="J23" s="1"/>
      <c r="K23" s="1"/>
      <c r="L23" s="1"/>
      <c r="M23" s="1"/>
      <c r="N23" s="1"/>
      <c r="O23" s="30"/>
    </row>
    <row r="24" spans="1:15" x14ac:dyDescent="0.4">
      <c r="A24" s="2" t="s">
        <v>50</v>
      </c>
      <c r="B24" s="23">
        <f>($F$3*M3)+($F$4*M4)+($F$5*M5)</f>
        <v>6.7265464717531129E-2</v>
      </c>
      <c r="C24" s="19">
        <f>'NSE Factsheet Details'!C4</f>
        <v>6.7400000000000002E-2</v>
      </c>
      <c r="D24" s="23">
        <f>B24-C24</f>
        <v>-1.3453528246887281E-4</v>
      </c>
      <c r="E24" s="1"/>
      <c r="F24" s="1"/>
      <c r="G24" s="1"/>
      <c r="H24" s="1"/>
      <c r="I24" s="1"/>
      <c r="J24" s="1"/>
      <c r="K24" s="1"/>
      <c r="L24" s="1"/>
      <c r="M24" s="1"/>
      <c r="N24" s="1"/>
      <c r="O24" s="30"/>
    </row>
    <row r="25" spans="1:15" x14ac:dyDescent="0.4">
      <c r="A25" s="2" t="s">
        <v>9</v>
      </c>
      <c r="B25" s="23">
        <f>($F$3*L3)+($F$4*L4)+($F$5*L5)</f>
        <v>7.1467734445785816E-2</v>
      </c>
      <c r="C25" s="19">
        <f>'NSE Factsheet Details'!B4</f>
        <v>7.1499999999999994E-2</v>
      </c>
      <c r="D25" s="23">
        <f>B25-C25</f>
        <v>-3.2265554214178094E-5</v>
      </c>
      <c r="E25" s="1"/>
      <c r="F25" s="1"/>
      <c r="G25" s="1"/>
      <c r="H25" s="1"/>
      <c r="I25" s="1"/>
      <c r="J25" s="1"/>
      <c r="K25" s="1"/>
      <c r="L25" s="1"/>
      <c r="M25" s="1"/>
      <c r="N25" s="1"/>
      <c r="O25" s="30"/>
    </row>
    <row r="26" spans="1:15" x14ac:dyDescent="0.4">
      <c r="A26" s="2" t="s">
        <v>24</v>
      </c>
      <c r="B26" s="24">
        <f>AVERAGE(N3:N5)</f>
        <v>3.6483975862234446</v>
      </c>
      <c r="C26" s="18">
        <f>AVERAGE('NSE Factsheet Details'!B11:B13)</f>
        <v>3.6485000000000003</v>
      </c>
      <c r="D26" s="25">
        <f>B26-C26</f>
        <v>-1.0241377655573203E-4</v>
      </c>
      <c r="E26" s="1"/>
      <c r="F26" s="1"/>
      <c r="G26" s="1"/>
      <c r="H26" s="1"/>
      <c r="I26" s="1"/>
      <c r="J26" s="1"/>
      <c r="K26" s="1"/>
      <c r="L26" s="1"/>
      <c r="M26" s="1"/>
      <c r="N26" s="1"/>
      <c r="O26" s="30"/>
    </row>
    <row r="27" spans="1:15" x14ac:dyDescent="0.4">
      <c r="A27" s="2" t="s">
        <v>25</v>
      </c>
      <c r="B27" s="24">
        <f>($F$3*O3)+($F$4*O4)+($F$5*O5)</f>
        <v>3.55852205718426</v>
      </c>
      <c r="C27" s="18">
        <f>'NSE Factsheet Details'!D4</f>
        <v>3.6</v>
      </c>
      <c r="D27" s="25">
        <f t="shared" ref="D27" si="11">B27-C27</f>
        <v>-4.1477942815740132E-2</v>
      </c>
      <c r="E27" s="31"/>
      <c r="F27" s="31"/>
      <c r="G27" s="31"/>
      <c r="H27" s="31"/>
      <c r="I27" s="31"/>
      <c r="J27" s="31"/>
      <c r="K27" s="31"/>
      <c r="L27" s="31"/>
      <c r="M27" s="31"/>
      <c r="N27" s="31"/>
      <c r="O27" s="32"/>
    </row>
  </sheetData>
  <mergeCells count="2">
    <mergeCell ref="A9:D9"/>
    <mergeCell ref="A1:O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05B75-1EFC-49AF-ADBB-8F3E2745A51A}">
  <dimension ref="A1:M16"/>
  <sheetViews>
    <sheetView showGridLines="0" zoomScale="134" zoomScaleNormal="100" workbookViewId="0">
      <selection activeCell="O23" sqref="O23"/>
    </sheetView>
  </sheetViews>
  <sheetFormatPr defaultColWidth="8.73046875" defaultRowHeight="13.15" x14ac:dyDescent="0.4"/>
  <cols>
    <col min="1" max="16384" width="8.73046875" style="9"/>
  </cols>
  <sheetData>
    <row r="1" spans="1:13" ht="17.25" x14ac:dyDescent="0.45">
      <c r="A1" s="49" t="s">
        <v>56</v>
      </c>
      <c r="B1" s="49"/>
      <c r="C1" s="49"/>
      <c r="D1" s="49"/>
      <c r="E1" s="49"/>
      <c r="F1" s="49"/>
      <c r="G1" s="49"/>
      <c r="H1" s="49"/>
      <c r="I1" s="49"/>
      <c r="J1" s="49"/>
      <c r="K1" s="49"/>
      <c r="L1" s="49"/>
      <c r="M1" s="49"/>
    </row>
    <row r="2" spans="1:13" x14ac:dyDescent="0.4">
      <c r="A2" s="28"/>
      <c r="B2" s="1"/>
      <c r="C2" s="1"/>
      <c r="D2" s="1"/>
      <c r="E2" s="1"/>
      <c r="F2" s="1"/>
      <c r="G2" s="1"/>
      <c r="H2" s="1"/>
      <c r="I2" s="1"/>
      <c r="J2" s="1"/>
      <c r="K2" s="1"/>
      <c r="L2" s="1"/>
      <c r="M2" s="30"/>
    </row>
    <row r="3" spans="1:13" x14ac:dyDescent="0.4">
      <c r="A3" s="33" t="s">
        <v>60</v>
      </c>
      <c r="B3" s="1"/>
      <c r="C3" s="1"/>
      <c r="D3" s="1"/>
      <c r="E3" s="1"/>
      <c r="F3" s="1"/>
      <c r="G3" s="1"/>
      <c r="H3" s="1"/>
      <c r="I3" s="1"/>
      <c r="J3" s="1"/>
      <c r="K3" s="1"/>
      <c r="L3" s="1"/>
      <c r="M3" s="30"/>
    </row>
    <row r="4" spans="1:13" x14ac:dyDescent="0.4">
      <c r="A4" s="33"/>
      <c r="B4" s="1"/>
      <c r="C4" s="1"/>
      <c r="D4" s="1"/>
      <c r="E4" s="1"/>
      <c r="F4" s="1"/>
      <c r="G4" s="1"/>
      <c r="H4" s="1"/>
      <c r="I4" s="1"/>
      <c r="J4" s="1"/>
      <c r="K4" s="1"/>
      <c r="L4" s="1"/>
      <c r="M4" s="30"/>
    </row>
    <row r="5" spans="1:13" x14ac:dyDescent="0.4">
      <c r="A5" s="33" t="s">
        <v>57</v>
      </c>
      <c r="B5" s="1"/>
      <c r="C5" s="1"/>
      <c r="D5" s="1"/>
      <c r="E5" s="1"/>
      <c r="F5" s="1"/>
      <c r="G5" s="1"/>
      <c r="H5" s="1"/>
      <c r="I5" s="1"/>
      <c r="J5" s="1"/>
      <c r="K5" s="1"/>
      <c r="L5" s="1"/>
      <c r="M5" s="30"/>
    </row>
    <row r="6" spans="1:13" ht="21.5" customHeight="1" x14ac:dyDescent="0.4">
      <c r="A6" s="50" t="s">
        <v>58</v>
      </c>
      <c r="B6" s="44"/>
      <c r="C6" s="44"/>
      <c r="D6" s="44"/>
      <c r="E6" s="44"/>
      <c r="F6" s="44"/>
      <c r="G6" s="44"/>
      <c r="H6" s="44"/>
      <c r="I6" s="44"/>
      <c r="J6" s="44"/>
      <c r="K6" s="44"/>
      <c r="L6" s="44"/>
      <c r="M6" s="51"/>
    </row>
    <row r="7" spans="1:13" ht="20.55" customHeight="1" x14ac:dyDescent="0.4">
      <c r="A7" s="50"/>
      <c r="B7" s="44"/>
      <c r="C7" s="44"/>
      <c r="D7" s="44"/>
      <c r="E7" s="44"/>
      <c r="F7" s="44"/>
      <c r="G7" s="44"/>
      <c r="H7" s="44"/>
      <c r="I7" s="44"/>
      <c r="J7" s="44"/>
      <c r="K7" s="44"/>
      <c r="L7" s="44"/>
      <c r="M7" s="51"/>
    </row>
    <row r="8" spans="1:13" x14ac:dyDescent="0.4">
      <c r="A8" s="28"/>
      <c r="B8" s="1"/>
      <c r="C8" s="1"/>
      <c r="D8" s="1"/>
      <c r="E8" s="1"/>
      <c r="F8" s="1"/>
      <c r="G8" s="1"/>
      <c r="H8" s="1"/>
      <c r="I8" s="1"/>
      <c r="J8" s="1"/>
      <c r="K8" s="1"/>
      <c r="L8" s="1"/>
      <c r="M8" s="30"/>
    </row>
    <row r="9" spans="1:13" x14ac:dyDescent="0.4">
      <c r="A9" s="28" t="s">
        <v>61</v>
      </c>
      <c r="B9" s="1"/>
      <c r="C9" s="1"/>
      <c r="D9" s="1"/>
      <c r="E9" s="1"/>
      <c r="F9" s="1"/>
      <c r="G9" s="1"/>
      <c r="H9" s="1"/>
      <c r="I9" s="1"/>
      <c r="J9" s="1"/>
      <c r="K9" s="1"/>
      <c r="L9" s="1"/>
      <c r="M9" s="30"/>
    </row>
    <row r="10" spans="1:13" x14ac:dyDescent="0.4">
      <c r="A10" s="28" t="s">
        <v>62</v>
      </c>
      <c r="B10" s="1"/>
      <c r="C10" s="1"/>
      <c r="D10" s="1"/>
      <c r="E10" s="1"/>
      <c r="F10" s="1"/>
      <c r="G10" s="1"/>
      <c r="H10" s="1"/>
      <c r="I10" s="1"/>
      <c r="J10" s="1"/>
      <c r="K10" s="1"/>
      <c r="L10" s="1"/>
      <c r="M10" s="30"/>
    </row>
    <row r="11" spans="1:13" x14ac:dyDescent="0.4">
      <c r="A11" s="28"/>
      <c r="B11" s="1"/>
      <c r="C11" s="1"/>
      <c r="D11" s="1"/>
      <c r="E11" s="1"/>
      <c r="F11" s="1"/>
      <c r="G11" s="1"/>
      <c r="H11" s="1"/>
      <c r="I11" s="1"/>
      <c r="J11" s="1"/>
      <c r="K11" s="1"/>
      <c r="L11" s="1"/>
      <c r="M11" s="30"/>
    </row>
    <row r="12" spans="1:13" x14ac:dyDescent="0.4">
      <c r="A12" s="52" t="s">
        <v>90</v>
      </c>
      <c r="B12" s="53"/>
      <c r="C12" s="53"/>
      <c r="D12" s="53"/>
      <c r="E12" s="53"/>
      <c r="F12" s="53"/>
      <c r="G12" s="53"/>
      <c r="H12" s="53"/>
      <c r="I12" s="53"/>
      <c r="J12" s="53"/>
      <c r="K12" s="53"/>
      <c r="L12" s="53"/>
      <c r="M12" s="54"/>
    </row>
    <row r="13" spans="1:13" x14ac:dyDescent="0.4">
      <c r="A13" s="52"/>
      <c r="B13" s="53"/>
      <c r="C13" s="53"/>
      <c r="D13" s="53"/>
      <c r="E13" s="53"/>
      <c r="F13" s="53"/>
      <c r="G13" s="53"/>
      <c r="H13" s="53"/>
      <c r="I13" s="53"/>
      <c r="J13" s="53"/>
      <c r="K13" s="53"/>
      <c r="L13" s="53"/>
      <c r="M13" s="54"/>
    </row>
    <row r="14" spans="1:13" x14ac:dyDescent="0.4">
      <c r="A14" s="28"/>
      <c r="B14" s="1"/>
      <c r="C14" s="1"/>
      <c r="D14" s="1"/>
      <c r="E14" s="1"/>
      <c r="F14" s="1"/>
      <c r="G14" s="1"/>
      <c r="H14" s="1"/>
      <c r="I14" s="1"/>
      <c r="J14" s="1"/>
      <c r="K14" s="1"/>
      <c r="L14" s="1"/>
      <c r="M14" s="30"/>
    </row>
    <row r="15" spans="1:13" x14ac:dyDescent="0.4">
      <c r="A15" s="28" t="s">
        <v>59</v>
      </c>
      <c r="B15" s="1"/>
      <c r="C15" s="1"/>
      <c r="D15" s="1"/>
      <c r="E15" s="1"/>
      <c r="F15" s="1"/>
      <c r="G15" s="1"/>
      <c r="H15" s="1"/>
      <c r="I15" s="1"/>
      <c r="J15" s="1"/>
      <c r="K15" s="1"/>
      <c r="L15" s="1"/>
      <c r="M15" s="30"/>
    </row>
    <row r="16" spans="1:13" x14ac:dyDescent="0.4">
      <c r="A16" s="34"/>
      <c r="B16" s="31"/>
      <c r="C16" s="31"/>
      <c r="D16" s="31"/>
      <c r="E16" s="31"/>
      <c r="F16" s="31"/>
      <c r="G16" s="31"/>
      <c r="H16" s="31"/>
      <c r="I16" s="31"/>
      <c r="J16" s="31"/>
      <c r="K16" s="31"/>
      <c r="L16" s="31"/>
      <c r="M16" s="32"/>
    </row>
  </sheetData>
  <mergeCells count="3">
    <mergeCell ref="A1:M1"/>
    <mergeCell ref="A6:M7"/>
    <mergeCell ref="A12:M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0210-F5AC-4FB7-9213-7E89F170C905}">
  <dimension ref="A1:M28"/>
  <sheetViews>
    <sheetView showGridLines="0" zoomScale="121" workbookViewId="0">
      <selection activeCell="Q31" sqref="Q31"/>
    </sheetView>
  </sheetViews>
  <sheetFormatPr defaultColWidth="8.73046875" defaultRowHeight="13.15" x14ac:dyDescent="0.4"/>
  <cols>
    <col min="1" max="16384" width="8.73046875" style="9"/>
  </cols>
  <sheetData>
    <row r="1" spans="1:13" ht="17.25" x14ac:dyDescent="0.45">
      <c r="A1" s="55" t="s">
        <v>56</v>
      </c>
      <c r="B1" s="55"/>
      <c r="C1" s="55"/>
      <c r="D1" s="55"/>
      <c r="E1" s="55"/>
      <c r="F1" s="55"/>
      <c r="G1" s="55"/>
      <c r="H1" s="55"/>
      <c r="I1" s="55"/>
      <c r="J1" s="55"/>
      <c r="K1" s="55"/>
      <c r="L1" s="55"/>
      <c r="M1" s="55"/>
    </row>
    <row r="2" spans="1:13" x14ac:dyDescent="0.4">
      <c r="A2" s="28"/>
      <c r="B2" s="1"/>
      <c r="C2" s="1"/>
      <c r="D2" s="1"/>
      <c r="E2" s="1"/>
      <c r="F2" s="1"/>
      <c r="G2" s="1"/>
      <c r="H2" s="1"/>
      <c r="I2" s="1"/>
      <c r="J2" s="1"/>
      <c r="K2" s="1"/>
      <c r="L2" s="1"/>
      <c r="M2" s="30"/>
    </row>
    <row r="3" spans="1:13" x14ac:dyDescent="0.4">
      <c r="A3" s="33" t="s">
        <v>63</v>
      </c>
      <c r="B3" s="1"/>
      <c r="C3" s="1"/>
      <c r="D3" s="1"/>
      <c r="E3" s="1"/>
      <c r="F3" s="1"/>
      <c r="G3" s="1"/>
      <c r="H3" s="1"/>
      <c r="I3" s="1"/>
      <c r="J3" s="1"/>
      <c r="K3" s="1"/>
      <c r="L3" s="1"/>
      <c r="M3" s="30"/>
    </row>
    <row r="4" spans="1:13" x14ac:dyDescent="0.4">
      <c r="A4" s="33"/>
      <c r="B4" s="1"/>
      <c r="C4" s="1"/>
      <c r="D4" s="1"/>
      <c r="E4" s="1"/>
      <c r="F4" s="1"/>
      <c r="G4" s="1"/>
      <c r="H4" s="1"/>
      <c r="I4" s="1"/>
      <c r="J4" s="1"/>
      <c r="K4" s="1"/>
      <c r="L4" s="1"/>
      <c r="M4" s="30"/>
    </row>
    <row r="5" spans="1:13" x14ac:dyDescent="0.4">
      <c r="A5" s="33" t="s">
        <v>64</v>
      </c>
      <c r="B5" s="1"/>
      <c r="C5" s="1"/>
      <c r="D5" s="1"/>
      <c r="E5" s="1"/>
      <c r="F5" s="1"/>
      <c r="G5" s="1"/>
      <c r="H5" s="1"/>
      <c r="I5" s="1"/>
      <c r="J5" s="1"/>
      <c r="K5" s="1"/>
      <c r="L5" s="1"/>
      <c r="M5" s="30"/>
    </row>
    <row r="6" spans="1:13" x14ac:dyDescent="0.4">
      <c r="A6" s="28" t="s">
        <v>69</v>
      </c>
      <c r="B6" s="1"/>
      <c r="C6" s="1"/>
      <c r="D6" s="1"/>
      <c r="E6" s="1"/>
      <c r="F6" s="1"/>
      <c r="G6" s="1"/>
      <c r="H6" s="1"/>
      <c r="I6" s="1"/>
      <c r="J6" s="1"/>
      <c r="K6" s="1"/>
      <c r="L6" s="1"/>
      <c r="M6" s="30"/>
    </row>
    <row r="7" spans="1:13" x14ac:dyDescent="0.4">
      <c r="A7" s="33" t="s">
        <v>65</v>
      </c>
      <c r="B7" s="1"/>
      <c r="C7" s="1"/>
      <c r="D7" s="1"/>
      <c r="E7" s="1"/>
      <c r="F7" s="1"/>
      <c r="G7" s="1"/>
      <c r="H7" s="1"/>
      <c r="I7" s="1"/>
      <c r="J7" s="1"/>
      <c r="K7" s="1"/>
      <c r="L7" s="1"/>
      <c r="M7" s="30"/>
    </row>
    <row r="8" spans="1:13" x14ac:dyDescent="0.4">
      <c r="A8" s="28" t="s">
        <v>70</v>
      </c>
      <c r="B8" s="1"/>
      <c r="C8" s="1"/>
      <c r="D8" s="1"/>
      <c r="E8" s="1"/>
      <c r="F8" s="1"/>
      <c r="G8" s="1"/>
      <c r="H8" s="1"/>
      <c r="I8" s="1"/>
      <c r="J8" s="1"/>
      <c r="K8" s="1"/>
      <c r="L8" s="1"/>
      <c r="M8" s="30"/>
    </row>
    <row r="9" spans="1:13" x14ac:dyDescent="0.4">
      <c r="A9" s="28" t="s">
        <v>71</v>
      </c>
      <c r="B9" s="1"/>
      <c r="C9" s="1"/>
      <c r="D9" s="1"/>
      <c r="E9" s="1"/>
      <c r="F9" s="1"/>
      <c r="G9" s="1"/>
      <c r="H9" s="1"/>
      <c r="I9" s="1"/>
      <c r="J9" s="1"/>
      <c r="K9" s="1"/>
      <c r="L9" s="1"/>
      <c r="M9" s="30"/>
    </row>
    <row r="10" spans="1:13" x14ac:dyDescent="0.4">
      <c r="A10" s="28" t="s">
        <v>72</v>
      </c>
      <c r="B10" s="1"/>
      <c r="C10" s="1"/>
      <c r="D10" s="1"/>
      <c r="E10" s="1"/>
      <c r="F10" s="1"/>
      <c r="G10" s="1"/>
      <c r="H10" s="1"/>
      <c r="I10" s="1"/>
      <c r="J10" s="1"/>
      <c r="K10" s="1"/>
      <c r="L10" s="1"/>
      <c r="M10" s="30"/>
    </row>
    <row r="11" spans="1:13" x14ac:dyDescent="0.4">
      <c r="A11" s="52" t="s">
        <v>73</v>
      </c>
      <c r="B11" s="53"/>
      <c r="C11" s="53"/>
      <c r="D11" s="53"/>
      <c r="E11" s="53"/>
      <c r="F11" s="53"/>
      <c r="G11" s="53"/>
      <c r="H11" s="53"/>
      <c r="I11" s="53"/>
      <c r="J11" s="53"/>
      <c r="K11" s="53"/>
      <c r="L11" s="53"/>
      <c r="M11" s="54"/>
    </row>
    <row r="12" spans="1:13" x14ac:dyDescent="0.4">
      <c r="A12" s="52"/>
      <c r="B12" s="53"/>
      <c r="C12" s="53"/>
      <c r="D12" s="53"/>
      <c r="E12" s="53"/>
      <c r="F12" s="53"/>
      <c r="G12" s="53"/>
      <c r="H12" s="53"/>
      <c r="I12" s="53"/>
      <c r="J12" s="53"/>
      <c r="K12" s="53"/>
      <c r="L12" s="53"/>
      <c r="M12" s="54"/>
    </row>
    <row r="13" spans="1:13" x14ac:dyDescent="0.4">
      <c r="A13" s="28"/>
      <c r="B13" s="1"/>
      <c r="C13" s="1"/>
      <c r="D13" s="1"/>
      <c r="E13" s="1"/>
      <c r="F13" s="1"/>
      <c r="G13" s="1"/>
      <c r="H13" s="1"/>
      <c r="I13" s="1"/>
      <c r="J13" s="1"/>
      <c r="K13" s="1"/>
      <c r="L13" s="1"/>
      <c r="M13" s="30"/>
    </row>
    <row r="14" spans="1:13" x14ac:dyDescent="0.4">
      <c r="A14" s="28"/>
      <c r="B14" s="1"/>
      <c r="C14" s="1"/>
      <c r="D14" s="1"/>
      <c r="E14" s="1"/>
      <c r="F14" s="1"/>
      <c r="G14" s="1"/>
      <c r="H14" s="1"/>
      <c r="I14" s="1"/>
      <c r="J14" s="1"/>
      <c r="K14" s="1"/>
      <c r="L14" s="1"/>
      <c r="M14" s="30"/>
    </row>
    <row r="15" spans="1:13" x14ac:dyDescent="0.4">
      <c r="A15" s="33" t="s">
        <v>66</v>
      </c>
      <c r="B15" s="1"/>
      <c r="C15" s="1"/>
      <c r="D15" s="1"/>
      <c r="E15" s="1"/>
      <c r="F15" s="1"/>
      <c r="G15" s="1"/>
      <c r="H15" s="1"/>
      <c r="I15" s="1"/>
      <c r="J15" s="1"/>
      <c r="K15" s="1"/>
      <c r="L15" s="1"/>
      <c r="M15" s="30"/>
    </row>
    <row r="16" spans="1:13" x14ac:dyDescent="0.4">
      <c r="A16" s="28" t="s">
        <v>74</v>
      </c>
      <c r="B16" s="1"/>
      <c r="C16" s="1"/>
      <c r="D16" s="1"/>
      <c r="E16" s="1"/>
      <c r="F16" s="1"/>
      <c r="G16" s="1"/>
      <c r="H16" s="1"/>
      <c r="I16" s="1"/>
      <c r="J16" s="1"/>
      <c r="K16" s="1"/>
      <c r="L16" s="1"/>
      <c r="M16" s="30"/>
    </row>
    <row r="17" spans="1:13" x14ac:dyDescent="0.4">
      <c r="A17" s="33" t="s">
        <v>65</v>
      </c>
      <c r="B17" s="1"/>
      <c r="C17" s="1"/>
      <c r="D17" s="1"/>
      <c r="E17" s="1"/>
      <c r="F17" s="1"/>
      <c r="G17" s="1"/>
      <c r="H17" s="1"/>
      <c r="I17" s="1"/>
      <c r="J17" s="1"/>
      <c r="K17" s="1"/>
      <c r="L17" s="1"/>
      <c r="M17" s="30"/>
    </row>
    <row r="18" spans="1:13" x14ac:dyDescent="0.4">
      <c r="A18" s="28" t="s">
        <v>75</v>
      </c>
      <c r="B18" s="1"/>
      <c r="C18" s="1"/>
      <c r="D18" s="1"/>
      <c r="E18" s="1"/>
      <c r="F18" s="1"/>
      <c r="G18" s="1"/>
      <c r="H18" s="1"/>
      <c r="I18" s="1"/>
      <c r="J18" s="1"/>
      <c r="K18" s="1"/>
      <c r="L18" s="1"/>
      <c r="M18" s="30"/>
    </row>
    <row r="19" spans="1:13" x14ac:dyDescent="0.4">
      <c r="A19" s="28" t="s">
        <v>76</v>
      </c>
      <c r="B19" s="1"/>
      <c r="C19" s="1"/>
      <c r="D19" s="1"/>
      <c r="E19" s="1"/>
      <c r="F19" s="1"/>
      <c r="G19" s="1"/>
      <c r="H19" s="1"/>
      <c r="I19" s="1"/>
      <c r="J19" s="1"/>
      <c r="K19" s="1"/>
      <c r="L19" s="1"/>
      <c r="M19" s="30"/>
    </row>
    <row r="20" spans="1:13" x14ac:dyDescent="0.4">
      <c r="A20" s="28" t="s">
        <v>77</v>
      </c>
      <c r="B20" s="1"/>
      <c r="C20" s="1"/>
      <c r="D20" s="1"/>
      <c r="E20" s="1"/>
      <c r="F20" s="1"/>
      <c r="G20" s="1"/>
      <c r="H20" s="1"/>
      <c r="I20" s="1"/>
      <c r="J20" s="1"/>
      <c r="K20" s="1"/>
      <c r="L20" s="1"/>
      <c r="M20" s="30"/>
    </row>
    <row r="21" spans="1:13" x14ac:dyDescent="0.4">
      <c r="A21" s="52" t="s">
        <v>78</v>
      </c>
      <c r="B21" s="53"/>
      <c r="C21" s="53"/>
      <c r="D21" s="53"/>
      <c r="E21" s="53"/>
      <c r="F21" s="53"/>
      <c r="G21" s="53"/>
      <c r="H21" s="53"/>
      <c r="I21" s="53"/>
      <c r="J21" s="53"/>
      <c r="K21" s="53"/>
      <c r="L21" s="53"/>
      <c r="M21" s="54"/>
    </row>
    <row r="22" spans="1:13" x14ac:dyDescent="0.4">
      <c r="A22" s="52"/>
      <c r="B22" s="53"/>
      <c r="C22" s="53"/>
      <c r="D22" s="53"/>
      <c r="E22" s="53"/>
      <c r="F22" s="53"/>
      <c r="G22" s="53"/>
      <c r="H22" s="53"/>
      <c r="I22" s="53"/>
      <c r="J22" s="53"/>
      <c r="K22" s="53"/>
      <c r="L22" s="53"/>
      <c r="M22" s="54"/>
    </row>
    <row r="23" spans="1:13" x14ac:dyDescent="0.4">
      <c r="A23" s="28"/>
      <c r="B23" s="1"/>
      <c r="C23" s="1"/>
      <c r="D23" s="1"/>
      <c r="E23" s="1"/>
      <c r="F23" s="1"/>
      <c r="G23" s="1"/>
      <c r="H23" s="1"/>
      <c r="I23" s="1"/>
      <c r="J23" s="1"/>
      <c r="K23" s="1"/>
      <c r="L23" s="1"/>
      <c r="M23" s="30"/>
    </row>
    <row r="24" spans="1:13" x14ac:dyDescent="0.4">
      <c r="A24" s="28"/>
      <c r="B24" s="1"/>
      <c r="C24" s="1"/>
      <c r="D24" s="1"/>
      <c r="E24" s="1"/>
      <c r="F24" s="1"/>
      <c r="G24" s="1"/>
      <c r="H24" s="1"/>
      <c r="I24" s="1"/>
      <c r="J24" s="1"/>
      <c r="K24" s="1"/>
      <c r="L24" s="1"/>
      <c r="M24" s="30"/>
    </row>
    <row r="25" spans="1:13" x14ac:dyDescent="0.4">
      <c r="A25" s="33" t="s">
        <v>67</v>
      </c>
      <c r="B25" s="1"/>
      <c r="C25" s="1"/>
      <c r="D25" s="1"/>
      <c r="E25" s="1"/>
      <c r="F25" s="1"/>
      <c r="G25" s="1"/>
      <c r="H25" s="1"/>
      <c r="I25" s="1"/>
      <c r="J25" s="1"/>
      <c r="K25" s="1"/>
      <c r="L25" s="1"/>
      <c r="M25" s="30"/>
    </row>
    <row r="26" spans="1:13" ht="13.05" customHeight="1" x14ac:dyDescent="0.4">
      <c r="A26" s="52" t="s">
        <v>68</v>
      </c>
      <c r="B26" s="53"/>
      <c r="C26" s="53"/>
      <c r="D26" s="53"/>
      <c r="E26" s="53"/>
      <c r="F26" s="53"/>
      <c r="G26" s="53"/>
      <c r="H26" s="53"/>
      <c r="I26" s="53"/>
      <c r="J26" s="53"/>
      <c r="K26" s="53"/>
      <c r="L26" s="53"/>
      <c r="M26" s="54"/>
    </row>
    <row r="27" spans="1:13" x14ac:dyDescent="0.4">
      <c r="A27" s="52"/>
      <c r="B27" s="53"/>
      <c r="C27" s="53"/>
      <c r="D27" s="53"/>
      <c r="E27" s="53"/>
      <c r="F27" s="53"/>
      <c r="G27" s="53"/>
      <c r="H27" s="53"/>
      <c r="I27" s="53"/>
      <c r="J27" s="53"/>
      <c r="K27" s="53"/>
      <c r="L27" s="53"/>
      <c r="M27" s="54"/>
    </row>
    <row r="28" spans="1:13" x14ac:dyDescent="0.4">
      <c r="A28" s="34"/>
      <c r="B28" s="31"/>
      <c r="C28" s="31"/>
      <c r="D28" s="31"/>
      <c r="E28" s="31"/>
      <c r="F28" s="31"/>
      <c r="G28" s="31"/>
      <c r="H28" s="31"/>
      <c r="I28" s="31"/>
      <c r="J28" s="31"/>
      <c r="K28" s="31"/>
      <c r="L28" s="31"/>
      <c r="M28" s="32"/>
    </row>
  </sheetData>
  <mergeCells count="4">
    <mergeCell ref="A1:M1"/>
    <mergeCell ref="A11:M12"/>
    <mergeCell ref="A21:M22"/>
    <mergeCell ref="A26:M2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C3EF0-7853-4789-A8F4-DC7E3A3220EB}">
  <dimension ref="A1:M27"/>
  <sheetViews>
    <sheetView showGridLines="0" zoomScale="133" workbookViewId="0">
      <selection activeCell="U36" sqref="U36"/>
    </sheetView>
  </sheetViews>
  <sheetFormatPr defaultColWidth="8.73046875" defaultRowHeight="13.15" x14ac:dyDescent="0.4"/>
  <cols>
    <col min="1" max="16384" width="8.73046875" style="9"/>
  </cols>
  <sheetData>
    <row r="1" spans="1:13" ht="17.25" x14ac:dyDescent="0.45">
      <c r="A1" s="56" t="s">
        <v>56</v>
      </c>
      <c r="B1" s="56"/>
      <c r="C1" s="56"/>
      <c r="D1" s="56"/>
      <c r="E1" s="56"/>
      <c r="F1" s="56"/>
      <c r="G1" s="56"/>
      <c r="H1" s="56"/>
      <c r="I1" s="56"/>
      <c r="J1" s="56"/>
      <c r="K1" s="56"/>
      <c r="L1" s="56"/>
      <c r="M1" s="56"/>
    </row>
    <row r="2" spans="1:13" x14ac:dyDescent="0.4">
      <c r="A2" s="28"/>
      <c r="B2" s="1"/>
      <c r="C2" s="1"/>
      <c r="D2" s="1"/>
      <c r="E2" s="1"/>
      <c r="F2" s="1"/>
      <c r="G2" s="1"/>
      <c r="H2" s="1"/>
      <c r="I2" s="1"/>
      <c r="J2" s="1"/>
      <c r="K2" s="1"/>
      <c r="L2" s="1"/>
      <c r="M2" s="30"/>
    </row>
    <row r="3" spans="1:13" x14ac:dyDescent="0.4">
      <c r="A3" s="33" t="s">
        <v>89</v>
      </c>
      <c r="B3" s="1"/>
      <c r="C3" s="1"/>
      <c r="D3" s="1"/>
      <c r="E3" s="1"/>
      <c r="F3" s="1"/>
      <c r="G3" s="1"/>
      <c r="H3" s="1"/>
      <c r="I3" s="1"/>
      <c r="J3" s="1"/>
      <c r="K3" s="1"/>
      <c r="L3" s="1"/>
      <c r="M3" s="30"/>
    </row>
    <row r="4" spans="1:13" x14ac:dyDescent="0.4">
      <c r="A4" s="33"/>
      <c r="B4" s="1"/>
      <c r="C4" s="1"/>
      <c r="D4" s="1"/>
      <c r="E4" s="1"/>
      <c r="F4" s="1"/>
      <c r="G4" s="1"/>
      <c r="H4" s="1"/>
      <c r="I4" s="1"/>
      <c r="J4" s="1"/>
      <c r="K4" s="1"/>
      <c r="L4" s="1"/>
      <c r="M4" s="30"/>
    </row>
    <row r="5" spans="1:13" x14ac:dyDescent="0.4">
      <c r="A5" s="28" t="s">
        <v>85</v>
      </c>
      <c r="B5" s="1"/>
      <c r="C5" s="1"/>
      <c r="D5" s="1"/>
      <c r="E5" s="1"/>
      <c r="F5" s="1"/>
      <c r="G5" s="1"/>
      <c r="H5" s="1"/>
      <c r="I5" s="1"/>
      <c r="J5" s="1"/>
      <c r="K5" s="1"/>
      <c r="L5" s="1"/>
      <c r="M5" s="30"/>
    </row>
    <row r="6" spans="1:13" x14ac:dyDescent="0.4">
      <c r="A6" s="28"/>
      <c r="B6" s="1"/>
      <c r="C6" s="1"/>
      <c r="D6" s="1"/>
      <c r="E6" s="1"/>
      <c r="F6" s="1"/>
      <c r="G6" s="1"/>
      <c r="H6" s="1"/>
      <c r="I6" s="1"/>
      <c r="J6" s="1"/>
      <c r="K6" s="1"/>
      <c r="L6" s="1"/>
      <c r="M6" s="30"/>
    </row>
    <row r="7" spans="1:13" x14ac:dyDescent="0.4">
      <c r="A7" s="33" t="s">
        <v>79</v>
      </c>
      <c r="B7" s="1"/>
      <c r="C7" s="1"/>
      <c r="D7" s="1"/>
      <c r="E7" s="1"/>
      <c r="F7" s="1"/>
      <c r="G7" s="1"/>
      <c r="H7" s="1"/>
      <c r="I7" s="1"/>
      <c r="J7" s="1"/>
      <c r="K7" s="1"/>
      <c r="L7" s="1"/>
      <c r="M7" s="30"/>
    </row>
    <row r="8" spans="1:13" x14ac:dyDescent="0.4">
      <c r="A8" s="28" t="s">
        <v>80</v>
      </c>
      <c r="B8" s="1"/>
      <c r="C8" s="1"/>
      <c r="D8" s="1"/>
      <c r="E8" s="1"/>
      <c r="F8" s="1"/>
      <c r="G8" s="1"/>
      <c r="H8" s="1"/>
      <c r="I8" s="1"/>
      <c r="J8" s="1"/>
      <c r="K8" s="1"/>
      <c r="L8" s="1"/>
      <c r="M8" s="30"/>
    </row>
    <row r="9" spans="1:13" x14ac:dyDescent="0.4">
      <c r="A9" s="28" t="s">
        <v>81</v>
      </c>
      <c r="B9" s="1"/>
      <c r="C9" s="1"/>
      <c r="D9" s="1"/>
      <c r="E9" s="1"/>
      <c r="F9" s="1"/>
      <c r="G9" s="1"/>
      <c r="H9" s="1"/>
      <c r="I9" s="1"/>
      <c r="J9" s="1"/>
      <c r="K9" s="1"/>
      <c r="L9" s="1"/>
      <c r="M9" s="30"/>
    </row>
    <row r="10" spans="1:13" x14ac:dyDescent="0.4">
      <c r="A10" s="28"/>
      <c r="B10" s="1"/>
      <c r="C10" s="1"/>
      <c r="D10" s="1"/>
      <c r="E10" s="1"/>
      <c r="F10" s="1"/>
      <c r="G10" s="1"/>
      <c r="H10" s="1"/>
      <c r="I10" s="1"/>
      <c r="J10" s="1"/>
      <c r="K10" s="1"/>
      <c r="L10" s="1"/>
      <c r="M10" s="30"/>
    </row>
    <row r="11" spans="1:13" x14ac:dyDescent="0.4">
      <c r="A11" s="33" t="s">
        <v>82</v>
      </c>
      <c r="B11" s="1"/>
      <c r="C11" s="1"/>
      <c r="D11" s="1"/>
      <c r="E11" s="1"/>
      <c r="F11" s="1"/>
      <c r="G11" s="1"/>
      <c r="H11" s="1"/>
      <c r="I11" s="1"/>
      <c r="J11" s="1"/>
      <c r="K11" s="1"/>
      <c r="L11" s="1"/>
      <c r="M11" s="30"/>
    </row>
    <row r="12" spans="1:13" ht="13.05" customHeight="1" x14ac:dyDescent="0.4">
      <c r="A12" s="52" t="s">
        <v>86</v>
      </c>
      <c r="B12" s="53"/>
      <c r="C12" s="53"/>
      <c r="D12" s="53"/>
      <c r="E12" s="53"/>
      <c r="F12" s="53"/>
      <c r="G12" s="53"/>
      <c r="H12" s="53"/>
      <c r="I12" s="53"/>
      <c r="J12" s="53"/>
      <c r="K12" s="53"/>
      <c r="L12" s="53"/>
      <c r="M12" s="54"/>
    </row>
    <row r="13" spans="1:13" x14ac:dyDescent="0.4">
      <c r="A13" s="52"/>
      <c r="B13" s="53"/>
      <c r="C13" s="53"/>
      <c r="D13" s="53"/>
      <c r="E13" s="53"/>
      <c r="F13" s="53"/>
      <c r="G13" s="53"/>
      <c r="H13" s="53"/>
      <c r="I13" s="53"/>
      <c r="J13" s="53"/>
      <c r="K13" s="53"/>
      <c r="L13" s="53"/>
      <c r="M13" s="54"/>
    </row>
    <row r="14" spans="1:13" x14ac:dyDescent="0.4">
      <c r="A14" s="52"/>
      <c r="B14" s="53"/>
      <c r="C14" s="53"/>
      <c r="D14" s="53"/>
      <c r="E14" s="53"/>
      <c r="F14" s="53"/>
      <c r="G14" s="53"/>
      <c r="H14" s="53"/>
      <c r="I14" s="53"/>
      <c r="J14" s="53"/>
      <c r="K14" s="53"/>
      <c r="L14" s="53"/>
      <c r="M14" s="54"/>
    </row>
    <row r="15" spans="1:13" x14ac:dyDescent="0.4">
      <c r="A15" s="50" t="s">
        <v>87</v>
      </c>
      <c r="B15" s="44"/>
      <c r="C15" s="44"/>
      <c r="D15" s="44"/>
      <c r="E15" s="44"/>
      <c r="F15" s="44"/>
      <c r="G15" s="44"/>
      <c r="H15" s="44"/>
      <c r="I15" s="44"/>
      <c r="J15" s="44"/>
      <c r="K15" s="44"/>
      <c r="L15" s="44"/>
      <c r="M15" s="51"/>
    </row>
    <row r="16" spans="1:13" x14ac:dyDescent="0.4">
      <c r="A16" s="50"/>
      <c r="B16" s="44"/>
      <c r="C16" s="44"/>
      <c r="D16" s="44"/>
      <c r="E16" s="44"/>
      <c r="F16" s="44"/>
      <c r="G16" s="44"/>
      <c r="H16" s="44"/>
      <c r="I16" s="44"/>
      <c r="J16" s="44"/>
      <c r="K16" s="44"/>
      <c r="L16" s="44"/>
      <c r="M16" s="51"/>
    </row>
    <row r="17" spans="1:13" x14ac:dyDescent="0.4">
      <c r="A17" s="50"/>
      <c r="B17" s="44"/>
      <c r="C17" s="44"/>
      <c r="D17" s="44"/>
      <c r="E17" s="44"/>
      <c r="F17" s="44"/>
      <c r="G17" s="44"/>
      <c r="H17" s="44"/>
      <c r="I17" s="44"/>
      <c r="J17" s="44"/>
      <c r="K17" s="44"/>
      <c r="L17" s="44"/>
      <c r="M17" s="51"/>
    </row>
    <row r="18" spans="1:13" x14ac:dyDescent="0.4">
      <c r="A18" s="50" t="s">
        <v>88</v>
      </c>
      <c r="B18" s="44"/>
      <c r="C18" s="44"/>
      <c r="D18" s="44"/>
      <c r="E18" s="44"/>
      <c r="F18" s="44"/>
      <c r="G18" s="44"/>
      <c r="H18" s="44"/>
      <c r="I18" s="44"/>
      <c r="J18" s="44"/>
      <c r="K18" s="44"/>
      <c r="L18" s="44"/>
      <c r="M18" s="51"/>
    </row>
    <row r="19" spans="1:13" x14ac:dyDescent="0.4">
      <c r="A19" s="50"/>
      <c r="B19" s="44"/>
      <c r="C19" s="44"/>
      <c r="D19" s="44"/>
      <c r="E19" s="44"/>
      <c r="F19" s="44"/>
      <c r="G19" s="44"/>
      <c r="H19" s="44"/>
      <c r="I19" s="44"/>
      <c r="J19" s="44"/>
      <c r="K19" s="44"/>
      <c r="L19" s="44"/>
      <c r="M19" s="51"/>
    </row>
    <row r="20" spans="1:13" x14ac:dyDescent="0.4">
      <c r="A20" s="50"/>
      <c r="B20" s="44"/>
      <c r="C20" s="44"/>
      <c r="D20" s="44"/>
      <c r="E20" s="44"/>
      <c r="F20" s="44"/>
      <c r="G20" s="44"/>
      <c r="H20" s="44"/>
      <c r="I20" s="44"/>
      <c r="J20" s="44"/>
      <c r="K20" s="44"/>
      <c r="L20" s="44"/>
      <c r="M20" s="51"/>
    </row>
    <row r="21" spans="1:13" x14ac:dyDescent="0.4">
      <c r="A21" s="28"/>
      <c r="B21" s="1"/>
      <c r="C21" s="1"/>
      <c r="D21" s="1"/>
      <c r="E21" s="1"/>
      <c r="F21" s="1"/>
      <c r="G21" s="1"/>
      <c r="H21" s="1"/>
      <c r="I21" s="1"/>
      <c r="J21" s="1"/>
      <c r="K21" s="1"/>
      <c r="L21" s="1"/>
      <c r="M21" s="30"/>
    </row>
    <row r="22" spans="1:13" x14ac:dyDescent="0.4">
      <c r="A22" s="33" t="s">
        <v>83</v>
      </c>
      <c r="B22" s="1"/>
      <c r="C22" s="1"/>
      <c r="D22" s="1"/>
      <c r="E22" s="1"/>
      <c r="F22" s="1"/>
      <c r="G22" s="1"/>
      <c r="H22" s="1"/>
      <c r="I22" s="1"/>
      <c r="J22" s="1"/>
      <c r="K22" s="1"/>
      <c r="L22" s="1"/>
      <c r="M22" s="30"/>
    </row>
    <row r="23" spans="1:13" x14ac:dyDescent="0.4">
      <c r="A23" s="50" t="s">
        <v>84</v>
      </c>
      <c r="B23" s="44"/>
      <c r="C23" s="44"/>
      <c r="D23" s="44"/>
      <c r="E23" s="44"/>
      <c r="F23" s="44"/>
      <c r="G23" s="44"/>
      <c r="H23" s="44"/>
      <c r="I23" s="44"/>
      <c r="J23" s="44"/>
      <c r="K23" s="44"/>
      <c r="L23" s="44"/>
      <c r="M23" s="51"/>
    </row>
    <row r="24" spans="1:13" x14ac:dyDescent="0.4">
      <c r="A24" s="50"/>
      <c r="B24" s="44"/>
      <c r="C24" s="44"/>
      <c r="D24" s="44"/>
      <c r="E24" s="44"/>
      <c r="F24" s="44"/>
      <c r="G24" s="44"/>
      <c r="H24" s="44"/>
      <c r="I24" s="44"/>
      <c r="J24" s="44"/>
      <c r="K24" s="44"/>
      <c r="L24" s="44"/>
      <c r="M24" s="51"/>
    </row>
    <row r="25" spans="1:13" x14ac:dyDescent="0.4">
      <c r="A25" s="50"/>
      <c r="B25" s="44"/>
      <c r="C25" s="44"/>
      <c r="D25" s="44"/>
      <c r="E25" s="44"/>
      <c r="F25" s="44"/>
      <c r="G25" s="44"/>
      <c r="H25" s="44"/>
      <c r="I25" s="44"/>
      <c r="J25" s="44"/>
      <c r="K25" s="44"/>
      <c r="L25" s="44"/>
      <c r="M25" s="51"/>
    </row>
    <row r="26" spans="1:13" x14ac:dyDescent="0.4">
      <c r="A26" s="50"/>
      <c r="B26" s="44"/>
      <c r="C26" s="44"/>
      <c r="D26" s="44"/>
      <c r="E26" s="44"/>
      <c r="F26" s="44"/>
      <c r="G26" s="44"/>
      <c r="H26" s="44"/>
      <c r="I26" s="44"/>
      <c r="J26" s="44"/>
      <c r="K26" s="44"/>
      <c r="L26" s="44"/>
      <c r="M26" s="51"/>
    </row>
    <row r="27" spans="1:13" x14ac:dyDescent="0.4">
      <c r="A27" s="34"/>
      <c r="B27" s="31"/>
      <c r="C27" s="31"/>
      <c r="D27" s="31"/>
      <c r="E27" s="31"/>
      <c r="F27" s="31"/>
      <c r="G27" s="31"/>
      <c r="H27" s="31"/>
      <c r="I27" s="31"/>
      <c r="J27" s="31"/>
      <c r="K27" s="31"/>
      <c r="L27" s="31"/>
      <c r="M27" s="32"/>
    </row>
  </sheetData>
  <mergeCells count="5">
    <mergeCell ref="A1:M1"/>
    <mergeCell ref="A12:M14"/>
    <mergeCell ref="A15:M17"/>
    <mergeCell ref="A18:M20"/>
    <mergeCell ref="A23:M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815FF-EA52-451C-B8C7-C98B04237A6C}">
  <dimension ref="A1:S27"/>
  <sheetViews>
    <sheetView showGridLines="0" zoomScale="106" zoomScaleNormal="100" workbookViewId="0">
      <selection activeCell="A17" sqref="A17"/>
    </sheetView>
  </sheetViews>
  <sheetFormatPr defaultColWidth="8.73046875" defaultRowHeight="13.15" x14ac:dyDescent="0.4"/>
  <cols>
    <col min="1" max="16384" width="8.73046875" style="9"/>
  </cols>
  <sheetData>
    <row r="1" spans="1:19" ht="17.649999999999999" thickBot="1" x14ac:dyDescent="0.5">
      <c r="A1" s="40" t="s">
        <v>29</v>
      </c>
      <c r="B1" s="41"/>
      <c r="C1" s="41"/>
      <c r="D1" s="41"/>
      <c r="E1" s="41"/>
      <c r="F1" s="41"/>
      <c r="G1" s="41"/>
      <c r="H1" s="41"/>
      <c r="I1" s="41"/>
      <c r="J1" s="41"/>
      <c r="K1" s="41"/>
      <c r="L1" s="41"/>
      <c r="M1" s="41"/>
      <c r="N1" s="41"/>
      <c r="O1" s="41"/>
      <c r="P1" s="41"/>
      <c r="Q1" s="41"/>
      <c r="R1" s="41"/>
      <c r="S1" s="42"/>
    </row>
    <row r="2" spans="1:19" ht="13.05" customHeight="1" x14ac:dyDescent="0.4">
      <c r="A2" s="43" t="s">
        <v>30</v>
      </c>
      <c r="B2" s="44"/>
      <c r="C2" s="44"/>
      <c r="D2" s="44"/>
      <c r="E2" s="44"/>
      <c r="F2" s="44"/>
      <c r="G2" s="44"/>
      <c r="H2" s="44"/>
      <c r="I2" s="44"/>
      <c r="J2" s="44"/>
      <c r="K2" s="44"/>
      <c r="L2" s="44"/>
      <c r="M2" s="44"/>
      <c r="N2" s="44"/>
      <c r="O2" s="44"/>
      <c r="P2" s="44"/>
      <c r="Q2" s="44"/>
      <c r="R2" s="44"/>
      <c r="S2" s="10"/>
    </row>
    <row r="3" spans="1:19" x14ac:dyDescent="0.4">
      <c r="A3" s="43"/>
      <c r="B3" s="44"/>
      <c r="C3" s="44"/>
      <c r="D3" s="44"/>
      <c r="E3" s="44"/>
      <c r="F3" s="44"/>
      <c r="G3" s="44"/>
      <c r="H3" s="44"/>
      <c r="I3" s="44"/>
      <c r="J3" s="44"/>
      <c r="K3" s="44"/>
      <c r="L3" s="44"/>
      <c r="M3" s="44"/>
      <c r="N3" s="44"/>
      <c r="O3" s="44"/>
      <c r="P3" s="44"/>
      <c r="Q3" s="44"/>
      <c r="R3" s="44"/>
      <c r="S3" s="10"/>
    </row>
    <row r="4" spans="1:19" x14ac:dyDescent="0.4">
      <c r="A4" s="43"/>
      <c r="B4" s="44"/>
      <c r="C4" s="44"/>
      <c r="D4" s="44"/>
      <c r="E4" s="44"/>
      <c r="F4" s="44"/>
      <c r="G4" s="44"/>
      <c r="H4" s="44"/>
      <c r="I4" s="44"/>
      <c r="J4" s="44"/>
      <c r="K4" s="44"/>
      <c r="L4" s="44"/>
      <c r="M4" s="44"/>
      <c r="N4" s="44"/>
      <c r="O4" s="44"/>
      <c r="P4" s="44"/>
      <c r="Q4" s="44"/>
      <c r="R4" s="44"/>
      <c r="S4" s="10"/>
    </row>
    <row r="5" spans="1:19" x14ac:dyDescent="0.4">
      <c r="A5" s="11" t="s">
        <v>31</v>
      </c>
      <c r="B5" s="1"/>
      <c r="C5" s="1"/>
      <c r="D5" s="1"/>
      <c r="E5" s="1"/>
      <c r="F5" s="1"/>
      <c r="G5" s="1"/>
      <c r="H5" s="1"/>
      <c r="I5" s="1"/>
      <c r="J5" s="1"/>
      <c r="K5" s="1"/>
      <c r="L5" s="1"/>
      <c r="M5" s="1"/>
      <c r="N5" s="1"/>
      <c r="O5" s="1"/>
      <c r="P5" s="1"/>
      <c r="Q5" s="1"/>
      <c r="R5" s="1"/>
      <c r="S5" s="10"/>
    </row>
    <row r="6" spans="1:19" x14ac:dyDescent="0.4">
      <c r="A6" s="38" t="s">
        <v>36</v>
      </c>
      <c r="B6" s="39"/>
      <c r="C6" s="39"/>
      <c r="D6" s="39"/>
      <c r="E6" s="39"/>
      <c r="F6" s="39"/>
      <c r="G6" s="39"/>
      <c r="H6" s="39"/>
      <c r="I6" s="39"/>
      <c r="J6" s="39"/>
      <c r="K6" s="39"/>
      <c r="L6" s="39"/>
      <c r="M6" s="39"/>
      <c r="N6" s="39"/>
      <c r="O6" s="39"/>
      <c r="P6" s="39"/>
      <c r="Q6" s="39"/>
      <c r="R6" s="39"/>
      <c r="S6" s="10"/>
    </row>
    <row r="7" spans="1:19" x14ac:dyDescent="0.4">
      <c r="A7" s="38"/>
      <c r="B7" s="39"/>
      <c r="C7" s="39"/>
      <c r="D7" s="39"/>
      <c r="E7" s="39"/>
      <c r="F7" s="39"/>
      <c r="G7" s="39"/>
      <c r="H7" s="39"/>
      <c r="I7" s="39"/>
      <c r="J7" s="39"/>
      <c r="K7" s="39"/>
      <c r="L7" s="39"/>
      <c r="M7" s="39"/>
      <c r="N7" s="39"/>
      <c r="O7" s="39"/>
      <c r="P7" s="39"/>
      <c r="Q7" s="39"/>
      <c r="R7" s="39"/>
      <c r="S7" s="10"/>
    </row>
    <row r="8" spans="1:19" x14ac:dyDescent="0.4">
      <c r="A8" s="38"/>
      <c r="B8" s="39"/>
      <c r="C8" s="39"/>
      <c r="D8" s="39"/>
      <c r="E8" s="39"/>
      <c r="F8" s="39"/>
      <c r="G8" s="39"/>
      <c r="H8" s="39"/>
      <c r="I8" s="39"/>
      <c r="J8" s="39"/>
      <c r="K8" s="39"/>
      <c r="L8" s="39"/>
      <c r="M8" s="39"/>
      <c r="N8" s="39"/>
      <c r="O8" s="39"/>
      <c r="P8" s="39"/>
      <c r="Q8" s="39"/>
      <c r="R8" s="39"/>
      <c r="S8" s="10"/>
    </row>
    <row r="9" spans="1:19" x14ac:dyDescent="0.4">
      <c r="A9" s="38" t="s">
        <v>32</v>
      </c>
      <c r="B9" s="39"/>
      <c r="C9" s="39"/>
      <c r="D9" s="39"/>
      <c r="E9" s="39"/>
      <c r="F9" s="39"/>
      <c r="G9" s="39"/>
      <c r="H9" s="39"/>
      <c r="I9" s="39"/>
      <c r="J9" s="39"/>
      <c r="K9" s="39"/>
      <c r="L9" s="39"/>
      <c r="M9" s="39"/>
      <c r="N9" s="39"/>
      <c r="O9" s="39"/>
      <c r="P9" s="39"/>
      <c r="Q9" s="39"/>
      <c r="R9" s="39"/>
      <c r="S9" s="10"/>
    </row>
    <row r="10" spans="1:19" x14ac:dyDescent="0.4">
      <c r="A10" s="38"/>
      <c r="B10" s="39"/>
      <c r="C10" s="39"/>
      <c r="D10" s="39"/>
      <c r="E10" s="39"/>
      <c r="F10" s="39"/>
      <c r="G10" s="39"/>
      <c r="H10" s="39"/>
      <c r="I10" s="39"/>
      <c r="J10" s="39"/>
      <c r="K10" s="39"/>
      <c r="L10" s="39"/>
      <c r="M10" s="39"/>
      <c r="N10" s="39"/>
      <c r="O10" s="39"/>
      <c r="P10" s="39"/>
      <c r="Q10" s="39"/>
      <c r="R10" s="39"/>
      <c r="S10" s="10"/>
    </row>
    <row r="11" spans="1:19" x14ac:dyDescent="0.4">
      <c r="A11" s="38"/>
      <c r="B11" s="39"/>
      <c r="C11" s="39"/>
      <c r="D11" s="39"/>
      <c r="E11" s="39"/>
      <c r="F11" s="39"/>
      <c r="G11" s="39"/>
      <c r="H11" s="39"/>
      <c r="I11" s="39"/>
      <c r="J11" s="39"/>
      <c r="K11" s="39"/>
      <c r="L11" s="39"/>
      <c r="M11" s="39"/>
      <c r="N11" s="39"/>
      <c r="O11" s="39"/>
      <c r="P11" s="39"/>
      <c r="Q11" s="39"/>
      <c r="R11" s="39"/>
      <c r="S11" s="10"/>
    </row>
    <row r="12" spans="1:19" x14ac:dyDescent="0.4">
      <c r="A12" s="12"/>
      <c r="B12" s="1"/>
      <c r="C12" s="1"/>
      <c r="D12" s="1"/>
      <c r="E12" s="1"/>
      <c r="F12" s="1"/>
      <c r="G12" s="1"/>
      <c r="H12" s="1"/>
      <c r="I12" s="1"/>
      <c r="J12" s="1"/>
      <c r="K12" s="1"/>
      <c r="L12" s="1"/>
      <c r="M12" s="1"/>
      <c r="N12" s="1"/>
      <c r="O12" s="1"/>
      <c r="P12" s="1"/>
      <c r="Q12" s="1"/>
      <c r="R12" s="1"/>
      <c r="S12" s="10"/>
    </row>
    <row r="13" spans="1:19" x14ac:dyDescent="0.4">
      <c r="A13" s="11" t="s">
        <v>33</v>
      </c>
      <c r="B13" s="1"/>
      <c r="C13" s="1"/>
      <c r="D13" s="1"/>
      <c r="E13" s="1"/>
      <c r="F13" s="1"/>
      <c r="G13" s="1"/>
      <c r="H13" s="1"/>
      <c r="I13" s="1"/>
      <c r="J13" s="1"/>
      <c r="K13" s="1"/>
      <c r="L13" s="1"/>
      <c r="M13" s="1"/>
      <c r="N13" s="1"/>
      <c r="O13" s="1"/>
      <c r="P13" s="1"/>
      <c r="Q13" s="1"/>
      <c r="R13" s="1"/>
      <c r="S13" s="10"/>
    </row>
    <row r="14" spans="1:19" ht="13.05" customHeight="1" x14ac:dyDescent="0.4">
      <c r="A14" s="38" t="s">
        <v>92</v>
      </c>
      <c r="B14" s="39"/>
      <c r="C14" s="39"/>
      <c r="D14" s="39"/>
      <c r="E14" s="39"/>
      <c r="F14" s="39"/>
      <c r="G14" s="39"/>
      <c r="H14" s="39"/>
      <c r="I14" s="39"/>
      <c r="J14" s="39"/>
      <c r="K14" s="39"/>
      <c r="L14" s="39"/>
      <c r="M14" s="39"/>
      <c r="N14" s="39"/>
      <c r="O14" s="39"/>
      <c r="P14" s="39"/>
      <c r="Q14" s="39"/>
      <c r="R14" s="39"/>
      <c r="S14" s="10"/>
    </row>
    <row r="15" spans="1:19" x14ac:dyDescent="0.4">
      <c r="A15" s="38"/>
      <c r="B15" s="39"/>
      <c r="C15" s="39"/>
      <c r="D15" s="39"/>
      <c r="E15" s="39"/>
      <c r="F15" s="39"/>
      <c r="G15" s="39"/>
      <c r="H15" s="39"/>
      <c r="I15" s="39"/>
      <c r="J15" s="39"/>
      <c r="K15" s="39"/>
      <c r="L15" s="39"/>
      <c r="M15" s="39"/>
      <c r="N15" s="39"/>
      <c r="O15" s="39"/>
      <c r="P15" s="39"/>
      <c r="Q15" s="39"/>
      <c r="R15" s="39"/>
      <c r="S15" s="10"/>
    </row>
    <row r="16" spans="1:19" x14ac:dyDescent="0.4">
      <c r="A16" s="38"/>
      <c r="B16" s="39"/>
      <c r="C16" s="39"/>
      <c r="D16" s="39"/>
      <c r="E16" s="39"/>
      <c r="F16" s="39"/>
      <c r="G16" s="39"/>
      <c r="H16" s="39"/>
      <c r="I16" s="39"/>
      <c r="J16" s="39"/>
      <c r="K16" s="39"/>
      <c r="L16" s="39"/>
      <c r="M16" s="39"/>
      <c r="N16" s="39"/>
      <c r="O16" s="39"/>
      <c r="P16" s="39"/>
      <c r="Q16" s="39"/>
      <c r="R16" s="39"/>
      <c r="S16" s="10"/>
    </row>
    <row r="17" spans="1:19" x14ac:dyDescent="0.4">
      <c r="A17" s="12"/>
      <c r="B17" s="1"/>
      <c r="C17" s="1"/>
      <c r="D17" s="1"/>
      <c r="E17" s="1"/>
      <c r="F17" s="1"/>
      <c r="G17" s="1"/>
      <c r="H17" s="1"/>
      <c r="I17" s="1"/>
      <c r="J17" s="1"/>
      <c r="K17" s="1"/>
      <c r="L17" s="1"/>
      <c r="M17" s="1"/>
      <c r="N17" s="1"/>
      <c r="O17" s="1"/>
      <c r="P17" s="1"/>
      <c r="Q17" s="1"/>
      <c r="R17" s="1"/>
      <c r="S17" s="10"/>
    </row>
    <row r="18" spans="1:19" x14ac:dyDescent="0.4">
      <c r="A18" s="11" t="s">
        <v>34</v>
      </c>
      <c r="B18" s="1"/>
      <c r="C18" s="1"/>
      <c r="D18" s="1"/>
      <c r="E18" s="1"/>
      <c r="F18" s="1"/>
      <c r="G18" s="1"/>
      <c r="H18" s="1"/>
      <c r="I18" s="1"/>
      <c r="J18" s="1"/>
      <c r="K18" s="1"/>
      <c r="L18" s="1"/>
      <c r="M18" s="1"/>
      <c r="N18" s="1"/>
      <c r="O18" s="1"/>
      <c r="P18" s="1"/>
      <c r="Q18" s="1"/>
      <c r="R18" s="1"/>
      <c r="S18" s="10"/>
    </row>
    <row r="19" spans="1:19" ht="24.5" customHeight="1" x14ac:dyDescent="0.4">
      <c r="A19" s="38" t="s">
        <v>38</v>
      </c>
      <c r="B19" s="39"/>
      <c r="C19" s="39"/>
      <c r="D19" s="39"/>
      <c r="E19" s="39"/>
      <c r="F19" s="39"/>
      <c r="G19" s="39"/>
      <c r="H19" s="39"/>
      <c r="I19" s="39"/>
      <c r="J19" s="39"/>
      <c r="K19" s="39"/>
      <c r="L19" s="39"/>
      <c r="M19" s="39"/>
      <c r="N19" s="39"/>
      <c r="O19" s="39"/>
      <c r="P19" s="39"/>
      <c r="Q19" s="39"/>
      <c r="R19" s="39"/>
      <c r="S19" s="10"/>
    </row>
    <row r="20" spans="1:19" ht="28.05" customHeight="1" x14ac:dyDescent="0.4">
      <c r="A20" s="38"/>
      <c r="B20" s="39"/>
      <c r="C20" s="39"/>
      <c r="D20" s="39"/>
      <c r="E20" s="39"/>
      <c r="F20" s="39"/>
      <c r="G20" s="39"/>
      <c r="H20" s="39"/>
      <c r="I20" s="39"/>
      <c r="J20" s="39"/>
      <c r="K20" s="39"/>
      <c r="L20" s="39"/>
      <c r="M20" s="39"/>
      <c r="N20" s="39"/>
      <c r="O20" s="39"/>
      <c r="P20" s="39"/>
      <c r="Q20" s="39"/>
      <c r="R20" s="39"/>
      <c r="S20" s="10"/>
    </row>
    <row r="21" spans="1:19" ht="24" customHeight="1" x14ac:dyDescent="0.4">
      <c r="A21" s="38"/>
      <c r="B21" s="39"/>
      <c r="C21" s="39"/>
      <c r="D21" s="39"/>
      <c r="E21" s="39"/>
      <c r="F21" s="39"/>
      <c r="G21" s="39"/>
      <c r="H21" s="39"/>
      <c r="I21" s="39"/>
      <c r="J21" s="39"/>
      <c r="K21" s="39"/>
      <c r="L21" s="39"/>
      <c r="M21" s="39"/>
      <c r="N21" s="39"/>
      <c r="O21" s="39"/>
      <c r="P21" s="39"/>
      <c r="Q21" s="39"/>
      <c r="R21" s="39"/>
      <c r="S21" s="10"/>
    </row>
    <row r="22" spans="1:19" x14ac:dyDescent="0.4">
      <c r="A22" s="12"/>
      <c r="B22" s="1"/>
      <c r="C22" s="1"/>
      <c r="D22" s="1"/>
      <c r="E22" s="1"/>
      <c r="F22" s="1"/>
      <c r="G22" s="1"/>
      <c r="H22" s="1"/>
      <c r="I22" s="1"/>
      <c r="J22" s="1"/>
      <c r="K22" s="1"/>
      <c r="L22" s="1"/>
      <c r="M22" s="1"/>
      <c r="N22" s="1"/>
      <c r="O22" s="1"/>
      <c r="P22" s="1"/>
      <c r="Q22" s="1"/>
      <c r="R22" s="1"/>
      <c r="S22" s="10"/>
    </row>
    <row r="23" spans="1:19" x14ac:dyDescent="0.4">
      <c r="A23" s="11" t="s">
        <v>35</v>
      </c>
      <c r="B23" s="1"/>
      <c r="C23" s="1"/>
      <c r="D23" s="1"/>
      <c r="E23" s="1"/>
      <c r="F23" s="1"/>
      <c r="G23" s="1"/>
      <c r="H23" s="1"/>
      <c r="I23" s="1"/>
      <c r="J23" s="1"/>
      <c r="K23" s="1"/>
      <c r="L23" s="1"/>
      <c r="M23" s="1"/>
      <c r="N23" s="1"/>
      <c r="O23" s="1"/>
      <c r="P23" s="1"/>
      <c r="Q23" s="1"/>
      <c r="R23" s="1"/>
      <c r="S23" s="10"/>
    </row>
    <row r="24" spans="1:19" x14ac:dyDescent="0.4">
      <c r="A24" s="38" t="s">
        <v>37</v>
      </c>
      <c r="B24" s="39"/>
      <c r="C24" s="39"/>
      <c r="D24" s="39"/>
      <c r="E24" s="39"/>
      <c r="F24" s="39"/>
      <c r="G24" s="39"/>
      <c r="H24" s="39"/>
      <c r="I24" s="39"/>
      <c r="J24" s="39"/>
      <c r="K24" s="39"/>
      <c r="L24" s="39"/>
      <c r="M24" s="39"/>
      <c r="N24" s="39"/>
      <c r="O24" s="39"/>
      <c r="P24" s="39"/>
      <c r="Q24" s="39"/>
      <c r="R24" s="39"/>
      <c r="S24" s="10"/>
    </row>
    <row r="25" spans="1:19" x14ac:dyDescent="0.4">
      <c r="A25" s="38"/>
      <c r="B25" s="39"/>
      <c r="C25" s="39"/>
      <c r="D25" s="39"/>
      <c r="E25" s="39"/>
      <c r="F25" s="39"/>
      <c r="G25" s="39"/>
      <c r="H25" s="39"/>
      <c r="I25" s="39"/>
      <c r="J25" s="39"/>
      <c r="K25" s="39"/>
      <c r="L25" s="39"/>
      <c r="M25" s="39"/>
      <c r="N25" s="39"/>
      <c r="O25" s="39"/>
      <c r="P25" s="39"/>
      <c r="Q25" s="39"/>
      <c r="R25" s="39"/>
      <c r="S25" s="10"/>
    </row>
    <row r="26" spans="1:19" x14ac:dyDescent="0.4">
      <c r="A26" s="38"/>
      <c r="B26" s="39"/>
      <c r="C26" s="39"/>
      <c r="D26" s="39"/>
      <c r="E26" s="39"/>
      <c r="F26" s="39"/>
      <c r="G26" s="39"/>
      <c r="H26" s="39"/>
      <c r="I26" s="39"/>
      <c r="J26" s="39"/>
      <c r="K26" s="39"/>
      <c r="L26" s="39"/>
      <c r="M26" s="39"/>
      <c r="N26" s="39"/>
      <c r="O26" s="39"/>
      <c r="P26" s="39"/>
      <c r="Q26" s="39"/>
      <c r="R26" s="39"/>
      <c r="S26" s="10"/>
    </row>
    <row r="27" spans="1:19" ht="13.5" thickBot="1" x14ac:dyDescent="0.45">
      <c r="A27" s="13"/>
      <c r="B27" s="14"/>
      <c r="C27" s="14"/>
      <c r="D27" s="14"/>
      <c r="E27" s="14"/>
      <c r="F27" s="14"/>
      <c r="G27" s="14"/>
      <c r="H27" s="14"/>
      <c r="I27" s="14"/>
      <c r="J27" s="14"/>
      <c r="K27" s="14"/>
      <c r="L27" s="14"/>
      <c r="M27" s="14"/>
      <c r="N27" s="14"/>
      <c r="O27" s="14"/>
      <c r="P27" s="14"/>
      <c r="Q27" s="14"/>
      <c r="R27" s="14"/>
      <c r="S27" s="15"/>
    </row>
  </sheetData>
  <mergeCells count="7">
    <mergeCell ref="A24:R26"/>
    <mergeCell ref="A1:S1"/>
    <mergeCell ref="A2:R4"/>
    <mergeCell ref="A6:R8"/>
    <mergeCell ref="A9:R11"/>
    <mergeCell ref="A14:R16"/>
    <mergeCell ref="A19:R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Details</vt:lpstr>
      <vt:lpstr>NSE Factsheet Details</vt:lpstr>
      <vt:lpstr>Part 1</vt:lpstr>
      <vt:lpstr>Part 2</vt:lpstr>
      <vt:lpstr>Part 2a</vt:lpstr>
      <vt:lpstr>Part 2b</vt:lpstr>
      <vt:lpstr>Part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ABHIMANYU BABBAR</dc:creator>
  <cp:lastModifiedBy>ABHIMANYU BABBAR</cp:lastModifiedBy>
  <dcterms:created xsi:type="dcterms:W3CDTF">2025-02-26T13:16:14Z</dcterms:created>
  <dcterms:modified xsi:type="dcterms:W3CDTF">2026-03-03T07:17:02Z</dcterms:modified>
</cp:coreProperties>
</file>